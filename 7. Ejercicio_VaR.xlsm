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drawings/drawing2.xml" ContentType="application/vnd.openxmlformats-officedocument.drawing+xml"/>
  <Override PartName="/xl/comments2.xml" ContentType="application/vnd.openxmlformats-officedocument.spreadsheetml.comments+xml"/>
  <Override PartName="/xl/threadedComments/threadedComment2.xml" ContentType="application/vnd.ms-excel.threadedcomments+xml"/>
  <Override PartName="/xl/drawings/drawing3.xml" ContentType="application/vnd.openxmlformats-officedocument.drawing+xml"/>
  <Override PartName="/xl/comments3.xml" ContentType="application/vnd.openxmlformats-officedocument.spreadsheetml.comments+xml"/>
  <Override PartName="/xl/threadedComments/threadedComment3.xml" ContentType="application/vnd.ms-excel.threadedcomments+xml"/>
  <Override PartName="/xl/charts/chart1.xml" ContentType="application/vnd.openxmlformats-officedocument.drawingml.chart+xml"/>
  <Override PartName="/xl/drawings/drawing4.xml" ContentType="application/vnd.openxmlformats-officedocument.drawing+xml"/>
  <Override PartName="/xl/ctrlProps/ctrlProp1.xml" ContentType="application/vnd.ms-excel.controlproperties+xml"/>
  <Override PartName="/xl/comments4.xml" ContentType="application/vnd.openxmlformats-officedocument.spreadsheetml.comments+xml"/>
  <Override PartName="/xl/threadedComments/threadedComment4.xml" ContentType="application/vnd.ms-excel.threadedcomments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7425" codeName="{E757BCB4-07E6-AE0B-56E0-F0EEF7A6E26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Biblioteca\Descargas\Administracion de Riesgo\"/>
    </mc:Choice>
  </mc:AlternateContent>
  <xr:revisionPtr revIDLastSave="0" documentId="13_ncr:1_{1CBC1160-F77D-49F9-AD60-88DDECD4E2FC}" xr6:coauthVersionLast="47" xr6:coauthVersionMax="47" xr10:uidLastSave="{00000000-0000-0000-0000-000000000000}"/>
  <bookViews>
    <workbookView xWindow="-120" yWindow="-120" windowWidth="20730" windowHeight="11040" xr2:uid="{00000000-000D-0000-FFFF-FFFF00000000}"/>
  </bookViews>
  <sheets>
    <sheet name="Portafolio" sheetId="11" r:id="rId1"/>
    <sheet name="VaR Paramétrico" sheetId="12" r:id="rId2"/>
    <sheet name="VaR Histórico" sheetId="8" r:id="rId3"/>
    <sheet name="Var Simulación" sheetId="14" r:id="rId4"/>
  </sheets>
  <functionGroups builtInGroupCount="19"/>
  <definedNames>
    <definedName name="_xlnm._FilterDatabase" localSheetId="0" hidden="1">Portafolio!$A$4:$U$257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O264" i="11" l="1"/>
  <c r="P264" i="11"/>
  <c r="Q264" i="11"/>
  <c r="R264" i="11"/>
  <c r="S264" i="11"/>
  <c r="T264" i="11"/>
  <c r="U264" i="11"/>
  <c r="O265" i="11"/>
  <c r="P265" i="11"/>
  <c r="Q265" i="11"/>
  <c r="R265" i="11"/>
  <c r="S265" i="11"/>
  <c r="T265" i="11"/>
  <c r="U265" i="11"/>
  <c r="N265" i="11"/>
  <c r="N264" i="11"/>
  <c r="K12" i="14"/>
  <c r="L12" i="14" s="1"/>
  <c r="K10" i="14"/>
  <c r="C7" i="14"/>
  <c r="D7" i="14"/>
  <c r="E7" i="14"/>
  <c r="F7" i="14"/>
  <c r="G7" i="14"/>
  <c r="H7" i="14"/>
  <c r="I7" i="14"/>
  <c r="B7" i="14"/>
  <c r="C6" i="14"/>
  <c r="D6" i="14"/>
  <c r="E6" i="14"/>
  <c r="F6" i="14"/>
  <c r="G6" i="14"/>
  <c r="H6" i="14"/>
  <c r="I6" i="14"/>
  <c r="B6" i="14"/>
  <c r="I5" i="14"/>
  <c r="H5" i="14"/>
  <c r="C5" i="14"/>
  <c r="D5" i="14"/>
  <c r="E5" i="14"/>
  <c r="F5" i="14"/>
  <c r="G5" i="14"/>
  <c r="B5" i="14"/>
  <c r="D17" i="12"/>
  <c r="AB183" i="8"/>
  <c r="AJ183" i="8" s="1"/>
  <c r="AB199" i="8"/>
  <c r="AJ199" i="8" s="1"/>
  <c r="AB215" i="8"/>
  <c r="AJ215" i="8" s="1"/>
  <c r="AB231" i="8"/>
  <c r="AJ231" i="8" s="1"/>
  <c r="Y255" i="8"/>
  <c r="AG255" i="8" s="1"/>
  <c r="U256" i="8"/>
  <c r="AC256" i="8" s="1"/>
  <c r="AK256" i="8" s="1"/>
  <c r="T256" i="8"/>
  <c r="AB256" i="8" s="1"/>
  <c r="AJ256" i="8" s="1"/>
  <c r="S256" i="8"/>
  <c r="AA256" i="8" s="1"/>
  <c r="AI256" i="8" s="1"/>
  <c r="R256" i="8"/>
  <c r="Z256" i="8" s="1"/>
  <c r="AH256" i="8" s="1"/>
  <c r="Q256" i="8"/>
  <c r="Y256" i="8" s="1"/>
  <c r="AG256" i="8" s="1"/>
  <c r="P256" i="8"/>
  <c r="X256" i="8" s="1"/>
  <c r="AF256" i="8" s="1"/>
  <c r="O256" i="8"/>
  <c r="W256" i="8" s="1"/>
  <c r="AE256" i="8" s="1"/>
  <c r="N256" i="8"/>
  <c r="V256" i="8" s="1"/>
  <c r="AD256" i="8" s="1"/>
  <c r="U255" i="8"/>
  <c r="AC255" i="8" s="1"/>
  <c r="AK255" i="8" s="1"/>
  <c r="T255" i="8"/>
  <c r="AB255" i="8" s="1"/>
  <c r="AJ255" i="8" s="1"/>
  <c r="S255" i="8"/>
  <c r="AA255" i="8" s="1"/>
  <c r="AI255" i="8" s="1"/>
  <c r="R255" i="8"/>
  <c r="Z255" i="8" s="1"/>
  <c r="AH255" i="8" s="1"/>
  <c r="Q255" i="8"/>
  <c r="P255" i="8"/>
  <c r="X255" i="8" s="1"/>
  <c r="AF255" i="8" s="1"/>
  <c r="O255" i="8"/>
  <c r="W255" i="8" s="1"/>
  <c r="AE255" i="8" s="1"/>
  <c r="N255" i="8"/>
  <c r="V255" i="8" s="1"/>
  <c r="AD255" i="8" s="1"/>
  <c r="U254" i="8"/>
  <c r="AC254" i="8" s="1"/>
  <c r="AK254" i="8" s="1"/>
  <c r="T254" i="8"/>
  <c r="AB254" i="8" s="1"/>
  <c r="AJ254" i="8" s="1"/>
  <c r="S254" i="8"/>
  <c r="AA254" i="8" s="1"/>
  <c r="AI254" i="8" s="1"/>
  <c r="R254" i="8"/>
  <c r="Z254" i="8" s="1"/>
  <c r="AH254" i="8" s="1"/>
  <c r="Q254" i="8"/>
  <c r="Y254" i="8" s="1"/>
  <c r="AG254" i="8" s="1"/>
  <c r="P254" i="8"/>
  <c r="X254" i="8" s="1"/>
  <c r="AF254" i="8" s="1"/>
  <c r="O254" i="8"/>
  <c r="W254" i="8" s="1"/>
  <c r="AE254" i="8" s="1"/>
  <c r="N254" i="8"/>
  <c r="V254" i="8" s="1"/>
  <c r="AD254" i="8" s="1"/>
  <c r="U253" i="8"/>
  <c r="AC253" i="8" s="1"/>
  <c r="AK253" i="8" s="1"/>
  <c r="T253" i="8"/>
  <c r="AB253" i="8" s="1"/>
  <c r="AJ253" i="8" s="1"/>
  <c r="S253" i="8"/>
  <c r="AA253" i="8" s="1"/>
  <c r="AI253" i="8" s="1"/>
  <c r="R253" i="8"/>
  <c r="Z253" i="8" s="1"/>
  <c r="AH253" i="8" s="1"/>
  <c r="Q253" i="8"/>
  <c r="Y253" i="8" s="1"/>
  <c r="AG253" i="8" s="1"/>
  <c r="P253" i="8"/>
  <c r="X253" i="8" s="1"/>
  <c r="AF253" i="8" s="1"/>
  <c r="O253" i="8"/>
  <c r="W253" i="8" s="1"/>
  <c r="AE253" i="8" s="1"/>
  <c r="N253" i="8"/>
  <c r="V253" i="8" s="1"/>
  <c r="AD253" i="8" s="1"/>
  <c r="U252" i="8"/>
  <c r="AC252" i="8" s="1"/>
  <c r="AK252" i="8" s="1"/>
  <c r="T252" i="8"/>
  <c r="AB252" i="8" s="1"/>
  <c r="AJ252" i="8" s="1"/>
  <c r="S252" i="8"/>
  <c r="AA252" i="8" s="1"/>
  <c r="AI252" i="8" s="1"/>
  <c r="R252" i="8"/>
  <c r="Z252" i="8" s="1"/>
  <c r="AH252" i="8" s="1"/>
  <c r="Q252" i="8"/>
  <c r="Y252" i="8" s="1"/>
  <c r="AG252" i="8" s="1"/>
  <c r="P252" i="8"/>
  <c r="X252" i="8" s="1"/>
  <c r="AF252" i="8" s="1"/>
  <c r="O252" i="8"/>
  <c r="W252" i="8" s="1"/>
  <c r="AE252" i="8" s="1"/>
  <c r="N252" i="8"/>
  <c r="V252" i="8" s="1"/>
  <c r="AD252" i="8" s="1"/>
  <c r="U251" i="8"/>
  <c r="AC251" i="8" s="1"/>
  <c r="AK251" i="8" s="1"/>
  <c r="T251" i="8"/>
  <c r="AB251" i="8" s="1"/>
  <c r="AJ251" i="8" s="1"/>
  <c r="S251" i="8"/>
  <c r="AA251" i="8" s="1"/>
  <c r="AI251" i="8" s="1"/>
  <c r="R251" i="8"/>
  <c r="Z251" i="8" s="1"/>
  <c r="AH251" i="8" s="1"/>
  <c r="Q251" i="8"/>
  <c r="Y251" i="8" s="1"/>
  <c r="AG251" i="8" s="1"/>
  <c r="P251" i="8"/>
  <c r="X251" i="8" s="1"/>
  <c r="AF251" i="8" s="1"/>
  <c r="O251" i="8"/>
  <c r="W251" i="8" s="1"/>
  <c r="AE251" i="8" s="1"/>
  <c r="N251" i="8"/>
  <c r="V251" i="8" s="1"/>
  <c r="AD251" i="8" s="1"/>
  <c r="U250" i="8"/>
  <c r="AC250" i="8" s="1"/>
  <c r="AK250" i="8" s="1"/>
  <c r="T250" i="8"/>
  <c r="AB250" i="8" s="1"/>
  <c r="AJ250" i="8" s="1"/>
  <c r="S250" i="8"/>
  <c r="AA250" i="8" s="1"/>
  <c r="AI250" i="8" s="1"/>
  <c r="R250" i="8"/>
  <c r="Z250" i="8" s="1"/>
  <c r="AH250" i="8" s="1"/>
  <c r="Q250" i="8"/>
  <c r="Y250" i="8" s="1"/>
  <c r="AG250" i="8" s="1"/>
  <c r="P250" i="8"/>
  <c r="X250" i="8" s="1"/>
  <c r="AF250" i="8" s="1"/>
  <c r="O250" i="8"/>
  <c r="W250" i="8" s="1"/>
  <c r="AE250" i="8" s="1"/>
  <c r="N250" i="8"/>
  <c r="V250" i="8" s="1"/>
  <c r="AD250" i="8" s="1"/>
  <c r="U249" i="8"/>
  <c r="AC249" i="8" s="1"/>
  <c r="AK249" i="8" s="1"/>
  <c r="T249" i="8"/>
  <c r="AB249" i="8" s="1"/>
  <c r="AJ249" i="8" s="1"/>
  <c r="S249" i="8"/>
  <c r="AA249" i="8" s="1"/>
  <c r="AI249" i="8" s="1"/>
  <c r="R249" i="8"/>
  <c r="Z249" i="8" s="1"/>
  <c r="AH249" i="8" s="1"/>
  <c r="Q249" i="8"/>
  <c r="Y249" i="8" s="1"/>
  <c r="AG249" i="8" s="1"/>
  <c r="P249" i="8"/>
  <c r="X249" i="8" s="1"/>
  <c r="AF249" i="8" s="1"/>
  <c r="O249" i="8"/>
  <c r="W249" i="8" s="1"/>
  <c r="AE249" i="8" s="1"/>
  <c r="N249" i="8"/>
  <c r="V249" i="8" s="1"/>
  <c r="AD249" i="8" s="1"/>
  <c r="U248" i="8"/>
  <c r="AC248" i="8" s="1"/>
  <c r="AK248" i="8" s="1"/>
  <c r="T248" i="8"/>
  <c r="AB248" i="8" s="1"/>
  <c r="AJ248" i="8" s="1"/>
  <c r="S248" i="8"/>
  <c r="AA248" i="8" s="1"/>
  <c r="AI248" i="8" s="1"/>
  <c r="R248" i="8"/>
  <c r="Z248" i="8" s="1"/>
  <c r="AH248" i="8" s="1"/>
  <c r="Q248" i="8"/>
  <c r="Y248" i="8" s="1"/>
  <c r="AG248" i="8" s="1"/>
  <c r="P248" i="8"/>
  <c r="X248" i="8" s="1"/>
  <c r="AF248" i="8" s="1"/>
  <c r="O248" i="8"/>
  <c r="W248" i="8" s="1"/>
  <c r="AE248" i="8" s="1"/>
  <c r="N248" i="8"/>
  <c r="V248" i="8" s="1"/>
  <c r="AD248" i="8" s="1"/>
  <c r="U247" i="8"/>
  <c r="AC247" i="8" s="1"/>
  <c r="AK247" i="8" s="1"/>
  <c r="T247" i="8"/>
  <c r="AB247" i="8" s="1"/>
  <c r="AJ247" i="8" s="1"/>
  <c r="S247" i="8"/>
  <c r="AA247" i="8" s="1"/>
  <c r="AI247" i="8" s="1"/>
  <c r="R247" i="8"/>
  <c r="Z247" i="8" s="1"/>
  <c r="AH247" i="8" s="1"/>
  <c r="Q247" i="8"/>
  <c r="Y247" i="8" s="1"/>
  <c r="AG247" i="8" s="1"/>
  <c r="P247" i="8"/>
  <c r="X247" i="8" s="1"/>
  <c r="AF247" i="8" s="1"/>
  <c r="O247" i="8"/>
  <c r="W247" i="8" s="1"/>
  <c r="AE247" i="8" s="1"/>
  <c r="N247" i="8"/>
  <c r="V247" i="8" s="1"/>
  <c r="AD247" i="8" s="1"/>
  <c r="U246" i="8"/>
  <c r="AC246" i="8" s="1"/>
  <c r="AK246" i="8" s="1"/>
  <c r="T246" i="8"/>
  <c r="AB246" i="8" s="1"/>
  <c r="AJ246" i="8" s="1"/>
  <c r="S246" i="8"/>
  <c r="AA246" i="8" s="1"/>
  <c r="AI246" i="8" s="1"/>
  <c r="R246" i="8"/>
  <c r="Z246" i="8" s="1"/>
  <c r="AH246" i="8" s="1"/>
  <c r="Q246" i="8"/>
  <c r="Y246" i="8" s="1"/>
  <c r="AG246" i="8" s="1"/>
  <c r="P246" i="8"/>
  <c r="X246" i="8" s="1"/>
  <c r="AF246" i="8" s="1"/>
  <c r="O246" i="8"/>
  <c r="W246" i="8" s="1"/>
  <c r="AE246" i="8" s="1"/>
  <c r="N246" i="8"/>
  <c r="V246" i="8" s="1"/>
  <c r="AD246" i="8" s="1"/>
  <c r="U245" i="8"/>
  <c r="AC245" i="8" s="1"/>
  <c r="AK245" i="8" s="1"/>
  <c r="T245" i="8"/>
  <c r="AB245" i="8" s="1"/>
  <c r="AJ245" i="8" s="1"/>
  <c r="S245" i="8"/>
  <c r="AA245" i="8" s="1"/>
  <c r="AI245" i="8" s="1"/>
  <c r="R245" i="8"/>
  <c r="Z245" i="8" s="1"/>
  <c r="AH245" i="8" s="1"/>
  <c r="Q245" i="8"/>
  <c r="Y245" i="8" s="1"/>
  <c r="AG245" i="8" s="1"/>
  <c r="P245" i="8"/>
  <c r="X245" i="8" s="1"/>
  <c r="AF245" i="8" s="1"/>
  <c r="O245" i="8"/>
  <c r="W245" i="8" s="1"/>
  <c r="AE245" i="8" s="1"/>
  <c r="N245" i="8"/>
  <c r="V245" i="8" s="1"/>
  <c r="AD245" i="8" s="1"/>
  <c r="U244" i="8"/>
  <c r="AC244" i="8" s="1"/>
  <c r="AK244" i="8" s="1"/>
  <c r="T244" i="8"/>
  <c r="AB244" i="8" s="1"/>
  <c r="AJ244" i="8" s="1"/>
  <c r="S244" i="8"/>
  <c r="AA244" i="8" s="1"/>
  <c r="AI244" i="8" s="1"/>
  <c r="R244" i="8"/>
  <c r="Z244" i="8" s="1"/>
  <c r="AH244" i="8" s="1"/>
  <c r="Q244" i="8"/>
  <c r="Y244" i="8" s="1"/>
  <c r="AG244" i="8" s="1"/>
  <c r="P244" i="8"/>
  <c r="X244" i="8" s="1"/>
  <c r="AF244" i="8" s="1"/>
  <c r="O244" i="8"/>
  <c r="W244" i="8" s="1"/>
  <c r="AE244" i="8" s="1"/>
  <c r="N244" i="8"/>
  <c r="V244" i="8" s="1"/>
  <c r="AD244" i="8" s="1"/>
  <c r="U243" i="8"/>
  <c r="AC243" i="8" s="1"/>
  <c r="AK243" i="8" s="1"/>
  <c r="T243" i="8"/>
  <c r="AB243" i="8" s="1"/>
  <c r="AJ243" i="8" s="1"/>
  <c r="S243" i="8"/>
  <c r="AA243" i="8" s="1"/>
  <c r="AI243" i="8" s="1"/>
  <c r="R243" i="8"/>
  <c r="Z243" i="8" s="1"/>
  <c r="AH243" i="8" s="1"/>
  <c r="Q243" i="8"/>
  <c r="Y243" i="8" s="1"/>
  <c r="AG243" i="8" s="1"/>
  <c r="P243" i="8"/>
  <c r="X243" i="8" s="1"/>
  <c r="AF243" i="8" s="1"/>
  <c r="O243" i="8"/>
  <c r="W243" i="8" s="1"/>
  <c r="AE243" i="8" s="1"/>
  <c r="N243" i="8"/>
  <c r="V243" i="8" s="1"/>
  <c r="AD243" i="8" s="1"/>
  <c r="U242" i="8"/>
  <c r="AC242" i="8" s="1"/>
  <c r="AK242" i="8" s="1"/>
  <c r="T242" i="8"/>
  <c r="AB242" i="8" s="1"/>
  <c r="AJ242" i="8" s="1"/>
  <c r="S242" i="8"/>
  <c r="AA242" i="8" s="1"/>
  <c r="AI242" i="8" s="1"/>
  <c r="R242" i="8"/>
  <c r="Z242" i="8" s="1"/>
  <c r="AH242" i="8" s="1"/>
  <c r="Q242" i="8"/>
  <c r="Y242" i="8" s="1"/>
  <c r="AG242" i="8" s="1"/>
  <c r="P242" i="8"/>
  <c r="X242" i="8" s="1"/>
  <c r="AF242" i="8" s="1"/>
  <c r="O242" i="8"/>
  <c r="W242" i="8" s="1"/>
  <c r="AE242" i="8" s="1"/>
  <c r="N242" i="8"/>
  <c r="V242" i="8" s="1"/>
  <c r="AD242" i="8" s="1"/>
  <c r="U241" i="8"/>
  <c r="AC241" i="8" s="1"/>
  <c r="AK241" i="8" s="1"/>
  <c r="T241" i="8"/>
  <c r="AB241" i="8" s="1"/>
  <c r="AJ241" i="8" s="1"/>
  <c r="S241" i="8"/>
  <c r="AA241" i="8" s="1"/>
  <c r="AI241" i="8" s="1"/>
  <c r="R241" i="8"/>
  <c r="Z241" i="8" s="1"/>
  <c r="AH241" i="8" s="1"/>
  <c r="Q241" i="8"/>
  <c r="Y241" i="8" s="1"/>
  <c r="AG241" i="8" s="1"/>
  <c r="P241" i="8"/>
  <c r="X241" i="8" s="1"/>
  <c r="AF241" i="8" s="1"/>
  <c r="O241" i="8"/>
  <c r="W241" i="8" s="1"/>
  <c r="AE241" i="8" s="1"/>
  <c r="N241" i="8"/>
  <c r="V241" i="8" s="1"/>
  <c r="AD241" i="8" s="1"/>
  <c r="U240" i="8"/>
  <c r="AC240" i="8" s="1"/>
  <c r="AK240" i="8" s="1"/>
  <c r="T240" i="8"/>
  <c r="AB240" i="8" s="1"/>
  <c r="AJ240" i="8" s="1"/>
  <c r="S240" i="8"/>
  <c r="AA240" i="8" s="1"/>
  <c r="AI240" i="8" s="1"/>
  <c r="R240" i="8"/>
  <c r="Z240" i="8" s="1"/>
  <c r="AH240" i="8" s="1"/>
  <c r="Q240" i="8"/>
  <c r="Y240" i="8" s="1"/>
  <c r="AG240" i="8" s="1"/>
  <c r="P240" i="8"/>
  <c r="X240" i="8" s="1"/>
  <c r="AF240" i="8" s="1"/>
  <c r="O240" i="8"/>
  <c r="W240" i="8" s="1"/>
  <c r="AE240" i="8" s="1"/>
  <c r="N240" i="8"/>
  <c r="V240" i="8" s="1"/>
  <c r="AD240" i="8" s="1"/>
  <c r="U239" i="8"/>
  <c r="AC239" i="8" s="1"/>
  <c r="AK239" i="8" s="1"/>
  <c r="T239" i="8"/>
  <c r="AB239" i="8" s="1"/>
  <c r="AJ239" i="8" s="1"/>
  <c r="S239" i="8"/>
  <c r="AA239" i="8" s="1"/>
  <c r="AI239" i="8" s="1"/>
  <c r="R239" i="8"/>
  <c r="Z239" i="8" s="1"/>
  <c r="AH239" i="8" s="1"/>
  <c r="Q239" i="8"/>
  <c r="Y239" i="8" s="1"/>
  <c r="AG239" i="8" s="1"/>
  <c r="P239" i="8"/>
  <c r="X239" i="8" s="1"/>
  <c r="AF239" i="8" s="1"/>
  <c r="O239" i="8"/>
  <c r="W239" i="8" s="1"/>
  <c r="AE239" i="8" s="1"/>
  <c r="N239" i="8"/>
  <c r="V239" i="8" s="1"/>
  <c r="AD239" i="8" s="1"/>
  <c r="U238" i="8"/>
  <c r="AC238" i="8" s="1"/>
  <c r="AK238" i="8" s="1"/>
  <c r="T238" i="8"/>
  <c r="AB238" i="8" s="1"/>
  <c r="AJ238" i="8" s="1"/>
  <c r="S238" i="8"/>
  <c r="AA238" i="8" s="1"/>
  <c r="AI238" i="8" s="1"/>
  <c r="R238" i="8"/>
  <c r="Z238" i="8" s="1"/>
  <c r="AH238" i="8" s="1"/>
  <c r="Q238" i="8"/>
  <c r="Y238" i="8" s="1"/>
  <c r="AG238" i="8" s="1"/>
  <c r="P238" i="8"/>
  <c r="X238" i="8" s="1"/>
  <c r="AF238" i="8" s="1"/>
  <c r="O238" i="8"/>
  <c r="W238" i="8" s="1"/>
  <c r="AE238" i="8" s="1"/>
  <c r="N238" i="8"/>
  <c r="V238" i="8" s="1"/>
  <c r="AD238" i="8" s="1"/>
  <c r="U237" i="8"/>
  <c r="AC237" i="8" s="1"/>
  <c r="AK237" i="8" s="1"/>
  <c r="T237" i="8"/>
  <c r="AB237" i="8" s="1"/>
  <c r="AJ237" i="8" s="1"/>
  <c r="S237" i="8"/>
  <c r="AA237" i="8" s="1"/>
  <c r="AI237" i="8" s="1"/>
  <c r="R237" i="8"/>
  <c r="Z237" i="8" s="1"/>
  <c r="AH237" i="8" s="1"/>
  <c r="Q237" i="8"/>
  <c r="Y237" i="8" s="1"/>
  <c r="AG237" i="8" s="1"/>
  <c r="P237" i="8"/>
  <c r="X237" i="8" s="1"/>
  <c r="AF237" i="8" s="1"/>
  <c r="O237" i="8"/>
  <c r="W237" i="8" s="1"/>
  <c r="AE237" i="8" s="1"/>
  <c r="N237" i="8"/>
  <c r="V237" i="8" s="1"/>
  <c r="AD237" i="8" s="1"/>
  <c r="U236" i="8"/>
  <c r="AC236" i="8" s="1"/>
  <c r="AK236" i="8" s="1"/>
  <c r="T236" i="8"/>
  <c r="AB236" i="8" s="1"/>
  <c r="AJ236" i="8" s="1"/>
  <c r="S236" i="8"/>
  <c r="AA236" i="8" s="1"/>
  <c r="AI236" i="8" s="1"/>
  <c r="R236" i="8"/>
  <c r="Z236" i="8" s="1"/>
  <c r="AH236" i="8" s="1"/>
  <c r="Q236" i="8"/>
  <c r="Y236" i="8" s="1"/>
  <c r="AG236" i="8" s="1"/>
  <c r="P236" i="8"/>
  <c r="X236" i="8" s="1"/>
  <c r="AF236" i="8" s="1"/>
  <c r="O236" i="8"/>
  <c r="W236" i="8" s="1"/>
  <c r="AE236" i="8" s="1"/>
  <c r="N236" i="8"/>
  <c r="V236" i="8" s="1"/>
  <c r="AD236" i="8" s="1"/>
  <c r="U235" i="8"/>
  <c r="AC235" i="8" s="1"/>
  <c r="AK235" i="8" s="1"/>
  <c r="T235" i="8"/>
  <c r="AB235" i="8" s="1"/>
  <c r="AJ235" i="8" s="1"/>
  <c r="S235" i="8"/>
  <c r="AA235" i="8" s="1"/>
  <c r="AI235" i="8" s="1"/>
  <c r="R235" i="8"/>
  <c r="Z235" i="8" s="1"/>
  <c r="AH235" i="8" s="1"/>
  <c r="Q235" i="8"/>
  <c r="Y235" i="8" s="1"/>
  <c r="AG235" i="8" s="1"/>
  <c r="P235" i="8"/>
  <c r="X235" i="8" s="1"/>
  <c r="AF235" i="8" s="1"/>
  <c r="O235" i="8"/>
  <c r="W235" i="8" s="1"/>
  <c r="AE235" i="8" s="1"/>
  <c r="N235" i="8"/>
  <c r="V235" i="8" s="1"/>
  <c r="AD235" i="8" s="1"/>
  <c r="U234" i="8"/>
  <c r="AC234" i="8" s="1"/>
  <c r="AK234" i="8" s="1"/>
  <c r="T234" i="8"/>
  <c r="AB234" i="8" s="1"/>
  <c r="AJ234" i="8" s="1"/>
  <c r="S234" i="8"/>
  <c r="AA234" i="8" s="1"/>
  <c r="AI234" i="8" s="1"/>
  <c r="R234" i="8"/>
  <c r="Z234" i="8" s="1"/>
  <c r="AH234" i="8" s="1"/>
  <c r="Q234" i="8"/>
  <c r="Y234" i="8" s="1"/>
  <c r="AG234" i="8" s="1"/>
  <c r="P234" i="8"/>
  <c r="X234" i="8" s="1"/>
  <c r="AF234" i="8" s="1"/>
  <c r="O234" i="8"/>
  <c r="W234" i="8" s="1"/>
  <c r="AE234" i="8" s="1"/>
  <c r="N234" i="8"/>
  <c r="V234" i="8" s="1"/>
  <c r="AD234" i="8" s="1"/>
  <c r="U233" i="8"/>
  <c r="AC233" i="8" s="1"/>
  <c r="AK233" i="8" s="1"/>
  <c r="T233" i="8"/>
  <c r="AB233" i="8" s="1"/>
  <c r="AJ233" i="8" s="1"/>
  <c r="S233" i="8"/>
  <c r="AA233" i="8" s="1"/>
  <c r="AI233" i="8" s="1"/>
  <c r="R233" i="8"/>
  <c r="Z233" i="8" s="1"/>
  <c r="AH233" i="8" s="1"/>
  <c r="Q233" i="8"/>
  <c r="Y233" i="8" s="1"/>
  <c r="AG233" i="8" s="1"/>
  <c r="P233" i="8"/>
  <c r="X233" i="8" s="1"/>
  <c r="AF233" i="8" s="1"/>
  <c r="O233" i="8"/>
  <c r="W233" i="8" s="1"/>
  <c r="AE233" i="8" s="1"/>
  <c r="N233" i="8"/>
  <c r="V233" i="8" s="1"/>
  <c r="AD233" i="8" s="1"/>
  <c r="U232" i="8"/>
  <c r="AC232" i="8" s="1"/>
  <c r="AK232" i="8" s="1"/>
  <c r="T232" i="8"/>
  <c r="AB232" i="8" s="1"/>
  <c r="AJ232" i="8" s="1"/>
  <c r="S232" i="8"/>
  <c r="AA232" i="8" s="1"/>
  <c r="AI232" i="8" s="1"/>
  <c r="R232" i="8"/>
  <c r="Z232" i="8" s="1"/>
  <c r="AH232" i="8" s="1"/>
  <c r="Q232" i="8"/>
  <c r="Y232" i="8" s="1"/>
  <c r="AG232" i="8" s="1"/>
  <c r="P232" i="8"/>
  <c r="X232" i="8" s="1"/>
  <c r="AF232" i="8" s="1"/>
  <c r="O232" i="8"/>
  <c r="W232" i="8" s="1"/>
  <c r="AE232" i="8" s="1"/>
  <c r="N232" i="8"/>
  <c r="V232" i="8" s="1"/>
  <c r="AD232" i="8" s="1"/>
  <c r="U231" i="8"/>
  <c r="AC231" i="8" s="1"/>
  <c r="AK231" i="8" s="1"/>
  <c r="T231" i="8"/>
  <c r="S231" i="8"/>
  <c r="AA231" i="8" s="1"/>
  <c r="AI231" i="8" s="1"/>
  <c r="R231" i="8"/>
  <c r="Z231" i="8" s="1"/>
  <c r="AH231" i="8" s="1"/>
  <c r="Q231" i="8"/>
  <c r="Y231" i="8" s="1"/>
  <c r="AG231" i="8" s="1"/>
  <c r="P231" i="8"/>
  <c r="X231" i="8" s="1"/>
  <c r="AF231" i="8" s="1"/>
  <c r="O231" i="8"/>
  <c r="W231" i="8" s="1"/>
  <c r="AE231" i="8" s="1"/>
  <c r="N231" i="8"/>
  <c r="V231" i="8" s="1"/>
  <c r="AD231" i="8" s="1"/>
  <c r="U230" i="8"/>
  <c r="AC230" i="8" s="1"/>
  <c r="AK230" i="8" s="1"/>
  <c r="T230" i="8"/>
  <c r="AB230" i="8" s="1"/>
  <c r="AJ230" i="8" s="1"/>
  <c r="S230" i="8"/>
  <c r="AA230" i="8" s="1"/>
  <c r="AI230" i="8" s="1"/>
  <c r="R230" i="8"/>
  <c r="Z230" i="8" s="1"/>
  <c r="AH230" i="8" s="1"/>
  <c r="Q230" i="8"/>
  <c r="Y230" i="8" s="1"/>
  <c r="AG230" i="8" s="1"/>
  <c r="P230" i="8"/>
  <c r="X230" i="8" s="1"/>
  <c r="AF230" i="8" s="1"/>
  <c r="O230" i="8"/>
  <c r="W230" i="8" s="1"/>
  <c r="AE230" i="8" s="1"/>
  <c r="N230" i="8"/>
  <c r="V230" i="8" s="1"/>
  <c r="AD230" i="8" s="1"/>
  <c r="U229" i="8"/>
  <c r="AC229" i="8" s="1"/>
  <c r="AK229" i="8" s="1"/>
  <c r="T229" i="8"/>
  <c r="AB229" i="8" s="1"/>
  <c r="AJ229" i="8" s="1"/>
  <c r="S229" i="8"/>
  <c r="AA229" i="8" s="1"/>
  <c r="AI229" i="8" s="1"/>
  <c r="R229" i="8"/>
  <c r="Z229" i="8" s="1"/>
  <c r="AH229" i="8" s="1"/>
  <c r="Q229" i="8"/>
  <c r="Y229" i="8" s="1"/>
  <c r="AG229" i="8" s="1"/>
  <c r="P229" i="8"/>
  <c r="X229" i="8" s="1"/>
  <c r="AF229" i="8" s="1"/>
  <c r="O229" i="8"/>
  <c r="W229" i="8" s="1"/>
  <c r="AE229" i="8" s="1"/>
  <c r="N229" i="8"/>
  <c r="V229" i="8" s="1"/>
  <c r="AD229" i="8" s="1"/>
  <c r="U228" i="8"/>
  <c r="AC228" i="8" s="1"/>
  <c r="AK228" i="8" s="1"/>
  <c r="T228" i="8"/>
  <c r="AB228" i="8" s="1"/>
  <c r="AJ228" i="8" s="1"/>
  <c r="S228" i="8"/>
  <c r="AA228" i="8" s="1"/>
  <c r="AI228" i="8" s="1"/>
  <c r="R228" i="8"/>
  <c r="Z228" i="8" s="1"/>
  <c r="AH228" i="8" s="1"/>
  <c r="Q228" i="8"/>
  <c r="Y228" i="8" s="1"/>
  <c r="AG228" i="8" s="1"/>
  <c r="P228" i="8"/>
  <c r="X228" i="8" s="1"/>
  <c r="AF228" i="8" s="1"/>
  <c r="O228" i="8"/>
  <c r="W228" i="8" s="1"/>
  <c r="AE228" i="8" s="1"/>
  <c r="N228" i="8"/>
  <c r="V228" i="8" s="1"/>
  <c r="AD228" i="8" s="1"/>
  <c r="U227" i="8"/>
  <c r="AC227" i="8" s="1"/>
  <c r="AK227" i="8" s="1"/>
  <c r="T227" i="8"/>
  <c r="AB227" i="8" s="1"/>
  <c r="AJ227" i="8" s="1"/>
  <c r="S227" i="8"/>
  <c r="AA227" i="8" s="1"/>
  <c r="AI227" i="8" s="1"/>
  <c r="R227" i="8"/>
  <c r="Z227" i="8" s="1"/>
  <c r="AH227" i="8" s="1"/>
  <c r="Q227" i="8"/>
  <c r="Y227" i="8" s="1"/>
  <c r="AG227" i="8" s="1"/>
  <c r="P227" i="8"/>
  <c r="X227" i="8" s="1"/>
  <c r="AF227" i="8" s="1"/>
  <c r="O227" i="8"/>
  <c r="W227" i="8" s="1"/>
  <c r="AE227" i="8" s="1"/>
  <c r="N227" i="8"/>
  <c r="V227" i="8" s="1"/>
  <c r="AD227" i="8" s="1"/>
  <c r="U226" i="8"/>
  <c r="AC226" i="8" s="1"/>
  <c r="AK226" i="8" s="1"/>
  <c r="T226" i="8"/>
  <c r="AB226" i="8" s="1"/>
  <c r="AJ226" i="8" s="1"/>
  <c r="S226" i="8"/>
  <c r="AA226" i="8" s="1"/>
  <c r="AI226" i="8" s="1"/>
  <c r="R226" i="8"/>
  <c r="Z226" i="8" s="1"/>
  <c r="AH226" i="8" s="1"/>
  <c r="Q226" i="8"/>
  <c r="Y226" i="8" s="1"/>
  <c r="AG226" i="8" s="1"/>
  <c r="P226" i="8"/>
  <c r="X226" i="8" s="1"/>
  <c r="AF226" i="8" s="1"/>
  <c r="O226" i="8"/>
  <c r="W226" i="8" s="1"/>
  <c r="AE226" i="8" s="1"/>
  <c r="N226" i="8"/>
  <c r="V226" i="8" s="1"/>
  <c r="AD226" i="8" s="1"/>
  <c r="U225" i="8"/>
  <c r="AC225" i="8" s="1"/>
  <c r="AK225" i="8" s="1"/>
  <c r="T225" i="8"/>
  <c r="AB225" i="8" s="1"/>
  <c r="AJ225" i="8" s="1"/>
  <c r="S225" i="8"/>
  <c r="AA225" i="8" s="1"/>
  <c r="AI225" i="8" s="1"/>
  <c r="R225" i="8"/>
  <c r="Z225" i="8" s="1"/>
  <c r="AH225" i="8" s="1"/>
  <c r="Q225" i="8"/>
  <c r="Y225" i="8" s="1"/>
  <c r="AG225" i="8" s="1"/>
  <c r="P225" i="8"/>
  <c r="X225" i="8" s="1"/>
  <c r="AF225" i="8" s="1"/>
  <c r="O225" i="8"/>
  <c r="W225" i="8" s="1"/>
  <c r="AE225" i="8" s="1"/>
  <c r="N225" i="8"/>
  <c r="V225" i="8" s="1"/>
  <c r="AD225" i="8" s="1"/>
  <c r="U224" i="8"/>
  <c r="AC224" i="8" s="1"/>
  <c r="AK224" i="8" s="1"/>
  <c r="T224" i="8"/>
  <c r="AB224" i="8" s="1"/>
  <c r="AJ224" i="8" s="1"/>
  <c r="S224" i="8"/>
  <c r="AA224" i="8" s="1"/>
  <c r="AI224" i="8" s="1"/>
  <c r="R224" i="8"/>
  <c r="Z224" i="8" s="1"/>
  <c r="AH224" i="8" s="1"/>
  <c r="Q224" i="8"/>
  <c r="Y224" i="8" s="1"/>
  <c r="AG224" i="8" s="1"/>
  <c r="P224" i="8"/>
  <c r="X224" i="8" s="1"/>
  <c r="AF224" i="8" s="1"/>
  <c r="O224" i="8"/>
  <c r="W224" i="8" s="1"/>
  <c r="AE224" i="8" s="1"/>
  <c r="N224" i="8"/>
  <c r="V224" i="8" s="1"/>
  <c r="AD224" i="8" s="1"/>
  <c r="U223" i="8"/>
  <c r="AC223" i="8" s="1"/>
  <c r="AK223" i="8" s="1"/>
  <c r="T223" i="8"/>
  <c r="AB223" i="8" s="1"/>
  <c r="AJ223" i="8" s="1"/>
  <c r="S223" i="8"/>
  <c r="AA223" i="8" s="1"/>
  <c r="AI223" i="8" s="1"/>
  <c r="R223" i="8"/>
  <c r="Z223" i="8" s="1"/>
  <c r="AH223" i="8" s="1"/>
  <c r="Q223" i="8"/>
  <c r="Y223" i="8" s="1"/>
  <c r="AG223" i="8" s="1"/>
  <c r="P223" i="8"/>
  <c r="X223" i="8" s="1"/>
  <c r="AF223" i="8" s="1"/>
  <c r="O223" i="8"/>
  <c r="W223" i="8" s="1"/>
  <c r="AE223" i="8" s="1"/>
  <c r="N223" i="8"/>
  <c r="V223" i="8" s="1"/>
  <c r="AD223" i="8" s="1"/>
  <c r="U222" i="8"/>
  <c r="AC222" i="8" s="1"/>
  <c r="AK222" i="8" s="1"/>
  <c r="T222" i="8"/>
  <c r="AB222" i="8" s="1"/>
  <c r="AJ222" i="8" s="1"/>
  <c r="S222" i="8"/>
  <c r="AA222" i="8" s="1"/>
  <c r="AI222" i="8" s="1"/>
  <c r="R222" i="8"/>
  <c r="Z222" i="8" s="1"/>
  <c r="AH222" i="8" s="1"/>
  <c r="Q222" i="8"/>
  <c r="Y222" i="8" s="1"/>
  <c r="AG222" i="8" s="1"/>
  <c r="P222" i="8"/>
  <c r="X222" i="8" s="1"/>
  <c r="AF222" i="8" s="1"/>
  <c r="O222" i="8"/>
  <c r="W222" i="8" s="1"/>
  <c r="AE222" i="8" s="1"/>
  <c r="N222" i="8"/>
  <c r="V222" i="8" s="1"/>
  <c r="AD222" i="8" s="1"/>
  <c r="U221" i="8"/>
  <c r="AC221" i="8" s="1"/>
  <c r="AK221" i="8" s="1"/>
  <c r="T221" i="8"/>
  <c r="AB221" i="8" s="1"/>
  <c r="AJ221" i="8" s="1"/>
  <c r="S221" i="8"/>
  <c r="AA221" i="8" s="1"/>
  <c r="AI221" i="8" s="1"/>
  <c r="R221" i="8"/>
  <c r="Z221" i="8" s="1"/>
  <c r="AH221" i="8" s="1"/>
  <c r="Q221" i="8"/>
  <c r="Y221" i="8" s="1"/>
  <c r="AG221" i="8" s="1"/>
  <c r="P221" i="8"/>
  <c r="X221" i="8" s="1"/>
  <c r="AF221" i="8" s="1"/>
  <c r="O221" i="8"/>
  <c r="W221" i="8" s="1"/>
  <c r="AE221" i="8" s="1"/>
  <c r="N221" i="8"/>
  <c r="V221" i="8" s="1"/>
  <c r="AD221" i="8" s="1"/>
  <c r="U220" i="8"/>
  <c r="AC220" i="8" s="1"/>
  <c r="AK220" i="8" s="1"/>
  <c r="T220" i="8"/>
  <c r="AB220" i="8" s="1"/>
  <c r="AJ220" i="8" s="1"/>
  <c r="S220" i="8"/>
  <c r="AA220" i="8" s="1"/>
  <c r="AI220" i="8" s="1"/>
  <c r="R220" i="8"/>
  <c r="Z220" i="8" s="1"/>
  <c r="AH220" i="8" s="1"/>
  <c r="Q220" i="8"/>
  <c r="Y220" i="8" s="1"/>
  <c r="AG220" i="8" s="1"/>
  <c r="P220" i="8"/>
  <c r="X220" i="8" s="1"/>
  <c r="AF220" i="8" s="1"/>
  <c r="O220" i="8"/>
  <c r="W220" i="8" s="1"/>
  <c r="AE220" i="8" s="1"/>
  <c r="N220" i="8"/>
  <c r="V220" i="8" s="1"/>
  <c r="AD220" i="8" s="1"/>
  <c r="U219" i="8"/>
  <c r="AC219" i="8" s="1"/>
  <c r="AK219" i="8" s="1"/>
  <c r="T219" i="8"/>
  <c r="AB219" i="8" s="1"/>
  <c r="AJ219" i="8" s="1"/>
  <c r="S219" i="8"/>
  <c r="AA219" i="8" s="1"/>
  <c r="AI219" i="8" s="1"/>
  <c r="R219" i="8"/>
  <c r="Z219" i="8" s="1"/>
  <c r="AH219" i="8" s="1"/>
  <c r="Q219" i="8"/>
  <c r="Y219" i="8" s="1"/>
  <c r="AG219" i="8" s="1"/>
  <c r="P219" i="8"/>
  <c r="X219" i="8" s="1"/>
  <c r="AF219" i="8" s="1"/>
  <c r="O219" i="8"/>
  <c r="W219" i="8" s="1"/>
  <c r="AE219" i="8" s="1"/>
  <c r="N219" i="8"/>
  <c r="V219" i="8" s="1"/>
  <c r="AD219" i="8" s="1"/>
  <c r="U218" i="8"/>
  <c r="AC218" i="8" s="1"/>
  <c r="AK218" i="8" s="1"/>
  <c r="T218" i="8"/>
  <c r="AB218" i="8" s="1"/>
  <c r="AJ218" i="8" s="1"/>
  <c r="S218" i="8"/>
  <c r="AA218" i="8" s="1"/>
  <c r="AI218" i="8" s="1"/>
  <c r="R218" i="8"/>
  <c r="Z218" i="8" s="1"/>
  <c r="AH218" i="8" s="1"/>
  <c r="Q218" i="8"/>
  <c r="Y218" i="8" s="1"/>
  <c r="AG218" i="8" s="1"/>
  <c r="P218" i="8"/>
  <c r="X218" i="8" s="1"/>
  <c r="AF218" i="8" s="1"/>
  <c r="O218" i="8"/>
  <c r="W218" i="8" s="1"/>
  <c r="AE218" i="8" s="1"/>
  <c r="N218" i="8"/>
  <c r="V218" i="8" s="1"/>
  <c r="AD218" i="8" s="1"/>
  <c r="U217" i="8"/>
  <c r="AC217" i="8" s="1"/>
  <c r="AK217" i="8" s="1"/>
  <c r="T217" i="8"/>
  <c r="AB217" i="8" s="1"/>
  <c r="AJ217" i="8" s="1"/>
  <c r="S217" i="8"/>
  <c r="AA217" i="8" s="1"/>
  <c r="AI217" i="8" s="1"/>
  <c r="R217" i="8"/>
  <c r="Z217" i="8" s="1"/>
  <c r="AH217" i="8" s="1"/>
  <c r="Q217" i="8"/>
  <c r="Y217" i="8" s="1"/>
  <c r="AG217" i="8" s="1"/>
  <c r="P217" i="8"/>
  <c r="X217" i="8" s="1"/>
  <c r="AF217" i="8" s="1"/>
  <c r="O217" i="8"/>
  <c r="W217" i="8" s="1"/>
  <c r="AE217" i="8" s="1"/>
  <c r="N217" i="8"/>
  <c r="V217" i="8" s="1"/>
  <c r="AD217" i="8" s="1"/>
  <c r="U216" i="8"/>
  <c r="AC216" i="8" s="1"/>
  <c r="AK216" i="8" s="1"/>
  <c r="T216" i="8"/>
  <c r="AB216" i="8" s="1"/>
  <c r="AJ216" i="8" s="1"/>
  <c r="S216" i="8"/>
  <c r="AA216" i="8" s="1"/>
  <c r="AI216" i="8" s="1"/>
  <c r="R216" i="8"/>
  <c r="Z216" i="8" s="1"/>
  <c r="AH216" i="8" s="1"/>
  <c r="Q216" i="8"/>
  <c r="Y216" i="8" s="1"/>
  <c r="AG216" i="8" s="1"/>
  <c r="P216" i="8"/>
  <c r="X216" i="8" s="1"/>
  <c r="AF216" i="8" s="1"/>
  <c r="O216" i="8"/>
  <c r="W216" i="8" s="1"/>
  <c r="AE216" i="8" s="1"/>
  <c r="N216" i="8"/>
  <c r="V216" i="8" s="1"/>
  <c r="AD216" i="8" s="1"/>
  <c r="U215" i="8"/>
  <c r="AC215" i="8" s="1"/>
  <c r="AK215" i="8" s="1"/>
  <c r="T215" i="8"/>
  <c r="S215" i="8"/>
  <c r="AA215" i="8" s="1"/>
  <c r="AI215" i="8" s="1"/>
  <c r="R215" i="8"/>
  <c r="Z215" i="8" s="1"/>
  <c r="AH215" i="8" s="1"/>
  <c r="Q215" i="8"/>
  <c r="Y215" i="8" s="1"/>
  <c r="AG215" i="8" s="1"/>
  <c r="P215" i="8"/>
  <c r="X215" i="8" s="1"/>
  <c r="AF215" i="8" s="1"/>
  <c r="O215" i="8"/>
  <c r="W215" i="8" s="1"/>
  <c r="AE215" i="8" s="1"/>
  <c r="N215" i="8"/>
  <c r="V215" i="8" s="1"/>
  <c r="AD215" i="8" s="1"/>
  <c r="U214" i="8"/>
  <c r="AC214" i="8" s="1"/>
  <c r="AK214" i="8" s="1"/>
  <c r="T214" i="8"/>
  <c r="AB214" i="8" s="1"/>
  <c r="AJ214" i="8" s="1"/>
  <c r="S214" i="8"/>
  <c r="AA214" i="8" s="1"/>
  <c r="AI214" i="8" s="1"/>
  <c r="R214" i="8"/>
  <c r="Z214" i="8" s="1"/>
  <c r="AH214" i="8" s="1"/>
  <c r="Q214" i="8"/>
  <c r="Y214" i="8" s="1"/>
  <c r="AG214" i="8" s="1"/>
  <c r="P214" i="8"/>
  <c r="X214" i="8" s="1"/>
  <c r="AF214" i="8" s="1"/>
  <c r="O214" i="8"/>
  <c r="W214" i="8" s="1"/>
  <c r="AE214" i="8" s="1"/>
  <c r="N214" i="8"/>
  <c r="V214" i="8" s="1"/>
  <c r="AD214" i="8" s="1"/>
  <c r="U213" i="8"/>
  <c r="AC213" i="8" s="1"/>
  <c r="AK213" i="8" s="1"/>
  <c r="T213" i="8"/>
  <c r="AB213" i="8" s="1"/>
  <c r="AJ213" i="8" s="1"/>
  <c r="S213" i="8"/>
  <c r="AA213" i="8" s="1"/>
  <c r="AI213" i="8" s="1"/>
  <c r="R213" i="8"/>
  <c r="Z213" i="8" s="1"/>
  <c r="AH213" i="8" s="1"/>
  <c r="Q213" i="8"/>
  <c r="Y213" i="8" s="1"/>
  <c r="AG213" i="8" s="1"/>
  <c r="P213" i="8"/>
  <c r="X213" i="8" s="1"/>
  <c r="AF213" i="8" s="1"/>
  <c r="O213" i="8"/>
  <c r="W213" i="8" s="1"/>
  <c r="AE213" i="8" s="1"/>
  <c r="N213" i="8"/>
  <c r="V213" i="8" s="1"/>
  <c r="AD213" i="8" s="1"/>
  <c r="U212" i="8"/>
  <c r="AC212" i="8" s="1"/>
  <c r="AK212" i="8" s="1"/>
  <c r="T212" i="8"/>
  <c r="AB212" i="8" s="1"/>
  <c r="AJ212" i="8" s="1"/>
  <c r="S212" i="8"/>
  <c r="AA212" i="8" s="1"/>
  <c r="AI212" i="8" s="1"/>
  <c r="R212" i="8"/>
  <c r="Z212" i="8" s="1"/>
  <c r="AH212" i="8" s="1"/>
  <c r="Q212" i="8"/>
  <c r="Y212" i="8" s="1"/>
  <c r="AG212" i="8" s="1"/>
  <c r="P212" i="8"/>
  <c r="X212" i="8" s="1"/>
  <c r="AF212" i="8" s="1"/>
  <c r="O212" i="8"/>
  <c r="W212" i="8" s="1"/>
  <c r="AE212" i="8" s="1"/>
  <c r="N212" i="8"/>
  <c r="V212" i="8" s="1"/>
  <c r="AD212" i="8" s="1"/>
  <c r="U211" i="8"/>
  <c r="AC211" i="8" s="1"/>
  <c r="AK211" i="8" s="1"/>
  <c r="T211" i="8"/>
  <c r="AB211" i="8" s="1"/>
  <c r="AJ211" i="8" s="1"/>
  <c r="S211" i="8"/>
  <c r="AA211" i="8" s="1"/>
  <c r="AI211" i="8" s="1"/>
  <c r="R211" i="8"/>
  <c r="Z211" i="8" s="1"/>
  <c r="AH211" i="8" s="1"/>
  <c r="Q211" i="8"/>
  <c r="Y211" i="8" s="1"/>
  <c r="AG211" i="8" s="1"/>
  <c r="P211" i="8"/>
  <c r="X211" i="8" s="1"/>
  <c r="AF211" i="8" s="1"/>
  <c r="O211" i="8"/>
  <c r="W211" i="8" s="1"/>
  <c r="AE211" i="8" s="1"/>
  <c r="N211" i="8"/>
  <c r="V211" i="8" s="1"/>
  <c r="AD211" i="8" s="1"/>
  <c r="U210" i="8"/>
  <c r="AC210" i="8" s="1"/>
  <c r="AK210" i="8" s="1"/>
  <c r="T210" i="8"/>
  <c r="AB210" i="8" s="1"/>
  <c r="AJ210" i="8" s="1"/>
  <c r="S210" i="8"/>
  <c r="AA210" i="8" s="1"/>
  <c r="AI210" i="8" s="1"/>
  <c r="R210" i="8"/>
  <c r="Z210" i="8" s="1"/>
  <c r="AH210" i="8" s="1"/>
  <c r="Q210" i="8"/>
  <c r="Y210" i="8" s="1"/>
  <c r="AG210" i="8" s="1"/>
  <c r="P210" i="8"/>
  <c r="X210" i="8" s="1"/>
  <c r="AF210" i="8" s="1"/>
  <c r="O210" i="8"/>
  <c r="W210" i="8" s="1"/>
  <c r="AE210" i="8" s="1"/>
  <c r="N210" i="8"/>
  <c r="V210" i="8" s="1"/>
  <c r="AD210" i="8" s="1"/>
  <c r="U209" i="8"/>
  <c r="AC209" i="8" s="1"/>
  <c r="AK209" i="8" s="1"/>
  <c r="T209" i="8"/>
  <c r="AB209" i="8" s="1"/>
  <c r="AJ209" i="8" s="1"/>
  <c r="S209" i="8"/>
  <c r="AA209" i="8" s="1"/>
  <c r="AI209" i="8" s="1"/>
  <c r="R209" i="8"/>
  <c r="Z209" i="8" s="1"/>
  <c r="AH209" i="8" s="1"/>
  <c r="Q209" i="8"/>
  <c r="Y209" i="8" s="1"/>
  <c r="AG209" i="8" s="1"/>
  <c r="P209" i="8"/>
  <c r="X209" i="8" s="1"/>
  <c r="AF209" i="8" s="1"/>
  <c r="O209" i="8"/>
  <c r="W209" i="8" s="1"/>
  <c r="AE209" i="8" s="1"/>
  <c r="N209" i="8"/>
  <c r="V209" i="8" s="1"/>
  <c r="AD209" i="8" s="1"/>
  <c r="U208" i="8"/>
  <c r="AC208" i="8" s="1"/>
  <c r="AK208" i="8" s="1"/>
  <c r="T208" i="8"/>
  <c r="AB208" i="8" s="1"/>
  <c r="AJ208" i="8" s="1"/>
  <c r="S208" i="8"/>
  <c r="AA208" i="8" s="1"/>
  <c r="AI208" i="8" s="1"/>
  <c r="R208" i="8"/>
  <c r="Z208" i="8" s="1"/>
  <c r="AH208" i="8" s="1"/>
  <c r="Q208" i="8"/>
  <c r="Y208" i="8" s="1"/>
  <c r="AG208" i="8" s="1"/>
  <c r="P208" i="8"/>
  <c r="X208" i="8" s="1"/>
  <c r="AF208" i="8" s="1"/>
  <c r="O208" i="8"/>
  <c r="W208" i="8" s="1"/>
  <c r="AE208" i="8" s="1"/>
  <c r="N208" i="8"/>
  <c r="V208" i="8" s="1"/>
  <c r="AD208" i="8" s="1"/>
  <c r="U207" i="8"/>
  <c r="AC207" i="8" s="1"/>
  <c r="AK207" i="8" s="1"/>
  <c r="T207" i="8"/>
  <c r="AB207" i="8" s="1"/>
  <c r="AJ207" i="8" s="1"/>
  <c r="S207" i="8"/>
  <c r="AA207" i="8" s="1"/>
  <c r="AI207" i="8" s="1"/>
  <c r="R207" i="8"/>
  <c r="Z207" i="8" s="1"/>
  <c r="AH207" i="8" s="1"/>
  <c r="Q207" i="8"/>
  <c r="Y207" i="8" s="1"/>
  <c r="AG207" i="8" s="1"/>
  <c r="P207" i="8"/>
  <c r="X207" i="8" s="1"/>
  <c r="AF207" i="8" s="1"/>
  <c r="O207" i="8"/>
  <c r="W207" i="8" s="1"/>
  <c r="AE207" i="8" s="1"/>
  <c r="N207" i="8"/>
  <c r="V207" i="8" s="1"/>
  <c r="AD207" i="8" s="1"/>
  <c r="U206" i="8"/>
  <c r="AC206" i="8" s="1"/>
  <c r="AK206" i="8" s="1"/>
  <c r="T206" i="8"/>
  <c r="AB206" i="8" s="1"/>
  <c r="AJ206" i="8" s="1"/>
  <c r="S206" i="8"/>
  <c r="AA206" i="8" s="1"/>
  <c r="AI206" i="8" s="1"/>
  <c r="R206" i="8"/>
  <c r="Z206" i="8" s="1"/>
  <c r="AH206" i="8" s="1"/>
  <c r="Q206" i="8"/>
  <c r="Y206" i="8" s="1"/>
  <c r="AG206" i="8" s="1"/>
  <c r="P206" i="8"/>
  <c r="X206" i="8" s="1"/>
  <c r="AF206" i="8" s="1"/>
  <c r="O206" i="8"/>
  <c r="W206" i="8" s="1"/>
  <c r="AE206" i="8" s="1"/>
  <c r="N206" i="8"/>
  <c r="V206" i="8" s="1"/>
  <c r="AD206" i="8" s="1"/>
  <c r="U205" i="8"/>
  <c r="AC205" i="8" s="1"/>
  <c r="AK205" i="8" s="1"/>
  <c r="T205" i="8"/>
  <c r="AB205" i="8" s="1"/>
  <c r="AJ205" i="8" s="1"/>
  <c r="S205" i="8"/>
  <c r="AA205" i="8" s="1"/>
  <c r="AI205" i="8" s="1"/>
  <c r="R205" i="8"/>
  <c r="Z205" i="8" s="1"/>
  <c r="AH205" i="8" s="1"/>
  <c r="Q205" i="8"/>
  <c r="Y205" i="8" s="1"/>
  <c r="AG205" i="8" s="1"/>
  <c r="P205" i="8"/>
  <c r="X205" i="8" s="1"/>
  <c r="AF205" i="8" s="1"/>
  <c r="O205" i="8"/>
  <c r="W205" i="8" s="1"/>
  <c r="AE205" i="8" s="1"/>
  <c r="N205" i="8"/>
  <c r="V205" i="8" s="1"/>
  <c r="AD205" i="8" s="1"/>
  <c r="U204" i="8"/>
  <c r="AC204" i="8" s="1"/>
  <c r="AK204" i="8" s="1"/>
  <c r="T204" i="8"/>
  <c r="AB204" i="8" s="1"/>
  <c r="AJ204" i="8" s="1"/>
  <c r="S204" i="8"/>
  <c r="AA204" i="8" s="1"/>
  <c r="AI204" i="8" s="1"/>
  <c r="R204" i="8"/>
  <c r="Z204" i="8" s="1"/>
  <c r="AH204" i="8" s="1"/>
  <c r="Q204" i="8"/>
  <c r="Y204" i="8" s="1"/>
  <c r="AG204" i="8" s="1"/>
  <c r="P204" i="8"/>
  <c r="X204" i="8" s="1"/>
  <c r="AF204" i="8" s="1"/>
  <c r="O204" i="8"/>
  <c r="W204" i="8" s="1"/>
  <c r="AE204" i="8" s="1"/>
  <c r="N204" i="8"/>
  <c r="V204" i="8" s="1"/>
  <c r="AD204" i="8" s="1"/>
  <c r="U203" i="8"/>
  <c r="AC203" i="8" s="1"/>
  <c r="AK203" i="8" s="1"/>
  <c r="T203" i="8"/>
  <c r="AB203" i="8" s="1"/>
  <c r="AJ203" i="8" s="1"/>
  <c r="S203" i="8"/>
  <c r="AA203" i="8" s="1"/>
  <c r="AI203" i="8" s="1"/>
  <c r="R203" i="8"/>
  <c r="Z203" i="8" s="1"/>
  <c r="AH203" i="8" s="1"/>
  <c r="Q203" i="8"/>
  <c r="Y203" i="8" s="1"/>
  <c r="AG203" i="8" s="1"/>
  <c r="P203" i="8"/>
  <c r="X203" i="8" s="1"/>
  <c r="AF203" i="8" s="1"/>
  <c r="O203" i="8"/>
  <c r="W203" i="8" s="1"/>
  <c r="AE203" i="8" s="1"/>
  <c r="N203" i="8"/>
  <c r="V203" i="8" s="1"/>
  <c r="AD203" i="8" s="1"/>
  <c r="U202" i="8"/>
  <c r="AC202" i="8" s="1"/>
  <c r="AK202" i="8" s="1"/>
  <c r="T202" i="8"/>
  <c r="AB202" i="8" s="1"/>
  <c r="AJ202" i="8" s="1"/>
  <c r="S202" i="8"/>
  <c r="AA202" i="8" s="1"/>
  <c r="AI202" i="8" s="1"/>
  <c r="R202" i="8"/>
  <c r="Z202" i="8" s="1"/>
  <c r="AH202" i="8" s="1"/>
  <c r="Q202" i="8"/>
  <c r="Y202" i="8" s="1"/>
  <c r="AG202" i="8" s="1"/>
  <c r="P202" i="8"/>
  <c r="X202" i="8" s="1"/>
  <c r="AF202" i="8" s="1"/>
  <c r="O202" i="8"/>
  <c r="W202" i="8" s="1"/>
  <c r="AE202" i="8" s="1"/>
  <c r="N202" i="8"/>
  <c r="V202" i="8" s="1"/>
  <c r="AD202" i="8" s="1"/>
  <c r="U201" i="8"/>
  <c r="AC201" i="8" s="1"/>
  <c r="AK201" i="8" s="1"/>
  <c r="T201" i="8"/>
  <c r="AB201" i="8" s="1"/>
  <c r="AJ201" i="8" s="1"/>
  <c r="S201" i="8"/>
  <c r="AA201" i="8" s="1"/>
  <c r="AI201" i="8" s="1"/>
  <c r="R201" i="8"/>
  <c r="Z201" i="8" s="1"/>
  <c r="AH201" i="8" s="1"/>
  <c r="Q201" i="8"/>
  <c r="Y201" i="8" s="1"/>
  <c r="AG201" i="8" s="1"/>
  <c r="P201" i="8"/>
  <c r="X201" i="8" s="1"/>
  <c r="AF201" i="8" s="1"/>
  <c r="O201" i="8"/>
  <c r="W201" i="8" s="1"/>
  <c r="AE201" i="8" s="1"/>
  <c r="N201" i="8"/>
  <c r="V201" i="8" s="1"/>
  <c r="AD201" i="8" s="1"/>
  <c r="U200" i="8"/>
  <c r="AC200" i="8" s="1"/>
  <c r="AK200" i="8" s="1"/>
  <c r="T200" i="8"/>
  <c r="AB200" i="8" s="1"/>
  <c r="AJ200" i="8" s="1"/>
  <c r="S200" i="8"/>
  <c r="AA200" i="8" s="1"/>
  <c r="AI200" i="8" s="1"/>
  <c r="R200" i="8"/>
  <c r="Z200" i="8" s="1"/>
  <c r="AH200" i="8" s="1"/>
  <c r="Q200" i="8"/>
  <c r="Y200" i="8" s="1"/>
  <c r="AG200" i="8" s="1"/>
  <c r="P200" i="8"/>
  <c r="X200" i="8" s="1"/>
  <c r="AF200" i="8" s="1"/>
  <c r="O200" i="8"/>
  <c r="W200" i="8" s="1"/>
  <c r="AE200" i="8" s="1"/>
  <c r="N200" i="8"/>
  <c r="V200" i="8" s="1"/>
  <c r="AD200" i="8" s="1"/>
  <c r="U199" i="8"/>
  <c r="AC199" i="8" s="1"/>
  <c r="AK199" i="8" s="1"/>
  <c r="T199" i="8"/>
  <c r="S199" i="8"/>
  <c r="AA199" i="8" s="1"/>
  <c r="AI199" i="8" s="1"/>
  <c r="R199" i="8"/>
  <c r="Z199" i="8" s="1"/>
  <c r="AH199" i="8" s="1"/>
  <c r="Q199" i="8"/>
  <c r="Y199" i="8" s="1"/>
  <c r="AG199" i="8" s="1"/>
  <c r="P199" i="8"/>
  <c r="X199" i="8" s="1"/>
  <c r="AF199" i="8" s="1"/>
  <c r="O199" i="8"/>
  <c r="W199" i="8" s="1"/>
  <c r="AE199" i="8" s="1"/>
  <c r="N199" i="8"/>
  <c r="V199" i="8" s="1"/>
  <c r="AD199" i="8" s="1"/>
  <c r="U198" i="8"/>
  <c r="AC198" i="8" s="1"/>
  <c r="AK198" i="8" s="1"/>
  <c r="T198" i="8"/>
  <c r="AB198" i="8" s="1"/>
  <c r="AJ198" i="8" s="1"/>
  <c r="S198" i="8"/>
  <c r="AA198" i="8" s="1"/>
  <c r="AI198" i="8" s="1"/>
  <c r="R198" i="8"/>
  <c r="Z198" i="8" s="1"/>
  <c r="AH198" i="8" s="1"/>
  <c r="Q198" i="8"/>
  <c r="Y198" i="8" s="1"/>
  <c r="AG198" i="8" s="1"/>
  <c r="P198" i="8"/>
  <c r="X198" i="8" s="1"/>
  <c r="AF198" i="8" s="1"/>
  <c r="O198" i="8"/>
  <c r="W198" i="8" s="1"/>
  <c r="AE198" i="8" s="1"/>
  <c r="N198" i="8"/>
  <c r="V198" i="8" s="1"/>
  <c r="AD198" i="8" s="1"/>
  <c r="U197" i="8"/>
  <c r="AC197" i="8" s="1"/>
  <c r="AK197" i="8" s="1"/>
  <c r="T197" i="8"/>
  <c r="AB197" i="8" s="1"/>
  <c r="AJ197" i="8" s="1"/>
  <c r="S197" i="8"/>
  <c r="AA197" i="8" s="1"/>
  <c r="AI197" i="8" s="1"/>
  <c r="R197" i="8"/>
  <c r="Z197" i="8" s="1"/>
  <c r="AH197" i="8" s="1"/>
  <c r="Q197" i="8"/>
  <c r="Y197" i="8" s="1"/>
  <c r="AG197" i="8" s="1"/>
  <c r="P197" i="8"/>
  <c r="X197" i="8" s="1"/>
  <c r="AF197" i="8" s="1"/>
  <c r="O197" i="8"/>
  <c r="W197" i="8" s="1"/>
  <c r="AE197" i="8" s="1"/>
  <c r="N197" i="8"/>
  <c r="V197" i="8" s="1"/>
  <c r="AD197" i="8" s="1"/>
  <c r="U196" i="8"/>
  <c r="AC196" i="8" s="1"/>
  <c r="AK196" i="8" s="1"/>
  <c r="T196" i="8"/>
  <c r="AB196" i="8" s="1"/>
  <c r="AJ196" i="8" s="1"/>
  <c r="S196" i="8"/>
  <c r="AA196" i="8" s="1"/>
  <c r="AI196" i="8" s="1"/>
  <c r="R196" i="8"/>
  <c r="Z196" i="8" s="1"/>
  <c r="AH196" i="8" s="1"/>
  <c r="Q196" i="8"/>
  <c r="Y196" i="8" s="1"/>
  <c r="AG196" i="8" s="1"/>
  <c r="P196" i="8"/>
  <c r="X196" i="8" s="1"/>
  <c r="AF196" i="8" s="1"/>
  <c r="O196" i="8"/>
  <c r="W196" i="8" s="1"/>
  <c r="AE196" i="8" s="1"/>
  <c r="N196" i="8"/>
  <c r="V196" i="8" s="1"/>
  <c r="AD196" i="8" s="1"/>
  <c r="U195" i="8"/>
  <c r="AC195" i="8" s="1"/>
  <c r="AK195" i="8" s="1"/>
  <c r="T195" i="8"/>
  <c r="AB195" i="8" s="1"/>
  <c r="AJ195" i="8" s="1"/>
  <c r="S195" i="8"/>
  <c r="AA195" i="8" s="1"/>
  <c r="AI195" i="8" s="1"/>
  <c r="R195" i="8"/>
  <c r="Z195" i="8" s="1"/>
  <c r="AH195" i="8" s="1"/>
  <c r="Q195" i="8"/>
  <c r="Y195" i="8" s="1"/>
  <c r="AG195" i="8" s="1"/>
  <c r="P195" i="8"/>
  <c r="X195" i="8" s="1"/>
  <c r="AF195" i="8" s="1"/>
  <c r="O195" i="8"/>
  <c r="W195" i="8" s="1"/>
  <c r="AE195" i="8" s="1"/>
  <c r="N195" i="8"/>
  <c r="V195" i="8" s="1"/>
  <c r="AD195" i="8" s="1"/>
  <c r="U194" i="8"/>
  <c r="AC194" i="8" s="1"/>
  <c r="AK194" i="8" s="1"/>
  <c r="T194" i="8"/>
  <c r="AB194" i="8" s="1"/>
  <c r="AJ194" i="8" s="1"/>
  <c r="S194" i="8"/>
  <c r="AA194" i="8" s="1"/>
  <c r="AI194" i="8" s="1"/>
  <c r="R194" i="8"/>
  <c r="Z194" i="8" s="1"/>
  <c r="AH194" i="8" s="1"/>
  <c r="Q194" i="8"/>
  <c r="Y194" i="8" s="1"/>
  <c r="AG194" i="8" s="1"/>
  <c r="P194" i="8"/>
  <c r="X194" i="8" s="1"/>
  <c r="AF194" i="8" s="1"/>
  <c r="O194" i="8"/>
  <c r="W194" i="8" s="1"/>
  <c r="AE194" i="8" s="1"/>
  <c r="N194" i="8"/>
  <c r="V194" i="8" s="1"/>
  <c r="AD194" i="8" s="1"/>
  <c r="U193" i="8"/>
  <c r="AC193" i="8" s="1"/>
  <c r="AK193" i="8" s="1"/>
  <c r="T193" i="8"/>
  <c r="AB193" i="8" s="1"/>
  <c r="AJ193" i="8" s="1"/>
  <c r="S193" i="8"/>
  <c r="AA193" i="8" s="1"/>
  <c r="AI193" i="8" s="1"/>
  <c r="R193" i="8"/>
  <c r="Z193" i="8" s="1"/>
  <c r="AH193" i="8" s="1"/>
  <c r="Q193" i="8"/>
  <c r="Y193" i="8" s="1"/>
  <c r="AG193" i="8" s="1"/>
  <c r="P193" i="8"/>
  <c r="X193" i="8" s="1"/>
  <c r="AF193" i="8" s="1"/>
  <c r="O193" i="8"/>
  <c r="W193" i="8" s="1"/>
  <c r="AE193" i="8" s="1"/>
  <c r="N193" i="8"/>
  <c r="V193" i="8" s="1"/>
  <c r="AD193" i="8" s="1"/>
  <c r="U192" i="8"/>
  <c r="AC192" i="8" s="1"/>
  <c r="AK192" i="8" s="1"/>
  <c r="T192" i="8"/>
  <c r="AB192" i="8" s="1"/>
  <c r="AJ192" i="8" s="1"/>
  <c r="S192" i="8"/>
  <c r="AA192" i="8" s="1"/>
  <c r="AI192" i="8" s="1"/>
  <c r="R192" i="8"/>
  <c r="Z192" i="8" s="1"/>
  <c r="AH192" i="8" s="1"/>
  <c r="Q192" i="8"/>
  <c r="Y192" i="8" s="1"/>
  <c r="AG192" i="8" s="1"/>
  <c r="P192" i="8"/>
  <c r="X192" i="8" s="1"/>
  <c r="AF192" i="8" s="1"/>
  <c r="O192" i="8"/>
  <c r="W192" i="8" s="1"/>
  <c r="AE192" i="8" s="1"/>
  <c r="N192" i="8"/>
  <c r="V192" i="8" s="1"/>
  <c r="AD192" i="8" s="1"/>
  <c r="U191" i="8"/>
  <c r="AC191" i="8" s="1"/>
  <c r="AK191" i="8" s="1"/>
  <c r="T191" i="8"/>
  <c r="AB191" i="8" s="1"/>
  <c r="AJ191" i="8" s="1"/>
  <c r="S191" i="8"/>
  <c r="AA191" i="8" s="1"/>
  <c r="AI191" i="8" s="1"/>
  <c r="R191" i="8"/>
  <c r="Z191" i="8" s="1"/>
  <c r="AH191" i="8" s="1"/>
  <c r="Q191" i="8"/>
  <c r="Y191" i="8" s="1"/>
  <c r="AG191" i="8" s="1"/>
  <c r="P191" i="8"/>
  <c r="X191" i="8" s="1"/>
  <c r="AF191" i="8" s="1"/>
  <c r="O191" i="8"/>
  <c r="W191" i="8" s="1"/>
  <c r="AE191" i="8" s="1"/>
  <c r="N191" i="8"/>
  <c r="V191" i="8" s="1"/>
  <c r="AD191" i="8" s="1"/>
  <c r="U190" i="8"/>
  <c r="AC190" i="8" s="1"/>
  <c r="AK190" i="8" s="1"/>
  <c r="T190" i="8"/>
  <c r="AB190" i="8" s="1"/>
  <c r="AJ190" i="8" s="1"/>
  <c r="S190" i="8"/>
  <c r="AA190" i="8" s="1"/>
  <c r="AI190" i="8" s="1"/>
  <c r="R190" i="8"/>
  <c r="Z190" i="8" s="1"/>
  <c r="AH190" i="8" s="1"/>
  <c r="Q190" i="8"/>
  <c r="Y190" i="8" s="1"/>
  <c r="AG190" i="8" s="1"/>
  <c r="P190" i="8"/>
  <c r="X190" i="8" s="1"/>
  <c r="AF190" i="8" s="1"/>
  <c r="O190" i="8"/>
  <c r="W190" i="8" s="1"/>
  <c r="AE190" i="8" s="1"/>
  <c r="N190" i="8"/>
  <c r="V190" i="8" s="1"/>
  <c r="AD190" i="8" s="1"/>
  <c r="U189" i="8"/>
  <c r="AC189" i="8" s="1"/>
  <c r="AK189" i="8" s="1"/>
  <c r="T189" i="8"/>
  <c r="AB189" i="8" s="1"/>
  <c r="AJ189" i="8" s="1"/>
  <c r="S189" i="8"/>
  <c r="AA189" i="8" s="1"/>
  <c r="AI189" i="8" s="1"/>
  <c r="R189" i="8"/>
  <c r="Z189" i="8" s="1"/>
  <c r="AH189" i="8" s="1"/>
  <c r="Q189" i="8"/>
  <c r="Y189" i="8" s="1"/>
  <c r="AG189" i="8" s="1"/>
  <c r="P189" i="8"/>
  <c r="X189" i="8" s="1"/>
  <c r="AF189" i="8" s="1"/>
  <c r="O189" i="8"/>
  <c r="W189" i="8" s="1"/>
  <c r="AE189" i="8" s="1"/>
  <c r="N189" i="8"/>
  <c r="V189" i="8" s="1"/>
  <c r="AD189" i="8" s="1"/>
  <c r="U188" i="8"/>
  <c r="AC188" i="8" s="1"/>
  <c r="AK188" i="8" s="1"/>
  <c r="T188" i="8"/>
  <c r="AB188" i="8" s="1"/>
  <c r="AJ188" i="8" s="1"/>
  <c r="S188" i="8"/>
  <c r="AA188" i="8" s="1"/>
  <c r="AI188" i="8" s="1"/>
  <c r="R188" i="8"/>
  <c r="Z188" i="8" s="1"/>
  <c r="AH188" i="8" s="1"/>
  <c r="Q188" i="8"/>
  <c r="Y188" i="8" s="1"/>
  <c r="AG188" i="8" s="1"/>
  <c r="P188" i="8"/>
  <c r="X188" i="8" s="1"/>
  <c r="AF188" i="8" s="1"/>
  <c r="O188" i="8"/>
  <c r="W188" i="8" s="1"/>
  <c r="AE188" i="8" s="1"/>
  <c r="N188" i="8"/>
  <c r="V188" i="8" s="1"/>
  <c r="AD188" i="8" s="1"/>
  <c r="U187" i="8"/>
  <c r="AC187" i="8" s="1"/>
  <c r="AK187" i="8" s="1"/>
  <c r="T187" i="8"/>
  <c r="AB187" i="8" s="1"/>
  <c r="AJ187" i="8" s="1"/>
  <c r="S187" i="8"/>
  <c r="AA187" i="8" s="1"/>
  <c r="AI187" i="8" s="1"/>
  <c r="R187" i="8"/>
  <c r="Z187" i="8" s="1"/>
  <c r="AH187" i="8" s="1"/>
  <c r="Q187" i="8"/>
  <c r="Y187" i="8" s="1"/>
  <c r="AG187" i="8" s="1"/>
  <c r="P187" i="8"/>
  <c r="X187" i="8" s="1"/>
  <c r="AF187" i="8" s="1"/>
  <c r="O187" i="8"/>
  <c r="W187" i="8" s="1"/>
  <c r="AE187" i="8" s="1"/>
  <c r="N187" i="8"/>
  <c r="V187" i="8" s="1"/>
  <c r="AD187" i="8" s="1"/>
  <c r="U186" i="8"/>
  <c r="AC186" i="8" s="1"/>
  <c r="AK186" i="8" s="1"/>
  <c r="T186" i="8"/>
  <c r="AB186" i="8" s="1"/>
  <c r="AJ186" i="8" s="1"/>
  <c r="S186" i="8"/>
  <c r="AA186" i="8" s="1"/>
  <c r="AI186" i="8" s="1"/>
  <c r="R186" i="8"/>
  <c r="Z186" i="8" s="1"/>
  <c r="AH186" i="8" s="1"/>
  <c r="Q186" i="8"/>
  <c r="Y186" i="8" s="1"/>
  <c r="AG186" i="8" s="1"/>
  <c r="P186" i="8"/>
  <c r="X186" i="8" s="1"/>
  <c r="AF186" i="8" s="1"/>
  <c r="O186" i="8"/>
  <c r="W186" i="8" s="1"/>
  <c r="AE186" i="8" s="1"/>
  <c r="N186" i="8"/>
  <c r="V186" i="8" s="1"/>
  <c r="AD186" i="8" s="1"/>
  <c r="U185" i="8"/>
  <c r="AC185" i="8" s="1"/>
  <c r="AK185" i="8" s="1"/>
  <c r="T185" i="8"/>
  <c r="AB185" i="8" s="1"/>
  <c r="AJ185" i="8" s="1"/>
  <c r="S185" i="8"/>
  <c r="AA185" i="8" s="1"/>
  <c r="AI185" i="8" s="1"/>
  <c r="R185" i="8"/>
  <c r="Z185" i="8" s="1"/>
  <c r="AH185" i="8" s="1"/>
  <c r="Q185" i="8"/>
  <c r="Y185" i="8" s="1"/>
  <c r="AG185" i="8" s="1"/>
  <c r="P185" i="8"/>
  <c r="X185" i="8" s="1"/>
  <c r="AF185" i="8" s="1"/>
  <c r="O185" i="8"/>
  <c r="W185" i="8" s="1"/>
  <c r="AE185" i="8" s="1"/>
  <c r="N185" i="8"/>
  <c r="V185" i="8" s="1"/>
  <c r="AD185" i="8" s="1"/>
  <c r="U184" i="8"/>
  <c r="AC184" i="8" s="1"/>
  <c r="AK184" i="8" s="1"/>
  <c r="T184" i="8"/>
  <c r="AB184" i="8" s="1"/>
  <c r="AJ184" i="8" s="1"/>
  <c r="S184" i="8"/>
  <c r="AA184" i="8" s="1"/>
  <c r="AI184" i="8" s="1"/>
  <c r="R184" i="8"/>
  <c r="Z184" i="8" s="1"/>
  <c r="AH184" i="8" s="1"/>
  <c r="Q184" i="8"/>
  <c r="Y184" i="8" s="1"/>
  <c r="AG184" i="8" s="1"/>
  <c r="P184" i="8"/>
  <c r="X184" i="8" s="1"/>
  <c r="AF184" i="8" s="1"/>
  <c r="O184" i="8"/>
  <c r="W184" i="8" s="1"/>
  <c r="AE184" i="8" s="1"/>
  <c r="N184" i="8"/>
  <c r="V184" i="8" s="1"/>
  <c r="AD184" i="8" s="1"/>
  <c r="U183" i="8"/>
  <c r="AC183" i="8" s="1"/>
  <c r="AK183" i="8" s="1"/>
  <c r="T183" i="8"/>
  <c r="S183" i="8"/>
  <c r="AA183" i="8" s="1"/>
  <c r="AI183" i="8" s="1"/>
  <c r="R183" i="8"/>
  <c r="Z183" i="8" s="1"/>
  <c r="AH183" i="8" s="1"/>
  <c r="Q183" i="8"/>
  <c r="Y183" i="8" s="1"/>
  <c r="AG183" i="8" s="1"/>
  <c r="P183" i="8"/>
  <c r="X183" i="8" s="1"/>
  <c r="AF183" i="8" s="1"/>
  <c r="O183" i="8"/>
  <c r="W183" i="8" s="1"/>
  <c r="AE183" i="8" s="1"/>
  <c r="N183" i="8"/>
  <c r="V183" i="8" s="1"/>
  <c r="AD183" i="8" s="1"/>
  <c r="U182" i="8"/>
  <c r="AC182" i="8" s="1"/>
  <c r="AK182" i="8" s="1"/>
  <c r="T182" i="8"/>
  <c r="AB182" i="8" s="1"/>
  <c r="AJ182" i="8" s="1"/>
  <c r="S182" i="8"/>
  <c r="AA182" i="8" s="1"/>
  <c r="AI182" i="8" s="1"/>
  <c r="R182" i="8"/>
  <c r="Z182" i="8" s="1"/>
  <c r="AH182" i="8" s="1"/>
  <c r="Q182" i="8"/>
  <c r="Y182" i="8" s="1"/>
  <c r="AG182" i="8" s="1"/>
  <c r="P182" i="8"/>
  <c r="X182" i="8" s="1"/>
  <c r="AF182" i="8" s="1"/>
  <c r="O182" i="8"/>
  <c r="W182" i="8" s="1"/>
  <c r="AE182" i="8" s="1"/>
  <c r="N182" i="8"/>
  <c r="V182" i="8" s="1"/>
  <c r="AD182" i="8" s="1"/>
  <c r="U181" i="8"/>
  <c r="AC181" i="8" s="1"/>
  <c r="AK181" i="8" s="1"/>
  <c r="T181" i="8"/>
  <c r="AB181" i="8" s="1"/>
  <c r="AJ181" i="8" s="1"/>
  <c r="S181" i="8"/>
  <c r="AA181" i="8" s="1"/>
  <c r="AI181" i="8" s="1"/>
  <c r="R181" i="8"/>
  <c r="Z181" i="8" s="1"/>
  <c r="AH181" i="8" s="1"/>
  <c r="Q181" i="8"/>
  <c r="Y181" i="8" s="1"/>
  <c r="AG181" i="8" s="1"/>
  <c r="P181" i="8"/>
  <c r="X181" i="8" s="1"/>
  <c r="AF181" i="8" s="1"/>
  <c r="O181" i="8"/>
  <c r="W181" i="8" s="1"/>
  <c r="AE181" i="8" s="1"/>
  <c r="N181" i="8"/>
  <c r="V181" i="8" s="1"/>
  <c r="AD181" i="8" s="1"/>
  <c r="U180" i="8"/>
  <c r="AC180" i="8" s="1"/>
  <c r="AK180" i="8" s="1"/>
  <c r="T180" i="8"/>
  <c r="AB180" i="8" s="1"/>
  <c r="AJ180" i="8" s="1"/>
  <c r="S180" i="8"/>
  <c r="AA180" i="8" s="1"/>
  <c r="AI180" i="8" s="1"/>
  <c r="R180" i="8"/>
  <c r="Z180" i="8" s="1"/>
  <c r="AH180" i="8" s="1"/>
  <c r="Q180" i="8"/>
  <c r="Y180" i="8" s="1"/>
  <c r="AG180" i="8" s="1"/>
  <c r="P180" i="8"/>
  <c r="X180" i="8" s="1"/>
  <c r="AF180" i="8" s="1"/>
  <c r="O180" i="8"/>
  <c r="W180" i="8" s="1"/>
  <c r="AE180" i="8" s="1"/>
  <c r="N180" i="8"/>
  <c r="V180" i="8" s="1"/>
  <c r="AD180" i="8" s="1"/>
  <c r="U179" i="8"/>
  <c r="AC179" i="8" s="1"/>
  <c r="AK179" i="8" s="1"/>
  <c r="T179" i="8"/>
  <c r="AB179" i="8" s="1"/>
  <c r="AJ179" i="8" s="1"/>
  <c r="S179" i="8"/>
  <c r="AA179" i="8" s="1"/>
  <c r="AI179" i="8" s="1"/>
  <c r="R179" i="8"/>
  <c r="Z179" i="8" s="1"/>
  <c r="AH179" i="8" s="1"/>
  <c r="Q179" i="8"/>
  <c r="Y179" i="8" s="1"/>
  <c r="AG179" i="8" s="1"/>
  <c r="P179" i="8"/>
  <c r="X179" i="8" s="1"/>
  <c r="AF179" i="8" s="1"/>
  <c r="O179" i="8"/>
  <c r="W179" i="8" s="1"/>
  <c r="AE179" i="8" s="1"/>
  <c r="N179" i="8"/>
  <c r="V179" i="8" s="1"/>
  <c r="AD179" i="8" s="1"/>
  <c r="U178" i="8"/>
  <c r="AC178" i="8" s="1"/>
  <c r="AK178" i="8" s="1"/>
  <c r="T178" i="8"/>
  <c r="AB178" i="8" s="1"/>
  <c r="AJ178" i="8" s="1"/>
  <c r="S178" i="8"/>
  <c r="AA178" i="8" s="1"/>
  <c r="AI178" i="8" s="1"/>
  <c r="R178" i="8"/>
  <c r="Z178" i="8" s="1"/>
  <c r="AH178" i="8" s="1"/>
  <c r="Q178" i="8"/>
  <c r="Y178" i="8" s="1"/>
  <c r="AG178" i="8" s="1"/>
  <c r="P178" i="8"/>
  <c r="X178" i="8" s="1"/>
  <c r="AF178" i="8" s="1"/>
  <c r="O178" i="8"/>
  <c r="W178" i="8" s="1"/>
  <c r="AE178" i="8" s="1"/>
  <c r="N178" i="8"/>
  <c r="V178" i="8" s="1"/>
  <c r="AD178" i="8" s="1"/>
  <c r="U177" i="8"/>
  <c r="AC177" i="8" s="1"/>
  <c r="AK177" i="8" s="1"/>
  <c r="T177" i="8"/>
  <c r="AB177" i="8" s="1"/>
  <c r="AJ177" i="8" s="1"/>
  <c r="S177" i="8"/>
  <c r="AA177" i="8" s="1"/>
  <c r="AI177" i="8" s="1"/>
  <c r="R177" i="8"/>
  <c r="Z177" i="8" s="1"/>
  <c r="AH177" i="8" s="1"/>
  <c r="Q177" i="8"/>
  <c r="Y177" i="8" s="1"/>
  <c r="AG177" i="8" s="1"/>
  <c r="P177" i="8"/>
  <c r="X177" i="8" s="1"/>
  <c r="AF177" i="8" s="1"/>
  <c r="O177" i="8"/>
  <c r="W177" i="8" s="1"/>
  <c r="AE177" i="8" s="1"/>
  <c r="N177" i="8"/>
  <c r="V177" i="8" s="1"/>
  <c r="AD177" i="8" s="1"/>
  <c r="U176" i="8"/>
  <c r="AC176" i="8" s="1"/>
  <c r="AK176" i="8" s="1"/>
  <c r="T176" i="8"/>
  <c r="AB176" i="8" s="1"/>
  <c r="AJ176" i="8" s="1"/>
  <c r="S176" i="8"/>
  <c r="AA176" i="8" s="1"/>
  <c r="AI176" i="8" s="1"/>
  <c r="R176" i="8"/>
  <c r="Z176" i="8" s="1"/>
  <c r="AH176" i="8" s="1"/>
  <c r="Q176" i="8"/>
  <c r="Y176" i="8" s="1"/>
  <c r="AG176" i="8" s="1"/>
  <c r="P176" i="8"/>
  <c r="X176" i="8" s="1"/>
  <c r="AF176" i="8" s="1"/>
  <c r="O176" i="8"/>
  <c r="W176" i="8" s="1"/>
  <c r="AE176" i="8" s="1"/>
  <c r="N176" i="8"/>
  <c r="V176" i="8" s="1"/>
  <c r="AD176" i="8" s="1"/>
  <c r="U175" i="8"/>
  <c r="AC175" i="8" s="1"/>
  <c r="AK175" i="8" s="1"/>
  <c r="T175" i="8"/>
  <c r="AB175" i="8" s="1"/>
  <c r="AJ175" i="8" s="1"/>
  <c r="S175" i="8"/>
  <c r="AA175" i="8" s="1"/>
  <c r="AI175" i="8" s="1"/>
  <c r="R175" i="8"/>
  <c r="Z175" i="8" s="1"/>
  <c r="AH175" i="8" s="1"/>
  <c r="Q175" i="8"/>
  <c r="Y175" i="8" s="1"/>
  <c r="AG175" i="8" s="1"/>
  <c r="P175" i="8"/>
  <c r="X175" i="8" s="1"/>
  <c r="AF175" i="8" s="1"/>
  <c r="O175" i="8"/>
  <c r="W175" i="8" s="1"/>
  <c r="AE175" i="8" s="1"/>
  <c r="N175" i="8"/>
  <c r="V175" i="8" s="1"/>
  <c r="AD175" i="8" s="1"/>
  <c r="U174" i="8"/>
  <c r="AC174" i="8" s="1"/>
  <c r="AK174" i="8" s="1"/>
  <c r="T174" i="8"/>
  <c r="AB174" i="8" s="1"/>
  <c r="AJ174" i="8" s="1"/>
  <c r="S174" i="8"/>
  <c r="AA174" i="8" s="1"/>
  <c r="AI174" i="8" s="1"/>
  <c r="R174" i="8"/>
  <c r="Z174" i="8" s="1"/>
  <c r="AH174" i="8" s="1"/>
  <c r="Q174" i="8"/>
  <c r="Y174" i="8" s="1"/>
  <c r="AG174" i="8" s="1"/>
  <c r="P174" i="8"/>
  <c r="X174" i="8" s="1"/>
  <c r="AF174" i="8" s="1"/>
  <c r="O174" i="8"/>
  <c r="W174" i="8" s="1"/>
  <c r="AE174" i="8" s="1"/>
  <c r="N174" i="8"/>
  <c r="V174" i="8" s="1"/>
  <c r="AD174" i="8" s="1"/>
  <c r="U173" i="8"/>
  <c r="AC173" i="8" s="1"/>
  <c r="AK173" i="8" s="1"/>
  <c r="T173" i="8"/>
  <c r="AB173" i="8" s="1"/>
  <c r="AJ173" i="8" s="1"/>
  <c r="S173" i="8"/>
  <c r="AA173" i="8" s="1"/>
  <c r="AI173" i="8" s="1"/>
  <c r="R173" i="8"/>
  <c r="Z173" i="8" s="1"/>
  <c r="AH173" i="8" s="1"/>
  <c r="Q173" i="8"/>
  <c r="Y173" i="8" s="1"/>
  <c r="AG173" i="8" s="1"/>
  <c r="P173" i="8"/>
  <c r="X173" i="8" s="1"/>
  <c r="AF173" i="8" s="1"/>
  <c r="O173" i="8"/>
  <c r="W173" i="8" s="1"/>
  <c r="AE173" i="8" s="1"/>
  <c r="N173" i="8"/>
  <c r="V173" i="8" s="1"/>
  <c r="AD173" i="8" s="1"/>
  <c r="U172" i="8"/>
  <c r="AC172" i="8" s="1"/>
  <c r="AK172" i="8" s="1"/>
  <c r="T172" i="8"/>
  <c r="AB172" i="8" s="1"/>
  <c r="AJ172" i="8" s="1"/>
  <c r="S172" i="8"/>
  <c r="AA172" i="8" s="1"/>
  <c r="AI172" i="8" s="1"/>
  <c r="R172" i="8"/>
  <c r="Z172" i="8" s="1"/>
  <c r="AH172" i="8" s="1"/>
  <c r="Q172" i="8"/>
  <c r="Y172" i="8" s="1"/>
  <c r="AG172" i="8" s="1"/>
  <c r="P172" i="8"/>
  <c r="X172" i="8" s="1"/>
  <c r="AF172" i="8" s="1"/>
  <c r="O172" i="8"/>
  <c r="W172" i="8" s="1"/>
  <c r="AE172" i="8" s="1"/>
  <c r="N172" i="8"/>
  <c r="V172" i="8" s="1"/>
  <c r="AD172" i="8" s="1"/>
  <c r="U171" i="8"/>
  <c r="AC171" i="8" s="1"/>
  <c r="AK171" i="8" s="1"/>
  <c r="T171" i="8"/>
  <c r="AB171" i="8" s="1"/>
  <c r="AJ171" i="8" s="1"/>
  <c r="S171" i="8"/>
  <c r="AA171" i="8" s="1"/>
  <c r="AI171" i="8" s="1"/>
  <c r="R171" i="8"/>
  <c r="Z171" i="8" s="1"/>
  <c r="AH171" i="8" s="1"/>
  <c r="Q171" i="8"/>
  <c r="Y171" i="8" s="1"/>
  <c r="AG171" i="8" s="1"/>
  <c r="P171" i="8"/>
  <c r="X171" i="8" s="1"/>
  <c r="AF171" i="8" s="1"/>
  <c r="O171" i="8"/>
  <c r="W171" i="8" s="1"/>
  <c r="AE171" i="8" s="1"/>
  <c r="N171" i="8"/>
  <c r="V171" i="8" s="1"/>
  <c r="AD171" i="8" s="1"/>
  <c r="U170" i="8"/>
  <c r="AC170" i="8" s="1"/>
  <c r="AK170" i="8" s="1"/>
  <c r="T170" i="8"/>
  <c r="AB170" i="8" s="1"/>
  <c r="AJ170" i="8" s="1"/>
  <c r="S170" i="8"/>
  <c r="AA170" i="8" s="1"/>
  <c r="AI170" i="8" s="1"/>
  <c r="R170" i="8"/>
  <c r="Z170" i="8" s="1"/>
  <c r="AH170" i="8" s="1"/>
  <c r="Q170" i="8"/>
  <c r="Y170" i="8" s="1"/>
  <c r="AG170" i="8" s="1"/>
  <c r="P170" i="8"/>
  <c r="X170" i="8" s="1"/>
  <c r="AF170" i="8" s="1"/>
  <c r="O170" i="8"/>
  <c r="W170" i="8" s="1"/>
  <c r="AE170" i="8" s="1"/>
  <c r="N170" i="8"/>
  <c r="V170" i="8" s="1"/>
  <c r="AD170" i="8" s="1"/>
  <c r="U169" i="8"/>
  <c r="AC169" i="8" s="1"/>
  <c r="AK169" i="8" s="1"/>
  <c r="T169" i="8"/>
  <c r="AB169" i="8" s="1"/>
  <c r="AJ169" i="8" s="1"/>
  <c r="S169" i="8"/>
  <c r="AA169" i="8" s="1"/>
  <c r="AI169" i="8" s="1"/>
  <c r="R169" i="8"/>
  <c r="Z169" i="8" s="1"/>
  <c r="AH169" i="8" s="1"/>
  <c r="Q169" i="8"/>
  <c r="Y169" i="8" s="1"/>
  <c r="AG169" i="8" s="1"/>
  <c r="P169" i="8"/>
  <c r="X169" i="8" s="1"/>
  <c r="AF169" i="8" s="1"/>
  <c r="O169" i="8"/>
  <c r="W169" i="8" s="1"/>
  <c r="AE169" i="8" s="1"/>
  <c r="N169" i="8"/>
  <c r="V169" i="8" s="1"/>
  <c r="AD169" i="8" s="1"/>
  <c r="U168" i="8"/>
  <c r="AC168" i="8" s="1"/>
  <c r="AK168" i="8" s="1"/>
  <c r="T168" i="8"/>
  <c r="AB168" i="8" s="1"/>
  <c r="AJ168" i="8" s="1"/>
  <c r="S168" i="8"/>
  <c r="AA168" i="8" s="1"/>
  <c r="AI168" i="8" s="1"/>
  <c r="R168" i="8"/>
  <c r="Z168" i="8" s="1"/>
  <c r="AH168" i="8" s="1"/>
  <c r="Q168" i="8"/>
  <c r="Y168" i="8" s="1"/>
  <c r="AG168" i="8" s="1"/>
  <c r="P168" i="8"/>
  <c r="X168" i="8" s="1"/>
  <c r="AF168" i="8" s="1"/>
  <c r="O168" i="8"/>
  <c r="W168" i="8" s="1"/>
  <c r="AE168" i="8" s="1"/>
  <c r="N168" i="8"/>
  <c r="V168" i="8" s="1"/>
  <c r="AD168" i="8" s="1"/>
  <c r="U167" i="8"/>
  <c r="AC167" i="8" s="1"/>
  <c r="AK167" i="8" s="1"/>
  <c r="T167" i="8"/>
  <c r="AB167" i="8" s="1"/>
  <c r="AJ167" i="8" s="1"/>
  <c r="S167" i="8"/>
  <c r="AA167" i="8" s="1"/>
  <c r="AI167" i="8" s="1"/>
  <c r="R167" i="8"/>
  <c r="Z167" i="8" s="1"/>
  <c r="AH167" i="8" s="1"/>
  <c r="Q167" i="8"/>
  <c r="Y167" i="8" s="1"/>
  <c r="AG167" i="8" s="1"/>
  <c r="P167" i="8"/>
  <c r="X167" i="8" s="1"/>
  <c r="AF167" i="8" s="1"/>
  <c r="O167" i="8"/>
  <c r="W167" i="8" s="1"/>
  <c r="AE167" i="8" s="1"/>
  <c r="N167" i="8"/>
  <c r="V167" i="8" s="1"/>
  <c r="AD167" i="8" s="1"/>
  <c r="U166" i="8"/>
  <c r="AC166" i="8" s="1"/>
  <c r="AK166" i="8" s="1"/>
  <c r="T166" i="8"/>
  <c r="AB166" i="8" s="1"/>
  <c r="AJ166" i="8" s="1"/>
  <c r="S166" i="8"/>
  <c r="AA166" i="8" s="1"/>
  <c r="AI166" i="8" s="1"/>
  <c r="R166" i="8"/>
  <c r="Z166" i="8" s="1"/>
  <c r="AH166" i="8" s="1"/>
  <c r="Q166" i="8"/>
  <c r="Y166" i="8" s="1"/>
  <c r="AG166" i="8" s="1"/>
  <c r="P166" i="8"/>
  <c r="X166" i="8" s="1"/>
  <c r="AF166" i="8" s="1"/>
  <c r="O166" i="8"/>
  <c r="W166" i="8" s="1"/>
  <c r="AE166" i="8" s="1"/>
  <c r="N166" i="8"/>
  <c r="V166" i="8" s="1"/>
  <c r="AD166" i="8" s="1"/>
  <c r="U165" i="8"/>
  <c r="AC165" i="8" s="1"/>
  <c r="AK165" i="8" s="1"/>
  <c r="T165" i="8"/>
  <c r="AB165" i="8" s="1"/>
  <c r="AJ165" i="8" s="1"/>
  <c r="S165" i="8"/>
  <c r="AA165" i="8" s="1"/>
  <c r="AI165" i="8" s="1"/>
  <c r="R165" i="8"/>
  <c r="Z165" i="8" s="1"/>
  <c r="AH165" i="8" s="1"/>
  <c r="Q165" i="8"/>
  <c r="Y165" i="8" s="1"/>
  <c r="AG165" i="8" s="1"/>
  <c r="P165" i="8"/>
  <c r="X165" i="8" s="1"/>
  <c r="AF165" i="8" s="1"/>
  <c r="O165" i="8"/>
  <c r="W165" i="8" s="1"/>
  <c r="AE165" i="8" s="1"/>
  <c r="N165" i="8"/>
  <c r="V165" i="8" s="1"/>
  <c r="AD165" i="8" s="1"/>
  <c r="U164" i="8"/>
  <c r="AC164" i="8" s="1"/>
  <c r="AK164" i="8" s="1"/>
  <c r="T164" i="8"/>
  <c r="AB164" i="8" s="1"/>
  <c r="AJ164" i="8" s="1"/>
  <c r="S164" i="8"/>
  <c r="AA164" i="8" s="1"/>
  <c r="AI164" i="8" s="1"/>
  <c r="R164" i="8"/>
  <c r="Z164" i="8" s="1"/>
  <c r="AH164" i="8" s="1"/>
  <c r="Q164" i="8"/>
  <c r="Y164" i="8" s="1"/>
  <c r="AG164" i="8" s="1"/>
  <c r="P164" i="8"/>
  <c r="X164" i="8" s="1"/>
  <c r="AF164" i="8" s="1"/>
  <c r="O164" i="8"/>
  <c r="W164" i="8" s="1"/>
  <c r="AE164" i="8" s="1"/>
  <c r="N164" i="8"/>
  <c r="V164" i="8" s="1"/>
  <c r="AD164" i="8" s="1"/>
  <c r="U163" i="8"/>
  <c r="AC163" i="8" s="1"/>
  <c r="AK163" i="8" s="1"/>
  <c r="T163" i="8"/>
  <c r="AB163" i="8" s="1"/>
  <c r="AJ163" i="8" s="1"/>
  <c r="S163" i="8"/>
  <c r="AA163" i="8" s="1"/>
  <c r="AI163" i="8" s="1"/>
  <c r="R163" i="8"/>
  <c r="Z163" i="8" s="1"/>
  <c r="AH163" i="8" s="1"/>
  <c r="Q163" i="8"/>
  <c r="Y163" i="8" s="1"/>
  <c r="AG163" i="8" s="1"/>
  <c r="P163" i="8"/>
  <c r="X163" i="8" s="1"/>
  <c r="AF163" i="8" s="1"/>
  <c r="O163" i="8"/>
  <c r="W163" i="8" s="1"/>
  <c r="AE163" i="8" s="1"/>
  <c r="N163" i="8"/>
  <c r="V163" i="8" s="1"/>
  <c r="AD163" i="8" s="1"/>
  <c r="U162" i="8"/>
  <c r="AC162" i="8" s="1"/>
  <c r="AK162" i="8" s="1"/>
  <c r="T162" i="8"/>
  <c r="AB162" i="8" s="1"/>
  <c r="AJ162" i="8" s="1"/>
  <c r="S162" i="8"/>
  <c r="AA162" i="8" s="1"/>
  <c r="AI162" i="8" s="1"/>
  <c r="R162" i="8"/>
  <c r="Z162" i="8" s="1"/>
  <c r="AH162" i="8" s="1"/>
  <c r="Q162" i="8"/>
  <c r="Y162" i="8" s="1"/>
  <c r="AG162" i="8" s="1"/>
  <c r="P162" i="8"/>
  <c r="X162" i="8" s="1"/>
  <c r="AF162" i="8" s="1"/>
  <c r="O162" i="8"/>
  <c r="W162" i="8" s="1"/>
  <c r="AE162" i="8" s="1"/>
  <c r="N162" i="8"/>
  <c r="V162" i="8" s="1"/>
  <c r="AD162" i="8" s="1"/>
  <c r="U161" i="8"/>
  <c r="AC161" i="8" s="1"/>
  <c r="AK161" i="8" s="1"/>
  <c r="T161" i="8"/>
  <c r="AB161" i="8" s="1"/>
  <c r="AJ161" i="8" s="1"/>
  <c r="S161" i="8"/>
  <c r="AA161" i="8" s="1"/>
  <c r="AI161" i="8" s="1"/>
  <c r="R161" i="8"/>
  <c r="Z161" i="8" s="1"/>
  <c r="AH161" i="8" s="1"/>
  <c r="Q161" i="8"/>
  <c r="Y161" i="8" s="1"/>
  <c r="AG161" i="8" s="1"/>
  <c r="P161" i="8"/>
  <c r="X161" i="8" s="1"/>
  <c r="AF161" i="8" s="1"/>
  <c r="O161" i="8"/>
  <c r="W161" i="8" s="1"/>
  <c r="AE161" i="8" s="1"/>
  <c r="N161" i="8"/>
  <c r="V161" i="8" s="1"/>
  <c r="AD161" i="8" s="1"/>
  <c r="U160" i="8"/>
  <c r="AC160" i="8" s="1"/>
  <c r="AK160" i="8" s="1"/>
  <c r="T160" i="8"/>
  <c r="AB160" i="8" s="1"/>
  <c r="AJ160" i="8" s="1"/>
  <c r="S160" i="8"/>
  <c r="AA160" i="8" s="1"/>
  <c r="AI160" i="8" s="1"/>
  <c r="R160" i="8"/>
  <c r="Z160" i="8" s="1"/>
  <c r="AH160" i="8" s="1"/>
  <c r="Q160" i="8"/>
  <c r="Y160" i="8" s="1"/>
  <c r="AG160" i="8" s="1"/>
  <c r="P160" i="8"/>
  <c r="X160" i="8" s="1"/>
  <c r="AF160" i="8" s="1"/>
  <c r="O160" i="8"/>
  <c r="W160" i="8" s="1"/>
  <c r="AE160" i="8" s="1"/>
  <c r="N160" i="8"/>
  <c r="V160" i="8" s="1"/>
  <c r="AD160" i="8" s="1"/>
  <c r="U159" i="8"/>
  <c r="AC159" i="8" s="1"/>
  <c r="AK159" i="8" s="1"/>
  <c r="T159" i="8"/>
  <c r="AB159" i="8" s="1"/>
  <c r="AJ159" i="8" s="1"/>
  <c r="S159" i="8"/>
  <c r="AA159" i="8" s="1"/>
  <c r="AI159" i="8" s="1"/>
  <c r="R159" i="8"/>
  <c r="Z159" i="8" s="1"/>
  <c r="AH159" i="8" s="1"/>
  <c r="Q159" i="8"/>
  <c r="Y159" i="8" s="1"/>
  <c r="AG159" i="8" s="1"/>
  <c r="P159" i="8"/>
  <c r="X159" i="8" s="1"/>
  <c r="AF159" i="8" s="1"/>
  <c r="O159" i="8"/>
  <c r="W159" i="8" s="1"/>
  <c r="AE159" i="8" s="1"/>
  <c r="N159" i="8"/>
  <c r="V159" i="8" s="1"/>
  <c r="AD159" i="8" s="1"/>
  <c r="U158" i="8"/>
  <c r="AC158" i="8" s="1"/>
  <c r="AK158" i="8" s="1"/>
  <c r="T158" i="8"/>
  <c r="AB158" i="8" s="1"/>
  <c r="AJ158" i="8" s="1"/>
  <c r="S158" i="8"/>
  <c r="AA158" i="8" s="1"/>
  <c r="AI158" i="8" s="1"/>
  <c r="R158" i="8"/>
  <c r="Z158" i="8" s="1"/>
  <c r="AH158" i="8" s="1"/>
  <c r="Q158" i="8"/>
  <c r="Y158" i="8" s="1"/>
  <c r="AG158" i="8" s="1"/>
  <c r="P158" i="8"/>
  <c r="X158" i="8" s="1"/>
  <c r="AF158" i="8" s="1"/>
  <c r="O158" i="8"/>
  <c r="W158" i="8" s="1"/>
  <c r="AE158" i="8" s="1"/>
  <c r="N158" i="8"/>
  <c r="V158" i="8" s="1"/>
  <c r="AD158" i="8" s="1"/>
  <c r="U157" i="8"/>
  <c r="AC157" i="8" s="1"/>
  <c r="AK157" i="8" s="1"/>
  <c r="T157" i="8"/>
  <c r="AB157" i="8" s="1"/>
  <c r="AJ157" i="8" s="1"/>
  <c r="S157" i="8"/>
  <c r="AA157" i="8" s="1"/>
  <c r="AI157" i="8" s="1"/>
  <c r="R157" i="8"/>
  <c r="Z157" i="8" s="1"/>
  <c r="AH157" i="8" s="1"/>
  <c r="Q157" i="8"/>
  <c r="Y157" i="8" s="1"/>
  <c r="AG157" i="8" s="1"/>
  <c r="P157" i="8"/>
  <c r="X157" i="8" s="1"/>
  <c r="AF157" i="8" s="1"/>
  <c r="O157" i="8"/>
  <c r="W157" i="8" s="1"/>
  <c r="AE157" i="8" s="1"/>
  <c r="N157" i="8"/>
  <c r="V157" i="8" s="1"/>
  <c r="AD157" i="8" s="1"/>
  <c r="U156" i="8"/>
  <c r="AC156" i="8" s="1"/>
  <c r="AK156" i="8" s="1"/>
  <c r="T156" i="8"/>
  <c r="AB156" i="8" s="1"/>
  <c r="AJ156" i="8" s="1"/>
  <c r="S156" i="8"/>
  <c r="AA156" i="8" s="1"/>
  <c r="AI156" i="8" s="1"/>
  <c r="R156" i="8"/>
  <c r="Z156" i="8" s="1"/>
  <c r="AH156" i="8" s="1"/>
  <c r="Q156" i="8"/>
  <c r="Y156" i="8" s="1"/>
  <c r="AG156" i="8" s="1"/>
  <c r="P156" i="8"/>
  <c r="X156" i="8" s="1"/>
  <c r="AF156" i="8" s="1"/>
  <c r="O156" i="8"/>
  <c r="W156" i="8" s="1"/>
  <c r="AE156" i="8" s="1"/>
  <c r="N156" i="8"/>
  <c r="V156" i="8" s="1"/>
  <c r="AD156" i="8" s="1"/>
  <c r="U155" i="8"/>
  <c r="AC155" i="8" s="1"/>
  <c r="AK155" i="8" s="1"/>
  <c r="T155" i="8"/>
  <c r="AB155" i="8" s="1"/>
  <c r="AJ155" i="8" s="1"/>
  <c r="S155" i="8"/>
  <c r="AA155" i="8" s="1"/>
  <c r="AI155" i="8" s="1"/>
  <c r="R155" i="8"/>
  <c r="Z155" i="8" s="1"/>
  <c r="AH155" i="8" s="1"/>
  <c r="Q155" i="8"/>
  <c r="Y155" i="8" s="1"/>
  <c r="AG155" i="8" s="1"/>
  <c r="P155" i="8"/>
  <c r="X155" i="8" s="1"/>
  <c r="AF155" i="8" s="1"/>
  <c r="O155" i="8"/>
  <c r="W155" i="8" s="1"/>
  <c r="AE155" i="8" s="1"/>
  <c r="N155" i="8"/>
  <c r="V155" i="8" s="1"/>
  <c r="AD155" i="8" s="1"/>
  <c r="U154" i="8"/>
  <c r="AC154" i="8" s="1"/>
  <c r="AK154" i="8" s="1"/>
  <c r="T154" i="8"/>
  <c r="AB154" i="8" s="1"/>
  <c r="AJ154" i="8" s="1"/>
  <c r="S154" i="8"/>
  <c r="AA154" i="8" s="1"/>
  <c r="AI154" i="8" s="1"/>
  <c r="R154" i="8"/>
  <c r="Z154" i="8" s="1"/>
  <c r="AH154" i="8" s="1"/>
  <c r="Q154" i="8"/>
  <c r="Y154" i="8" s="1"/>
  <c r="AG154" i="8" s="1"/>
  <c r="P154" i="8"/>
  <c r="X154" i="8" s="1"/>
  <c r="AF154" i="8" s="1"/>
  <c r="O154" i="8"/>
  <c r="W154" i="8" s="1"/>
  <c r="AE154" i="8" s="1"/>
  <c r="N154" i="8"/>
  <c r="V154" i="8" s="1"/>
  <c r="AD154" i="8" s="1"/>
  <c r="U153" i="8"/>
  <c r="AC153" i="8" s="1"/>
  <c r="AK153" i="8" s="1"/>
  <c r="T153" i="8"/>
  <c r="AB153" i="8" s="1"/>
  <c r="AJ153" i="8" s="1"/>
  <c r="S153" i="8"/>
  <c r="AA153" i="8" s="1"/>
  <c r="AI153" i="8" s="1"/>
  <c r="R153" i="8"/>
  <c r="Z153" i="8" s="1"/>
  <c r="AH153" i="8" s="1"/>
  <c r="Q153" i="8"/>
  <c r="Y153" i="8" s="1"/>
  <c r="AG153" i="8" s="1"/>
  <c r="P153" i="8"/>
  <c r="X153" i="8" s="1"/>
  <c r="AF153" i="8" s="1"/>
  <c r="O153" i="8"/>
  <c r="W153" i="8" s="1"/>
  <c r="AE153" i="8" s="1"/>
  <c r="N153" i="8"/>
  <c r="V153" i="8" s="1"/>
  <c r="AD153" i="8" s="1"/>
  <c r="U152" i="8"/>
  <c r="AC152" i="8" s="1"/>
  <c r="AK152" i="8" s="1"/>
  <c r="T152" i="8"/>
  <c r="AB152" i="8" s="1"/>
  <c r="AJ152" i="8" s="1"/>
  <c r="S152" i="8"/>
  <c r="AA152" i="8" s="1"/>
  <c r="AI152" i="8" s="1"/>
  <c r="R152" i="8"/>
  <c r="Z152" i="8" s="1"/>
  <c r="AH152" i="8" s="1"/>
  <c r="Q152" i="8"/>
  <c r="Y152" i="8" s="1"/>
  <c r="AG152" i="8" s="1"/>
  <c r="P152" i="8"/>
  <c r="X152" i="8" s="1"/>
  <c r="AF152" i="8" s="1"/>
  <c r="O152" i="8"/>
  <c r="W152" i="8" s="1"/>
  <c r="AE152" i="8" s="1"/>
  <c r="N152" i="8"/>
  <c r="V152" i="8" s="1"/>
  <c r="AD152" i="8" s="1"/>
  <c r="U151" i="8"/>
  <c r="AC151" i="8" s="1"/>
  <c r="AK151" i="8" s="1"/>
  <c r="T151" i="8"/>
  <c r="AB151" i="8" s="1"/>
  <c r="AJ151" i="8" s="1"/>
  <c r="S151" i="8"/>
  <c r="AA151" i="8" s="1"/>
  <c r="AI151" i="8" s="1"/>
  <c r="R151" i="8"/>
  <c r="Z151" i="8" s="1"/>
  <c r="AH151" i="8" s="1"/>
  <c r="Q151" i="8"/>
  <c r="Y151" i="8" s="1"/>
  <c r="AG151" i="8" s="1"/>
  <c r="P151" i="8"/>
  <c r="X151" i="8" s="1"/>
  <c r="AF151" i="8" s="1"/>
  <c r="O151" i="8"/>
  <c r="W151" i="8" s="1"/>
  <c r="AE151" i="8" s="1"/>
  <c r="N151" i="8"/>
  <c r="V151" i="8" s="1"/>
  <c r="AD151" i="8" s="1"/>
  <c r="U150" i="8"/>
  <c r="AC150" i="8" s="1"/>
  <c r="AK150" i="8" s="1"/>
  <c r="T150" i="8"/>
  <c r="AB150" i="8" s="1"/>
  <c r="AJ150" i="8" s="1"/>
  <c r="S150" i="8"/>
  <c r="AA150" i="8" s="1"/>
  <c r="AI150" i="8" s="1"/>
  <c r="R150" i="8"/>
  <c r="Z150" i="8" s="1"/>
  <c r="AH150" i="8" s="1"/>
  <c r="Q150" i="8"/>
  <c r="Y150" i="8" s="1"/>
  <c r="AG150" i="8" s="1"/>
  <c r="P150" i="8"/>
  <c r="X150" i="8" s="1"/>
  <c r="AF150" i="8" s="1"/>
  <c r="O150" i="8"/>
  <c r="W150" i="8" s="1"/>
  <c r="AE150" i="8" s="1"/>
  <c r="N150" i="8"/>
  <c r="V150" i="8" s="1"/>
  <c r="AD150" i="8" s="1"/>
  <c r="U149" i="8"/>
  <c r="AC149" i="8" s="1"/>
  <c r="AK149" i="8" s="1"/>
  <c r="T149" i="8"/>
  <c r="AB149" i="8" s="1"/>
  <c r="AJ149" i="8" s="1"/>
  <c r="S149" i="8"/>
  <c r="AA149" i="8" s="1"/>
  <c r="AI149" i="8" s="1"/>
  <c r="R149" i="8"/>
  <c r="Z149" i="8" s="1"/>
  <c r="AH149" i="8" s="1"/>
  <c r="Q149" i="8"/>
  <c r="Y149" i="8" s="1"/>
  <c r="AG149" i="8" s="1"/>
  <c r="P149" i="8"/>
  <c r="X149" i="8" s="1"/>
  <c r="AF149" i="8" s="1"/>
  <c r="O149" i="8"/>
  <c r="W149" i="8" s="1"/>
  <c r="AE149" i="8" s="1"/>
  <c r="N149" i="8"/>
  <c r="V149" i="8" s="1"/>
  <c r="AD149" i="8" s="1"/>
  <c r="U148" i="8"/>
  <c r="AC148" i="8" s="1"/>
  <c r="AK148" i="8" s="1"/>
  <c r="T148" i="8"/>
  <c r="AB148" i="8" s="1"/>
  <c r="AJ148" i="8" s="1"/>
  <c r="S148" i="8"/>
  <c r="AA148" i="8" s="1"/>
  <c r="AI148" i="8" s="1"/>
  <c r="R148" i="8"/>
  <c r="Z148" i="8" s="1"/>
  <c r="AH148" i="8" s="1"/>
  <c r="Q148" i="8"/>
  <c r="Y148" i="8" s="1"/>
  <c r="AG148" i="8" s="1"/>
  <c r="P148" i="8"/>
  <c r="X148" i="8" s="1"/>
  <c r="AF148" i="8" s="1"/>
  <c r="O148" i="8"/>
  <c r="W148" i="8" s="1"/>
  <c r="AE148" i="8" s="1"/>
  <c r="N148" i="8"/>
  <c r="V148" i="8" s="1"/>
  <c r="AD148" i="8" s="1"/>
  <c r="U147" i="8"/>
  <c r="AC147" i="8" s="1"/>
  <c r="AK147" i="8" s="1"/>
  <c r="T147" i="8"/>
  <c r="AB147" i="8" s="1"/>
  <c r="AJ147" i="8" s="1"/>
  <c r="S147" i="8"/>
  <c r="AA147" i="8" s="1"/>
  <c r="AI147" i="8" s="1"/>
  <c r="R147" i="8"/>
  <c r="Z147" i="8" s="1"/>
  <c r="AH147" i="8" s="1"/>
  <c r="Q147" i="8"/>
  <c r="Y147" i="8" s="1"/>
  <c r="AG147" i="8" s="1"/>
  <c r="P147" i="8"/>
  <c r="X147" i="8" s="1"/>
  <c r="AF147" i="8" s="1"/>
  <c r="O147" i="8"/>
  <c r="W147" i="8" s="1"/>
  <c r="AE147" i="8" s="1"/>
  <c r="N147" i="8"/>
  <c r="V147" i="8" s="1"/>
  <c r="AD147" i="8" s="1"/>
  <c r="U146" i="8"/>
  <c r="AC146" i="8" s="1"/>
  <c r="AK146" i="8" s="1"/>
  <c r="T146" i="8"/>
  <c r="AB146" i="8" s="1"/>
  <c r="AJ146" i="8" s="1"/>
  <c r="S146" i="8"/>
  <c r="AA146" i="8" s="1"/>
  <c r="AI146" i="8" s="1"/>
  <c r="R146" i="8"/>
  <c r="Z146" i="8" s="1"/>
  <c r="AH146" i="8" s="1"/>
  <c r="Q146" i="8"/>
  <c r="Y146" i="8" s="1"/>
  <c r="AG146" i="8" s="1"/>
  <c r="P146" i="8"/>
  <c r="X146" i="8" s="1"/>
  <c r="AF146" i="8" s="1"/>
  <c r="O146" i="8"/>
  <c r="W146" i="8" s="1"/>
  <c r="AE146" i="8" s="1"/>
  <c r="N146" i="8"/>
  <c r="V146" i="8" s="1"/>
  <c r="AD146" i="8" s="1"/>
  <c r="U145" i="8"/>
  <c r="AC145" i="8" s="1"/>
  <c r="AK145" i="8" s="1"/>
  <c r="T145" i="8"/>
  <c r="AB145" i="8" s="1"/>
  <c r="AJ145" i="8" s="1"/>
  <c r="S145" i="8"/>
  <c r="AA145" i="8" s="1"/>
  <c r="AI145" i="8" s="1"/>
  <c r="R145" i="8"/>
  <c r="Z145" i="8" s="1"/>
  <c r="AH145" i="8" s="1"/>
  <c r="Q145" i="8"/>
  <c r="Y145" i="8" s="1"/>
  <c r="AG145" i="8" s="1"/>
  <c r="P145" i="8"/>
  <c r="X145" i="8" s="1"/>
  <c r="AF145" i="8" s="1"/>
  <c r="O145" i="8"/>
  <c r="W145" i="8" s="1"/>
  <c r="AE145" i="8" s="1"/>
  <c r="N145" i="8"/>
  <c r="V145" i="8" s="1"/>
  <c r="AD145" i="8" s="1"/>
  <c r="U144" i="8"/>
  <c r="AC144" i="8" s="1"/>
  <c r="AK144" i="8" s="1"/>
  <c r="T144" i="8"/>
  <c r="AB144" i="8" s="1"/>
  <c r="AJ144" i="8" s="1"/>
  <c r="S144" i="8"/>
  <c r="AA144" i="8" s="1"/>
  <c r="AI144" i="8" s="1"/>
  <c r="R144" i="8"/>
  <c r="Z144" i="8" s="1"/>
  <c r="AH144" i="8" s="1"/>
  <c r="Q144" i="8"/>
  <c r="Y144" i="8" s="1"/>
  <c r="AG144" i="8" s="1"/>
  <c r="P144" i="8"/>
  <c r="X144" i="8" s="1"/>
  <c r="AF144" i="8" s="1"/>
  <c r="O144" i="8"/>
  <c r="W144" i="8" s="1"/>
  <c r="AE144" i="8" s="1"/>
  <c r="N144" i="8"/>
  <c r="V144" i="8" s="1"/>
  <c r="AD144" i="8" s="1"/>
  <c r="U143" i="8"/>
  <c r="AC143" i="8" s="1"/>
  <c r="AK143" i="8" s="1"/>
  <c r="T143" i="8"/>
  <c r="AB143" i="8" s="1"/>
  <c r="AJ143" i="8" s="1"/>
  <c r="S143" i="8"/>
  <c r="AA143" i="8" s="1"/>
  <c r="AI143" i="8" s="1"/>
  <c r="R143" i="8"/>
  <c r="Z143" i="8" s="1"/>
  <c r="AH143" i="8" s="1"/>
  <c r="Q143" i="8"/>
  <c r="Y143" i="8" s="1"/>
  <c r="AG143" i="8" s="1"/>
  <c r="P143" i="8"/>
  <c r="X143" i="8" s="1"/>
  <c r="AF143" i="8" s="1"/>
  <c r="O143" i="8"/>
  <c r="W143" i="8" s="1"/>
  <c r="AE143" i="8" s="1"/>
  <c r="N143" i="8"/>
  <c r="V143" i="8" s="1"/>
  <c r="AD143" i="8" s="1"/>
  <c r="U142" i="8"/>
  <c r="AC142" i="8" s="1"/>
  <c r="AK142" i="8" s="1"/>
  <c r="T142" i="8"/>
  <c r="AB142" i="8" s="1"/>
  <c r="AJ142" i="8" s="1"/>
  <c r="S142" i="8"/>
  <c r="AA142" i="8" s="1"/>
  <c r="AI142" i="8" s="1"/>
  <c r="R142" i="8"/>
  <c r="Z142" i="8" s="1"/>
  <c r="AH142" i="8" s="1"/>
  <c r="Q142" i="8"/>
  <c r="Y142" i="8" s="1"/>
  <c r="AG142" i="8" s="1"/>
  <c r="P142" i="8"/>
  <c r="X142" i="8" s="1"/>
  <c r="AF142" i="8" s="1"/>
  <c r="O142" i="8"/>
  <c r="W142" i="8" s="1"/>
  <c r="AE142" i="8" s="1"/>
  <c r="N142" i="8"/>
  <c r="V142" i="8" s="1"/>
  <c r="AD142" i="8" s="1"/>
  <c r="U141" i="8"/>
  <c r="AC141" i="8" s="1"/>
  <c r="AK141" i="8" s="1"/>
  <c r="T141" i="8"/>
  <c r="AB141" i="8" s="1"/>
  <c r="AJ141" i="8" s="1"/>
  <c r="S141" i="8"/>
  <c r="AA141" i="8" s="1"/>
  <c r="AI141" i="8" s="1"/>
  <c r="R141" i="8"/>
  <c r="Z141" i="8" s="1"/>
  <c r="AH141" i="8" s="1"/>
  <c r="Q141" i="8"/>
  <c r="Y141" i="8" s="1"/>
  <c r="AG141" i="8" s="1"/>
  <c r="P141" i="8"/>
  <c r="X141" i="8" s="1"/>
  <c r="AF141" i="8" s="1"/>
  <c r="O141" i="8"/>
  <c r="W141" i="8" s="1"/>
  <c r="AE141" i="8" s="1"/>
  <c r="N141" i="8"/>
  <c r="V141" i="8" s="1"/>
  <c r="AD141" i="8" s="1"/>
  <c r="U140" i="8"/>
  <c r="AC140" i="8" s="1"/>
  <c r="AK140" i="8" s="1"/>
  <c r="T140" i="8"/>
  <c r="AB140" i="8" s="1"/>
  <c r="AJ140" i="8" s="1"/>
  <c r="S140" i="8"/>
  <c r="AA140" i="8" s="1"/>
  <c r="AI140" i="8" s="1"/>
  <c r="R140" i="8"/>
  <c r="Z140" i="8" s="1"/>
  <c r="AH140" i="8" s="1"/>
  <c r="Q140" i="8"/>
  <c r="Y140" i="8" s="1"/>
  <c r="AG140" i="8" s="1"/>
  <c r="P140" i="8"/>
  <c r="X140" i="8" s="1"/>
  <c r="AF140" i="8" s="1"/>
  <c r="O140" i="8"/>
  <c r="W140" i="8" s="1"/>
  <c r="AE140" i="8" s="1"/>
  <c r="N140" i="8"/>
  <c r="V140" i="8" s="1"/>
  <c r="AD140" i="8" s="1"/>
  <c r="U139" i="8"/>
  <c r="AC139" i="8" s="1"/>
  <c r="AK139" i="8" s="1"/>
  <c r="T139" i="8"/>
  <c r="AB139" i="8" s="1"/>
  <c r="AJ139" i="8" s="1"/>
  <c r="S139" i="8"/>
  <c r="AA139" i="8" s="1"/>
  <c r="AI139" i="8" s="1"/>
  <c r="R139" i="8"/>
  <c r="Z139" i="8" s="1"/>
  <c r="AH139" i="8" s="1"/>
  <c r="Q139" i="8"/>
  <c r="Y139" i="8" s="1"/>
  <c r="AG139" i="8" s="1"/>
  <c r="P139" i="8"/>
  <c r="X139" i="8" s="1"/>
  <c r="AF139" i="8" s="1"/>
  <c r="O139" i="8"/>
  <c r="W139" i="8" s="1"/>
  <c r="AE139" i="8" s="1"/>
  <c r="N139" i="8"/>
  <c r="V139" i="8" s="1"/>
  <c r="AD139" i="8" s="1"/>
  <c r="U138" i="8"/>
  <c r="AC138" i="8" s="1"/>
  <c r="AK138" i="8" s="1"/>
  <c r="T138" i="8"/>
  <c r="AB138" i="8" s="1"/>
  <c r="AJ138" i="8" s="1"/>
  <c r="S138" i="8"/>
  <c r="AA138" i="8" s="1"/>
  <c r="AI138" i="8" s="1"/>
  <c r="R138" i="8"/>
  <c r="Z138" i="8" s="1"/>
  <c r="AH138" i="8" s="1"/>
  <c r="Q138" i="8"/>
  <c r="Y138" i="8" s="1"/>
  <c r="AG138" i="8" s="1"/>
  <c r="P138" i="8"/>
  <c r="X138" i="8" s="1"/>
  <c r="AF138" i="8" s="1"/>
  <c r="O138" i="8"/>
  <c r="W138" i="8" s="1"/>
  <c r="AE138" i="8" s="1"/>
  <c r="N138" i="8"/>
  <c r="V138" i="8" s="1"/>
  <c r="AD138" i="8" s="1"/>
  <c r="U137" i="8"/>
  <c r="AC137" i="8" s="1"/>
  <c r="AK137" i="8" s="1"/>
  <c r="T137" i="8"/>
  <c r="AB137" i="8" s="1"/>
  <c r="AJ137" i="8" s="1"/>
  <c r="S137" i="8"/>
  <c r="AA137" i="8" s="1"/>
  <c r="AI137" i="8" s="1"/>
  <c r="R137" i="8"/>
  <c r="Z137" i="8" s="1"/>
  <c r="AH137" i="8" s="1"/>
  <c r="Q137" i="8"/>
  <c r="Y137" i="8" s="1"/>
  <c r="AG137" i="8" s="1"/>
  <c r="P137" i="8"/>
  <c r="X137" i="8" s="1"/>
  <c r="AF137" i="8" s="1"/>
  <c r="O137" i="8"/>
  <c r="W137" i="8" s="1"/>
  <c r="AE137" i="8" s="1"/>
  <c r="N137" i="8"/>
  <c r="V137" i="8" s="1"/>
  <c r="AD137" i="8" s="1"/>
  <c r="U136" i="8"/>
  <c r="AC136" i="8" s="1"/>
  <c r="AK136" i="8" s="1"/>
  <c r="T136" i="8"/>
  <c r="AB136" i="8" s="1"/>
  <c r="AJ136" i="8" s="1"/>
  <c r="S136" i="8"/>
  <c r="AA136" i="8" s="1"/>
  <c r="AI136" i="8" s="1"/>
  <c r="R136" i="8"/>
  <c r="Z136" i="8" s="1"/>
  <c r="AH136" i="8" s="1"/>
  <c r="Q136" i="8"/>
  <c r="Y136" i="8" s="1"/>
  <c r="AG136" i="8" s="1"/>
  <c r="P136" i="8"/>
  <c r="X136" i="8" s="1"/>
  <c r="AF136" i="8" s="1"/>
  <c r="O136" i="8"/>
  <c r="W136" i="8" s="1"/>
  <c r="AE136" i="8" s="1"/>
  <c r="N136" i="8"/>
  <c r="V136" i="8" s="1"/>
  <c r="AD136" i="8" s="1"/>
  <c r="U135" i="8"/>
  <c r="AC135" i="8" s="1"/>
  <c r="AK135" i="8" s="1"/>
  <c r="T135" i="8"/>
  <c r="AB135" i="8" s="1"/>
  <c r="AJ135" i="8" s="1"/>
  <c r="S135" i="8"/>
  <c r="AA135" i="8" s="1"/>
  <c r="AI135" i="8" s="1"/>
  <c r="R135" i="8"/>
  <c r="Z135" i="8" s="1"/>
  <c r="AH135" i="8" s="1"/>
  <c r="Q135" i="8"/>
  <c r="Y135" i="8" s="1"/>
  <c r="AG135" i="8" s="1"/>
  <c r="P135" i="8"/>
  <c r="X135" i="8" s="1"/>
  <c r="AF135" i="8" s="1"/>
  <c r="O135" i="8"/>
  <c r="W135" i="8" s="1"/>
  <c r="AE135" i="8" s="1"/>
  <c r="N135" i="8"/>
  <c r="V135" i="8" s="1"/>
  <c r="AD135" i="8" s="1"/>
  <c r="U134" i="8"/>
  <c r="AC134" i="8" s="1"/>
  <c r="AK134" i="8" s="1"/>
  <c r="T134" i="8"/>
  <c r="AB134" i="8" s="1"/>
  <c r="AJ134" i="8" s="1"/>
  <c r="S134" i="8"/>
  <c r="AA134" i="8" s="1"/>
  <c r="AI134" i="8" s="1"/>
  <c r="R134" i="8"/>
  <c r="Z134" i="8" s="1"/>
  <c r="AH134" i="8" s="1"/>
  <c r="Q134" i="8"/>
  <c r="Y134" i="8" s="1"/>
  <c r="AG134" i="8" s="1"/>
  <c r="P134" i="8"/>
  <c r="X134" i="8" s="1"/>
  <c r="AF134" i="8" s="1"/>
  <c r="O134" i="8"/>
  <c r="W134" i="8" s="1"/>
  <c r="AE134" i="8" s="1"/>
  <c r="N134" i="8"/>
  <c r="V134" i="8" s="1"/>
  <c r="AD134" i="8" s="1"/>
  <c r="U133" i="8"/>
  <c r="AC133" i="8" s="1"/>
  <c r="AK133" i="8" s="1"/>
  <c r="T133" i="8"/>
  <c r="AB133" i="8" s="1"/>
  <c r="AJ133" i="8" s="1"/>
  <c r="S133" i="8"/>
  <c r="AA133" i="8" s="1"/>
  <c r="AI133" i="8" s="1"/>
  <c r="R133" i="8"/>
  <c r="Z133" i="8" s="1"/>
  <c r="AH133" i="8" s="1"/>
  <c r="Q133" i="8"/>
  <c r="Y133" i="8" s="1"/>
  <c r="AG133" i="8" s="1"/>
  <c r="P133" i="8"/>
  <c r="X133" i="8" s="1"/>
  <c r="AF133" i="8" s="1"/>
  <c r="O133" i="8"/>
  <c r="W133" i="8" s="1"/>
  <c r="AE133" i="8" s="1"/>
  <c r="N133" i="8"/>
  <c r="V133" i="8" s="1"/>
  <c r="AD133" i="8" s="1"/>
  <c r="U132" i="8"/>
  <c r="AC132" i="8" s="1"/>
  <c r="AK132" i="8" s="1"/>
  <c r="T132" i="8"/>
  <c r="AB132" i="8" s="1"/>
  <c r="AJ132" i="8" s="1"/>
  <c r="S132" i="8"/>
  <c r="AA132" i="8" s="1"/>
  <c r="AI132" i="8" s="1"/>
  <c r="R132" i="8"/>
  <c r="Z132" i="8" s="1"/>
  <c r="AH132" i="8" s="1"/>
  <c r="Q132" i="8"/>
  <c r="Y132" i="8" s="1"/>
  <c r="AG132" i="8" s="1"/>
  <c r="P132" i="8"/>
  <c r="X132" i="8" s="1"/>
  <c r="AF132" i="8" s="1"/>
  <c r="O132" i="8"/>
  <c r="W132" i="8" s="1"/>
  <c r="AE132" i="8" s="1"/>
  <c r="N132" i="8"/>
  <c r="V132" i="8" s="1"/>
  <c r="AD132" i="8" s="1"/>
  <c r="U131" i="8"/>
  <c r="AC131" i="8" s="1"/>
  <c r="AK131" i="8" s="1"/>
  <c r="T131" i="8"/>
  <c r="AB131" i="8" s="1"/>
  <c r="AJ131" i="8" s="1"/>
  <c r="S131" i="8"/>
  <c r="AA131" i="8" s="1"/>
  <c r="AI131" i="8" s="1"/>
  <c r="R131" i="8"/>
  <c r="Z131" i="8" s="1"/>
  <c r="AH131" i="8" s="1"/>
  <c r="Q131" i="8"/>
  <c r="Y131" i="8" s="1"/>
  <c r="AG131" i="8" s="1"/>
  <c r="P131" i="8"/>
  <c r="X131" i="8" s="1"/>
  <c r="AF131" i="8" s="1"/>
  <c r="O131" i="8"/>
  <c r="W131" i="8" s="1"/>
  <c r="AE131" i="8" s="1"/>
  <c r="N131" i="8"/>
  <c r="V131" i="8" s="1"/>
  <c r="AD131" i="8" s="1"/>
  <c r="U130" i="8"/>
  <c r="AC130" i="8" s="1"/>
  <c r="AK130" i="8" s="1"/>
  <c r="T130" i="8"/>
  <c r="AB130" i="8" s="1"/>
  <c r="AJ130" i="8" s="1"/>
  <c r="S130" i="8"/>
  <c r="AA130" i="8" s="1"/>
  <c r="AI130" i="8" s="1"/>
  <c r="R130" i="8"/>
  <c r="Z130" i="8" s="1"/>
  <c r="AH130" i="8" s="1"/>
  <c r="Q130" i="8"/>
  <c r="Y130" i="8" s="1"/>
  <c r="AG130" i="8" s="1"/>
  <c r="P130" i="8"/>
  <c r="X130" i="8" s="1"/>
  <c r="AF130" i="8" s="1"/>
  <c r="O130" i="8"/>
  <c r="W130" i="8" s="1"/>
  <c r="AE130" i="8" s="1"/>
  <c r="N130" i="8"/>
  <c r="V130" i="8" s="1"/>
  <c r="AD130" i="8" s="1"/>
  <c r="U129" i="8"/>
  <c r="AC129" i="8" s="1"/>
  <c r="AK129" i="8" s="1"/>
  <c r="T129" i="8"/>
  <c r="AB129" i="8" s="1"/>
  <c r="AJ129" i="8" s="1"/>
  <c r="S129" i="8"/>
  <c r="AA129" i="8" s="1"/>
  <c r="AI129" i="8" s="1"/>
  <c r="R129" i="8"/>
  <c r="Z129" i="8" s="1"/>
  <c r="AH129" i="8" s="1"/>
  <c r="Q129" i="8"/>
  <c r="Y129" i="8" s="1"/>
  <c r="AG129" i="8" s="1"/>
  <c r="P129" i="8"/>
  <c r="X129" i="8" s="1"/>
  <c r="AF129" i="8" s="1"/>
  <c r="O129" i="8"/>
  <c r="W129" i="8" s="1"/>
  <c r="AE129" i="8" s="1"/>
  <c r="N129" i="8"/>
  <c r="V129" i="8" s="1"/>
  <c r="AD129" i="8" s="1"/>
  <c r="U128" i="8"/>
  <c r="AC128" i="8" s="1"/>
  <c r="AK128" i="8" s="1"/>
  <c r="T128" i="8"/>
  <c r="AB128" i="8" s="1"/>
  <c r="AJ128" i="8" s="1"/>
  <c r="S128" i="8"/>
  <c r="AA128" i="8" s="1"/>
  <c r="AI128" i="8" s="1"/>
  <c r="R128" i="8"/>
  <c r="Z128" i="8" s="1"/>
  <c r="AH128" i="8" s="1"/>
  <c r="Q128" i="8"/>
  <c r="Y128" i="8" s="1"/>
  <c r="AG128" i="8" s="1"/>
  <c r="P128" i="8"/>
  <c r="X128" i="8" s="1"/>
  <c r="AF128" i="8" s="1"/>
  <c r="O128" i="8"/>
  <c r="W128" i="8" s="1"/>
  <c r="AE128" i="8" s="1"/>
  <c r="N128" i="8"/>
  <c r="V128" i="8" s="1"/>
  <c r="AD128" i="8" s="1"/>
  <c r="U127" i="8"/>
  <c r="AC127" i="8" s="1"/>
  <c r="AK127" i="8" s="1"/>
  <c r="T127" i="8"/>
  <c r="AB127" i="8" s="1"/>
  <c r="AJ127" i="8" s="1"/>
  <c r="S127" i="8"/>
  <c r="AA127" i="8" s="1"/>
  <c r="AI127" i="8" s="1"/>
  <c r="R127" i="8"/>
  <c r="Z127" i="8" s="1"/>
  <c r="AH127" i="8" s="1"/>
  <c r="Q127" i="8"/>
  <c r="Y127" i="8" s="1"/>
  <c r="AG127" i="8" s="1"/>
  <c r="P127" i="8"/>
  <c r="X127" i="8" s="1"/>
  <c r="AF127" i="8" s="1"/>
  <c r="O127" i="8"/>
  <c r="W127" i="8" s="1"/>
  <c r="AE127" i="8" s="1"/>
  <c r="N127" i="8"/>
  <c r="V127" i="8" s="1"/>
  <c r="AD127" i="8" s="1"/>
  <c r="U126" i="8"/>
  <c r="AC126" i="8" s="1"/>
  <c r="AK126" i="8" s="1"/>
  <c r="T126" i="8"/>
  <c r="AB126" i="8" s="1"/>
  <c r="AJ126" i="8" s="1"/>
  <c r="S126" i="8"/>
  <c r="AA126" i="8" s="1"/>
  <c r="AI126" i="8" s="1"/>
  <c r="R126" i="8"/>
  <c r="Z126" i="8" s="1"/>
  <c r="AH126" i="8" s="1"/>
  <c r="Q126" i="8"/>
  <c r="Y126" i="8" s="1"/>
  <c r="AG126" i="8" s="1"/>
  <c r="P126" i="8"/>
  <c r="X126" i="8" s="1"/>
  <c r="AF126" i="8" s="1"/>
  <c r="O126" i="8"/>
  <c r="W126" i="8" s="1"/>
  <c r="AE126" i="8" s="1"/>
  <c r="N126" i="8"/>
  <c r="V126" i="8" s="1"/>
  <c r="AD126" i="8" s="1"/>
  <c r="U125" i="8"/>
  <c r="AC125" i="8" s="1"/>
  <c r="AK125" i="8" s="1"/>
  <c r="T125" i="8"/>
  <c r="AB125" i="8" s="1"/>
  <c r="AJ125" i="8" s="1"/>
  <c r="S125" i="8"/>
  <c r="AA125" i="8" s="1"/>
  <c r="AI125" i="8" s="1"/>
  <c r="R125" i="8"/>
  <c r="Z125" i="8" s="1"/>
  <c r="AH125" i="8" s="1"/>
  <c r="Q125" i="8"/>
  <c r="Y125" i="8" s="1"/>
  <c r="AG125" i="8" s="1"/>
  <c r="P125" i="8"/>
  <c r="X125" i="8" s="1"/>
  <c r="AF125" i="8" s="1"/>
  <c r="O125" i="8"/>
  <c r="W125" i="8" s="1"/>
  <c r="AE125" i="8" s="1"/>
  <c r="N125" i="8"/>
  <c r="V125" i="8" s="1"/>
  <c r="AD125" i="8" s="1"/>
  <c r="U124" i="8"/>
  <c r="AC124" i="8" s="1"/>
  <c r="AK124" i="8" s="1"/>
  <c r="T124" i="8"/>
  <c r="AB124" i="8" s="1"/>
  <c r="AJ124" i="8" s="1"/>
  <c r="S124" i="8"/>
  <c r="AA124" i="8" s="1"/>
  <c r="AI124" i="8" s="1"/>
  <c r="R124" i="8"/>
  <c r="Z124" i="8" s="1"/>
  <c r="AH124" i="8" s="1"/>
  <c r="Q124" i="8"/>
  <c r="Y124" i="8" s="1"/>
  <c r="AG124" i="8" s="1"/>
  <c r="P124" i="8"/>
  <c r="X124" i="8" s="1"/>
  <c r="AF124" i="8" s="1"/>
  <c r="O124" i="8"/>
  <c r="W124" i="8" s="1"/>
  <c r="AE124" i="8" s="1"/>
  <c r="N124" i="8"/>
  <c r="V124" i="8" s="1"/>
  <c r="AD124" i="8" s="1"/>
  <c r="U123" i="8"/>
  <c r="AC123" i="8" s="1"/>
  <c r="AK123" i="8" s="1"/>
  <c r="T123" i="8"/>
  <c r="AB123" i="8" s="1"/>
  <c r="AJ123" i="8" s="1"/>
  <c r="S123" i="8"/>
  <c r="AA123" i="8" s="1"/>
  <c r="AI123" i="8" s="1"/>
  <c r="R123" i="8"/>
  <c r="Z123" i="8" s="1"/>
  <c r="AH123" i="8" s="1"/>
  <c r="Q123" i="8"/>
  <c r="Y123" i="8" s="1"/>
  <c r="AG123" i="8" s="1"/>
  <c r="P123" i="8"/>
  <c r="X123" i="8" s="1"/>
  <c r="AF123" i="8" s="1"/>
  <c r="O123" i="8"/>
  <c r="W123" i="8" s="1"/>
  <c r="AE123" i="8" s="1"/>
  <c r="N123" i="8"/>
  <c r="V123" i="8" s="1"/>
  <c r="AD123" i="8" s="1"/>
  <c r="U122" i="8"/>
  <c r="AC122" i="8" s="1"/>
  <c r="AK122" i="8" s="1"/>
  <c r="T122" i="8"/>
  <c r="AB122" i="8" s="1"/>
  <c r="AJ122" i="8" s="1"/>
  <c r="S122" i="8"/>
  <c r="AA122" i="8" s="1"/>
  <c r="AI122" i="8" s="1"/>
  <c r="R122" i="8"/>
  <c r="Z122" i="8" s="1"/>
  <c r="AH122" i="8" s="1"/>
  <c r="Q122" i="8"/>
  <c r="Y122" i="8" s="1"/>
  <c r="AG122" i="8" s="1"/>
  <c r="P122" i="8"/>
  <c r="X122" i="8" s="1"/>
  <c r="AF122" i="8" s="1"/>
  <c r="O122" i="8"/>
  <c r="W122" i="8" s="1"/>
  <c r="AE122" i="8" s="1"/>
  <c r="N122" i="8"/>
  <c r="V122" i="8" s="1"/>
  <c r="AD122" i="8" s="1"/>
  <c r="U121" i="8"/>
  <c r="AC121" i="8" s="1"/>
  <c r="AK121" i="8" s="1"/>
  <c r="T121" i="8"/>
  <c r="AB121" i="8" s="1"/>
  <c r="AJ121" i="8" s="1"/>
  <c r="S121" i="8"/>
  <c r="AA121" i="8" s="1"/>
  <c r="AI121" i="8" s="1"/>
  <c r="R121" i="8"/>
  <c r="Z121" i="8" s="1"/>
  <c r="AH121" i="8" s="1"/>
  <c r="Q121" i="8"/>
  <c r="Y121" i="8" s="1"/>
  <c r="AG121" i="8" s="1"/>
  <c r="P121" i="8"/>
  <c r="X121" i="8" s="1"/>
  <c r="AF121" i="8" s="1"/>
  <c r="O121" i="8"/>
  <c r="W121" i="8" s="1"/>
  <c r="AE121" i="8" s="1"/>
  <c r="N121" i="8"/>
  <c r="V121" i="8" s="1"/>
  <c r="AD121" i="8" s="1"/>
  <c r="U120" i="8"/>
  <c r="AC120" i="8" s="1"/>
  <c r="AK120" i="8" s="1"/>
  <c r="T120" i="8"/>
  <c r="AB120" i="8" s="1"/>
  <c r="AJ120" i="8" s="1"/>
  <c r="S120" i="8"/>
  <c r="AA120" i="8" s="1"/>
  <c r="AI120" i="8" s="1"/>
  <c r="R120" i="8"/>
  <c r="Z120" i="8" s="1"/>
  <c r="AH120" i="8" s="1"/>
  <c r="Q120" i="8"/>
  <c r="Y120" i="8" s="1"/>
  <c r="AG120" i="8" s="1"/>
  <c r="P120" i="8"/>
  <c r="X120" i="8" s="1"/>
  <c r="AF120" i="8" s="1"/>
  <c r="O120" i="8"/>
  <c r="W120" i="8" s="1"/>
  <c r="AE120" i="8" s="1"/>
  <c r="N120" i="8"/>
  <c r="V120" i="8" s="1"/>
  <c r="AD120" i="8" s="1"/>
  <c r="U119" i="8"/>
  <c r="AC119" i="8" s="1"/>
  <c r="AK119" i="8" s="1"/>
  <c r="T119" i="8"/>
  <c r="AB119" i="8" s="1"/>
  <c r="AJ119" i="8" s="1"/>
  <c r="S119" i="8"/>
  <c r="AA119" i="8" s="1"/>
  <c r="AI119" i="8" s="1"/>
  <c r="R119" i="8"/>
  <c r="Z119" i="8" s="1"/>
  <c r="AH119" i="8" s="1"/>
  <c r="Q119" i="8"/>
  <c r="Y119" i="8" s="1"/>
  <c r="AG119" i="8" s="1"/>
  <c r="P119" i="8"/>
  <c r="X119" i="8" s="1"/>
  <c r="AF119" i="8" s="1"/>
  <c r="O119" i="8"/>
  <c r="W119" i="8" s="1"/>
  <c r="AE119" i="8" s="1"/>
  <c r="N119" i="8"/>
  <c r="V119" i="8" s="1"/>
  <c r="AD119" i="8" s="1"/>
  <c r="U118" i="8"/>
  <c r="AC118" i="8" s="1"/>
  <c r="AK118" i="8" s="1"/>
  <c r="T118" i="8"/>
  <c r="AB118" i="8" s="1"/>
  <c r="AJ118" i="8" s="1"/>
  <c r="S118" i="8"/>
  <c r="AA118" i="8" s="1"/>
  <c r="AI118" i="8" s="1"/>
  <c r="R118" i="8"/>
  <c r="Z118" i="8" s="1"/>
  <c r="AH118" i="8" s="1"/>
  <c r="Q118" i="8"/>
  <c r="Y118" i="8" s="1"/>
  <c r="AG118" i="8" s="1"/>
  <c r="P118" i="8"/>
  <c r="X118" i="8" s="1"/>
  <c r="AF118" i="8" s="1"/>
  <c r="O118" i="8"/>
  <c r="W118" i="8" s="1"/>
  <c r="AE118" i="8" s="1"/>
  <c r="N118" i="8"/>
  <c r="V118" i="8" s="1"/>
  <c r="AD118" i="8" s="1"/>
  <c r="U117" i="8"/>
  <c r="AC117" i="8" s="1"/>
  <c r="AK117" i="8" s="1"/>
  <c r="T117" i="8"/>
  <c r="AB117" i="8" s="1"/>
  <c r="AJ117" i="8" s="1"/>
  <c r="S117" i="8"/>
  <c r="AA117" i="8" s="1"/>
  <c r="AI117" i="8" s="1"/>
  <c r="R117" i="8"/>
  <c r="Z117" i="8" s="1"/>
  <c r="AH117" i="8" s="1"/>
  <c r="Q117" i="8"/>
  <c r="Y117" i="8" s="1"/>
  <c r="AG117" i="8" s="1"/>
  <c r="P117" i="8"/>
  <c r="X117" i="8" s="1"/>
  <c r="AF117" i="8" s="1"/>
  <c r="O117" i="8"/>
  <c r="W117" i="8" s="1"/>
  <c r="AE117" i="8" s="1"/>
  <c r="N117" i="8"/>
  <c r="V117" i="8" s="1"/>
  <c r="AD117" i="8" s="1"/>
  <c r="U116" i="8"/>
  <c r="AC116" i="8" s="1"/>
  <c r="AK116" i="8" s="1"/>
  <c r="T116" i="8"/>
  <c r="AB116" i="8" s="1"/>
  <c r="AJ116" i="8" s="1"/>
  <c r="S116" i="8"/>
  <c r="AA116" i="8" s="1"/>
  <c r="AI116" i="8" s="1"/>
  <c r="R116" i="8"/>
  <c r="Z116" i="8" s="1"/>
  <c r="AH116" i="8" s="1"/>
  <c r="Q116" i="8"/>
  <c r="Y116" i="8" s="1"/>
  <c r="AG116" i="8" s="1"/>
  <c r="P116" i="8"/>
  <c r="X116" i="8" s="1"/>
  <c r="AF116" i="8" s="1"/>
  <c r="O116" i="8"/>
  <c r="W116" i="8" s="1"/>
  <c r="AE116" i="8" s="1"/>
  <c r="N116" i="8"/>
  <c r="V116" i="8" s="1"/>
  <c r="AD116" i="8" s="1"/>
  <c r="U115" i="8"/>
  <c r="AC115" i="8" s="1"/>
  <c r="AK115" i="8" s="1"/>
  <c r="T115" i="8"/>
  <c r="AB115" i="8" s="1"/>
  <c r="AJ115" i="8" s="1"/>
  <c r="S115" i="8"/>
  <c r="AA115" i="8" s="1"/>
  <c r="AI115" i="8" s="1"/>
  <c r="R115" i="8"/>
  <c r="Z115" i="8" s="1"/>
  <c r="AH115" i="8" s="1"/>
  <c r="Q115" i="8"/>
  <c r="Y115" i="8" s="1"/>
  <c r="AG115" i="8" s="1"/>
  <c r="P115" i="8"/>
  <c r="X115" i="8" s="1"/>
  <c r="AF115" i="8" s="1"/>
  <c r="O115" i="8"/>
  <c r="W115" i="8" s="1"/>
  <c r="AE115" i="8" s="1"/>
  <c r="N115" i="8"/>
  <c r="V115" i="8" s="1"/>
  <c r="AD115" i="8" s="1"/>
  <c r="U114" i="8"/>
  <c r="AC114" i="8" s="1"/>
  <c r="AK114" i="8" s="1"/>
  <c r="T114" i="8"/>
  <c r="AB114" i="8" s="1"/>
  <c r="AJ114" i="8" s="1"/>
  <c r="S114" i="8"/>
  <c r="AA114" i="8" s="1"/>
  <c r="AI114" i="8" s="1"/>
  <c r="R114" i="8"/>
  <c r="Z114" i="8" s="1"/>
  <c r="AH114" i="8" s="1"/>
  <c r="Q114" i="8"/>
  <c r="Y114" i="8" s="1"/>
  <c r="AG114" i="8" s="1"/>
  <c r="P114" i="8"/>
  <c r="X114" i="8" s="1"/>
  <c r="AF114" i="8" s="1"/>
  <c r="O114" i="8"/>
  <c r="W114" i="8" s="1"/>
  <c r="AE114" i="8" s="1"/>
  <c r="N114" i="8"/>
  <c r="V114" i="8" s="1"/>
  <c r="AD114" i="8" s="1"/>
  <c r="U113" i="8"/>
  <c r="AC113" i="8" s="1"/>
  <c r="AK113" i="8" s="1"/>
  <c r="T113" i="8"/>
  <c r="AB113" i="8" s="1"/>
  <c r="AJ113" i="8" s="1"/>
  <c r="S113" i="8"/>
  <c r="AA113" i="8" s="1"/>
  <c r="AI113" i="8" s="1"/>
  <c r="R113" i="8"/>
  <c r="Z113" i="8" s="1"/>
  <c r="AH113" i="8" s="1"/>
  <c r="Q113" i="8"/>
  <c r="Y113" i="8" s="1"/>
  <c r="AG113" i="8" s="1"/>
  <c r="P113" i="8"/>
  <c r="X113" i="8" s="1"/>
  <c r="AF113" i="8" s="1"/>
  <c r="O113" i="8"/>
  <c r="W113" i="8" s="1"/>
  <c r="AE113" i="8" s="1"/>
  <c r="N113" i="8"/>
  <c r="V113" i="8" s="1"/>
  <c r="AD113" i="8" s="1"/>
  <c r="U112" i="8"/>
  <c r="AC112" i="8" s="1"/>
  <c r="AK112" i="8" s="1"/>
  <c r="T112" i="8"/>
  <c r="AB112" i="8" s="1"/>
  <c r="AJ112" i="8" s="1"/>
  <c r="S112" i="8"/>
  <c r="AA112" i="8" s="1"/>
  <c r="AI112" i="8" s="1"/>
  <c r="R112" i="8"/>
  <c r="Z112" i="8" s="1"/>
  <c r="AH112" i="8" s="1"/>
  <c r="Q112" i="8"/>
  <c r="Y112" i="8" s="1"/>
  <c r="AG112" i="8" s="1"/>
  <c r="P112" i="8"/>
  <c r="X112" i="8" s="1"/>
  <c r="AF112" i="8" s="1"/>
  <c r="O112" i="8"/>
  <c r="W112" i="8" s="1"/>
  <c r="AE112" i="8" s="1"/>
  <c r="N112" i="8"/>
  <c r="V112" i="8" s="1"/>
  <c r="AD112" i="8" s="1"/>
  <c r="U111" i="8"/>
  <c r="AC111" i="8" s="1"/>
  <c r="AK111" i="8" s="1"/>
  <c r="T111" i="8"/>
  <c r="AB111" i="8" s="1"/>
  <c r="AJ111" i="8" s="1"/>
  <c r="S111" i="8"/>
  <c r="AA111" i="8" s="1"/>
  <c r="AI111" i="8" s="1"/>
  <c r="R111" i="8"/>
  <c r="Z111" i="8" s="1"/>
  <c r="AH111" i="8" s="1"/>
  <c r="Q111" i="8"/>
  <c r="Y111" i="8" s="1"/>
  <c r="AG111" i="8" s="1"/>
  <c r="P111" i="8"/>
  <c r="X111" i="8" s="1"/>
  <c r="AF111" i="8" s="1"/>
  <c r="O111" i="8"/>
  <c r="W111" i="8" s="1"/>
  <c r="AE111" i="8" s="1"/>
  <c r="N111" i="8"/>
  <c r="V111" i="8" s="1"/>
  <c r="AD111" i="8" s="1"/>
  <c r="U110" i="8"/>
  <c r="AC110" i="8" s="1"/>
  <c r="AK110" i="8" s="1"/>
  <c r="T110" i="8"/>
  <c r="AB110" i="8" s="1"/>
  <c r="AJ110" i="8" s="1"/>
  <c r="S110" i="8"/>
  <c r="AA110" i="8" s="1"/>
  <c r="AI110" i="8" s="1"/>
  <c r="R110" i="8"/>
  <c r="Z110" i="8" s="1"/>
  <c r="AH110" i="8" s="1"/>
  <c r="Q110" i="8"/>
  <c r="Y110" i="8" s="1"/>
  <c r="AG110" i="8" s="1"/>
  <c r="P110" i="8"/>
  <c r="X110" i="8" s="1"/>
  <c r="AF110" i="8" s="1"/>
  <c r="O110" i="8"/>
  <c r="W110" i="8" s="1"/>
  <c r="AE110" i="8" s="1"/>
  <c r="N110" i="8"/>
  <c r="V110" i="8" s="1"/>
  <c r="AD110" i="8" s="1"/>
  <c r="U109" i="8"/>
  <c r="AC109" i="8" s="1"/>
  <c r="AK109" i="8" s="1"/>
  <c r="T109" i="8"/>
  <c r="AB109" i="8" s="1"/>
  <c r="AJ109" i="8" s="1"/>
  <c r="S109" i="8"/>
  <c r="AA109" i="8" s="1"/>
  <c r="AI109" i="8" s="1"/>
  <c r="R109" i="8"/>
  <c r="Z109" i="8" s="1"/>
  <c r="AH109" i="8" s="1"/>
  <c r="Q109" i="8"/>
  <c r="Y109" i="8" s="1"/>
  <c r="AG109" i="8" s="1"/>
  <c r="P109" i="8"/>
  <c r="X109" i="8" s="1"/>
  <c r="AF109" i="8" s="1"/>
  <c r="O109" i="8"/>
  <c r="W109" i="8" s="1"/>
  <c r="AE109" i="8" s="1"/>
  <c r="N109" i="8"/>
  <c r="V109" i="8" s="1"/>
  <c r="AD109" i="8" s="1"/>
  <c r="U108" i="8"/>
  <c r="AC108" i="8" s="1"/>
  <c r="AK108" i="8" s="1"/>
  <c r="T108" i="8"/>
  <c r="AB108" i="8" s="1"/>
  <c r="AJ108" i="8" s="1"/>
  <c r="S108" i="8"/>
  <c r="AA108" i="8" s="1"/>
  <c r="AI108" i="8" s="1"/>
  <c r="R108" i="8"/>
  <c r="Z108" i="8" s="1"/>
  <c r="AH108" i="8" s="1"/>
  <c r="Q108" i="8"/>
  <c r="Y108" i="8" s="1"/>
  <c r="AG108" i="8" s="1"/>
  <c r="P108" i="8"/>
  <c r="X108" i="8" s="1"/>
  <c r="AF108" i="8" s="1"/>
  <c r="O108" i="8"/>
  <c r="W108" i="8" s="1"/>
  <c r="AE108" i="8" s="1"/>
  <c r="N108" i="8"/>
  <c r="V108" i="8" s="1"/>
  <c r="AD108" i="8" s="1"/>
  <c r="U107" i="8"/>
  <c r="AC107" i="8" s="1"/>
  <c r="AK107" i="8" s="1"/>
  <c r="T107" i="8"/>
  <c r="AB107" i="8" s="1"/>
  <c r="AJ107" i="8" s="1"/>
  <c r="S107" i="8"/>
  <c r="AA107" i="8" s="1"/>
  <c r="AI107" i="8" s="1"/>
  <c r="R107" i="8"/>
  <c r="Z107" i="8" s="1"/>
  <c r="AH107" i="8" s="1"/>
  <c r="Q107" i="8"/>
  <c r="Y107" i="8" s="1"/>
  <c r="AG107" i="8" s="1"/>
  <c r="P107" i="8"/>
  <c r="X107" i="8" s="1"/>
  <c r="AF107" i="8" s="1"/>
  <c r="O107" i="8"/>
  <c r="W107" i="8" s="1"/>
  <c r="AE107" i="8" s="1"/>
  <c r="N107" i="8"/>
  <c r="V107" i="8" s="1"/>
  <c r="AD107" i="8" s="1"/>
  <c r="U106" i="8"/>
  <c r="AC106" i="8" s="1"/>
  <c r="AK106" i="8" s="1"/>
  <c r="T106" i="8"/>
  <c r="AB106" i="8" s="1"/>
  <c r="AJ106" i="8" s="1"/>
  <c r="S106" i="8"/>
  <c r="AA106" i="8" s="1"/>
  <c r="AI106" i="8" s="1"/>
  <c r="R106" i="8"/>
  <c r="Z106" i="8" s="1"/>
  <c r="AH106" i="8" s="1"/>
  <c r="Q106" i="8"/>
  <c r="Y106" i="8" s="1"/>
  <c r="AG106" i="8" s="1"/>
  <c r="P106" i="8"/>
  <c r="X106" i="8" s="1"/>
  <c r="AF106" i="8" s="1"/>
  <c r="O106" i="8"/>
  <c r="W106" i="8" s="1"/>
  <c r="AE106" i="8" s="1"/>
  <c r="N106" i="8"/>
  <c r="V106" i="8" s="1"/>
  <c r="AD106" i="8" s="1"/>
  <c r="U105" i="8"/>
  <c r="AC105" i="8" s="1"/>
  <c r="AK105" i="8" s="1"/>
  <c r="T105" i="8"/>
  <c r="AB105" i="8" s="1"/>
  <c r="AJ105" i="8" s="1"/>
  <c r="S105" i="8"/>
  <c r="AA105" i="8" s="1"/>
  <c r="AI105" i="8" s="1"/>
  <c r="R105" i="8"/>
  <c r="Z105" i="8" s="1"/>
  <c r="AH105" i="8" s="1"/>
  <c r="Q105" i="8"/>
  <c r="Y105" i="8" s="1"/>
  <c r="AG105" i="8" s="1"/>
  <c r="P105" i="8"/>
  <c r="X105" i="8" s="1"/>
  <c r="AF105" i="8" s="1"/>
  <c r="O105" i="8"/>
  <c r="W105" i="8" s="1"/>
  <c r="AE105" i="8" s="1"/>
  <c r="N105" i="8"/>
  <c r="V105" i="8" s="1"/>
  <c r="AD105" i="8" s="1"/>
  <c r="U104" i="8"/>
  <c r="AC104" i="8" s="1"/>
  <c r="AK104" i="8" s="1"/>
  <c r="T104" i="8"/>
  <c r="AB104" i="8" s="1"/>
  <c r="AJ104" i="8" s="1"/>
  <c r="S104" i="8"/>
  <c r="AA104" i="8" s="1"/>
  <c r="AI104" i="8" s="1"/>
  <c r="R104" i="8"/>
  <c r="Z104" i="8" s="1"/>
  <c r="AH104" i="8" s="1"/>
  <c r="Q104" i="8"/>
  <c r="Y104" i="8" s="1"/>
  <c r="AG104" i="8" s="1"/>
  <c r="P104" i="8"/>
  <c r="X104" i="8" s="1"/>
  <c r="AF104" i="8" s="1"/>
  <c r="O104" i="8"/>
  <c r="W104" i="8" s="1"/>
  <c r="AE104" i="8" s="1"/>
  <c r="N104" i="8"/>
  <c r="V104" i="8" s="1"/>
  <c r="AD104" i="8" s="1"/>
  <c r="U103" i="8"/>
  <c r="AC103" i="8" s="1"/>
  <c r="AK103" i="8" s="1"/>
  <c r="T103" i="8"/>
  <c r="AB103" i="8" s="1"/>
  <c r="AJ103" i="8" s="1"/>
  <c r="S103" i="8"/>
  <c r="AA103" i="8" s="1"/>
  <c r="AI103" i="8" s="1"/>
  <c r="R103" i="8"/>
  <c r="Z103" i="8" s="1"/>
  <c r="AH103" i="8" s="1"/>
  <c r="Q103" i="8"/>
  <c r="Y103" i="8" s="1"/>
  <c r="AG103" i="8" s="1"/>
  <c r="P103" i="8"/>
  <c r="X103" i="8" s="1"/>
  <c r="AF103" i="8" s="1"/>
  <c r="O103" i="8"/>
  <c r="W103" i="8" s="1"/>
  <c r="AE103" i="8" s="1"/>
  <c r="N103" i="8"/>
  <c r="V103" i="8" s="1"/>
  <c r="AD103" i="8" s="1"/>
  <c r="U102" i="8"/>
  <c r="AC102" i="8" s="1"/>
  <c r="AK102" i="8" s="1"/>
  <c r="T102" i="8"/>
  <c r="AB102" i="8" s="1"/>
  <c r="AJ102" i="8" s="1"/>
  <c r="S102" i="8"/>
  <c r="AA102" i="8" s="1"/>
  <c r="AI102" i="8" s="1"/>
  <c r="R102" i="8"/>
  <c r="Z102" i="8" s="1"/>
  <c r="AH102" i="8" s="1"/>
  <c r="Q102" i="8"/>
  <c r="Y102" i="8" s="1"/>
  <c r="AG102" i="8" s="1"/>
  <c r="P102" i="8"/>
  <c r="X102" i="8" s="1"/>
  <c r="AF102" i="8" s="1"/>
  <c r="O102" i="8"/>
  <c r="W102" i="8" s="1"/>
  <c r="AE102" i="8" s="1"/>
  <c r="N102" i="8"/>
  <c r="V102" i="8" s="1"/>
  <c r="AD102" i="8" s="1"/>
  <c r="U101" i="8"/>
  <c r="AC101" i="8" s="1"/>
  <c r="AK101" i="8" s="1"/>
  <c r="T101" i="8"/>
  <c r="AB101" i="8" s="1"/>
  <c r="AJ101" i="8" s="1"/>
  <c r="S101" i="8"/>
  <c r="AA101" i="8" s="1"/>
  <c r="AI101" i="8" s="1"/>
  <c r="R101" i="8"/>
  <c r="Z101" i="8" s="1"/>
  <c r="AH101" i="8" s="1"/>
  <c r="Q101" i="8"/>
  <c r="Y101" i="8" s="1"/>
  <c r="AG101" i="8" s="1"/>
  <c r="P101" i="8"/>
  <c r="X101" i="8" s="1"/>
  <c r="AF101" i="8" s="1"/>
  <c r="O101" i="8"/>
  <c r="W101" i="8" s="1"/>
  <c r="AE101" i="8" s="1"/>
  <c r="N101" i="8"/>
  <c r="V101" i="8" s="1"/>
  <c r="AD101" i="8" s="1"/>
  <c r="U100" i="8"/>
  <c r="AC100" i="8" s="1"/>
  <c r="AK100" i="8" s="1"/>
  <c r="T100" i="8"/>
  <c r="AB100" i="8" s="1"/>
  <c r="AJ100" i="8" s="1"/>
  <c r="S100" i="8"/>
  <c r="AA100" i="8" s="1"/>
  <c r="AI100" i="8" s="1"/>
  <c r="R100" i="8"/>
  <c r="Z100" i="8" s="1"/>
  <c r="AH100" i="8" s="1"/>
  <c r="Q100" i="8"/>
  <c r="Y100" i="8" s="1"/>
  <c r="AG100" i="8" s="1"/>
  <c r="P100" i="8"/>
  <c r="X100" i="8" s="1"/>
  <c r="AF100" i="8" s="1"/>
  <c r="O100" i="8"/>
  <c r="W100" i="8" s="1"/>
  <c r="AE100" i="8" s="1"/>
  <c r="N100" i="8"/>
  <c r="V100" i="8" s="1"/>
  <c r="AD100" i="8" s="1"/>
  <c r="U99" i="8"/>
  <c r="AC99" i="8" s="1"/>
  <c r="AK99" i="8" s="1"/>
  <c r="T99" i="8"/>
  <c r="AB99" i="8" s="1"/>
  <c r="AJ99" i="8" s="1"/>
  <c r="S99" i="8"/>
  <c r="AA99" i="8" s="1"/>
  <c r="AI99" i="8" s="1"/>
  <c r="R99" i="8"/>
  <c r="Z99" i="8" s="1"/>
  <c r="AH99" i="8" s="1"/>
  <c r="Q99" i="8"/>
  <c r="Y99" i="8" s="1"/>
  <c r="AG99" i="8" s="1"/>
  <c r="P99" i="8"/>
  <c r="X99" i="8" s="1"/>
  <c r="AF99" i="8" s="1"/>
  <c r="O99" i="8"/>
  <c r="W99" i="8" s="1"/>
  <c r="AE99" i="8" s="1"/>
  <c r="N99" i="8"/>
  <c r="V99" i="8" s="1"/>
  <c r="AD99" i="8" s="1"/>
  <c r="U98" i="8"/>
  <c r="AC98" i="8" s="1"/>
  <c r="AK98" i="8" s="1"/>
  <c r="T98" i="8"/>
  <c r="AB98" i="8" s="1"/>
  <c r="AJ98" i="8" s="1"/>
  <c r="S98" i="8"/>
  <c r="AA98" i="8" s="1"/>
  <c r="AI98" i="8" s="1"/>
  <c r="R98" i="8"/>
  <c r="Z98" i="8" s="1"/>
  <c r="AH98" i="8" s="1"/>
  <c r="Q98" i="8"/>
  <c r="Y98" i="8" s="1"/>
  <c r="AG98" i="8" s="1"/>
  <c r="P98" i="8"/>
  <c r="X98" i="8" s="1"/>
  <c r="AF98" i="8" s="1"/>
  <c r="O98" i="8"/>
  <c r="W98" i="8" s="1"/>
  <c r="AE98" i="8" s="1"/>
  <c r="N98" i="8"/>
  <c r="V98" i="8" s="1"/>
  <c r="AD98" i="8" s="1"/>
  <c r="U97" i="8"/>
  <c r="AC97" i="8" s="1"/>
  <c r="AK97" i="8" s="1"/>
  <c r="T97" i="8"/>
  <c r="AB97" i="8" s="1"/>
  <c r="AJ97" i="8" s="1"/>
  <c r="S97" i="8"/>
  <c r="AA97" i="8" s="1"/>
  <c r="AI97" i="8" s="1"/>
  <c r="R97" i="8"/>
  <c r="Z97" i="8" s="1"/>
  <c r="AH97" i="8" s="1"/>
  <c r="Q97" i="8"/>
  <c r="Y97" i="8" s="1"/>
  <c r="AG97" i="8" s="1"/>
  <c r="P97" i="8"/>
  <c r="X97" i="8" s="1"/>
  <c r="AF97" i="8" s="1"/>
  <c r="O97" i="8"/>
  <c r="W97" i="8" s="1"/>
  <c r="AE97" i="8" s="1"/>
  <c r="N97" i="8"/>
  <c r="V97" i="8" s="1"/>
  <c r="AD97" i="8" s="1"/>
  <c r="U96" i="8"/>
  <c r="AC96" i="8" s="1"/>
  <c r="AK96" i="8" s="1"/>
  <c r="T96" i="8"/>
  <c r="AB96" i="8" s="1"/>
  <c r="AJ96" i="8" s="1"/>
  <c r="S96" i="8"/>
  <c r="AA96" i="8" s="1"/>
  <c r="AI96" i="8" s="1"/>
  <c r="R96" i="8"/>
  <c r="Z96" i="8" s="1"/>
  <c r="AH96" i="8" s="1"/>
  <c r="Q96" i="8"/>
  <c r="Y96" i="8" s="1"/>
  <c r="AG96" i="8" s="1"/>
  <c r="P96" i="8"/>
  <c r="X96" i="8" s="1"/>
  <c r="AF96" i="8" s="1"/>
  <c r="O96" i="8"/>
  <c r="W96" i="8" s="1"/>
  <c r="AE96" i="8" s="1"/>
  <c r="N96" i="8"/>
  <c r="V96" i="8" s="1"/>
  <c r="AD96" i="8" s="1"/>
  <c r="U95" i="8"/>
  <c r="AC95" i="8" s="1"/>
  <c r="AK95" i="8" s="1"/>
  <c r="T95" i="8"/>
  <c r="AB95" i="8" s="1"/>
  <c r="AJ95" i="8" s="1"/>
  <c r="S95" i="8"/>
  <c r="AA95" i="8" s="1"/>
  <c r="AI95" i="8" s="1"/>
  <c r="R95" i="8"/>
  <c r="Z95" i="8" s="1"/>
  <c r="AH95" i="8" s="1"/>
  <c r="Q95" i="8"/>
  <c r="Y95" i="8" s="1"/>
  <c r="AG95" i="8" s="1"/>
  <c r="P95" i="8"/>
  <c r="X95" i="8" s="1"/>
  <c r="AF95" i="8" s="1"/>
  <c r="O95" i="8"/>
  <c r="W95" i="8" s="1"/>
  <c r="AE95" i="8" s="1"/>
  <c r="N95" i="8"/>
  <c r="V95" i="8" s="1"/>
  <c r="AD95" i="8" s="1"/>
  <c r="U94" i="8"/>
  <c r="AC94" i="8" s="1"/>
  <c r="AK94" i="8" s="1"/>
  <c r="T94" i="8"/>
  <c r="AB94" i="8" s="1"/>
  <c r="AJ94" i="8" s="1"/>
  <c r="S94" i="8"/>
  <c r="AA94" i="8" s="1"/>
  <c r="AI94" i="8" s="1"/>
  <c r="R94" i="8"/>
  <c r="Z94" i="8" s="1"/>
  <c r="AH94" i="8" s="1"/>
  <c r="Q94" i="8"/>
  <c r="Y94" i="8" s="1"/>
  <c r="AG94" i="8" s="1"/>
  <c r="P94" i="8"/>
  <c r="X94" i="8" s="1"/>
  <c r="AF94" i="8" s="1"/>
  <c r="O94" i="8"/>
  <c r="W94" i="8" s="1"/>
  <c r="AE94" i="8" s="1"/>
  <c r="N94" i="8"/>
  <c r="V94" i="8" s="1"/>
  <c r="AD94" i="8" s="1"/>
  <c r="U93" i="8"/>
  <c r="AC93" i="8" s="1"/>
  <c r="AK93" i="8" s="1"/>
  <c r="T93" i="8"/>
  <c r="AB93" i="8" s="1"/>
  <c r="AJ93" i="8" s="1"/>
  <c r="S93" i="8"/>
  <c r="AA93" i="8" s="1"/>
  <c r="AI93" i="8" s="1"/>
  <c r="R93" i="8"/>
  <c r="Z93" i="8" s="1"/>
  <c r="AH93" i="8" s="1"/>
  <c r="Q93" i="8"/>
  <c r="Y93" i="8" s="1"/>
  <c r="AG93" i="8" s="1"/>
  <c r="P93" i="8"/>
  <c r="X93" i="8" s="1"/>
  <c r="AF93" i="8" s="1"/>
  <c r="O93" i="8"/>
  <c r="W93" i="8" s="1"/>
  <c r="AE93" i="8" s="1"/>
  <c r="N93" i="8"/>
  <c r="V93" i="8" s="1"/>
  <c r="AD93" i="8" s="1"/>
  <c r="U92" i="8"/>
  <c r="AC92" i="8" s="1"/>
  <c r="AK92" i="8" s="1"/>
  <c r="T92" i="8"/>
  <c r="AB92" i="8" s="1"/>
  <c r="AJ92" i="8" s="1"/>
  <c r="S92" i="8"/>
  <c r="AA92" i="8" s="1"/>
  <c r="AI92" i="8" s="1"/>
  <c r="R92" i="8"/>
  <c r="Z92" i="8" s="1"/>
  <c r="AH92" i="8" s="1"/>
  <c r="Q92" i="8"/>
  <c r="Y92" i="8" s="1"/>
  <c r="AG92" i="8" s="1"/>
  <c r="P92" i="8"/>
  <c r="X92" i="8" s="1"/>
  <c r="AF92" i="8" s="1"/>
  <c r="O92" i="8"/>
  <c r="W92" i="8" s="1"/>
  <c r="AE92" i="8" s="1"/>
  <c r="N92" i="8"/>
  <c r="V92" i="8" s="1"/>
  <c r="AD92" i="8" s="1"/>
  <c r="U91" i="8"/>
  <c r="AC91" i="8" s="1"/>
  <c r="AK91" i="8" s="1"/>
  <c r="T91" i="8"/>
  <c r="AB91" i="8" s="1"/>
  <c r="AJ91" i="8" s="1"/>
  <c r="S91" i="8"/>
  <c r="AA91" i="8" s="1"/>
  <c r="AI91" i="8" s="1"/>
  <c r="R91" i="8"/>
  <c r="Z91" i="8" s="1"/>
  <c r="AH91" i="8" s="1"/>
  <c r="Q91" i="8"/>
  <c r="Y91" i="8" s="1"/>
  <c r="AG91" i="8" s="1"/>
  <c r="P91" i="8"/>
  <c r="X91" i="8" s="1"/>
  <c r="AF91" i="8" s="1"/>
  <c r="O91" i="8"/>
  <c r="W91" i="8" s="1"/>
  <c r="AE91" i="8" s="1"/>
  <c r="N91" i="8"/>
  <c r="V91" i="8" s="1"/>
  <c r="AD91" i="8" s="1"/>
  <c r="U90" i="8"/>
  <c r="AC90" i="8" s="1"/>
  <c r="AK90" i="8" s="1"/>
  <c r="T90" i="8"/>
  <c r="AB90" i="8" s="1"/>
  <c r="AJ90" i="8" s="1"/>
  <c r="S90" i="8"/>
  <c r="AA90" i="8" s="1"/>
  <c r="AI90" i="8" s="1"/>
  <c r="R90" i="8"/>
  <c r="Z90" i="8" s="1"/>
  <c r="AH90" i="8" s="1"/>
  <c r="Q90" i="8"/>
  <c r="Y90" i="8" s="1"/>
  <c r="AG90" i="8" s="1"/>
  <c r="P90" i="8"/>
  <c r="X90" i="8" s="1"/>
  <c r="AF90" i="8" s="1"/>
  <c r="O90" i="8"/>
  <c r="W90" i="8" s="1"/>
  <c r="AE90" i="8" s="1"/>
  <c r="N90" i="8"/>
  <c r="V90" i="8" s="1"/>
  <c r="AD90" i="8" s="1"/>
  <c r="U89" i="8"/>
  <c r="AC89" i="8" s="1"/>
  <c r="AK89" i="8" s="1"/>
  <c r="T89" i="8"/>
  <c r="AB89" i="8" s="1"/>
  <c r="AJ89" i="8" s="1"/>
  <c r="S89" i="8"/>
  <c r="AA89" i="8" s="1"/>
  <c r="AI89" i="8" s="1"/>
  <c r="R89" i="8"/>
  <c r="Z89" i="8" s="1"/>
  <c r="AH89" i="8" s="1"/>
  <c r="Q89" i="8"/>
  <c r="Y89" i="8" s="1"/>
  <c r="AG89" i="8" s="1"/>
  <c r="P89" i="8"/>
  <c r="X89" i="8" s="1"/>
  <c r="AF89" i="8" s="1"/>
  <c r="O89" i="8"/>
  <c r="W89" i="8" s="1"/>
  <c r="AE89" i="8" s="1"/>
  <c r="N89" i="8"/>
  <c r="V89" i="8" s="1"/>
  <c r="AD89" i="8" s="1"/>
  <c r="U88" i="8"/>
  <c r="AC88" i="8" s="1"/>
  <c r="AK88" i="8" s="1"/>
  <c r="T88" i="8"/>
  <c r="AB88" i="8" s="1"/>
  <c r="AJ88" i="8" s="1"/>
  <c r="S88" i="8"/>
  <c r="AA88" i="8" s="1"/>
  <c r="AI88" i="8" s="1"/>
  <c r="R88" i="8"/>
  <c r="Z88" i="8" s="1"/>
  <c r="AH88" i="8" s="1"/>
  <c r="Q88" i="8"/>
  <c r="Y88" i="8" s="1"/>
  <c r="AG88" i="8" s="1"/>
  <c r="P88" i="8"/>
  <c r="X88" i="8" s="1"/>
  <c r="AF88" i="8" s="1"/>
  <c r="O88" i="8"/>
  <c r="W88" i="8" s="1"/>
  <c r="AE88" i="8" s="1"/>
  <c r="N88" i="8"/>
  <c r="V88" i="8" s="1"/>
  <c r="AD88" i="8" s="1"/>
  <c r="U87" i="8"/>
  <c r="AC87" i="8" s="1"/>
  <c r="AK87" i="8" s="1"/>
  <c r="T87" i="8"/>
  <c r="AB87" i="8" s="1"/>
  <c r="AJ87" i="8" s="1"/>
  <c r="S87" i="8"/>
  <c r="AA87" i="8" s="1"/>
  <c r="AI87" i="8" s="1"/>
  <c r="R87" i="8"/>
  <c r="Z87" i="8" s="1"/>
  <c r="AH87" i="8" s="1"/>
  <c r="Q87" i="8"/>
  <c r="Y87" i="8" s="1"/>
  <c r="AG87" i="8" s="1"/>
  <c r="P87" i="8"/>
  <c r="X87" i="8" s="1"/>
  <c r="AF87" i="8" s="1"/>
  <c r="O87" i="8"/>
  <c r="W87" i="8" s="1"/>
  <c r="AE87" i="8" s="1"/>
  <c r="N87" i="8"/>
  <c r="V87" i="8" s="1"/>
  <c r="AD87" i="8" s="1"/>
  <c r="U86" i="8"/>
  <c r="AC86" i="8" s="1"/>
  <c r="AK86" i="8" s="1"/>
  <c r="T86" i="8"/>
  <c r="AB86" i="8" s="1"/>
  <c r="AJ86" i="8" s="1"/>
  <c r="S86" i="8"/>
  <c r="AA86" i="8" s="1"/>
  <c r="AI86" i="8" s="1"/>
  <c r="R86" i="8"/>
  <c r="Z86" i="8" s="1"/>
  <c r="AH86" i="8" s="1"/>
  <c r="Q86" i="8"/>
  <c r="Y86" i="8" s="1"/>
  <c r="AG86" i="8" s="1"/>
  <c r="P86" i="8"/>
  <c r="X86" i="8" s="1"/>
  <c r="AF86" i="8" s="1"/>
  <c r="O86" i="8"/>
  <c r="W86" i="8" s="1"/>
  <c r="AE86" i="8" s="1"/>
  <c r="N86" i="8"/>
  <c r="V86" i="8" s="1"/>
  <c r="AD86" i="8" s="1"/>
  <c r="U85" i="8"/>
  <c r="AC85" i="8" s="1"/>
  <c r="AK85" i="8" s="1"/>
  <c r="T85" i="8"/>
  <c r="AB85" i="8" s="1"/>
  <c r="AJ85" i="8" s="1"/>
  <c r="S85" i="8"/>
  <c r="AA85" i="8" s="1"/>
  <c r="AI85" i="8" s="1"/>
  <c r="R85" i="8"/>
  <c r="Z85" i="8" s="1"/>
  <c r="AH85" i="8" s="1"/>
  <c r="Q85" i="8"/>
  <c r="Y85" i="8" s="1"/>
  <c r="AG85" i="8" s="1"/>
  <c r="P85" i="8"/>
  <c r="X85" i="8" s="1"/>
  <c r="AF85" i="8" s="1"/>
  <c r="O85" i="8"/>
  <c r="W85" i="8" s="1"/>
  <c r="AE85" i="8" s="1"/>
  <c r="N85" i="8"/>
  <c r="V85" i="8" s="1"/>
  <c r="AD85" i="8" s="1"/>
  <c r="U84" i="8"/>
  <c r="AC84" i="8" s="1"/>
  <c r="AK84" i="8" s="1"/>
  <c r="T84" i="8"/>
  <c r="AB84" i="8" s="1"/>
  <c r="AJ84" i="8" s="1"/>
  <c r="S84" i="8"/>
  <c r="AA84" i="8" s="1"/>
  <c r="AI84" i="8" s="1"/>
  <c r="R84" i="8"/>
  <c r="Z84" i="8" s="1"/>
  <c r="AH84" i="8" s="1"/>
  <c r="Q84" i="8"/>
  <c r="Y84" i="8" s="1"/>
  <c r="AG84" i="8" s="1"/>
  <c r="P84" i="8"/>
  <c r="X84" i="8" s="1"/>
  <c r="AF84" i="8" s="1"/>
  <c r="O84" i="8"/>
  <c r="W84" i="8" s="1"/>
  <c r="AE84" i="8" s="1"/>
  <c r="N84" i="8"/>
  <c r="V84" i="8" s="1"/>
  <c r="AD84" i="8" s="1"/>
  <c r="U83" i="8"/>
  <c r="AC83" i="8" s="1"/>
  <c r="AK83" i="8" s="1"/>
  <c r="T83" i="8"/>
  <c r="AB83" i="8" s="1"/>
  <c r="AJ83" i="8" s="1"/>
  <c r="S83" i="8"/>
  <c r="AA83" i="8" s="1"/>
  <c r="AI83" i="8" s="1"/>
  <c r="R83" i="8"/>
  <c r="Z83" i="8" s="1"/>
  <c r="AH83" i="8" s="1"/>
  <c r="Q83" i="8"/>
  <c r="Y83" i="8" s="1"/>
  <c r="AG83" i="8" s="1"/>
  <c r="P83" i="8"/>
  <c r="X83" i="8" s="1"/>
  <c r="AF83" i="8" s="1"/>
  <c r="O83" i="8"/>
  <c r="W83" i="8" s="1"/>
  <c r="AE83" i="8" s="1"/>
  <c r="N83" i="8"/>
  <c r="V83" i="8" s="1"/>
  <c r="AD83" i="8" s="1"/>
  <c r="U82" i="8"/>
  <c r="AC82" i="8" s="1"/>
  <c r="AK82" i="8" s="1"/>
  <c r="T82" i="8"/>
  <c r="AB82" i="8" s="1"/>
  <c r="AJ82" i="8" s="1"/>
  <c r="S82" i="8"/>
  <c r="AA82" i="8" s="1"/>
  <c r="AI82" i="8" s="1"/>
  <c r="R82" i="8"/>
  <c r="Z82" i="8" s="1"/>
  <c r="AH82" i="8" s="1"/>
  <c r="Q82" i="8"/>
  <c r="Y82" i="8" s="1"/>
  <c r="AG82" i="8" s="1"/>
  <c r="P82" i="8"/>
  <c r="X82" i="8" s="1"/>
  <c r="AF82" i="8" s="1"/>
  <c r="O82" i="8"/>
  <c r="W82" i="8" s="1"/>
  <c r="AE82" i="8" s="1"/>
  <c r="N82" i="8"/>
  <c r="V82" i="8" s="1"/>
  <c r="AD82" i="8" s="1"/>
  <c r="U81" i="8"/>
  <c r="AC81" i="8" s="1"/>
  <c r="AK81" i="8" s="1"/>
  <c r="T81" i="8"/>
  <c r="AB81" i="8" s="1"/>
  <c r="AJ81" i="8" s="1"/>
  <c r="S81" i="8"/>
  <c r="AA81" i="8" s="1"/>
  <c r="AI81" i="8" s="1"/>
  <c r="R81" i="8"/>
  <c r="Z81" i="8" s="1"/>
  <c r="AH81" i="8" s="1"/>
  <c r="Q81" i="8"/>
  <c r="Y81" i="8" s="1"/>
  <c r="AG81" i="8" s="1"/>
  <c r="P81" i="8"/>
  <c r="X81" i="8" s="1"/>
  <c r="AF81" i="8" s="1"/>
  <c r="O81" i="8"/>
  <c r="W81" i="8" s="1"/>
  <c r="AE81" i="8" s="1"/>
  <c r="N81" i="8"/>
  <c r="V81" i="8" s="1"/>
  <c r="AD81" i="8" s="1"/>
  <c r="U80" i="8"/>
  <c r="AC80" i="8" s="1"/>
  <c r="AK80" i="8" s="1"/>
  <c r="T80" i="8"/>
  <c r="AB80" i="8" s="1"/>
  <c r="AJ80" i="8" s="1"/>
  <c r="S80" i="8"/>
  <c r="AA80" i="8" s="1"/>
  <c r="AI80" i="8" s="1"/>
  <c r="R80" i="8"/>
  <c r="Z80" i="8" s="1"/>
  <c r="AH80" i="8" s="1"/>
  <c r="Q80" i="8"/>
  <c r="Y80" i="8" s="1"/>
  <c r="AG80" i="8" s="1"/>
  <c r="P80" i="8"/>
  <c r="X80" i="8" s="1"/>
  <c r="AF80" i="8" s="1"/>
  <c r="O80" i="8"/>
  <c r="W80" i="8" s="1"/>
  <c r="AE80" i="8" s="1"/>
  <c r="N80" i="8"/>
  <c r="V80" i="8" s="1"/>
  <c r="AD80" i="8" s="1"/>
  <c r="U79" i="8"/>
  <c r="AC79" i="8" s="1"/>
  <c r="AK79" i="8" s="1"/>
  <c r="T79" i="8"/>
  <c r="AB79" i="8" s="1"/>
  <c r="AJ79" i="8" s="1"/>
  <c r="S79" i="8"/>
  <c r="AA79" i="8" s="1"/>
  <c r="AI79" i="8" s="1"/>
  <c r="R79" i="8"/>
  <c r="Z79" i="8" s="1"/>
  <c r="AH79" i="8" s="1"/>
  <c r="Q79" i="8"/>
  <c r="Y79" i="8" s="1"/>
  <c r="AG79" i="8" s="1"/>
  <c r="P79" i="8"/>
  <c r="X79" i="8" s="1"/>
  <c r="AF79" i="8" s="1"/>
  <c r="O79" i="8"/>
  <c r="W79" i="8" s="1"/>
  <c r="AE79" i="8" s="1"/>
  <c r="N79" i="8"/>
  <c r="V79" i="8" s="1"/>
  <c r="AD79" i="8" s="1"/>
  <c r="U78" i="8"/>
  <c r="AC78" i="8" s="1"/>
  <c r="AK78" i="8" s="1"/>
  <c r="T78" i="8"/>
  <c r="AB78" i="8" s="1"/>
  <c r="AJ78" i="8" s="1"/>
  <c r="S78" i="8"/>
  <c r="AA78" i="8" s="1"/>
  <c r="AI78" i="8" s="1"/>
  <c r="R78" i="8"/>
  <c r="Z78" i="8" s="1"/>
  <c r="AH78" i="8" s="1"/>
  <c r="Q78" i="8"/>
  <c r="Y78" i="8" s="1"/>
  <c r="AG78" i="8" s="1"/>
  <c r="P78" i="8"/>
  <c r="X78" i="8" s="1"/>
  <c r="AF78" i="8" s="1"/>
  <c r="O78" i="8"/>
  <c r="W78" i="8" s="1"/>
  <c r="AE78" i="8" s="1"/>
  <c r="N78" i="8"/>
  <c r="V78" i="8" s="1"/>
  <c r="AD78" i="8" s="1"/>
  <c r="U77" i="8"/>
  <c r="AC77" i="8" s="1"/>
  <c r="AK77" i="8" s="1"/>
  <c r="T77" i="8"/>
  <c r="AB77" i="8" s="1"/>
  <c r="AJ77" i="8" s="1"/>
  <c r="S77" i="8"/>
  <c r="AA77" i="8" s="1"/>
  <c r="AI77" i="8" s="1"/>
  <c r="R77" i="8"/>
  <c r="Z77" i="8" s="1"/>
  <c r="AH77" i="8" s="1"/>
  <c r="Q77" i="8"/>
  <c r="Y77" i="8" s="1"/>
  <c r="AG77" i="8" s="1"/>
  <c r="P77" i="8"/>
  <c r="X77" i="8" s="1"/>
  <c r="AF77" i="8" s="1"/>
  <c r="O77" i="8"/>
  <c r="W77" i="8" s="1"/>
  <c r="AE77" i="8" s="1"/>
  <c r="N77" i="8"/>
  <c r="V77" i="8" s="1"/>
  <c r="AD77" i="8" s="1"/>
  <c r="U76" i="8"/>
  <c r="AC76" i="8" s="1"/>
  <c r="AK76" i="8" s="1"/>
  <c r="T76" i="8"/>
  <c r="AB76" i="8" s="1"/>
  <c r="AJ76" i="8" s="1"/>
  <c r="S76" i="8"/>
  <c r="AA76" i="8" s="1"/>
  <c r="AI76" i="8" s="1"/>
  <c r="R76" i="8"/>
  <c r="Z76" i="8" s="1"/>
  <c r="AH76" i="8" s="1"/>
  <c r="Q76" i="8"/>
  <c r="Y76" i="8" s="1"/>
  <c r="AG76" i="8" s="1"/>
  <c r="P76" i="8"/>
  <c r="X76" i="8" s="1"/>
  <c r="AF76" i="8" s="1"/>
  <c r="O76" i="8"/>
  <c r="W76" i="8" s="1"/>
  <c r="AE76" i="8" s="1"/>
  <c r="N76" i="8"/>
  <c r="V76" i="8" s="1"/>
  <c r="AD76" i="8" s="1"/>
  <c r="U75" i="8"/>
  <c r="AC75" i="8" s="1"/>
  <c r="AK75" i="8" s="1"/>
  <c r="T75" i="8"/>
  <c r="AB75" i="8" s="1"/>
  <c r="AJ75" i="8" s="1"/>
  <c r="S75" i="8"/>
  <c r="AA75" i="8" s="1"/>
  <c r="AI75" i="8" s="1"/>
  <c r="R75" i="8"/>
  <c r="Z75" i="8" s="1"/>
  <c r="AH75" i="8" s="1"/>
  <c r="Q75" i="8"/>
  <c r="Y75" i="8" s="1"/>
  <c r="AG75" i="8" s="1"/>
  <c r="P75" i="8"/>
  <c r="X75" i="8" s="1"/>
  <c r="AF75" i="8" s="1"/>
  <c r="O75" i="8"/>
  <c r="W75" i="8" s="1"/>
  <c r="AE75" i="8" s="1"/>
  <c r="N75" i="8"/>
  <c r="V75" i="8" s="1"/>
  <c r="AD75" i="8" s="1"/>
  <c r="U74" i="8"/>
  <c r="AC74" i="8" s="1"/>
  <c r="AK74" i="8" s="1"/>
  <c r="T74" i="8"/>
  <c r="AB74" i="8" s="1"/>
  <c r="AJ74" i="8" s="1"/>
  <c r="S74" i="8"/>
  <c r="AA74" i="8" s="1"/>
  <c r="AI74" i="8" s="1"/>
  <c r="R74" i="8"/>
  <c r="Z74" i="8" s="1"/>
  <c r="AH74" i="8" s="1"/>
  <c r="Q74" i="8"/>
  <c r="Y74" i="8" s="1"/>
  <c r="AG74" i="8" s="1"/>
  <c r="P74" i="8"/>
  <c r="X74" i="8" s="1"/>
  <c r="AF74" i="8" s="1"/>
  <c r="O74" i="8"/>
  <c r="W74" i="8" s="1"/>
  <c r="AE74" i="8" s="1"/>
  <c r="N74" i="8"/>
  <c r="V74" i="8" s="1"/>
  <c r="AD74" i="8" s="1"/>
  <c r="U73" i="8"/>
  <c r="AC73" i="8" s="1"/>
  <c r="AK73" i="8" s="1"/>
  <c r="T73" i="8"/>
  <c r="AB73" i="8" s="1"/>
  <c r="AJ73" i="8" s="1"/>
  <c r="S73" i="8"/>
  <c r="AA73" i="8" s="1"/>
  <c r="AI73" i="8" s="1"/>
  <c r="R73" i="8"/>
  <c r="Z73" i="8" s="1"/>
  <c r="AH73" i="8" s="1"/>
  <c r="Q73" i="8"/>
  <c r="Y73" i="8" s="1"/>
  <c r="AG73" i="8" s="1"/>
  <c r="P73" i="8"/>
  <c r="X73" i="8" s="1"/>
  <c r="AF73" i="8" s="1"/>
  <c r="O73" i="8"/>
  <c r="W73" i="8" s="1"/>
  <c r="AE73" i="8" s="1"/>
  <c r="N73" i="8"/>
  <c r="V73" i="8" s="1"/>
  <c r="AD73" i="8" s="1"/>
  <c r="U72" i="8"/>
  <c r="AC72" i="8" s="1"/>
  <c r="AK72" i="8" s="1"/>
  <c r="T72" i="8"/>
  <c r="AB72" i="8" s="1"/>
  <c r="AJ72" i="8" s="1"/>
  <c r="S72" i="8"/>
  <c r="AA72" i="8" s="1"/>
  <c r="AI72" i="8" s="1"/>
  <c r="R72" i="8"/>
  <c r="Z72" i="8" s="1"/>
  <c r="AH72" i="8" s="1"/>
  <c r="Q72" i="8"/>
  <c r="Y72" i="8" s="1"/>
  <c r="AG72" i="8" s="1"/>
  <c r="P72" i="8"/>
  <c r="X72" i="8" s="1"/>
  <c r="AF72" i="8" s="1"/>
  <c r="O72" i="8"/>
  <c r="W72" i="8" s="1"/>
  <c r="AE72" i="8" s="1"/>
  <c r="N72" i="8"/>
  <c r="V72" i="8" s="1"/>
  <c r="AD72" i="8" s="1"/>
  <c r="U71" i="8"/>
  <c r="AC71" i="8" s="1"/>
  <c r="AK71" i="8" s="1"/>
  <c r="T71" i="8"/>
  <c r="AB71" i="8" s="1"/>
  <c r="AJ71" i="8" s="1"/>
  <c r="S71" i="8"/>
  <c r="AA71" i="8" s="1"/>
  <c r="AI71" i="8" s="1"/>
  <c r="R71" i="8"/>
  <c r="Z71" i="8" s="1"/>
  <c r="AH71" i="8" s="1"/>
  <c r="Q71" i="8"/>
  <c r="Y71" i="8" s="1"/>
  <c r="AG71" i="8" s="1"/>
  <c r="P71" i="8"/>
  <c r="X71" i="8" s="1"/>
  <c r="AF71" i="8" s="1"/>
  <c r="O71" i="8"/>
  <c r="W71" i="8" s="1"/>
  <c r="AE71" i="8" s="1"/>
  <c r="N71" i="8"/>
  <c r="V71" i="8" s="1"/>
  <c r="AD71" i="8" s="1"/>
  <c r="U70" i="8"/>
  <c r="AC70" i="8" s="1"/>
  <c r="AK70" i="8" s="1"/>
  <c r="T70" i="8"/>
  <c r="AB70" i="8" s="1"/>
  <c r="AJ70" i="8" s="1"/>
  <c r="S70" i="8"/>
  <c r="AA70" i="8" s="1"/>
  <c r="AI70" i="8" s="1"/>
  <c r="R70" i="8"/>
  <c r="Z70" i="8" s="1"/>
  <c r="AH70" i="8" s="1"/>
  <c r="Q70" i="8"/>
  <c r="Y70" i="8" s="1"/>
  <c r="AG70" i="8" s="1"/>
  <c r="P70" i="8"/>
  <c r="X70" i="8" s="1"/>
  <c r="AF70" i="8" s="1"/>
  <c r="O70" i="8"/>
  <c r="W70" i="8" s="1"/>
  <c r="AE70" i="8" s="1"/>
  <c r="N70" i="8"/>
  <c r="V70" i="8" s="1"/>
  <c r="AD70" i="8" s="1"/>
  <c r="U69" i="8"/>
  <c r="AC69" i="8" s="1"/>
  <c r="AK69" i="8" s="1"/>
  <c r="T69" i="8"/>
  <c r="AB69" i="8" s="1"/>
  <c r="AJ69" i="8" s="1"/>
  <c r="S69" i="8"/>
  <c r="AA69" i="8" s="1"/>
  <c r="AI69" i="8" s="1"/>
  <c r="R69" i="8"/>
  <c r="Z69" i="8" s="1"/>
  <c r="AH69" i="8" s="1"/>
  <c r="Q69" i="8"/>
  <c r="Y69" i="8" s="1"/>
  <c r="AG69" i="8" s="1"/>
  <c r="P69" i="8"/>
  <c r="X69" i="8" s="1"/>
  <c r="AF69" i="8" s="1"/>
  <c r="O69" i="8"/>
  <c r="W69" i="8" s="1"/>
  <c r="AE69" i="8" s="1"/>
  <c r="N69" i="8"/>
  <c r="V69" i="8" s="1"/>
  <c r="AD69" i="8" s="1"/>
  <c r="U68" i="8"/>
  <c r="AC68" i="8" s="1"/>
  <c r="AK68" i="8" s="1"/>
  <c r="T68" i="8"/>
  <c r="AB68" i="8" s="1"/>
  <c r="AJ68" i="8" s="1"/>
  <c r="S68" i="8"/>
  <c r="AA68" i="8" s="1"/>
  <c r="AI68" i="8" s="1"/>
  <c r="R68" i="8"/>
  <c r="Z68" i="8" s="1"/>
  <c r="AH68" i="8" s="1"/>
  <c r="Q68" i="8"/>
  <c r="Y68" i="8" s="1"/>
  <c r="AG68" i="8" s="1"/>
  <c r="P68" i="8"/>
  <c r="X68" i="8" s="1"/>
  <c r="AF68" i="8" s="1"/>
  <c r="O68" i="8"/>
  <c r="W68" i="8" s="1"/>
  <c r="AE68" i="8" s="1"/>
  <c r="N68" i="8"/>
  <c r="V68" i="8" s="1"/>
  <c r="AD68" i="8" s="1"/>
  <c r="U67" i="8"/>
  <c r="AC67" i="8" s="1"/>
  <c r="AK67" i="8" s="1"/>
  <c r="T67" i="8"/>
  <c r="AB67" i="8" s="1"/>
  <c r="AJ67" i="8" s="1"/>
  <c r="S67" i="8"/>
  <c r="AA67" i="8" s="1"/>
  <c r="AI67" i="8" s="1"/>
  <c r="R67" i="8"/>
  <c r="Z67" i="8" s="1"/>
  <c r="AH67" i="8" s="1"/>
  <c r="Q67" i="8"/>
  <c r="Y67" i="8" s="1"/>
  <c r="AG67" i="8" s="1"/>
  <c r="P67" i="8"/>
  <c r="X67" i="8" s="1"/>
  <c r="AF67" i="8" s="1"/>
  <c r="O67" i="8"/>
  <c r="W67" i="8" s="1"/>
  <c r="AE67" i="8" s="1"/>
  <c r="N67" i="8"/>
  <c r="V67" i="8" s="1"/>
  <c r="AD67" i="8" s="1"/>
  <c r="U66" i="8"/>
  <c r="AC66" i="8" s="1"/>
  <c r="AK66" i="8" s="1"/>
  <c r="T66" i="8"/>
  <c r="AB66" i="8" s="1"/>
  <c r="AJ66" i="8" s="1"/>
  <c r="S66" i="8"/>
  <c r="AA66" i="8" s="1"/>
  <c r="AI66" i="8" s="1"/>
  <c r="R66" i="8"/>
  <c r="Z66" i="8" s="1"/>
  <c r="AH66" i="8" s="1"/>
  <c r="Q66" i="8"/>
  <c r="Y66" i="8" s="1"/>
  <c r="AG66" i="8" s="1"/>
  <c r="P66" i="8"/>
  <c r="X66" i="8" s="1"/>
  <c r="AF66" i="8" s="1"/>
  <c r="O66" i="8"/>
  <c r="W66" i="8" s="1"/>
  <c r="AE66" i="8" s="1"/>
  <c r="N66" i="8"/>
  <c r="V66" i="8" s="1"/>
  <c r="AD66" i="8" s="1"/>
  <c r="U65" i="8"/>
  <c r="AC65" i="8" s="1"/>
  <c r="AK65" i="8" s="1"/>
  <c r="T65" i="8"/>
  <c r="AB65" i="8" s="1"/>
  <c r="AJ65" i="8" s="1"/>
  <c r="S65" i="8"/>
  <c r="AA65" i="8" s="1"/>
  <c r="AI65" i="8" s="1"/>
  <c r="R65" i="8"/>
  <c r="Z65" i="8" s="1"/>
  <c r="AH65" i="8" s="1"/>
  <c r="Q65" i="8"/>
  <c r="Y65" i="8" s="1"/>
  <c r="AG65" i="8" s="1"/>
  <c r="P65" i="8"/>
  <c r="X65" i="8" s="1"/>
  <c r="AF65" i="8" s="1"/>
  <c r="O65" i="8"/>
  <c r="W65" i="8" s="1"/>
  <c r="AE65" i="8" s="1"/>
  <c r="N65" i="8"/>
  <c r="V65" i="8" s="1"/>
  <c r="AD65" i="8" s="1"/>
  <c r="U64" i="8"/>
  <c r="AC64" i="8" s="1"/>
  <c r="AK64" i="8" s="1"/>
  <c r="T64" i="8"/>
  <c r="AB64" i="8" s="1"/>
  <c r="AJ64" i="8" s="1"/>
  <c r="S64" i="8"/>
  <c r="AA64" i="8" s="1"/>
  <c r="AI64" i="8" s="1"/>
  <c r="R64" i="8"/>
  <c r="Z64" i="8" s="1"/>
  <c r="AH64" i="8" s="1"/>
  <c r="Q64" i="8"/>
  <c r="Y64" i="8" s="1"/>
  <c r="AG64" i="8" s="1"/>
  <c r="P64" i="8"/>
  <c r="X64" i="8" s="1"/>
  <c r="AF64" i="8" s="1"/>
  <c r="O64" i="8"/>
  <c r="W64" i="8" s="1"/>
  <c r="AE64" i="8" s="1"/>
  <c r="N64" i="8"/>
  <c r="V64" i="8" s="1"/>
  <c r="AD64" i="8" s="1"/>
  <c r="U63" i="8"/>
  <c r="AC63" i="8" s="1"/>
  <c r="AK63" i="8" s="1"/>
  <c r="T63" i="8"/>
  <c r="AB63" i="8" s="1"/>
  <c r="AJ63" i="8" s="1"/>
  <c r="S63" i="8"/>
  <c r="AA63" i="8" s="1"/>
  <c r="AI63" i="8" s="1"/>
  <c r="R63" i="8"/>
  <c r="Z63" i="8" s="1"/>
  <c r="AH63" i="8" s="1"/>
  <c r="Q63" i="8"/>
  <c r="Y63" i="8" s="1"/>
  <c r="AG63" i="8" s="1"/>
  <c r="P63" i="8"/>
  <c r="X63" i="8" s="1"/>
  <c r="AF63" i="8" s="1"/>
  <c r="O63" i="8"/>
  <c r="W63" i="8" s="1"/>
  <c r="AE63" i="8" s="1"/>
  <c r="N63" i="8"/>
  <c r="V63" i="8" s="1"/>
  <c r="AD63" i="8" s="1"/>
  <c r="U62" i="8"/>
  <c r="AC62" i="8" s="1"/>
  <c r="AK62" i="8" s="1"/>
  <c r="T62" i="8"/>
  <c r="AB62" i="8" s="1"/>
  <c r="AJ62" i="8" s="1"/>
  <c r="S62" i="8"/>
  <c r="AA62" i="8" s="1"/>
  <c r="AI62" i="8" s="1"/>
  <c r="R62" i="8"/>
  <c r="Z62" i="8" s="1"/>
  <c r="AH62" i="8" s="1"/>
  <c r="Q62" i="8"/>
  <c r="Y62" i="8" s="1"/>
  <c r="AG62" i="8" s="1"/>
  <c r="P62" i="8"/>
  <c r="X62" i="8" s="1"/>
  <c r="AF62" i="8" s="1"/>
  <c r="O62" i="8"/>
  <c r="W62" i="8" s="1"/>
  <c r="AE62" i="8" s="1"/>
  <c r="N62" i="8"/>
  <c r="V62" i="8" s="1"/>
  <c r="AD62" i="8" s="1"/>
  <c r="U61" i="8"/>
  <c r="AC61" i="8" s="1"/>
  <c r="AK61" i="8" s="1"/>
  <c r="T61" i="8"/>
  <c r="AB61" i="8" s="1"/>
  <c r="AJ61" i="8" s="1"/>
  <c r="S61" i="8"/>
  <c r="AA61" i="8" s="1"/>
  <c r="AI61" i="8" s="1"/>
  <c r="R61" i="8"/>
  <c r="Z61" i="8" s="1"/>
  <c r="AH61" i="8" s="1"/>
  <c r="Q61" i="8"/>
  <c r="Y61" i="8" s="1"/>
  <c r="AG61" i="8" s="1"/>
  <c r="P61" i="8"/>
  <c r="X61" i="8" s="1"/>
  <c r="AF61" i="8" s="1"/>
  <c r="O61" i="8"/>
  <c r="W61" i="8" s="1"/>
  <c r="AE61" i="8" s="1"/>
  <c r="N61" i="8"/>
  <c r="V61" i="8" s="1"/>
  <c r="AD61" i="8" s="1"/>
  <c r="U60" i="8"/>
  <c r="AC60" i="8" s="1"/>
  <c r="AK60" i="8" s="1"/>
  <c r="T60" i="8"/>
  <c r="AB60" i="8" s="1"/>
  <c r="AJ60" i="8" s="1"/>
  <c r="S60" i="8"/>
  <c r="AA60" i="8" s="1"/>
  <c r="AI60" i="8" s="1"/>
  <c r="R60" i="8"/>
  <c r="Z60" i="8" s="1"/>
  <c r="AH60" i="8" s="1"/>
  <c r="Q60" i="8"/>
  <c r="Y60" i="8" s="1"/>
  <c r="AG60" i="8" s="1"/>
  <c r="P60" i="8"/>
  <c r="X60" i="8" s="1"/>
  <c r="AF60" i="8" s="1"/>
  <c r="O60" i="8"/>
  <c r="W60" i="8" s="1"/>
  <c r="AE60" i="8" s="1"/>
  <c r="N60" i="8"/>
  <c r="V60" i="8" s="1"/>
  <c r="AD60" i="8" s="1"/>
  <c r="U59" i="8"/>
  <c r="AC59" i="8" s="1"/>
  <c r="AK59" i="8" s="1"/>
  <c r="T59" i="8"/>
  <c r="AB59" i="8" s="1"/>
  <c r="AJ59" i="8" s="1"/>
  <c r="S59" i="8"/>
  <c r="AA59" i="8" s="1"/>
  <c r="AI59" i="8" s="1"/>
  <c r="R59" i="8"/>
  <c r="Z59" i="8" s="1"/>
  <c r="AH59" i="8" s="1"/>
  <c r="Q59" i="8"/>
  <c r="Y59" i="8" s="1"/>
  <c r="AG59" i="8" s="1"/>
  <c r="P59" i="8"/>
  <c r="X59" i="8" s="1"/>
  <c r="AF59" i="8" s="1"/>
  <c r="O59" i="8"/>
  <c r="W59" i="8" s="1"/>
  <c r="AE59" i="8" s="1"/>
  <c r="N59" i="8"/>
  <c r="V59" i="8" s="1"/>
  <c r="AD59" i="8" s="1"/>
  <c r="U58" i="8"/>
  <c r="AC58" i="8" s="1"/>
  <c r="AK58" i="8" s="1"/>
  <c r="T58" i="8"/>
  <c r="AB58" i="8" s="1"/>
  <c r="AJ58" i="8" s="1"/>
  <c r="S58" i="8"/>
  <c r="AA58" i="8" s="1"/>
  <c r="AI58" i="8" s="1"/>
  <c r="R58" i="8"/>
  <c r="Z58" i="8" s="1"/>
  <c r="AH58" i="8" s="1"/>
  <c r="Q58" i="8"/>
  <c r="Y58" i="8" s="1"/>
  <c r="AG58" i="8" s="1"/>
  <c r="P58" i="8"/>
  <c r="X58" i="8" s="1"/>
  <c r="AF58" i="8" s="1"/>
  <c r="O58" i="8"/>
  <c r="W58" i="8" s="1"/>
  <c r="AE58" i="8" s="1"/>
  <c r="N58" i="8"/>
  <c r="V58" i="8" s="1"/>
  <c r="AD58" i="8" s="1"/>
  <c r="U57" i="8"/>
  <c r="AC57" i="8" s="1"/>
  <c r="AK57" i="8" s="1"/>
  <c r="T57" i="8"/>
  <c r="AB57" i="8" s="1"/>
  <c r="AJ57" i="8" s="1"/>
  <c r="S57" i="8"/>
  <c r="AA57" i="8" s="1"/>
  <c r="AI57" i="8" s="1"/>
  <c r="R57" i="8"/>
  <c r="Z57" i="8" s="1"/>
  <c r="AH57" i="8" s="1"/>
  <c r="Q57" i="8"/>
  <c r="Y57" i="8" s="1"/>
  <c r="AG57" i="8" s="1"/>
  <c r="P57" i="8"/>
  <c r="X57" i="8" s="1"/>
  <c r="AF57" i="8" s="1"/>
  <c r="O57" i="8"/>
  <c r="W57" i="8" s="1"/>
  <c r="AE57" i="8" s="1"/>
  <c r="N57" i="8"/>
  <c r="V57" i="8" s="1"/>
  <c r="AD57" i="8" s="1"/>
  <c r="U56" i="8"/>
  <c r="AC56" i="8" s="1"/>
  <c r="AK56" i="8" s="1"/>
  <c r="T56" i="8"/>
  <c r="AB56" i="8" s="1"/>
  <c r="AJ56" i="8" s="1"/>
  <c r="S56" i="8"/>
  <c r="AA56" i="8" s="1"/>
  <c r="AI56" i="8" s="1"/>
  <c r="R56" i="8"/>
  <c r="Z56" i="8" s="1"/>
  <c r="AH56" i="8" s="1"/>
  <c r="Q56" i="8"/>
  <c r="Y56" i="8" s="1"/>
  <c r="AG56" i="8" s="1"/>
  <c r="P56" i="8"/>
  <c r="X56" i="8" s="1"/>
  <c r="AF56" i="8" s="1"/>
  <c r="O56" i="8"/>
  <c r="W56" i="8" s="1"/>
  <c r="AE56" i="8" s="1"/>
  <c r="N56" i="8"/>
  <c r="V56" i="8" s="1"/>
  <c r="AD56" i="8" s="1"/>
  <c r="U55" i="8"/>
  <c r="AC55" i="8" s="1"/>
  <c r="AK55" i="8" s="1"/>
  <c r="T55" i="8"/>
  <c r="AB55" i="8" s="1"/>
  <c r="AJ55" i="8" s="1"/>
  <c r="S55" i="8"/>
  <c r="AA55" i="8" s="1"/>
  <c r="AI55" i="8" s="1"/>
  <c r="R55" i="8"/>
  <c r="Z55" i="8" s="1"/>
  <c r="AH55" i="8" s="1"/>
  <c r="Q55" i="8"/>
  <c r="Y55" i="8" s="1"/>
  <c r="AG55" i="8" s="1"/>
  <c r="P55" i="8"/>
  <c r="X55" i="8" s="1"/>
  <c r="AF55" i="8" s="1"/>
  <c r="O55" i="8"/>
  <c r="W55" i="8" s="1"/>
  <c r="AE55" i="8" s="1"/>
  <c r="N55" i="8"/>
  <c r="V55" i="8" s="1"/>
  <c r="AD55" i="8" s="1"/>
  <c r="U54" i="8"/>
  <c r="AC54" i="8" s="1"/>
  <c r="AK54" i="8" s="1"/>
  <c r="T54" i="8"/>
  <c r="AB54" i="8" s="1"/>
  <c r="AJ54" i="8" s="1"/>
  <c r="S54" i="8"/>
  <c r="AA54" i="8" s="1"/>
  <c r="AI54" i="8" s="1"/>
  <c r="R54" i="8"/>
  <c r="Z54" i="8" s="1"/>
  <c r="AH54" i="8" s="1"/>
  <c r="Q54" i="8"/>
  <c r="Y54" i="8" s="1"/>
  <c r="AG54" i="8" s="1"/>
  <c r="P54" i="8"/>
  <c r="X54" i="8" s="1"/>
  <c r="AF54" i="8" s="1"/>
  <c r="O54" i="8"/>
  <c r="W54" i="8" s="1"/>
  <c r="AE54" i="8" s="1"/>
  <c r="N54" i="8"/>
  <c r="V54" i="8" s="1"/>
  <c r="AD54" i="8" s="1"/>
  <c r="U53" i="8"/>
  <c r="AC53" i="8" s="1"/>
  <c r="AK53" i="8" s="1"/>
  <c r="T53" i="8"/>
  <c r="AB53" i="8" s="1"/>
  <c r="AJ53" i="8" s="1"/>
  <c r="S53" i="8"/>
  <c r="AA53" i="8" s="1"/>
  <c r="AI53" i="8" s="1"/>
  <c r="R53" i="8"/>
  <c r="Z53" i="8" s="1"/>
  <c r="AH53" i="8" s="1"/>
  <c r="Q53" i="8"/>
  <c r="Y53" i="8" s="1"/>
  <c r="AG53" i="8" s="1"/>
  <c r="P53" i="8"/>
  <c r="X53" i="8" s="1"/>
  <c r="AF53" i="8" s="1"/>
  <c r="O53" i="8"/>
  <c r="W53" i="8" s="1"/>
  <c r="AE53" i="8" s="1"/>
  <c r="N53" i="8"/>
  <c r="V53" i="8" s="1"/>
  <c r="AD53" i="8" s="1"/>
  <c r="U52" i="8"/>
  <c r="AC52" i="8" s="1"/>
  <c r="AK52" i="8" s="1"/>
  <c r="T52" i="8"/>
  <c r="AB52" i="8" s="1"/>
  <c r="AJ52" i="8" s="1"/>
  <c r="S52" i="8"/>
  <c r="AA52" i="8" s="1"/>
  <c r="AI52" i="8" s="1"/>
  <c r="R52" i="8"/>
  <c r="Z52" i="8" s="1"/>
  <c r="AH52" i="8" s="1"/>
  <c r="Q52" i="8"/>
  <c r="Y52" i="8" s="1"/>
  <c r="AG52" i="8" s="1"/>
  <c r="P52" i="8"/>
  <c r="X52" i="8" s="1"/>
  <c r="AF52" i="8" s="1"/>
  <c r="O52" i="8"/>
  <c r="W52" i="8" s="1"/>
  <c r="AE52" i="8" s="1"/>
  <c r="N52" i="8"/>
  <c r="V52" i="8" s="1"/>
  <c r="AD52" i="8" s="1"/>
  <c r="U51" i="8"/>
  <c r="AC51" i="8" s="1"/>
  <c r="AK51" i="8" s="1"/>
  <c r="T51" i="8"/>
  <c r="AB51" i="8" s="1"/>
  <c r="AJ51" i="8" s="1"/>
  <c r="S51" i="8"/>
  <c r="AA51" i="8" s="1"/>
  <c r="AI51" i="8" s="1"/>
  <c r="R51" i="8"/>
  <c r="Z51" i="8" s="1"/>
  <c r="AH51" i="8" s="1"/>
  <c r="Q51" i="8"/>
  <c r="Y51" i="8" s="1"/>
  <c r="AG51" i="8" s="1"/>
  <c r="P51" i="8"/>
  <c r="X51" i="8" s="1"/>
  <c r="AF51" i="8" s="1"/>
  <c r="O51" i="8"/>
  <c r="W51" i="8" s="1"/>
  <c r="AE51" i="8" s="1"/>
  <c r="N51" i="8"/>
  <c r="V51" i="8" s="1"/>
  <c r="AD51" i="8" s="1"/>
  <c r="U50" i="8"/>
  <c r="AC50" i="8" s="1"/>
  <c r="AK50" i="8" s="1"/>
  <c r="T50" i="8"/>
  <c r="AB50" i="8" s="1"/>
  <c r="AJ50" i="8" s="1"/>
  <c r="S50" i="8"/>
  <c r="AA50" i="8" s="1"/>
  <c r="AI50" i="8" s="1"/>
  <c r="R50" i="8"/>
  <c r="Z50" i="8" s="1"/>
  <c r="AH50" i="8" s="1"/>
  <c r="Q50" i="8"/>
  <c r="Y50" i="8" s="1"/>
  <c r="AG50" i="8" s="1"/>
  <c r="P50" i="8"/>
  <c r="X50" i="8" s="1"/>
  <c r="AF50" i="8" s="1"/>
  <c r="O50" i="8"/>
  <c r="W50" i="8" s="1"/>
  <c r="AE50" i="8" s="1"/>
  <c r="N50" i="8"/>
  <c r="V50" i="8" s="1"/>
  <c r="AD50" i="8" s="1"/>
  <c r="U49" i="8"/>
  <c r="AC49" i="8" s="1"/>
  <c r="AK49" i="8" s="1"/>
  <c r="T49" i="8"/>
  <c r="AB49" i="8" s="1"/>
  <c r="AJ49" i="8" s="1"/>
  <c r="S49" i="8"/>
  <c r="AA49" i="8" s="1"/>
  <c r="AI49" i="8" s="1"/>
  <c r="R49" i="8"/>
  <c r="Z49" i="8" s="1"/>
  <c r="AH49" i="8" s="1"/>
  <c r="Q49" i="8"/>
  <c r="Y49" i="8" s="1"/>
  <c r="AG49" i="8" s="1"/>
  <c r="P49" i="8"/>
  <c r="X49" i="8" s="1"/>
  <c r="AF49" i="8" s="1"/>
  <c r="O49" i="8"/>
  <c r="W49" i="8" s="1"/>
  <c r="AE49" i="8" s="1"/>
  <c r="N49" i="8"/>
  <c r="V49" i="8" s="1"/>
  <c r="AD49" i="8" s="1"/>
  <c r="U48" i="8"/>
  <c r="AC48" i="8" s="1"/>
  <c r="AK48" i="8" s="1"/>
  <c r="T48" i="8"/>
  <c r="AB48" i="8" s="1"/>
  <c r="AJ48" i="8" s="1"/>
  <c r="S48" i="8"/>
  <c r="AA48" i="8" s="1"/>
  <c r="AI48" i="8" s="1"/>
  <c r="R48" i="8"/>
  <c r="Z48" i="8" s="1"/>
  <c r="AH48" i="8" s="1"/>
  <c r="Q48" i="8"/>
  <c r="Y48" i="8" s="1"/>
  <c r="AG48" i="8" s="1"/>
  <c r="P48" i="8"/>
  <c r="X48" i="8" s="1"/>
  <c r="AF48" i="8" s="1"/>
  <c r="O48" i="8"/>
  <c r="W48" i="8" s="1"/>
  <c r="AE48" i="8" s="1"/>
  <c r="N48" i="8"/>
  <c r="V48" i="8" s="1"/>
  <c r="AD48" i="8" s="1"/>
  <c r="U47" i="8"/>
  <c r="AC47" i="8" s="1"/>
  <c r="AK47" i="8" s="1"/>
  <c r="T47" i="8"/>
  <c r="AB47" i="8" s="1"/>
  <c r="AJ47" i="8" s="1"/>
  <c r="S47" i="8"/>
  <c r="AA47" i="8" s="1"/>
  <c r="AI47" i="8" s="1"/>
  <c r="R47" i="8"/>
  <c r="Z47" i="8" s="1"/>
  <c r="AH47" i="8" s="1"/>
  <c r="Q47" i="8"/>
  <c r="Y47" i="8" s="1"/>
  <c r="AG47" i="8" s="1"/>
  <c r="P47" i="8"/>
  <c r="X47" i="8" s="1"/>
  <c r="AF47" i="8" s="1"/>
  <c r="O47" i="8"/>
  <c r="W47" i="8" s="1"/>
  <c r="AE47" i="8" s="1"/>
  <c r="N47" i="8"/>
  <c r="V47" i="8" s="1"/>
  <c r="AD47" i="8" s="1"/>
  <c r="U46" i="8"/>
  <c r="AC46" i="8" s="1"/>
  <c r="AK46" i="8" s="1"/>
  <c r="T46" i="8"/>
  <c r="AB46" i="8" s="1"/>
  <c r="AJ46" i="8" s="1"/>
  <c r="S46" i="8"/>
  <c r="AA46" i="8" s="1"/>
  <c r="AI46" i="8" s="1"/>
  <c r="R46" i="8"/>
  <c r="Z46" i="8" s="1"/>
  <c r="AH46" i="8" s="1"/>
  <c r="Q46" i="8"/>
  <c r="Y46" i="8" s="1"/>
  <c r="AG46" i="8" s="1"/>
  <c r="P46" i="8"/>
  <c r="X46" i="8" s="1"/>
  <c r="AF46" i="8" s="1"/>
  <c r="O46" i="8"/>
  <c r="W46" i="8" s="1"/>
  <c r="AE46" i="8" s="1"/>
  <c r="N46" i="8"/>
  <c r="V46" i="8" s="1"/>
  <c r="AD46" i="8" s="1"/>
  <c r="U45" i="8"/>
  <c r="AC45" i="8" s="1"/>
  <c r="AK45" i="8" s="1"/>
  <c r="T45" i="8"/>
  <c r="AB45" i="8" s="1"/>
  <c r="AJ45" i="8" s="1"/>
  <c r="S45" i="8"/>
  <c r="AA45" i="8" s="1"/>
  <c r="AI45" i="8" s="1"/>
  <c r="R45" i="8"/>
  <c r="Z45" i="8" s="1"/>
  <c r="AH45" i="8" s="1"/>
  <c r="Q45" i="8"/>
  <c r="Y45" i="8" s="1"/>
  <c r="AG45" i="8" s="1"/>
  <c r="P45" i="8"/>
  <c r="X45" i="8" s="1"/>
  <c r="AF45" i="8" s="1"/>
  <c r="O45" i="8"/>
  <c r="W45" i="8" s="1"/>
  <c r="AE45" i="8" s="1"/>
  <c r="N45" i="8"/>
  <c r="V45" i="8" s="1"/>
  <c r="AD45" i="8" s="1"/>
  <c r="U44" i="8"/>
  <c r="AC44" i="8" s="1"/>
  <c r="AK44" i="8" s="1"/>
  <c r="T44" i="8"/>
  <c r="AB44" i="8" s="1"/>
  <c r="AJ44" i="8" s="1"/>
  <c r="S44" i="8"/>
  <c r="AA44" i="8" s="1"/>
  <c r="AI44" i="8" s="1"/>
  <c r="R44" i="8"/>
  <c r="Z44" i="8" s="1"/>
  <c r="AH44" i="8" s="1"/>
  <c r="Q44" i="8"/>
  <c r="Y44" i="8" s="1"/>
  <c r="AG44" i="8" s="1"/>
  <c r="P44" i="8"/>
  <c r="X44" i="8" s="1"/>
  <c r="AF44" i="8" s="1"/>
  <c r="O44" i="8"/>
  <c r="W44" i="8" s="1"/>
  <c r="AE44" i="8" s="1"/>
  <c r="N44" i="8"/>
  <c r="V44" i="8" s="1"/>
  <c r="AD44" i="8" s="1"/>
  <c r="U43" i="8"/>
  <c r="AC43" i="8" s="1"/>
  <c r="AK43" i="8" s="1"/>
  <c r="T43" i="8"/>
  <c r="AB43" i="8" s="1"/>
  <c r="AJ43" i="8" s="1"/>
  <c r="S43" i="8"/>
  <c r="AA43" i="8" s="1"/>
  <c r="AI43" i="8" s="1"/>
  <c r="R43" i="8"/>
  <c r="Z43" i="8" s="1"/>
  <c r="AH43" i="8" s="1"/>
  <c r="Q43" i="8"/>
  <c r="Y43" i="8" s="1"/>
  <c r="AG43" i="8" s="1"/>
  <c r="P43" i="8"/>
  <c r="X43" i="8" s="1"/>
  <c r="AF43" i="8" s="1"/>
  <c r="O43" i="8"/>
  <c r="W43" i="8" s="1"/>
  <c r="AE43" i="8" s="1"/>
  <c r="N43" i="8"/>
  <c r="V43" i="8" s="1"/>
  <c r="AD43" i="8" s="1"/>
  <c r="U42" i="8"/>
  <c r="AC42" i="8" s="1"/>
  <c r="AK42" i="8" s="1"/>
  <c r="T42" i="8"/>
  <c r="AB42" i="8" s="1"/>
  <c r="AJ42" i="8" s="1"/>
  <c r="S42" i="8"/>
  <c r="AA42" i="8" s="1"/>
  <c r="AI42" i="8" s="1"/>
  <c r="R42" i="8"/>
  <c r="Z42" i="8" s="1"/>
  <c r="AH42" i="8" s="1"/>
  <c r="Q42" i="8"/>
  <c r="Y42" i="8" s="1"/>
  <c r="AG42" i="8" s="1"/>
  <c r="P42" i="8"/>
  <c r="X42" i="8" s="1"/>
  <c r="AF42" i="8" s="1"/>
  <c r="O42" i="8"/>
  <c r="W42" i="8" s="1"/>
  <c r="AE42" i="8" s="1"/>
  <c r="N42" i="8"/>
  <c r="V42" i="8" s="1"/>
  <c r="AD42" i="8" s="1"/>
  <c r="U41" i="8"/>
  <c r="AC41" i="8" s="1"/>
  <c r="AK41" i="8" s="1"/>
  <c r="T41" i="8"/>
  <c r="AB41" i="8" s="1"/>
  <c r="AJ41" i="8" s="1"/>
  <c r="S41" i="8"/>
  <c r="AA41" i="8" s="1"/>
  <c r="AI41" i="8" s="1"/>
  <c r="R41" i="8"/>
  <c r="Z41" i="8" s="1"/>
  <c r="AH41" i="8" s="1"/>
  <c r="Q41" i="8"/>
  <c r="Y41" i="8" s="1"/>
  <c r="AG41" i="8" s="1"/>
  <c r="P41" i="8"/>
  <c r="X41" i="8" s="1"/>
  <c r="AF41" i="8" s="1"/>
  <c r="O41" i="8"/>
  <c r="W41" i="8" s="1"/>
  <c r="AE41" i="8" s="1"/>
  <c r="N41" i="8"/>
  <c r="V41" i="8" s="1"/>
  <c r="AD41" i="8" s="1"/>
  <c r="U40" i="8"/>
  <c r="AC40" i="8" s="1"/>
  <c r="AK40" i="8" s="1"/>
  <c r="T40" i="8"/>
  <c r="AB40" i="8" s="1"/>
  <c r="AJ40" i="8" s="1"/>
  <c r="S40" i="8"/>
  <c r="AA40" i="8" s="1"/>
  <c r="AI40" i="8" s="1"/>
  <c r="R40" i="8"/>
  <c r="Z40" i="8" s="1"/>
  <c r="AH40" i="8" s="1"/>
  <c r="Q40" i="8"/>
  <c r="Y40" i="8" s="1"/>
  <c r="AG40" i="8" s="1"/>
  <c r="P40" i="8"/>
  <c r="X40" i="8" s="1"/>
  <c r="AF40" i="8" s="1"/>
  <c r="O40" i="8"/>
  <c r="W40" i="8" s="1"/>
  <c r="AE40" i="8" s="1"/>
  <c r="N40" i="8"/>
  <c r="V40" i="8" s="1"/>
  <c r="AD40" i="8" s="1"/>
  <c r="U39" i="8"/>
  <c r="AC39" i="8" s="1"/>
  <c r="AK39" i="8" s="1"/>
  <c r="T39" i="8"/>
  <c r="AB39" i="8" s="1"/>
  <c r="AJ39" i="8" s="1"/>
  <c r="S39" i="8"/>
  <c r="AA39" i="8" s="1"/>
  <c r="AI39" i="8" s="1"/>
  <c r="R39" i="8"/>
  <c r="Z39" i="8" s="1"/>
  <c r="AH39" i="8" s="1"/>
  <c r="Q39" i="8"/>
  <c r="Y39" i="8" s="1"/>
  <c r="AG39" i="8" s="1"/>
  <c r="P39" i="8"/>
  <c r="X39" i="8" s="1"/>
  <c r="AF39" i="8" s="1"/>
  <c r="O39" i="8"/>
  <c r="W39" i="8" s="1"/>
  <c r="AE39" i="8" s="1"/>
  <c r="N39" i="8"/>
  <c r="V39" i="8" s="1"/>
  <c r="AD39" i="8" s="1"/>
  <c r="U38" i="8"/>
  <c r="AC38" i="8" s="1"/>
  <c r="AK38" i="8" s="1"/>
  <c r="T38" i="8"/>
  <c r="AB38" i="8" s="1"/>
  <c r="AJ38" i="8" s="1"/>
  <c r="S38" i="8"/>
  <c r="AA38" i="8" s="1"/>
  <c r="AI38" i="8" s="1"/>
  <c r="R38" i="8"/>
  <c r="Z38" i="8" s="1"/>
  <c r="AH38" i="8" s="1"/>
  <c r="Q38" i="8"/>
  <c r="Y38" i="8" s="1"/>
  <c r="AG38" i="8" s="1"/>
  <c r="P38" i="8"/>
  <c r="X38" i="8" s="1"/>
  <c r="AF38" i="8" s="1"/>
  <c r="O38" i="8"/>
  <c r="W38" i="8" s="1"/>
  <c r="AE38" i="8" s="1"/>
  <c r="N38" i="8"/>
  <c r="V38" i="8" s="1"/>
  <c r="AD38" i="8" s="1"/>
  <c r="U37" i="8"/>
  <c r="AC37" i="8" s="1"/>
  <c r="AK37" i="8" s="1"/>
  <c r="T37" i="8"/>
  <c r="AB37" i="8" s="1"/>
  <c r="AJ37" i="8" s="1"/>
  <c r="S37" i="8"/>
  <c r="AA37" i="8" s="1"/>
  <c r="AI37" i="8" s="1"/>
  <c r="R37" i="8"/>
  <c r="Z37" i="8" s="1"/>
  <c r="AH37" i="8" s="1"/>
  <c r="Q37" i="8"/>
  <c r="Y37" i="8" s="1"/>
  <c r="AG37" i="8" s="1"/>
  <c r="P37" i="8"/>
  <c r="X37" i="8" s="1"/>
  <c r="AF37" i="8" s="1"/>
  <c r="O37" i="8"/>
  <c r="W37" i="8" s="1"/>
  <c r="AE37" i="8" s="1"/>
  <c r="N37" i="8"/>
  <c r="V37" i="8" s="1"/>
  <c r="AD37" i="8" s="1"/>
  <c r="U36" i="8"/>
  <c r="AC36" i="8" s="1"/>
  <c r="AK36" i="8" s="1"/>
  <c r="T36" i="8"/>
  <c r="AB36" i="8" s="1"/>
  <c r="AJ36" i="8" s="1"/>
  <c r="S36" i="8"/>
  <c r="AA36" i="8" s="1"/>
  <c r="AI36" i="8" s="1"/>
  <c r="R36" i="8"/>
  <c r="Z36" i="8" s="1"/>
  <c r="AH36" i="8" s="1"/>
  <c r="Q36" i="8"/>
  <c r="Y36" i="8" s="1"/>
  <c r="AG36" i="8" s="1"/>
  <c r="P36" i="8"/>
  <c r="X36" i="8" s="1"/>
  <c r="AF36" i="8" s="1"/>
  <c r="O36" i="8"/>
  <c r="W36" i="8" s="1"/>
  <c r="AE36" i="8" s="1"/>
  <c r="N36" i="8"/>
  <c r="V36" i="8" s="1"/>
  <c r="AD36" i="8" s="1"/>
  <c r="U35" i="8"/>
  <c r="AC35" i="8" s="1"/>
  <c r="AK35" i="8" s="1"/>
  <c r="T35" i="8"/>
  <c r="AB35" i="8" s="1"/>
  <c r="AJ35" i="8" s="1"/>
  <c r="S35" i="8"/>
  <c r="AA35" i="8" s="1"/>
  <c r="AI35" i="8" s="1"/>
  <c r="R35" i="8"/>
  <c r="Z35" i="8" s="1"/>
  <c r="AH35" i="8" s="1"/>
  <c r="Q35" i="8"/>
  <c r="Y35" i="8" s="1"/>
  <c r="AG35" i="8" s="1"/>
  <c r="P35" i="8"/>
  <c r="X35" i="8" s="1"/>
  <c r="AF35" i="8" s="1"/>
  <c r="O35" i="8"/>
  <c r="W35" i="8" s="1"/>
  <c r="AE35" i="8" s="1"/>
  <c r="N35" i="8"/>
  <c r="V35" i="8" s="1"/>
  <c r="AD35" i="8" s="1"/>
  <c r="U34" i="8"/>
  <c r="AC34" i="8" s="1"/>
  <c r="AK34" i="8" s="1"/>
  <c r="T34" i="8"/>
  <c r="AB34" i="8" s="1"/>
  <c r="AJ34" i="8" s="1"/>
  <c r="S34" i="8"/>
  <c r="AA34" i="8" s="1"/>
  <c r="AI34" i="8" s="1"/>
  <c r="R34" i="8"/>
  <c r="Z34" i="8" s="1"/>
  <c r="AH34" i="8" s="1"/>
  <c r="Q34" i="8"/>
  <c r="Y34" i="8" s="1"/>
  <c r="AG34" i="8" s="1"/>
  <c r="P34" i="8"/>
  <c r="X34" i="8" s="1"/>
  <c r="AF34" i="8" s="1"/>
  <c r="O34" i="8"/>
  <c r="W34" i="8" s="1"/>
  <c r="AE34" i="8" s="1"/>
  <c r="N34" i="8"/>
  <c r="V34" i="8" s="1"/>
  <c r="AD34" i="8" s="1"/>
  <c r="U33" i="8"/>
  <c r="AC33" i="8" s="1"/>
  <c r="AK33" i="8" s="1"/>
  <c r="T33" i="8"/>
  <c r="AB33" i="8" s="1"/>
  <c r="AJ33" i="8" s="1"/>
  <c r="S33" i="8"/>
  <c r="AA33" i="8" s="1"/>
  <c r="AI33" i="8" s="1"/>
  <c r="R33" i="8"/>
  <c r="Z33" i="8" s="1"/>
  <c r="AH33" i="8" s="1"/>
  <c r="Q33" i="8"/>
  <c r="Y33" i="8" s="1"/>
  <c r="AG33" i="8" s="1"/>
  <c r="P33" i="8"/>
  <c r="X33" i="8" s="1"/>
  <c r="AF33" i="8" s="1"/>
  <c r="O33" i="8"/>
  <c r="W33" i="8" s="1"/>
  <c r="AE33" i="8" s="1"/>
  <c r="N33" i="8"/>
  <c r="V33" i="8" s="1"/>
  <c r="AD33" i="8" s="1"/>
  <c r="U32" i="8"/>
  <c r="AC32" i="8" s="1"/>
  <c r="AK32" i="8" s="1"/>
  <c r="T32" i="8"/>
  <c r="AB32" i="8" s="1"/>
  <c r="AJ32" i="8" s="1"/>
  <c r="S32" i="8"/>
  <c r="AA32" i="8" s="1"/>
  <c r="AI32" i="8" s="1"/>
  <c r="R32" i="8"/>
  <c r="Z32" i="8" s="1"/>
  <c r="AH32" i="8" s="1"/>
  <c r="Q32" i="8"/>
  <c r="Y32" i="8" s="1"/>
  <c r="AG32" i="8" s="1"/>
  <c r="P32" i="8"/>
  <c r="X32" i="8" s="1"/>
  <c r="AF32" i="8" s="1"/>
  <c r="O32" i="8"/>
  <c r="W32" i="8" s="1"/>
  <c r="AE32" i="8" s="1"/>
  <c r="N32" i="8"/>
  <c r="V32" i="8" s="1"/>
  <c r="AD32" i="8" s="1"/>
  <c r="U31" i="8"/>
  <c r="AC31" i="8" s="1"/>
  <c r="AK31" i="8" s="1"/>
  <c r="T31" i="8"/>
  <c r="AB31" i="8" s="1"/>
  <c r="AJ31" i="8" s="1"/>
  <c r="S31" i="8"/>
  <c r="AA31" i="8" s="1"/>
  <c r="AI31" i="8" s="1"/>
  <c r="R31" i="8"/>
  <c r="Z31" i="8" s="1"/>
  <c r="AH31" i="8" s="1"/>
  <c r="Q31" i="8"/>
  <c r="Y31" i="8" s="1"/>
  <c r="AG31" i="8" s="1"/>
  <c r="P31" i="8"/>
  <c r="X31" i="8" s="1"/>
  <c r="AF31" i="8" s="1"/>
  <c r="O31" i="8"/>
  <c r="W31" i="8" s="1"/>
  <c r="AE31" i="8" s="1"/>
  <c r="N31" i="8"/>
  <c r="V31" i="8" s="1"/>
  <c r="AD31" i="8" s="1"/>
  <c r="U30" i="8"/>
  <c r="AC30" i="8" s="1"/>
  <c r="AK30" i="8" s="1"/>
  <c r="T30" i="8"/>
  <c r="AB30" i="8" s="1"/>
  <c r="AJ30" i="8" s="1"/>
  <c r="S30" i="8"/>
  <c r="AA30" i="8" s="1"/>
  <c r="AI30" i="8" s="1"/>
  <c r="R30" i="8"/>
  <c r="Z30" i="8" s="1"/>
  <c r="AH30" i="8" s="1"/>
  <c r="Q30" i="8"/>
  <c r="Y30" i="8" s="1"/>
  <c r="AG30" i="8" s="1"/>
  <c r="P30" i="8"/>
  <c r="X30" i="8" s="1"/>
  <c r="AF30" i="8" s="1"/>
  <c r="O30" i="8"/>
  <c r="W30" i="8" s="1"/>
  <c r="AE30" i="8" s="1"/>
  <c r="N30" i="8"/>
  <c r="V30" i="8" s="1"/>
  <c r="AD30" i="8" s="1"/>
  <c r="U29" i="8"/>
  <c r="AC29" i="8" s="1"/>
  <c r="AK29" i="8" s="1"/>
  <c r="T29" i="8"/>
  <c r="AB29" i="8" s="1"/>
  <c r="AJ29" i="8" s="1"/>
  <c r="S29" i="8"/>
  <c r="AA29" i="8" s="1"/>
  <c r="AI29" i="8" s="1"/>
  <c r="R29" i="8"/>
  <c r="Z29" i="8" s="1"/>
  <c r="AH29" i="8" s="1"/>
  <c r="Q29" i="8"/>
  <c r="Y29" i="8" s="1"/>
  <c r="AG29" i="8" s="1"/>
  <c r="P29" i="8"/>
  <c r="X29" i="8" s="1"/>
  <c r="AF29" i="8" s="1"/>
  <c r="O29" i="8"/>
  <c r="W29" i="8" s="1"/>
  <c r="AE29" i="8" s="1"/>
  <c r="N29" i="8"/>
  <c r="V29" i="8" s="1"/>
  <c r="AD29" i="8" s="1"/>
  <c r="U28" i="8"/>
  <c r="AC28" i="8" s="1"/>
  <c r="AK28" i="8" s="1"/>
  <c r="T28" i="8"/>
  <c r="AB28" i="8" s="1"/>
  <c r="AJ28" i="8" s="1"/>
  <c r="S28" i="8"/>
  <c r="AA28" i="8" s="1"/>
  <c r="AI28" i="8" s="1"/>
  <c r="R28" i="8"/>
  <c r="Z28" i="8" s="1"/>
  <c r="AH28" i="8" s="1"/>
  <c r="Q28" i="8"/>
  <c r="Y28" i="8" s="1"/>
  <c r="AG28" i="8" s="1"/>
  <c r="P28" i="8"/>
  <c r="X28" i="8" s="1"/>
  <c r="AF28" i="8" s="1"/>
  <c r="O28" i="8"/>
  <c r="W28" i="8" s="1"/>
  <c r="AE28" i="8" s="1"/>
  <c r="N28" i="8"/>
  <c r="V28" i="8" s="1"/>
  <c r="AD28" i="8" s="1"/>
  <c r="U27" i="8"/>
  <c r="AC27" i="8" s="1"/>
  <c r="AK27" i="8" s="1"/>
  <c r="T27" i="8"/>
  <c r="AB27" i="8" s="1"/>
  <c r="AJ27" i="8" s="1"/>
  <c r="S27" i="8"/>
  <c r="AA27" i="8" s="1"/>
  <c r="AI27" i="8" s="1"/>
  <c r="R27" i="8"/>
  <c r="Z27" i="8" s="1"/>
  <c r="AH27" i="8" s="1"/>
  <c r="Q27" i="8"/>
  <c r="Y27" i="8" s="1"/>
  <c r="AG27" i="8" s="1"/>
  <c r="P27" i="8"/>
  <c r="X27" i="8" s="1"/>
  <c r="AF27" i="8" s="1"/>
  <c r="O27" i="8"/>
  <c r="W27" i="8" s="1"/>
  <c r="AE27" i="8" s="1"/>
  <c r="N27" i="8"/>
  <c r="V27" i="8" s="1"/>
  <c r="AD27" i="8" s="1"/>
  <c r="U26" i="8"/>
  <c r="AC26" i="8" s="1"/>
  <c r="AK26" i="8" s="1"/>
  <c r="T26" i="8"/>
  <c r="AB26" i="8" s="1"/>
  <c r="AJ26" i="8" s="1"/>
  <c r="S26" i="8"/>
  <c r="AA26" i="8" s="1"/>
  <c r="AI26" i="8" s="1"/>
  <c r="R26" i="8"/>
  <c r="Z26" i="8" s="1"/>
  <c r="AH26" i="8" s="1"/>
  <c r="Q26" i="8"/>
  <c r="Y26" i="8" s="1"/>
  <c r="AG26" i="8" s="1"/>
  <c r="P26" i="8"/>
  <c r="X26" i="8" s="1"/>
  <c r="AF26" i="8" s="1"/>
  <c r="O26" i="8"/>
  <c r="W26" i="8" s="1"/>
  <c r="AE26" i="8" s="1"/>
  <c r="N26" i="8"/>
  <c r="V26" i="8" s="1"/>
  <c r="AD26" i="8" s="1"/>
  <c r="U25" i="8"/>
  <c r="AC25" i="8" s="1"/>
  <c r="AK25" i="8" s="1"/>
  <c r="T25" i="8"/>
  <c r="AB25" i="8" s="1"/>
  <c r="AJ25" i="8" s="1"/>
  <c r="S25" i="8"/>
  <c r="AA25" i="8" s="1"/>
  <c r="AI25" i="8" s="1"/>
  <c r="R25" i="8"/>
  <c r="Z25" i="8" s="1"/>
  <c r="AH25" i="8" s="1"/>
  <c r="Q25" i="8"/>
  <c r="Y25" i="8" s="1"/>
  <c r="AG25" i="8" s="1"/>
  <c r="P25" i="8"/>
  <c r="X25" i="8" s="1"/>
  <c r="AF25" i="8" s="1"/>
  <c r="O25" i="8"/>
  <c r="W25" i="8" s="1"/>
  <c r="AE25" i="8" s="1"/>
  <c r="N25" i="8"/>
  <c r="V25" i="8" s="1"/>
  <c r="AD25" i="8" s="1"/>
  <c r="U24" i="8"/>
  <c r="AC24" i="8" s="1"/>
  <c r="AK24" i="8" s="1"/>
  <c r="T24" i="8"/>
  <c r="AB24" i="8" s="1"/>
  <c r="AJ24" i="8" s="1"/>
  <c r="S24" i="8"/>
  <c r="AA24" i="8" s="1"/>
  <c r="AI24" i="8" s="1"/>
  <c r="R24" i="8"/>
  <c r="Z24" i="8" s="1"/>
  <c r="AH24" i="8" s="1"/>
  <c r="Q24" i="8"/>
  <c r="Y24" i="8" s="1"/>
  <c r="AG24" i="8" s="1"/>
  <c r="P24" i="8"/>
  <c r="X24" i="8" s="1"/>
  <c r="AF24" i="8" s="1"/>
  <c r="O24" i="8"/>
  <c r="W24" i="8" s="1"/>
  <c r="AE24" i="8" s="1"/>
  <c r="N24" i="8"/>
  <c r="V24" i="8" s="1"/>
  <c r="AD24" i="8" s="1"/>
  <c r="U23" i="8"/>
  <c r="AC23" i="8" s="1"/>
  <c r="AK23" i="8" s="1"/>
  <c r="T23" i="8"/>
  <c r="AB23" i="8" s="1"/>
  <c r="AJ23" i="8" s="1"/>
  <c r="S23" i="8"/>
  <c r="AA23" i="8" s="1"/>
  <c r="AI23" i="8" s="1"/>
  <c r="R23" i="8"/>
  <c r="Z23" i="8" s="1"/>
  <c r="AH23" i="8" s="1"/>
  <c r="Q23" i="8"/>
  <c r="Y23" i="8" s="1"/>
  <c r="AG23" i="8" s="1"/>
  <c r="P23" i="8"/>
  <c r="X23" i="8" s="1"/>
  <c r="AF23" i="8" s="1"/>
  <c r="O23" i="8"/>
  <c r="W23" i="8" s="1"/>
  <c r="AE23" i="8" s="1"/>
  <c r="N23" i="8"/>
  <c r="V23" i="8" s="1"/>
  <c r="AD23" i="8" s="1"/>
  <c r="U22" i="8"/>
  <c r="AC22" i="8" s="1"/>
  <c r="AK22" i="8" s="1"/>
  <c r="T22" i="8"/>
  <c r="AB22" i="8" s="1"/>
  <c r="AJ22" i="8" s="1"/>
  <c r="S22" i="8"/>
  <c r="AA22" i="8" s="1"/>
  <c r="AI22" i="8" s="1"/>
  <c r="R22" i="8"/>
  <c r="Z22" i="8" s="1"/>
  <c r="AH22" i="8" s="1"/>
  <c r="Q22" i="8"/>
  <c r="Y22" i="8" s="1"/>
  <c r="AG22" i="8" s="1"/>
  <c r="P22" i="8"/>
  <c r="X22" i="8" s="1"/>
  <c r="AF22" i="8" s="1"/>
  <c r="O22" i="8"/>
  <c r="W22" i="8" s="1"/>
  <c r="AE22" i="8" s="1"/>
  <c r="N22" i="8"/>
  <c r="V22" i="8" s="1"/>
  <c r="AD22" i="8" s="1"/>
  <c r="U21" i="8"/>
  <c r="AC21" i="8" s="1"/>
  <c r="AK21" i="8" s="1"/>
  <c r="T21" i="8"/>
  <c r="AB21" i="8" s="1"/>
  <c r="AJ21" i="8" s="1"/>
  <c r="S21" i="8"/>
  <c r="AA21" i="8" s="1"/>
  <c r="AI21" i="8" s="1"/>
  <c r="R21" i="8"/>
  <c r="Z21" i="8" s="1"/>
  <c r="AH21" i="8" s="1"/>
  <c r="Q21" i="8"/>
  <c r="Y21" i="8" s="1"/>
  <c r="AG21" i="8" s="1"/>
  <c r="P21" i="8"/>
  <c r="X21" i="8" s="1"/>
  <c r="AF21" i="8" s="1"/>
  <c r="O21" i="8"/>
  <c r="W21" i="8" s="1"/>
  <c r="AE21" i="8" s="1"/>
  <c r="N21" i="8"/>
  <c r="V21" i="8" s="1"/>
  <c r="AD21" i="8" s="1"/>
  <c r="U20" i="8"/>
  <c r="AC20" i="8" s="1"/>
  <c r="AK20" i="8" s="1"/>
  <c r="T20" i="8"/>
  <c r="AB20" i="8" s="1"/>
  <c r="AJ20" i="8" s="1"/>
  <c r="S20" i="8"/>
  <c r="AA20" i="8" s="1"/>
  <c r="AI20" i="8" s="1"/>
  <c r="R20" i="8"/>
  <c r="Z20" i="8" s="1"/>
  <c r="AH20" i="8" s="1"/>
  <c r="Q20" i="8"/>
  <c r="Y20" i="8" s="1"/>
  <c r="AG20" i="8" s="1"/>
  <c r="P20" i="8"/>
  <c r="X20" i="8" s="1"/>
  <c r="AF20" i="8" s="1"/>
  <c r="O20" i="8"/>
  <c r="W20" i="8" s="1"/>
  <c r="AE20" i="8" s="1"/>
  <c r="N20" i="8"/>
  <c r="V20" i="8" s="1"/>
  <c r="AD20" i="8" s="1"/>
  <c r="U19" i="8"/>
  <c r="AC19" i="8" s="1"/>
  <c r="AK19" i="8" s="1"/>
  <c r="T19" i="8"/>
  <c r="AB19" i="8" s="1"/>
  <c r="AJ19" i="8" s="1"/>
  <c r="S19" i="8"/>
  <c r="AA19" i="8" s="1"/>
  <c r="AI19" i="8" s="1"/>
  <c r="R19" i="8"/>
  <c r="Z19" i="8" s="1"/>
  <c r="AH19" i="8" s="1"/>
  <c r="Q19" i="8"/>
  <c r="Y19" i="8" s="1"/>
  <c r="AG19" i="8" s="1"/>
  <c r="P19" i="8"/>
  <c r="X19" i="8" s="1"/>
  <c r="AF19" i="8" s="1"/>
  <c r="O19" i="8"/>
  <c r="W19" i="8" s="1"/>
  <c r="AE19" i="8" s="1"/>
  <c r="N19" i="8"/>
  <c r="V19" i="8" s="1"/>
  <c r="AD19" i="8" s="1"/>
  <c r="U18" i="8"/>
  <c r="AC18" i="8" s="1"/>
  <c r="AK18" i="8" s="1"/>
  <c r="T18" i="8"/>
  <c r="AB18" i="8" s="1"/>
  <c r="AJ18" i="8" s="1"/>
  <c r="S18" i="8"/>
  <c r="AA18" i="8" s="1"/>
  <c r="AI18" i="8" s="1"/>
  <c r="R18" i="8"/>
  <c r="Z18" i="8" s="1"/>
  <c r="AH18" i="8" s="1"/>
  <c r="Q18" i="8"/>
  <c r="Y18" i="8" s="1"/>
  <c r="AG18" i="8" s="1"/>
  <c r="P18" i="8"/>
  <c r="X18" i="8" s="1"/>
  <c r="AF18" i="8" s="1"/>
  <c r="O18" i="8"/>
  <c r="W18" i="8" s="1"/>
  <c r="AE18" i="8" s="1"/>
  <c r="N18" i="8"/>
  <c r="V18" i="8" s="1"/>
  <c r="AD18" i="8" s="1"/>
  <c r="U17" i="8"/>
  <c r="AC17" i="8" s="1"/>
  <c r="AK17" i="8" s="1"/>
  <c r="T17" i="8"/>
  <c r="AB17" i="8" s="1"/>
  <c r="AJ17" i="8" s="1"/>
  <c r="S17" i="8"/>
  <c r="AA17" i="8" s="1"/>
  <c r="AI17" i="8" s="1"/>
  <c r="R17" i="8"/>
  <c r="Z17" i="8" s="1"/>
  <c r="AH17" i="8" s="1"/>
  <c r="Q17" i="8"/>
  <c r="Y17" i="8" s="1"/>
  <c r="AG17" i="8" s="1"/>
  <c r="P17" i="8"/>
  <c r="X17" i="8" s="1"/>
  <c r="AF17" i="8" s="1"/>
  <c r="O17" i="8"/>
  <c r="W17" i="8" s="1"/>
  <c r="AE17" i="8" s="1"/>
  <c r="N17" i="8"/>
  <c r="V17" i="8" s="1"/>
  <c r="AD17" i="8" s="1"/>
  <c r="U16" i="8"/>
  <c r="AC16" i="8" s="1"/>
  <c r="AK16" i="8" s="1"/>
  <c r="T16" i="8"/>
  <c r="AB16" i="8" s="1"/>
  <c r="AJ16" i="8" s="1"/>
  <c r="S16" i="8"/>
  <c r="AA16" i="8" s="1"/>
  <c r="AI16" i="8" s="1"/>
  <c r="R16" i="8"/>
  <c r="Z16" i="8" s="1"/>
  <c r="AH16" i="8" s="1"/>
  <c r="Q16" i="8"/>
  <c r="Y16" i="8" s="1"/>
  <c r="AG16" i="8" s="1"/>
  <c r="P16" i="8"/>
  <c r="X16" i="8" s="1"/>
  <c r="AF16" i="8" s="1"/>
  <c r="O16" i="8"/>
  <c r="W16" i="8" s="1"/>
  <c r="AE16" i="8" s="1"/>
  <c r="N16" i="8"/>
  <c r="V16" i="8" s="1"/>
  <c r="AD16" i="8" s="1"/>
  <c r="U15" i="8"/>
  <c r="AC15" i="8" s="1"/>
  <c r="AK15" i="8" s="1"/>
  <c r="T15" i="8"/>
  <c r="AB15" i="8" s="1"/>
  <c r="AJ15" i="8" s="1"/>
  <c r="S15" i="8"/>
  <c r="AA15" i="8" s="1"/>
  <c r="AI15" i="8" s="1"/>
  <c r="R15" i="8"/>
  <c r="Z15" i="8" s="1"/>
  <c r="AH15" i="8" s="1"/>
  <c r="Q15" i="8"/>
  <c r="Y15" i="8" s="1"/>
  <c r="AG15" i="8" s="1"/>
  <c r="P15" i="8"/>
  <c r="X15" i="8" s="1"/>
  <c r="AF15" i="8" s="1"/>
  <c r="O15" i="8"/>
  <c r="W15" i="8" s="1"/>
  <c r="AE15" i="8" s="1"/>
  <c r="N15" i="8"/>
  <c r="V15" i="8" s="1"/>
  <c r="AD15" i="8" s="1"/>
  <c r="U14" i="8"/>
  <c r="AC14" i="8" s="1"/>
  <c r="AK14" i="8" s="1"/>
  <c r="T14" i="8"/>
  <c r="AB14" i="8" s="1"/>
  <c r="AJ14" i="8" s="1"/>
  <c r="S14" i="8"/>
  <c r="AA14" i="8" s="1"/>
  <c r="AI14" i="8" s="1"/>
  <c r="R14" i="8"/>
  <c r="Z14" i="8" s="1"/>
  <c r="AH14" i="8" s="1"/>
  <c r="Q14" i="8"/>
  <c r="Y14" i="8" s="1"/>
  <c r="AG14" i="8" s="1"/>
  <c r="P14" i="8"/>
  <c r="X14" i="8" s="1"/>
  <c r="AF14" i="8" s="1"/>
  <c r="O14" i="8"/>
  <c r="W14" i="8" s="1"/>
  <c r="AE14" i="8" s="1"/>
  <c r="N14" i="8"/>
  <c r="V14" i="8" s="1"/>
  <c r="AD14" i="8" s="1"/>
  <c r="U13" i="8"/>
  <c r="AC13" i="8" s="1"/>
  <c r="AK13" i="8" s="1"/>
  <c r="T13" i="8"/>
  <c r="AB13" i="8" s="1"/>
  <c r="AJ13" i="8" s="1"/>
  <c r="S13" i="8"/>
  <c r="AA13" i="8" s="1"/>
  <c r="AI13" i="8" s="1"/>
  <c r="R13" i="8"/>
  <c r="Z13" i="8" s="1"/>
  <c r="AH13" i="8" s="1"/>
  <c r="Q13" i="8"/>
  <c r="Y13" i="8" s="1"/>
  <c r="AG13" i="8" s="1"/>
  <c r="P13" i="8"/>
  <c r="X13" i="8" s="1"/>
  <c r="AF13" i="8" s="1"/>
  <c r="O13" i="8"/>
  <c r="W13" i="8" s="1"/>
  <c r="AE13" i="8" s="1"/>
  <c r="N13" i="8"/>
  <c r="V13" i="8" s="1"/>
  <c r="AD13" i="8" s="1"/>
  <c r="U12" i="8"/>
  <c r="AC12" i="8" s="1"/>
  <c r="AK12" i="8" s="1"/>
  <c r="T12" i="8"/>
  <c r="AB12" i="8" s="1"/>
  <c r="AJ12" i="8" s="1"/>
  <c r="S12" i="8"/>
  <c r="AA12" i="8" s="1"/>
  <c r="AI12" i="8" s="1"/>
  <c r="R12" i="8"/>
  <c r="Z12" i="8" s="1"/>
  <c r="AH12" i="8" s="1"/>
  <c r="Q12" i="8"/>
  <c r="Y12" i="8" s="1"/>
  <c r="AG12" i="8" s="1"/>
  <c r="P12" i="8"/>
  <c r="X12" i="8" s="1"/>
  <c r="AF12" i="8" s="1"/>
  <c r="O12" i="8"/>
  <c r="W12" i="8" s="1"/>
  <c r="AE12" i="8" s="1"/>
  <c r="N12" i="8"/>
  <c r="V12" i="8" s="1"/>
  <c r="AD12" i="8" s="1"/>
  <c r="U11" i="8"/>
  <c r="AC11" i="8" s="1"/>
  <c r="AK11" i="8" s="1"/>
  <c r="T11" i="8"/>
  <c r="AB11" i="8" s="1"/>
  <c r="AJ11" i="8" s="1"/>
  <c r="S11" i="8"/>
  <c r="AA11" i="8" s="1"/>
  <c r="AI11" i="8" s="1"/>
  <c r="R11" i="8"/>
  <c r="Z11" i="8" s="1"/>
  <c r="AH11" i="8" s="1"/>
  <c r="Q11" i="8"/>
  <c r="Y11" i="8" s="1"/>
  <c r="AG11" i="8" s="1"/>
  <c r="P11" i="8"/>
  <c r="X11" i="8" s="1"/>
  <c r="AF11" i="8" s="1"/>
  <c r="O11" i="8"/>
  <c r="W11" i="8" s="1"/>
  <c r="AE11" i="8" s="1"/>
  <c r="N11" i="8"/>
  <c r="V11" i="8" s="1"/>
  <c r="AD11" i="8" s="1"/>
  <c r="U10" i="8"/>
  <c r="AC10" i="8" s="1"/>
  <c r="AK10" i="8" s="1"/>
  <c r="T10" i="8"/>
  <c r="AB10" i="8" s="1"/>
  <c r="AJ10" i="8" s="1"/>
  <c r="S10" i="8"/>
  <c r="AA10" i="8" s="1"/>
  <c r="AI10" i="8" s="1"/>
  <c r="R10" i="8"/>
  <c r="Z10" i="8" s="1"/>
  <c r="AH10" i="8" s="1"/>
  <c r="Q10" i="8"/>
  <c r="Y10" i="8" s="1"/>
  <c r="AG10" i="8" s="1"/>
  <c r="P10" i="8"/>
  <c r="X10" i="8" s="1"/>
  <c r="AF10" i="8" s="1"/>
  <c r="O10" i="8"/>
  <c r="W10" i="8" s="1"/>
  <c r="AE10" i="8" s="1"/>
  <c r="N10" i="8"/>
  <c r="V10" i="8" s="1"/>
  <c r="AD10" i="8" s="1"/>
  <c r="U9" i="8"/>
  <c r="AC9" i="8" s="1"/>
  <c r="AK9" i="8" s="1"/>
  <c r="T9" i="8"/>
  <c r="AB9" i="8" s="1"/>
  <c r="AJ9" i="8" s="1"/>
  <c r="S9" i="8"/>
  <c r="AA9" i="8" s="1"/>
  <c r="AI9" i="8" s="1"/>
  <c r="R9" i="8"/>
  <c r="Z9" i="8" s="1"/>
  <c r="AH9" i="8" s="1"/>
  <c r="Q9" i="8"/>
  <c r="Y9" i="8" s="1"/>
  <c r="AG9" i="8" s="1"/>
  <c r="P9" i="8"/>
  <c r="X9" i="8" s="1"/>
  <c r="AF9" i="8" s="1"/>
  <c r="O9" i="8"/>
  <c r="W9" i="8" s="1"/>
  <c r="AE9" i="8" s="1"/>
  <c r="N9" i="8"/>
  <c r="V9" i="8" s="1"/>
  <c r="AD9" i="8" s="1"/>
  <c r="U8" i="8"/>
  <c r="AC8" i="8" s="1"/>
  <c r="AK8" i="8" s="1"/>
  <c r="T8" i="8"/>
  <c r="AB8" i="8" s="1"/>
  <c r="AJ8" i="8" s="1"/>
  <c r="S8" i="8"/>
  <c r="AA8" i="8" s="1"/>
  <c r="AI8" i="8" s="1"/>
  <c r="R8" i="8"/>
  <c r="Z8" i="8" s="1"/>
  <c r="AH8" i="8" s="1"/>
  <c r="Q8" i="8"/>
  <c r="Y8" i="8" s="1"/>
  <c r="AG8" i="8" s="1"/>
  <c r="P8" i="8"/>
  <c r="X8" i="8" s="1"/>
  <c r="AF8" i="8" s="1"/>
  <c r="O8" i="8"/>
  <c r="W8" i="8" s="1"/>
  <c r="AE8" i="8" s="1"/>
  <c r="N8" i="8"/>
  <c r="V8" i="8" s="1"/>
  <c r="AD8" i="8" s="1"/>
  <c r="U7" i="8"/>
  <c r="AC7" i="8" s="1"/>
  <c r="AK7" i="8" s="1"/>
  <c r="T7" i="8"/>
  <c r="AB7" i="8" s="1"/>
  <c r="AJ7" i="8" s="1"/>
  <c r="S7" i="8"/>
  <c r="AA7" i="8" s="1"/>
  <c r="AI7" i="8" s="1"/>
  <c r="R7" i="8"/>
  <c r="Z7" i="8" s="1"/>
  <c r="AH7" i="8" s="1"/>
  <c r="Q7" i="8"/>
  <c r="Y7" i="8" s="1"/>
  <c r="AG7" i="8" s="1"/>
  <c r="P7" i="8"/>
  <c r="X7" i="8" s="1"/>
  <c r="AF7" i="8" s="1"/>
  <c r="O7" i="8"/>
  <c r="W7" i="8" s="1"/>
  <c r="AE7" i="8" s="1"/>
  <c r="N7" i="8"/>
  <c r="V7" i="8" s="1"/>
  <c r="AD7" i="8" s="1"/>
  <c r="U6" i="8"/>
  <c r="AC6" i="8" s="1"/>
  <c r="AK6" i="8" s="1"/>
  <c r="T6" i="8"/>
  <c r="AB6" i="8" s="1"/>
  <c r="AJ6" i="8" s="1"/>
  <c r="S6" i="8"/>
  <c r="AA6" i="8" s="1"/>
  <c r="AI6" i="8" s="1"/>
  <c r="R6" i="8"/>
  <c r="Z6" i="8" s="1"/>
  <c r="AH6" i="8" s="1"/>
  <c r="Q6" i="8"/>
  <c r="Y6" i="8" s="1"/>
  <c r="AG6" i="8" s="1"/>
  <c r="P6" i="8"/>
  <c r="X6" i="8" s="1"/>
  <c r="AF6" i="8" s="1"/>
  <c r="O6" i="8"/>
  <c r="W6" i="8" s="1"/>
  <c r="AE6" i="8" s="1"/>
  <c r="N6" i="8"/>
  <c r="V6" i="8" s="1"/>
  <c r="AD6" i="8" s="1"/>
  <c r="U5" i="8"/>
  <c r="AC5" i="8" s="1"/>
  <c r="AK5" i="8" s="1"/>
  <c r="T5" i="8"/>
  <c r="AB5" i="8" s="1"/>
  <c r="AJ5" i="8" s="1"/>
  <c r="S5" i="8"/>
  <c r="AA5" i="8" s="1"/>
  <c r="AI5" i="8" s="1"/>
  <c r="R5" i="8"/>
  <c r="Z5" i="8" s="1"/>
  <c r="AH5" i="8" s="1"/>
  <c r="Q5" i="8"/>
  <c r="Y5" i="8" s="1"/>
  <c r="AG5" i="8" s="1"/>
  <c r="P5" i="8"/>
  <c r="X5" i="8" s="1"/>
  <c r="AF5" i="8" s="1"/>
  <c r="O5" i="8"/>
  <c r="W5" i="8" s="1"/>
  <c r="AE5" i="8" s="1"/>
  <c r="N5" i="8"/>
  <c r="V5" i="8" s="1"/>
  <c r="AD5" i="8" s="1"/>
  <c r="D32" i="12"/>
  <c r="E32" i="12"/>
  <c r="F32" i="12"/>
  <c r="G32" i="12"/>
  <c r="H32" i="12"/>
  <c r="I32" i="12"/>
  <c r="J32" i="12"/>
  <c r="K32" i="12"/>
  <c r="D31" i="12"/>
  <c r="E31" i="12"/>
  <c r="F31" i="12"/>
  <c r="G31" i="12"/>
  <c r="H31" i="12"/>
  <c r="I31" i="12"/>
  <c r="K31" i="12"/>
  <c r="J31" i="12"/>
  <c r="D30" i="12"/>
  <c r="E30" i="12"/>
  <c r="F30" i="12"/>
  <c r="G30" i="12"/>
  <c r="H30" i="12"/>
  <c r="J30" i="12"/>
  <c r="K30" i="12"/>
  <c r="I30" i="12"/>
  <c r="D29" i="12"/>
  <c r="E29" i="12"/>
  <c r="F29" i="12"/>
  <c r="G29" i="12"/>
  <c r="I29" i="12"/>
  <c r="J29" i="12"/>
  <c r="K29" i="12"/>
  <c r="H29" i="12"/>
  <c r="D28" i="12"/>
  <c r="E28" i="12"/>
  <c r="F28" i="12"/>
  <c r="H28" i="12"/>
  <c r="I28" i="12"/>
  <c r="J28" i="12"/>
  <c r="K28" i="12"/>
  <c r="G28" i="12"/>
  <c r="D27" i="12"/>
  <c r="E27" i="12"/>
  <c r="G27" i="12"/>
  <c r="H27" i="12"/>
  <c r="I27" i="12"/>
  <c r="J27" i="12"/>
  <c r="K27" i="12"/>
  <c r="F27" i="12"/>
  <c r="D26" i="12"/>
  <c r="F26" i="12"/>
  <c r="G26" i="12"/>
  <c r="H26" i="12"/>
  <c r="I26" i="12"/>
  <c r="J26" i="12"/>
  <c r="K26" i="12"/>
  <c r="E26" i="12"/>
  <c r="E25" i="12"/>
  <c r="F25" i="12"/>
  <c r="G25" i="12"/>
  <c r="H25" i="12"/>
  <c r="I25" i="12"/>
  <c r="J25" i="12"/>
  <c r="K25" i="12"/>
  <c r="D25" i="12"/>
  <c r="E10" i="12"/>
  <c r="C16" i="12"/>
  <c r="E16" i="12" s="1"/>
  <c r="C15" i="12"/>
  <c r="E15" i="12" s="1"/>
  <c r="C14" i="12"/>
  <c r="E14" i="12" s="1"/>
  <c r="C13" i="12"/>
  <c r="E13" i="12" s="1"/>
  <c r="C12" i="12"/>
  <c r="E12" i="12" s="1"/>
  <c r="C11" i="12"/>
  <c r="E11" i="12" s="1"/>
  <c r="C10" i="12"/>
  <c r="C9" i="12"/>
  <c r="E9" i="12" s="1"/>
  <c r="U256" i="11"/>
  <c r="T256" i="11"/>
  <c r="U255" i="11"/>
  <c r="T255" i="11"/>
  <c r="U254" i="11"/>
  <c r="T254" i="11"/>
  <c r="U253" i="11"/>
  <c r="T253" i="11"/>
  <c r="U252" i="11"/>
  <c r="T252" i="11"/>
  <c r="U251" i="11"/>
  <c r="T251" i="11"/>
  <c r="U250" i="11"/>
  <c r="T250" i="11"/>
  <c r="U249" i="11"/>
  <c r="T249" i="11"/>
  <c r="U248" i="11"/>
  <c r="T248" i="11"/>
  <c r="U247" i="11"/>
  <c r="T247" i="11"/>
  <c r="U246" i="11"/>
  <c r="T246" i="11"/>
  <c r="U245" i="11"/>
  <c r="T245" i="11"/>
  <c r="U244" i="11"/>
  <c r="T244" i="11"/>
  <c r="U243" i="11"/>
  <c r="T243" i="11"/>
  <c r="U242" i="11"/>
  <c r="T242" i="11"/>
  <c r="U241" i="11"/>
  <c r="T241" i="11"/>
  <c r="U240" i="11"/>
  <c r="T240" i="11"/>
  <c r="U239" i="11"/>
  <c r="T239" i="11"/>
  <c r="U238" i="11"/>
  <c r="T238" i="11"/>
  <c r="U237" i="11"/>
  <c r="T237" i="11"/>
  <c r="U236" i="11"/>
  <c r="T236" i="11"/>
  <c r="U235" i="11"/>
  <c r="T235" i="11"/>
  <c r="U234" i="11"/>
  <c r="T234" i="11"/>
  <c r="U233" i="11"/>
  <c r="T233" i="11"/>
  <c r="U232" i="11"/>
  <c r="T232" i="11"/>
  <c r="U231" i="11"/>
  <c r="T231" i="11"/>
  <c r="U230" i="11"/>
  <c r="T230" i="11"/>
  <c r="U229" i="11"/>
  <c r="T229" i="11"/>
  <c r="U228" i="11"/>
  <c r="T228" i="11"/>
  <c r="U227" i="11"/>
  <c r="T227" i="11"/>
  <c r="U226" i="11"/>
  <c r="T226" i="11"/>
  <c r="U225" i="11"/>
  <c r="T225" i="11"/>
  <c r="U224" i="11"/>
  <c r="T224" i="11"/>
  <c r="U223" i="11"/>
  <c r="T223" i="11"/>
  <c r="U222" i="11"/>
  <c r="T222" i="11"/>
  <c r="U221" i="11"/>
  <c r="T221" i="11"/>
  <c r="U220" i="11"/>
  <c r="T220" i="11"/>
  <c r="U219" i="11"/>
  <c r="T219" i="11"/>
  <c r="U218" i="11"/>
  <c r="T218" i="11"/>
  <c r="U217" i="11"/>
  <c r="T217" i="11"/>
  <c r="U216" i="11"/>
  <c r="T216" i="11"/>
  <c r="U215" i="11"/>
  <c r="T215" i="11"/>
  <c r="U214" i="11"/>
  <c r="T214" i="11"/>
  <c r="U213" i="11"/>
  <c r="T213" i="11"/>
  <c r="U212" i="11"/>
  <c r="T212" i="11"/>
  <c r="U211" i="11"/>
  <c r="T211" i="11"/>
  <c r="U210" i="11"/>
  <c r="T210" i="11"/>
  <c r="U209" i="11"/>
  <c r="T209" i="11"/>
  <c r="U208" i="11"/>
  <c r="T208" i="11"/>
  <c r="U207" i="11"/>
  <c r="T207" i="11"/>
  <c r="U206" i="11"/>
  <c r="T206" i="11"/>
  <c r="U205" i="11"/>
  <c r="T205" i="11"/>
  <c r="U204" i="11"/>
  <c r="T204" i="11"/>
  <c r="U203" i="11"/>
  <c r="T203" i="11"/>
  <c r="U202" i="11"/>
  <c r="T202" i="11"/>
  <c r="U201" i="11"/>
  <c r="T201" i="11"/>
  <c r="U200" i="11"/>
  <c r="T200" i="11"/>
  <c r="U199" i="11"/>
  <c r="T199" i="11"/>
  <c r="U198" i="11"/>
  <c r="T198" i="11"/>
  <c r="U197" i="11"/>
  <c r="T197" i="11"/>
  <c r="U196" i="11"/>
  <c r="T196" i="11"/>
  <c r="U195" i="11"/>
  <c r="T195" i="11"/>
  <c r="U194" i="11"/>
  <c r="T194" i="11"/>
  <c r="U193" i="11"/>
  <c r="T193" i="11"/>
  <c r="U192" i="11"/>
  <c r="T192" i="11"/>
  <c r="U191" i="11"/>
  <c r="T191" i="11"/>
  <c r="U190" i="11"/>
  <c r="T190" i="11"/>
  <c r="U189" i="11"/>
  <c r="T189" i="11"/>
  <c r="U188" i="11"/>
  <c r="T188" i="11"/>
  <c r="U187" i="11"/>
  <c r="T187" i="11"/>
  <c r="U186" i="11"/>
  <c r="T186" i="11"/>
  <c r="U185" i="11"/>
  <c r="T185" i="11"/>
  <c r="U184" i="11"/>
  <c r="T184" i="11"/>
  <c r="U183" i="11"/>
  <c r="T183" i="11"/>
  <c r="U182" i="11"/>
  <c r="T182" i="11"/>
  <c r="U181" i="11"/>
  <c r="T181" i="11"/>
  <c r="U180" i="11"/>
  <c r="T180" i="11"/>
  <c r="U179" i="11"/>
  <c r="T179" i="11"/>
  <c r="U178" i="11"/>
  <c r="T178" i="11"/>
  <c r="U177" i="11"/>
  <c r="T177" i="11"/>
  <c r="U176" i="11"/>
  <c r="T176" i="11"/>
  <c r="U175" i="11"/>
  <c r="T175" i="11"/>
  <c r="U174" i="11"/>
  <c r="T174" i="11"/>
  <c r="U173" i="11"/>
  <c r="T173" i="11"/>
  <c r="U172" i="11"/>
  <c r="T172" i="11"/>
  <c r="U171" i="11"/>
  <c r="T171" i="11"/>
  <c r="U170" i="11"/>
  <c r="T170" i="11"/>
  <c r="U169" i="11"/>
  <c r="T169" i="11"/>
  <c r="U168" i="11"/>
  <c r="T168" i="11"/>
  <c r="U167" i="11"/>
  <c r="T167" i="11"/>
  <c r="U166" i="11"/>
  <c r="T166" i="11"/>
  <c r="U165" i="11"/>
  <c r="T165" i="11"/>
  <c r="U164" i="11"/>
  <c r="T164" i="11"/>
  <c r="U163" i="11"/>
  <c r="T163" i="11"/>
  <c r="U162" i="11"/>
  <c r="T162" i="11"/>
  <c r="U161" i="11"/>
  <c r="T161" i="11"/>
  <c r="U160" i="11"/>
  <c r="T160" i="11"/>
  <c r="U159" i="11"/>
  <c r="T159" i="11"/>
  <c r="U158" i="11"/>
  <c r="T158" i="11"/>
  <c r="U157" i="11"/>
  <c r="T157" i="11"/>
  <c r="U156" i="11"/>
  <c r="T156" i="11"/>
  <c r="U155" i="11"/>
  <c r="T155" i="11"/>
  <c r="U154" i="11"/>
  <c r="T154" i="11"/>
  <c r="U153" i="11"/>
  <c r="T153" i="11"/>
  <c r="U152" i="11"/>
  <c r="T152" i="11"/>
  <c r="U151" i="11"/>
  <c r="T151" i="11"/>
  <c r="U150" i="11"/>
  <c r="T150" i="11"/>
  <c r="U149" i="11"/>
  <c r="T149" i="11"/>
  <c r="U148" i="11"/>
  <c r="T148" i="11"/>
  <c r="U147" i="11"/>
  <c r="T147" i="11"/>
  <c r="U146" i="11"/>
  <c r="T146" i="11"/>
  <c r="U145" i="11"/>
  <c r="T145" i="11"/>
  <c r="U144" i="11"/>
  <c r="T144" i="11"/>
  <c r="U143" i="11"/>
  <c r="T143" i="11"/>
  <c r="U142" i="11"/>
  <c r="T142" i="11"/>
  <c r="U141" i="11"/>
  <c r="T141" i="11"/>
  <c r="U140" i="11"/>
  <c r="T140" i="11"/>
  <c r="U139" i="11"/>
  <c r="T139" i="11"/>
  <c r="U138" i="11"/>
  <c r="T138" i="11"/>
  <c r="U137" i="11"/>
  <c r="T137" i="11"/>
  <c r="U136" i="11"/>
  <c r="T136" i="11"/>
  <c r="U135" i="11"/>
  <c r="T135" i="11"/>
  <c r="U134" i="11"/>
  <c r="T134" i="11"/>
  <c r="U133" i="11"/>
  <c r="T133" i="11"/>
  <c r="U132" i="11"/>
  <c r="T132" i="11"/>
  <c r="U131" i="11"/>
  <c r="T131" i="11"/>
  <c r="U130" i="11"/>
  <c r="T130" i="11"/>
  <c r="U129" i="11"/>
  <c r="T129" i="11"/>
  <c r="U128" i="11"/>
  <c r="T128" i="11"/>
  <c r="U127" i="11"/>
  <c r="T127" i="11"/>
  <c r="U126" i="11"/>
  <c r="T126" i="11"/>
  <c r="U125" i="11"/>
  <c r="T125" i="11"/>
  <c r="U124" i="11"/>
  <c r="T124" i="11"/>
  <c r="U123" i="11"/>
  <c r="T123" i="11"/>
  <c r="U122" i="11"/>
  <c r="T122" i="11"/>
  <c r="U121" i="11"/>
  <c r="T121" i="11"/>
  <c r="U120" i="11"/>
  <c r="T120" i="11"/>
  <c r="U119" i="11"/>
  <c r="T119" i="11"/>
  <c r="U118" i="11"/>
  <c r="T118" i="11"/>
  <c r="U117" i="11"/>
  <c r="T117" i="11"/>
  <c r="U116" i="11"/>
  <c r="T116" i="11"/>
  <c r="U115" i="11"/>
  <c r="T115" i="11"/>
  <c r="U114" i="11"/>
  <c r="T114" i="11"/>
  <c r="U113" i="11"/>
  <c r="T113" i="11"/>
  <c r="U112" i="11"/>
  <c r="T112" i="11"/>
  <c r="U111" i="11"/>
  <c r="T111" i="11"/>
  <c r="U110" i="11"/>
  <c r="T110" i="11"/>
  <c r="U109" i="11"/>
  <c r="T109" i="11"/>
  <c r="U108" i="11"/>
  <c r="T108" i="11"/>
  <c r="U107" i="11"/>
  <c r="T107" i="11"/>
  <c r="U106" i="11"/>
  <c r="T106" i="11"/>
  <c r="U105" i="11"/>
  <c r="T105" i="11"/>
  <c r="U104" i="11"/>
  <c r="T104" i="11"/>
  <c r="U103" i="11"/>
  <c r="T103" i="11"/>
  <c r="U102" i="11"/>
  <c r="T102" i="11"/>
  <c r="U101" i="11"/>
  <c r="T101" i="11"/>
  <c r="U100" i="11"/>
  <c r="T100" i="11"/>
  <c r="U99" i="11"/>
  <c r="T99" i="11"/>
  <c r="U98" i="11"/>
  <c r="T98" i="11"/>
  <c r="U97" i="11"/>
  <c r="T97" i="11"/>
  <c r="U96" i="11"/>
  <c r="T96" i="11"/>
  <c r="U95" i="11"/>
  <c r="T95" i="11"/>
  <c r="U94" i="11"/>
  <c r="T94" i="11"/>
  <c r="U93" i="11"/>
  <c r="T93" i="11"/>
  <c r="U92" i="11"/>
  <c r="T92" i="11"/>
  <c r="U91" i="11"/>
  <c r="T91" i="11"/>
  <c r="U90" i="11"/>
  <c r="T90" i="11"/>
  <c r="U89" i="11"/>
  <c r="T89" i="11"/>
  <c r="U88" i="11"/>
  <c r="T88" i="11"/>
  <c r="U87" i="11"/>
  <c r="T87" i="11"/>
  <c r="U86" i="11"/>
  <c r="T86" i="11"/>
  <c r="U85" i="11"/>
  <c r="T85" i="11"/>
  <c r="U84" i="11"/>
  <c r="T84" i="11"/>
  <c r="U83" i="11"/>
  <c r="T83" i="11"/>
  <c r="U82" i="11"/>
  <c r="T82" i="11"/>
  <c r="U81" i="11"/>
  <c r="T81" i="11"/>
  <c r="U80" i="11"/>
  <c r="T80" i="11"/>
  <c r="U79" i="11"/>
  <c r="T79" i="11"/>
  <c r="U78" i="11"/>
  <c r="T78" i="11"/>
  <c r="U77" i="11"/>
  <c r="T77" i="11"/>
  <c r="U76" i="11"/>
  <c r="T76" i="11"/>
  <c r="U75" i="11"/>
  <c r="T75" i="11"/>
  <c r="U74" i="11"/>
  <c r="T74" i="11"/>
  <c r="U73" i="11"/>
  <c r="T73" i="11"/>
  <c r="U72" i="11"/>
  <c r="T72" i="11"/>
  <c r="U71" i="11"/>
  <c r="T71" i="11"/>
  <c r="U70" i="11"/>
  <c r="T70" i="11"/>
  <c r="U69" i="11"/>
  <c r="T69" i="11"/>
  <c r="U68" i="11"/>
  <c r="T68" i="11"/>
  <c r="U67" i="11"/>
  <c r="T67" i="11"/>
  <c r="U66" i="11"/>
  <c r="T66" i="11"/>
  <c r="U65" i="11"/>
  <c r="T65" i="11"/>
  <c r="U64" i="11"/>
  <c r="T64" i="11"/>
  <c r="U63" i="11"/>
  <c r="T63" i="11"/>
  <c r="U62" i="11"/>
  <c r="T62" i="11"/>
  <c r="U61" i="11"/>
  <c r="T61" i="11"/>
  <c r="U60" i="11"/>
  <c r="T60" i="11"/>
  <c r="U59" i="11"/>
  <c r="T59" i="11"/>
  <c r="U58" i="11"/>
  <c r="T58" i="11"/>
  <c r="U57" i="11"/>
  <c r="T57" i="11"/>
  <c r="U56" i="11"/>
  <c r="T56" i="11"/>
  <c r="U55" i="11"/>
  <c r="T55" i="11"/>
  <c r="U54" i="11"/>
  <c r="T54" i="11"/>
  <c r="U53" i="11"/>
  <c r="T53" i="11"/>
  <c r="U52" i="11"/>
  <c r="T52" i="11"/>
  <c r="U51" i="11"/>
  <c r="T51" i="11"/>
  <c r="U50" i="11"/>
  <c r="T50" i="11"/>
  <c r="U49" i="11"/>
  <c r="T49" i="11"/>
  <c r="U48" i="11"/>
  <c r="T48" i="11"/>
  <c r="U47" i="11"/>
  <c r="T47" i="11"/>
  <c r="U46" i="11"/>
  <c r="T46" i="11"/>
  <c r="U45" i="11"/>
  <c r="T45" i="11"/>
  <c r="U44" i="11"/>
  <c r="T44" i="11"/>
  <c r="U43" i="11"/>
  <c r="T43" i="11"/>
  <c r="U42" i="11"/>
  <c r="T42" i="11"/>
  <c r="U41" i="11"/>
  <c r="T41" i="11"/>
  <c r="U40" i="11"/>
  <c r="T40" i="11"/>
  <c r="U39" i="11"/>
  <c r="T39" i="11"/>
  <c r="U38" i="11"/>
  <c r="T38" i="11"/>
  <c r="U37" i="11"/>
  <c r="T37" i="11"/>
  <c r="U36" i="11"/>
  <c r="T36" i="11"/>
  <c r="U35" i="11"/>
  <c r="T35" i="11"/>
  <c r="U34" i="11"/>
  <c r="T34" i="11"/>
  <c r="U33" i="11"/>
  <c r="T33" i="11"/>
  <c r="U32" i="11"/>
  <c r="T32" i="11"/>
  <c r="U31" i="11"/>
  <c r="T31" i="11"/>
  <c r="U30" i="11"/>
  <c r="T30" i="11"/>
  <c r="U29" i="11"/>
  <c r="T29" i="11"/>
  <c r="U28" i="11"/>
  <c r="T28" i="11"/>
  <c r="U27" i="11"/>
  <c r="T27" i="11"/>
  <c r="U26" i="11"/>
  <c r="T26" i="11"/>
  <c r="U25" i="11"/>
  <c r="T25" i="11"/>
  <c r="U24" i="11"/>
  <c r="T24" i="11"/>
  <c r="U23" i="11"/>
  <c r="T23" i="11"/>
  <c r="U22" i="11"/>
  <c r="T22" i="11"/>
  <c r="U21" i="11"/>
  <c r="T21" i="11"/>
  <c r="U20" i="11"/>
  <c r="T20" i="11"/>
  <c r="U19" i="11"/>
  <c r="T19" i="11"/>
  <c r="U18" i="11"/>
  <c r="T18" i="11"/>
  <c r="U17" i="11"/>
  <c r="T17" i="11"/>
  <c r="U16" i="11"/>
  <c r="T16" i="11"/>
  <c r="U15" i="11"/>
  <c r="T15" i="11"/>
  <c r="U14" i="11"/>
  <c r="T14" i="11"/>
  <c r="U13" i="11"/>
  <c r="T13" i="11"/>
  <c r="U12" i="11"/>
  <c r="T12" i="11"/>
  <c r="U11" i="11"/>
  <c r="T11" i="11"/>
  <c r="U10" i="11"/>
  <c r="T10" i="11"/>
  <c r="U9" i="11"/>
  <c r="T9" i="11"/>
  <c r="U8" i="11"/>
  <c r="T8" i="11"/>
  <c r="U7" i="11"/>
  <c r="T7" i="11"/>
  <c r="U6" i="11"/>
  <c r="T6" i="11"/>
  <c r="U5" i="11"/>
  <c r="T5" i="11"/>
  <c r="S256" i="11"/>
  <c r="R256" i="11"/>
  <c r="Q256" i="11"/>
  <c r="P256" i="11"/>
  <c r="O256" i="11"/>
  <c r="N256" i="11"/>
  <c r="S255" i="11"/>
  <c r="R255" i="11"/>
  <c r="Q255" i="11"/>
  <c r="P255" i="11"/>
  <c r="O255" i="11"/>
  <c r="N255" i="11"/>
  <c r="S254" i="11"/>
  <c r="R254" i="11"/>
  <c r="Q254" i="11"/>
  <c r="P254" i="11"/>
  <c r="O254" i="11"/>
  <c r="N254" i="11"/>
  <c r="S253" i="11"/>
  <c r="R253" i="11"/>
  <c r="Q253" i="11"/>
  <c r="P253" i="11"/>
  <c r="O253" i="11"/>
  <c r="N253" i="11"/>
  <c r="S252" i="11"/>
  <c r="R252" i="11"/>
  <c r="Q252" i="11"/>
  <c r="P252" i="11"/>
  <c r="O252" i="11"/>
  <c r="N252" i="11"/>
  <c r="S251" i="11"/>
  <c r="R251" i="11"/>
  <c r="Q251" i="11"/>
  <c r="P251" i="11"/>
  <c r="O251" i="11"/>
  <c r="N251" i="11"/>
  <c r="S250" i="11"/>
  <c r="R250" i="11"/>
  <c r="Q250" i="11"/>
  <c r="P250" i="11"/>
  <c r="O250" i="11"/>
  <c r="N250" i="11"/>
  <c r="S249" i="11"/>
  <c r="R249" i="11"/>
  <c r="Q249" i="11"/>
  <c r="P249" i="11"/>
  <c r="O249" i="11"/>
  <c r="N249" i="11"/>
  <c r="S248" i="11"/>
  <c r="R248" i="11"/>
  <c r="Q248" i="11"/>
  <c r="P248" i="11"/>
  <c r="O248" i="11"/>
  <c r="N248" i="11"/>
  <c r="S247" i="11"/>
  <c r="R247" i="11"/>
  <c r="Q247" i="11"/>
  <c r="P247" i="11"/>
  <c r="O247" i="11"/>
  <c r="N247" i="11"/>
  <c r="S246" i="11"/>
  <c r="R246" i="11"/>
  <c r="Q246" i="11"/>
  <c r="P246" i="11"/>
  <c r="O246" i="11"/>
  <c r="N246" i="11"/>
  <c r="S245" i="11"/>
  <c r="R245" i="11"/>
  <c r="Q245" i="11"/>
  <c r="P245" i="11"/>
  <c r="O245" i="11"/>
  <c r="N245" i="11"/>
  <c r="S244" i="11"/>
  <c r="R244" i="11"/>
  <c r="Q244" i="11"/>
  <c r="P244" i="11"/>
  <c r="O244" i="11"/>
  <c r="N244" i="11"/>
  <c r="S243" i="11"/>
  <c r="R243" i="11"/>
  <c r="Q243" i="11"/>
  <c r="P243" i="11"/>
  <c r="O243" i="11"/>
  <c r="N243" i="11"/>
  <c r="S242" i="11"/>
  <c r="R242" i="11"/>
  <c r="Q242" i="11"/>
  <c r="P242" i="11"/>
  <c r="O242" i="11"/>
  <c r="N242" i="11"/>
  <c r="S241" i="11"/>
  <c r="R241" i="11"/>
  <c r="Q241" i="11"/>
  <c r="P241" i="11"/>
  <c r="O241" i="11"/>
  <c r="N241" i="11"/>
  <c r="S240" i="11"/>
  <c r="R240" i="11"/>
  <c r="Q240" i="11"/>
  <c r="P240" i="11"/>
  <c r="O240" i="11"/>
  <c r="N240" i="11"/>
  <c r="S239" i="11"/>
  <c r="R239" i="11"/>
  <c r="Q239" i="11"/>
  <c r="P239" i="11"/>
  <c r="O239" i="11"/>
  <c r="N239" i="11"/>
  <c r="S238" i="11"/>
  <c r="R238" i="11"/>
  <c r="Q238" i="11"/>
  <c r="P238" i="11"/>
  <c r="O238" i="11"/>
  <c r="N238" i="11"/>
  <c r="S237" i="11"/>
  <c r="R237" i="11"/>
  <c r="Q237" i="11"/>
  <c r="P237" i="11"/>
  <c r="O237" i="11"/>
  <c r="N237" i="11"/>
  <c r="S236" i="11"/>
  <c r="R236" i="11"/>
  <c r="Q236" i="11"/>
  <c r="P236" i="11"/>
  <c r="O236" i="11"/>
  <c r="N236" i="11"/>
  <c r="S235" i="11"/>
  <c r="R235" i="11"/>
  <c r="Q235" i="11"/>
  <c r="P235" i="11"/>
  <c r="O235" i="11"/>
  <c r="N235" i="11"/>
  <c r="S234" i="11"/>
  <c r="R234" i="11"/>
  <c r="Q234" i="11"/>
  <c r="P234" i="11"/>
  <c r="O234" i="11"/>
  <c r="N234" i="11"/>
  <c r="S233" i="11"/>
  <c r="R233" i="11"/>
  <c r="Q233" i="11"/>
  <c r="P233" i="11"/>
  <c r="O233" i="11"/>
  <c r="N233" i="11"/>
  <c r="S232" i="11"/>
  <c r="R232" i="11"/>
  <c r="Q232" i="11"/>
  <c r="P232" i="11"/>
  <c r="O232" i="11"/>
  <c r="N232" i="11"/>
  <c r="S231" i="11"/>
  <c r="R231" i="11"/>
  <c r="Q231" i="11"/>
  <c r="P231" i="11"/>
  <c r="O231" i="11"/>
  <c r="N231" i="11"/>
  <c r="S230" i="11"/>
  <c r="R230" i="11"/>
  <c r="Q230" i="11"/>
  <c r="P230" i="11"/>
  <c r="O230" i="11"/>
  <c r="N230" i="11"/>
  <c r="S229" i="11"/>
  <c r="R229" i="11"/>
  <c r="Q229" i="11"/>
  <c r="P229" i="11"/>
  <c r="O229" i="11"/>
  <c r="N229" i="11"/>
  <c r="S228" i="11"/>
  <c r="R228" i="11"/>
  <c r="Q228" i="11"/>
  <c r="P228" i="11"/>
  <c r="O228" i="11"/>
  <c r="N228" i="11"/>
  <c r="S227" i="11"/>
  <c r="R227" i="11"/>
  <c r="Q227" i="11"/>
  <c r="P227" i="11"/>
  <c r="O227" i="11"/>
  <c r="N227" i="11"/>
  <c r="S226" i="11"/>
  <c r="R226" i="11"/>
  <c r="Q226" i="11"/>
  <c r="P226" i="11"/>
  <c r="O226" i="11"/>
  <c r="N226" i="11"/>
  <c r="S225" i="11"/>
  <c r="R225" i="11"/>
  <c r="Q225" i="11"/>
  <c r="P225" i="11"/>
  <c r="O225" i="11"/>
  <c r="N225" i="11"/>
  <c r="S224" i="11"/>
  <c r="R224" i="11"/>
  <c r="Q224" i="11"/>
  <c r="P224" i="11"/>
  <c r="O224" i="11"/>
  <c r="N224" i="11"/>
  <c r="S223" i="11"/>
  <c r="R223" i="11"/>
  <c r="Q223" i="11"/>
  <c r="P223" i="11"/>
  <c r="O223" i="11"/>
  <c r="N223" i="11"/>
  <c r="S222" i="11"/>
  <c r="R222" i="11"/>
  <c r="Q222" i="11"/>
  <c r="P222" i="11"/>
  <c r="O222" i="11"/>
  <c r="N222" i="11"/>
  <c r="S221" i="11"/>
  <c r="R221" i="11"/>
  <c r="Q221" i="11"/>
  <c r="P221" i="11"/>
  <c r="O221" i="11"/>
  <c r="N221" i="11"/>
  <c r="S220" i="11"/>
  <c r="R220" i="11"/>
  <c r="Q220" i="11"/>
  <c r="P220" i="11"/>
  <c r="O220" i="11"/>
  <c r="N220" i="11"/>
  <c r="S219" i="11"/>
  <c r="R219" i="11"/>
  <c r="Q219" i="11"/>
  <c r="P219" i="11"/>
  <c r="O219" i="11"/>
  <c r="N219" i="11"/>
  <c r="S218" i="11"/>
  <c r="R218" i="11"/>
  <c r="Q218" i="11"/>
  <c r="P218" i="11"/>
  <c r="O218" i="11"/>
  <c r="N218" i="11"/>
  <c r="S217" i="11"/>
  <c r="R217" i="11"/>
  <c r="Q217" i="11"/>
  <c r="P217" i="11"/>
  <c r="O217" i="11"/>
  <c r="N217" i="11"/>
  <c r="S216" i="11"/>
  <c r="R216" i="11"/>
  <c r="Q216" i="11"/>
  <c r="P216" i="11"/>
  <c r="O216" i="11"/>
  <c r="N216" i="11"/>
  <c r="S215" i="11"/>
  <c r="R215" i="11"/>
  <c r="Q215" i="11"/>
  <c r="P215" i="11"/>
  <c r="O215" i="11"/>
  <c r="N215" i="11"/>
  <c r="S214" i="11"/>
  <c r="R214" i="11"/>
  <c r="Q214" i="11"/>
  <c r="P214" i="11"/>
  <c r="O214" i="11"/>
  <c r="N214" i="11"/>
  <c r="S213" i="11"/>
  <c r="R213" i="11"/>
  <c r="Q213" i="11"/>
  <c r="P213" i="11"/>
  <c r="O213" i="11"/>
  <c r="N213" i="11"/>
  <c r="S212" i="11"/>
  <c r="R212" i="11"/>
  <c r="Q212" i="11"/>
  <c r="P212" i="11"/>
  <c r="O212" i="11"/>
  <c r="N212" i="11"/>
  <c r="S211" i="11"/>
  <c r="R211" i="11"/>
  <c r="Q211" i="11"/>
  <c r="P211" i="11"/>
  <c r="O211" i="11"/>
  <c r="N211" i="11"/>
  <c r="S210" i="11"/>
  <c r="R210" i="11"/>
  <c r="Q210" i="11"/>
  <c r="P210" i="11"/>
  <c r="O210" i="11"/>
  <c r="N210" i="11"/>
  <c r="S209" i="11"/>
  <c r="R209" i="11"/>
  <c r="Q209" i="11"/>
  <c r="P209" i="11"/>
  <c r="O209" i="11"/>
  <c r="N209" i="11"/>
  <c r="S208" i="11"/>
  <c r="R208" i="11"/>
  <c r="Q208" i="11"/>
  <c r="P208" i="11"/>
  <c r="O208" i="11"/>
  <c r="N208" i="11"/>
  <c r="S207" i="11"/>
  <c r="R207" i="11"/>
  <c r="Q207" i="11"/>
  <c r="P207" i="11"/>
  <c r="O207" i="11"/>
  <c r="N207" i="11"/>
  <c r="S206" i="11"/>
  <c r="R206" i="11"/>
  <c r="Q206" i="11"/>
  <c r="P206" i="11"/>
  <c r="O206" i="11"/>
  <c r="N206" i="11"/>
  <c r="S205" i="11"/>
  <c r="R205" i="11"/>
  <c r="Q205" i="11"/>
  <c r="P205" i="11"/>
  <c r="O205" i="11"/>
  <c r="N205" i="11"/>
  <c r="S204" i="11"/>
  <c r="R204" i="11"/>
  <c r="Q204" i="11"/>
  <c r="P204" i="11"/>
  <c r="O204" i="11"/>
  <c r="N204" i="11"/>
  <c r="S203" i="11"/>
  <c r="R203" i="11"/>
  <c r="Q203" i="11"/>
  <c r="P203" i="11"/>
  <c r="O203" i="11"/>
  <c r="N203" i="11"/>
  <c r="S202" i="11"/>
  <c r="R202" i="11"/>
  <c r="Q202" i="11"/>
  <c r="P202" i="11"/>
  <c r="O202" i="11"/>
  <c r="N202" i="11"/>
  <c r="S201" i="11"/>
  <c r="R201" i="11"/>
  <c r="Q201" i="11"/>
  <c r="P201" i="11"/>
  <c r="O201" i="11"/>
  <c r="N201" i="11"/>
  <c r="S200" i="11"/>
  <c r="R200" i="11"/>
  <c r="Q200" i="11"/>
  <c r="P200" i="11"/>
  <c r="O200" i="11"/>
  <c r="N200" i="11"/>
  <c r="S199" i="11"/>
  <c r="R199" i="11"/>
  <c r="Q199" i="11"/>
  <c r="P199" i="11"/>
  <c r="O199" i="11"/>
  <c r="N199" i="11"/>
  <c r="S198" i="11"/>
  <c r="R198" i="11"/>
  <c r="Q198" i="11"/>
  <c r="P198" i="11"/>
  <c r="O198" i="11"/>
  <c r="N198" i="11"/>
  <c r="S197" i="11"/>
  <c r="R197" i="11"/>
  <c r="Q197" i="11"/>
  <c r="P197" i="11"/>
  <c r="O197" i="11"/>
  <c r="N197" i="11"/>
  <c r="S196" i="11"/>
  <c r="R196" i="11"/>
  <c r="Q196" i="11"/>
  <c r="P196" i="11"/>
  <c r="O196" i="11"/>
  <c r="N196" i="11"/>
  <c r="S195" i="11"/>
  <c r="R195" i="11"/>
  <c r="Q195" i="11"/>
  <c r="P195" i="11"/>
  <c r="O195" i="11"/>
  <c r="N195" i="11"/>
  <c r="S194" i="11"/>
  <c r="R194" i="11"/>
  <c r="Q194" i="11"/>
  <c r="P194" i="11"/>
  <c r="O194" i="11"/>
  <c r="N194" i="11"/>
  <c r="S193" i="11"/>
  <c r="R193" i="11"/>
  <c r="Q193" i="11"/>
  <c r="P193" i="11"/>
  <c r="O193" i="11"/>
  <c r="N193" i="11"/>
  <c r="S192" i="11"/>
  <c r="R192" i="11"/>
  <c r="Q192" i="11"/>
  <c r="P192" i="11"/>
  <c r="O192" i="11"/>
  <c r="N192" i="11"/>
  <c r="S191" i="11"/>
  <c r="R191" i="11"/>
  <c r="Q191" i="11"/>
  <c r="P191" i="11"/>
  <c r="O191" i="11"/>
  <c r="N191" i="11"/>
  <c r="S190" i="11"/>
  <c r="R190" i="11"/>
  <c r="Q190" i="11"/>
  <c r="P190" i="11"/>
  <c r="O190" i="11"/>
  <c r="N190" i="11"/>
  <c r="S189" i="11"/>
  <c r="R189" i="11"/>
  <c r="Q189" i="11"/>
  <c r="P189" i="11"/>
  <c r="O189" i="11"/>
  <c r="N189" i="11"/>
  <c r="S188" i="11"/>
  <c r="R188" i="11"/>
  <c r="Q188" i="11"/>
  <c r="P188" i="11"/>
  <c r="O188" i="11"/>
  <c r="N188" i="11"/>
  <c r="S187" i="11"/>
  <c r="R187" i="11"/>
  <c r="Q187" i="11"/>
  <c r="P187" i="11"/>
  <c r="O187" i="11"/>
  <c r="N187" i="11"/>
  <c r="S186" i="11"/>
  <c r="R186" i="11"/>
  <c r="Q186" i="11"/>
  <c r="P186" i="11"/>
  <c r="O186" i="11"/>
  <c r="N186" i="11"/>
  <c r="S185" i="11"/>
  <c r="R185" i="11"/>
  <c r="Q185" i="11"/>
  <c r="P185" i="11"/>
  <c r="O185" i="11"/>
  <c r="N185" i="11"/>
  <c r="S184" i="11"/>
  <c r="R184" i="11"/>
  <c r="Q184" i="11"/>
  <c r="P184" i="11"/>
  <c r="O184" i="11"/>
  <c r="N184" i="11"/>
  <c r="S183" i="11"/>
  <c r="R183" i="11"/>
  <c r="Q183" i="11"/>
  <c r="P183" i="11"/>
  <c r="O183" i="11"/>
  <c r="N183" i="11"/>
  <c r="S182" i="11"/>
  <c r="R182" i="11"/>
  <c r="Q182" i="11"/>
  <c r="P182" i="11"/>
  <c r="O182" i="11"/>
  <c r="N182" i="11"/>
  <c r="S181" i="11"/>
  <c r="R181" i="11"/>
  <c r="Q181" i="11"/>
  <c r="P181" i="11"/>
  <c r="O181" i="11"/>
  <c r="N181" i="11"/>
  <c r="S180" i="11"/>
  <c r="R180" i="11"/>
  <c r="Q180" i="11"/>
  <c r="P180" i="11"/>
  <c r="O180" i="11"/>
  <c r="N180" i="11"/>
  <c r="S179" i="11"/>
  <c r="R179" i="11"/>
  <c r="Q179" i="11"/>
  <c r="P179" i="11"/>
  <c r="O179" i="11"/>
  <c r="N179" i="11"/>
  <c r="S178" i="11"/>
  <c r="R178" i="11"/>
  <c r="Q178" i="11"/>
  <c r="P178" i="11"/>
  <c r="O178" i="11"/>
  <c r="N178" i="11"/>
  <c r="S177" i="11"/>
  <c r="R177" i="11"/>
  <c r="Q177" i="11"/>
  <c r="P177" i="11"/>
  <c r="O177" i="11"/>
  <c r="N177" i="11"/>
  <c r="S176" i="11"/>
  <c r="R176" i="11"/>
  <c r="Q176" i="11"/>
  <c r="P176" i="11"/>
  <c r="O176" i="11"/>
  <c r="N176" i="11"/>
  <c r="S175" i="11"/>
  <c r="R175" i="11"/>
  <c r="Q175" i="11"/>
  <c r="P175" i="11"/>
  <c r="O175" i="11"/>
  <c r="N175" i="11"/>
  <c r="S174" i="11"/>
  <c r="R174" i="11"/>
  <c r="Q174" i="11"/>
  <c r="P174" i="11"/>
  <c r="O174" i="11"/>
  <c r="N174" i="11"/>
  <c r="S173" i="11"/>
  <c r="R173" i="11"/>
  <c r="Q173" i="11"/>
  <c r="P173" i="11"/>
  <c r="O173" i="11"/>
  <c r="N173" i="11"/>
  <c r="S172" i="11"/>
  <c r="R172" i="11"/>
  <c r="Q172" i="11"/>
  <c r="P172" i="11"/>
  <c r="O172" i="11"/>
  <c r="N172" i="11"/>
  <c r="S171" i="11"/>
  <c r="R171" i="11"/>
  <c r="Q171" i="11"/>
  <c r="P171" i="11"/>
  <c r="O171" i="11"/>
  <c r="N171" i="11"/>
  <c r="S170" i="11"/>
  <c r="R170" i="11"/>
  <c r="Q170" i="11"/>
  <c r="P170" i="11"/>
  <c r="O170" i="11"/>
  <c r="N170" i="11"/>
  <c r="S169" i="11"/>
  <c r="R169" i="11"/>
  <c r="Q169" i="11"/>
  <c r="P169" i="11"/>
  <c r="O169" i="11"/>
  <c r="N169" i="11"/>
  <c r="S168" i="11"/>
  <c r="R168" i="11"/>
  <c r="Q168" i="11"/>
  <c r="P168" i="11"/>
  <c r="O168" i="11"/>
  <c r="N168" i="11"/>
  <c r="S167" i="11"/>
  <c r="R167" i="11"/>
  <c r="Q167" i="11"/>
  <c r="P167" i="11"/>
  <c r="O167" i="11"/>
  <c r="N167" i="11"/>
  <c r="S166" i="11"/>
  <c r="R166" i="11"/>
  <c r="Q166" i="11"/>
  <c r="P166" i="11"/>
  <c r="O166" i="11"/>
  <c r="N166" i="11"/>
  <c r="S165" i="11"/>
  <c r="R165" i="11"/>
  <c r="Q165" i="11"/>
  <c r="P165" i="11"/>
  <c r="O165" i="11"/>
  <c r="N165" i="11"/>
  <c r="S164" i="11"/>
  <c r="R164" i="11"/>
  <c r="Q164" i="11"/>
  <c r="P164" i="11"/>
  <c r="O164" i="11"/>
  <c r="N164" i="11"/>
  <c r="S163" i="11"/>
  <c r="R163" i="11"/>
  <c r="Q163" i="11"/>
  <c r="P163" i="11"/>
  <c r="O163" i="11"/>
  <c r="N163" i="11"/>
  <c r="S162" i="11"/>
  <c r="R162" i="11"/>
  <c r="Q162" i="11"/>
  <c r="P162" i="11"/>
  <c r="O162" i="11"/>
  <c r="N162" i="11"/>
  <c r="S161" i="11"/>
  <c r="R161" i="11"/>
  <c r="Q161" i="11"/>
  <c r="P161" i="11"/>
  <c r="O161" i="11"/>
  <c r="N161" i="11"/>
  <c r="S160" i="11"/>
  <c r="R160" i="11"/>
  <c r="Q160" i="11"/>
  <c r="P160" i="11"/>
  <c r="O160" i="11"/>
  <c r="N160" i="11"/>
  <c r="S159" i="11"/>
  <c r="R159" i="11"/>
  <c r="Q159" i="11"/>
  <c r="P159" i="11"/>
  <c r="O159" i="11"/>
  <c r="N159" i="11"/>
  <c r="S158" i="11"/>
  <c r="R158" i="11"/>
  <c r="Q158" i="11"/>
  <c r="P158" i="11"/>
  <c r="O158" i="11"/>
  <c r="N158" i="11"/>
  <c r="S157" i="11"/>
  <c r="R157" i="11"/>
  <c r="Q157" i="11"/>
  <c r="P157" i="11"/>
  <c r="O157" i="11"/>
  <c r="N157" i="11"/>
  <c r="S156" i="11"/>
  <c r="R156" i="11"/>
  <c r="Q156" i="11"/>
  <c r="P156" i="11"/>
  <c r="O156" i="11"/>
  <c r="N156" i="11"/>
  <c r="S155" i="11"/>
  <c r="R155" i="11"/>
  <c r="Q155" i="11"/>
  <c r="P155" i="11"/>
  <c r="O155" i="11"/>
  <c r="N155" i="11"/>
  <c r="S154" i="11"/>
  <c r="R154" i="11"/>
  <c r="Q154" i="11"/>
  <c r="P154" i="11"/>
  <c r="O154" i="11"/>
  <c r="N154" i="11"/>
  <c r="S153" i="11"/>
  <c r="R153" i="11"/>
  <c r="Q153" i="11"/>
  <c r="P153" i="11"/>
  <c r="O153" i="11"/>
  <c r="N153" i="11"/>
  <c r="S152" i="11"/>
  <c r="R152" i="11"/>
  <c r="Q152" i="11"/>
  <c r="P152" i="11"/>
  <c r="O152" i="11"/>
  <c r="N152" i="11"/>
  <c r="S151" i="11"/>
  <c r="R151" i="11"/>
  <c r="Q151" i="11"/>
  <c r="P151" i="11"/>
  <c r="O151" i="11"/>
  <c r="N151" i="11"/>
  <c r="S150" i="11"/>
  <c r="R150" i="11"/>
  <c r="Q150" i="11"/>
  <c r="P150" i="11"/>
  <c r="O150" i="11"/>
  <c r="N150" i="11"/>
  <c r="S149" i="11"/>
  <c r="R149" i="11"/>
  <c r="Q149" i="11"/>
  <c r="P149" i="11"/>
  <c r="O149" i="11"/>
  <c r="N149" i="11"/>
  <c r="S148" i="11"/>
  <c r="R148" i="11"/>
  <c r="Q148" i="11"/>
  <c r="P148" i="11"/>
  <c r="O148" i="11"/>
  <c r="N148" i="11"/>
  <c r="S147" i="11"/>
  <c r="R147" i="11"/>
  <c r="Q147" i="11"/>
  <c r="P147" i="11"/>
  <c r="O147" i="11"/>
  <c r="N147" i="11"/>
  <c r="S146" i="11"/>
  <c r="R146" i="11"/>
  <c r="Q146" i="11"/>
  <c r="P146" i="11"/>
  <c r="O146" i="11"/>
  <c r="N146" i="11"/>
  <c r="S145" i="11"/>
  <c r="R145" i="11"/>
  <c r="Q145" i="11"/>
  <c r="P145" i="11"/>
  <c r="O145" i="11"/>
  <c r="N145" i="11"/>
  <c r="S144" i="11"/>
  <c r="R144" i="11"/>
  <c r="Q144" i="11"/>
  <c r="P144" i="11"/>
  <c r="O144" i="11"/>
  <c r="N144" i="11"/>
  <c r="S143" i="11"/>
  <c r="R143" i="11"/>
  <c r="Q143" i="11"/>
  <c r="P143" i="11"/>
  <c r="O143" i="11"/>
  <c r="N143" i="11"/>
  <c r="S142" i="11"/>
  <c r="R142" i="11"/>
  <c r="Q142" i="11"/>
  <c r="P142" i="11"/>
  <c r="O142" i="11"/>
  <c r="N142" i="11"/>
  <c r="S141" i="11"/>
  <c r="R141" i="11"/>
  <c r="Q141" i="11"/>
  <c r="P141" i="11"/>
  <c r="O141" i="11"/>
  <c r="N141" i="11"/>
  <c r="S140" i="11"/>
  <c r="R140" i="11"/>
  <c r="Q140" i="11"/>
  <c r="P140" i="11"/>
  <c r="O140" i="11"/>
  <c r="N140" i="11"/>
  <c r="S139" i="11"/>
  <c r="R139" i="11"/>
  <c r="Q139" i="11"/>
  <c r="P139" i="11"/>
  <c r="O139" i="11"/>
  <c r="N139" i="11"/>
  <c r="S138" i="11"/>
  <c r="R138" i="11"/>
  <c r="Q138" i="11"/>
  <c r="P138" i="11"/>
  <c r="O138" i="11"/>
  <c r="N138" i="11"/>
  <c r="S137" i="11"/>
  <c r="R137" i="11"/>
  <c r="Q137" i="11"/>
  <c r="P137" i="11"/>
  <c r="O137" i="11"/>
  <c r="N137" i="11"/>
  <c r="S136" i="11"/>
  <c r="R136" i="11"/>
  <c r="Q136" i="11"/>
  <c r="P136" i="11"/>
  <c r="O136" i="11"/>
  <c r="N136" i="11"/>
  <c r="S135" i="11"/>
  <c r="R135" i="11"/>
  <c r="Q135" i="11"/>
  <c r="P135" i="11"/>
  <c r="O135" i="11"/>
  <c r="N135" i="11"/>
  <c r="S134" i="11"/>
  <c r="R134" i="11"/>
  <c r="Q134" i="11"/>
  <c r="P134" i="11"/>
  <c r="O134" i="11"/>
  <c r="N134" i="11"/>
  <c r="S133" i="11"/>
  <c r="R133" i="11"/>
  <c r="Q133" i="11"/>
  <c r="P133" i="11"/>
  <c r="O133" i="11"/>
  <c r="N133" i="11"/>
  <c r="S132" i="11"/>
  <c r="R132" i="11"/>
  <c r="Q132" i="11"/>
  <c r="P132" i="11"/>
  <c r="O132" i="11"/>
  <c r="N132" i="11"/>
  <c r="S131" i="11"/>
  <c r="R131" i="11"/>
  <c r="Q131" i="11"/>
  <c r="P131" i="11"/>
  <c r="O131" i="11"/>
  <c r="N131" i="11"/>
  <c r="S130" i="11"/>
  <c r="R130" i="11"/>
  <c r="Q130" i="11"/>
  <c r="P130" i="11"/>
  <c r="O130" i="11"/>
  <c r="N130" i="11"/>
  <c r="S129" i="11"/>
  <c r="R129" i="11"/>
  <c r="Q129" i="11"/>
  <c r="P129" i="11"/>
  <c r="O129" i="11"/>
  <c r="N129" i="11"/>
  <c r="S128" i="11"/>
  <c r="R128" i="11"/>
  <c r="Q128" i="11"/>
  <c r="P128" i="11"/>
  <c r="O128" i="11"/>
  <c r="N128" i="11"/>
  <c r="S127" i="11"/>
  <c r="R127" i="11"/>
  <c r="Q127" i="11"/>
  <c r="P127" i="11"/>
  <c r="O127" i="11"/>
  <c r="N127" i="11"/>
  <c r="S126" i="11"/>
  <c r="R126" i="11"/>
  <c r="Q126" i="11"/>
  <c r="P126" i="11"/>
  <c r="O126" i="11"/>
  <c r="N126" i="11"/>
  <c r="S125" i="11"/>
  <c r="R125" i="11"/>
  <c r="Q125" i="11"/>
  <c r="P125" i="11"/>
  <c r="O125" i="11"/>
  <c r="N125" i="11"/>
  <c r="S124" i="11"/>
  <c r="R124" i="11"/>
  <c r="Q124" i="11"/>
  <c r="P124" i="11"/>
  <c r="O124" i="11"/>
  <c r="N124" i="11"/>
  <c r="S123" i="11"/>
  <c r="R123" i="11"/>
  <c r="Q123" i="11"/>
  <c r="P123" i="11"/>
  <c r="O123" i="11"/>
  <c r="N123" i="11"/>
  <c r="S122" i="11"/>
  <c r="R122" i="11"/>
  <c r="Q122" i="11"/>
  <c r="P122" i="11"/>
  <c r="O122" i="11"/>
  <c r="N122" i="11"/>
  <c r="S121" i="11"/>
  <c r="R121" i="11"/>
  <c r="Q121" i="11"/>
  <c r="P121" i="11"/>
  <c r="O121" i="11"/>
  <c r="N121" i="11"/>
  <c r="S120" i="11"/>
  <c r="R120" i="11"/>
  <c r="Q120" i="11"/>
  <c r="P120" i="11"/>
  <c r="O120" i="11"/>
  <c r="N120" i="11"/>
  <c r="S119" i="11"/>
  <c r="R119" i="11"/>
  <c r="Q119" i="11"/>
  <c r="P119" i="11"/>
  <c r="O119" i="11"/>
  <c r="N119" i="11"/>
  <c r="S118" i="11"/>
  <c r="R118" i="11"/>
  <c r="Q118" i="11"/>
  <c r="P118" i="11"/>
  <c r="O118" i="11"/>
  <c r="N118" i="11"/>
  <c r="S117" i="11"/>
  <c r="R117" i="11"/>
  <c r="Q117" i="11"/>
  <c r="P117" i="11"/>
  <c r="O117" i="11"/>
  <c r="N117" i="11"/>
  <c r="S116" i="11"/>
  <c r="R116" i="11"/>
  <c r="Q116" i="11"/>
  <c r="P116" i="11"/>
  <c r="O116" i="11"/>
  <c r="N116" i="11"/>
  <c r="S115" i="11"/>
  <c r="R115" i="11"/>
  <c r="Q115" i="11"/>
  <c r="P115" i="11"/>
  <c r="O115" i="11"/>
  <c r="N115" i="11"/>
  <c r="S114" i="11"/>
  <c r="R114" i="11"/>
  <c r="Q114" i="11"/>
  <c r="P114" i="11"/>
  <c r="O114" i="11"/>
  <c r="N114" i="11"/>
  <c r="S113" i="11"/>
  <c r="R113" i="11"/>
  <c r="Q113" i="11"/>
  <c r="P113" i="11"/>
  <c r="O113" i="11"/>
  <c r="N113" i="11"/>
  <c r="S112" i="11"/>
  <c r="R112" i="11"/>
  <c r="Q112" i="11"/>
  <c r="P112" i="11"/>
  <c r="O112" i="11"/>
  <c r="N112" i="11"/>
  <c r="S111" i="11"/>
  <c r="R111" i="11"/>
  <c r="Q111" i="11"/>
  <c r="P111" i="11"/>
  <c r="O111" i="11"/>
  <c r="N111" i="11"/>
  <c r="S110" i="11"/>
  <c r="R110" i="11"/>
  <c r="Q110" i="11"/>
  <c r="P110" i="11"/>
  <c r="O110" i="11"/>
  <c r="N110" i="11"/>
  <c r="S109" i="11"/>
  <c r="R109" i="11"/>
  <c r="Q109" i="11"/>
  <c r="P109" i="11"/>
  <c r="O109" i="11"/>
  <c r="N109" i="11"/>
  <c r="S108" i="11"/>
  <c r="R108" i="11"/>
  <c r="Q108" i="11"/>
  <c r="P108" i="11"/>
  <c r="O108" i="11"/>
  <c r="N108" i="11"/>
  <c r="S107" i="11"/>
  <c r="R107" i="11"/>
  <c r="Q107" i="11"/>
  <c r="P107" i="11"/>
  <c r="O107" i="11"/>
  <c r="N107" i="11"/>
  <c r="S106" i="11"/>
  <c r="R106" i="11"/>
  <c r="Q106" i="11"/>
  <c r="P106" i="11"/>
  <c r="O106" i="11"/>
  <c r="N106" i="11"/>
  <c r="S105" i="11"/>
  <c r="R105" i="11"/>
  <c r="Q105" i="11"/>
  <c r="P105" i="11"/>
  <c r="O105" i="11"/>
  <c r="N105" i="11"/>
  <c r="S104" i="11"/>
  <c r="R104" i="11"/>
  <c r="Q104" i="11"/>
  <c r="P104" i="11"/>
  <c r="O104" i="11"/>
  <c r="N104" i="11"/>
  <c r="S103" i="11"/>
  <c r="R103" i="11"/>
  <c r="Q103" i="11"/>
  <c r="P103" i="11"/>
  <c r="O103" i="11"/>
  <c r="N103" i="11"/>
  <c r="S102" i="11"/>
  <c r="R102" i="11"/>
  <c r="Q102" i="11"/>
  <c r="P102" i="11"/>
  <c r="O102" i="11"/>
  <c r="N102" i="11"/>
  <c r="S101" i="11"/>
  <c r="R101" i="11"/>
  <c r="Q101" i="11"/>
  <c r="P101" i="11"/>
  <c r="O101" i="11"/>
  <c r="N101" i="11"/>
  <c r="S100" i="11"/>
  <c r="R100" i="11"/>
  <c r="Q100" i="11"/>
  <c r="P100" i="11"/>
  <c r="O100" i="11"/>
  <c r="N100" i="11"/>
  <c r="S99" i="11"/>
  <c r="R99" i="11"/>
  <c r="Q99" i="11"/>
  <c r="P99" i="11"/>
  <c r="O99" i="11"/>
  <c r="N99" i="11"/>
  <c r="S98" i="11"/>
  <c r="R98" i="11"/>
  <c r="Q98" i="11"/>
  <c r="P98" i="11"/>
  <c r="O98" i="11"/>
  <c r="N98" i="11"/>
  <c r="S97" i="11"/>
  <c r="R97" i="11"/>
  <c r="Q97" i="11"/>
  <c r="P97" i="11"/>
  <c r="O97" i="11"/>
  <c r="N97" i="11"/>
  <c r="S96" i="11"/>
  <c r="R96" i="11"/>
  <c r="Q96" i="11"/>
  <c r="P96" i="11"/>
  <c r="O96" i="11"/>
  <c r="N96" i="11"/>
  <c r="S95" i="11"/>
  <c r="R95" i="11"/>
  <c r="Q95" i="11"/>
  <c r="P95" i="11"/>
  <c r="O95" i="11"/>
  <c r="N95" i="11"/>
  <c r="S94" i="11"/>
  <c r="R94" i="11"/>
  <c r="Q94" i="11"/>
  <c r="P94" i="11"/>
  <c r="O94" i="11"/>
  <c r="N94" i="11"/>
  <c r="S93" i="11"/>
  <c r="R93" i="11"/>
  <c r="Q93" i="11"/>
  <c r="P93" i="11"/>
  <c r="O93" i="11"/>
  <c r="N93" i="11"/>
  <c r="S92" i="11"/>
  <c r="R92" i="11"/>
  <c r="Q92" i="11"/>
  <c r="P92" i="11"/>
  <c r="O92" i="11"/>
  <c r="N92" i="11"/>
  <c r="S91" i="11"/>
  <c r="R91" i="11"/>
  <c r="Q91" i="11"/>
  <c r="P91" i="11"/>
  <c r="O91" i="11"/>
  <c r="N91" i="11"/>
  <c r="S90" i="11"/>
  <c r="R90" i="11"/>
  <c r="Q90" i="11"/>
  <c r="P90" i="11"/>
  <c r="O90" i="11"/>
  <c r="N90" i="11"/>
  <c r="S89" i="11"/>
  <c r="R89" i="11"/>
  <c r="Q89" i="11"/>
  <c r="P89" i="11"/>
  <c r="O89" i="11"/>
  <c r="N89" i="11"/>
  <c r="S88" i="11"/>
  <c r="R88" i="11"/>
  <c r="Q88" i="11"/>
  <c r="P88" i="11"/>
  <c r="O88" i="11"/>
  <c r="N88" i="11"/>
  <c r="S87" i="11"/>
  <c r="R87" i="11"/>
  <c r="Q87" i="11"/>
  <c r="P87" i="11"/>
  <c r="O87" i="11"/>
  <c r="N87" i="11"/>
  <c r="S86" i="11"/>
  <c r="R86" i="11"/>
  <c r="Q86" i="11"/>
  <c r="P86" i="11"/>
  <c r="O86" i="11"/>
  <c r="N86" i="11"/>
  <c r="S85" i="11"/>
  <c r="R85" i="11"/>
  <c r="Q85" i="11"/>
  <c r="P85" i="11"/>
  <c r="O85" i="11"/>
  <c r="N85" i="11"/>
  <c r="S84" i="11"/>
  <c r="R84" i="11"/>
  <c r="Q84" i="11"/>
  <c r="P84" i="11"/>
  <c r="O84" i="11"/>
  <c r="N84" i="11"/>
  <c r="S83" i="11"/>
  <c r="R83" i="11"/>
  <c r="Q83" i="11"/>
  <c r="P83" i="11"/>
  <c r="O83" i="11"/>
  <c r="N83" i="11"/>
  <c r="S82" i="11"/>
  <c r="R82" i="11"/>
  <c r="Q82" i="11"/>
  <c r="P82" i="11"/>
  <c r="O82" i="11"/>
  <c r="N82" i="11"/>
  <c r="S81" i="11"/>
  <c r="R81" i="11"/>
  <c r="Q81" i="11"/>
  <c r="P81" i="11"/>
  <c r="O81" i="11"/>
  <c r="N81" i="11"/>
  <c r="S80" i="11"/>
  <c r="R80" i="11"/>
  <c r="Q80" i="11"/>
  <c r="P80" i="11"/>
  <c r="O80" i="11"/>
  <c r="N80" i="11"/>
  <c r="S79" i="11"/>
  <c r="R79" i="11"/>
  <c r="Q79" i="11"/>
  <c r="P79" i="11"/>
  <c r="O79" i="11"/>
  <c r="N79" i="11"/>
  <c r="S78" i="11"/>
  <c r="R78" i="11"/>
  <c r="Q78" i="11"/>
  <c r="P78" i="11"/>
  <c r="O78" i="11"/>
  <c r="N78" i="11"/>
  <c r="S77" i="11"/>
  <c r="R77" i="11"/>
  <c r="Q77" i="11"/>
  <c r="P77" i="11"/>
  <c r="O77" i="11"/>
  <c r="N77" i="11"/>
  <c r="S76" i="11"/>
  <c r="R76" i="11"/>
  <c r="Q76" i="11"/>
  <c r="P76" i="11"/>
  <c r="O76" i="11"/>
  <c r="N76" i="11"/>
  <c r="S75" i="11"/>
  <c r="R75" i="11"/>
  <c r="Q75" i="11"/>
  <c r="P75" i="11"/>
  <c r="O75" i="11"/>
  <c r="N75" i="11"/>
  <c r="S74" i="11"/>
  <c r="R74" i="11"/>
  <c r="Q74" i="11"/>
  <c r="P74" i="11"/>
  <c r="O74" i="11"/>
  <c r="N74" i="11"/>
  <c r="S73" i="11"/>
  <c r="R73" i="11"/>
  <c r="Q73" i="11"/>
  <c r="P73" i="11"/>
  <c r="O73" i="11"/>
  <c r="N73" i="11"/>
  <c r="S72" i="11"/>
  <c r="R72" i="11"/>
  <c r="Q72" i="11"/>
  <c r="P72" i="11"/>
  <c r="O72" i="11"/>
  <c r="N72" i="11"/>
  <c r="S71" i="11"/>
  <c r="R71" i="11"/>
  <c r="Q71" i="11"/>
  <c r="P71" i="11"/>
  <c r="O71" i="11"/>
  <c r="N71" i="11"/>
  <c r="S70" i="11"/>
  <c r="R70" i="11"/>
  <c r="Q70" i="11"/>
  <c r="P70" i="11"/>
  <c r="O70" i="11"/>
  <c r="N70" i="11"/>
  <c r="S69" i="11"/>
  <c r="R69" i="11"/>
  <c r="Q69" i="11"/>
  <c r="P69" i="11"/>
  <c r="O69" i="11"/>
  <c r="N69" i="11"/>
  <c r="S68" i="11"/>
  <c r="R68" i="11"/>
  <c r="Q68" i="11"/>
  <c r="P68" i="11"/>
  <c r="O68" i="11"/>
  <c r="N68" i="11"/>
  <c r="S67" i="11"/>
  <c r="R67" i="11"/>
  <c r="Q67" i="11"/>
  <c r="P67" i="11"/>
  <c r="O67" i="11"/>
  <c r="N67" i="11"/>
  <c r="S66" i="11"/>
  <c r="R66" i="11"/>
  <c r="Q66" i="11"/>
  <c r="P66" i="11"/>
  <c r="O66" i="11"/>
  <c r="N66" i="11"/>
  <c r="S65" i="11"/>
  <c r="R65" i="11"/>
  <c r="Q65" i="11"/>
  <c r="P65" i="11"/>
  <c r="O65" i="11"/>
  <c r="N65" i="11"/>
  <c r="S64" i="11"/>
  <c r="R64" i="11"/>
  <c r="Q64" i="11"/>
  <c r="P64" i="11"/>
  <c r="O64" i="11"/>
  <c r="N64" i="11"/>
  <c r="S63" i="11"/>
  <c r="R63" i="11"/>
  <c r="Q63" i="11"/>
  <c r="P63" i="11"/>
  <c r="O63" i="11"/>
  <c r="N63" i="11"/>
  <c r="S62" i="11"/>
  <c r="R62" i="11"/>
  <c r="Q62" i="11"/>
  <c r="P62" i="11"/>
  <c r="O62" i="11"/>
  <c r="N62" i="11"/>
  <c r="S61" i="11"/>
  <c r="R61" i="11"/>
  <c r="Q61" i="11"/>
  <c r="P61" i="11"/>
  <c r="O61" i="11"/>
  <c r="N61" i="11"/>
  <c r="S60" i="11"/>
  <c r="R60" i="11"/>
  <c r="Q60" i="11"/>
  <c r="P60" i="11"/>
  <c r="O60" i="11"/>
  <c r="N60" i="11"/>
  <c r="S59" i="11"/>
  <c r="R59" i="11"/>
  <c r="Q59" i="11"/>
  <c r="P59" i="11"/>
  <c r="O59" i="11"/>
  <c r="N59" i="11"/>
  <c r="S58" i="11"/>
  <c r="R58" i="11"/>
  <c r="Q58" i="11"/>
  <c r="P58" i="11"/>
  <c r="O58" i="11"/>
  <c r="N58" i="11"/>
  <c r="S57" i="11"/>
  <c r="R57" i="11"/>
  <c r="Q57" i="11"/>
  <c r="P57" i="11"/>
  <c r="O57" i="11"/>
  <c r="N57" i="11"/>
  <c r="S56" i="11"/>
  <c r="R56" i="11"/>
  <c r="Q56" i="11"/>
  <c r="P56" i="11"/>
  <c r="O56" i="11"/>
  <c r="N56" i="11"/>
  <c r="S55" i="11"/>
  <c r="R55" i="11"/>
  <c r="Q55" i="11"/>
  <c r="P55" i="11"/>
  <c r="O55" i="11"/>
  <c r="N55" i="11"/>
  <c r="S54" i="11"/>
  <c r="R54" i="11"/>
  <c r="Q54" i="11"/>
  <c r="P54" i="11"/>
  <c r="O54" i="11"/>
  <c r="N54" i="11"/>
  <c r="S53" i="11"/>
  <c r="R53" i="11"/>
  <c r="Q53" i="11"/>
  <c r="P53" i="11"/>
  <c r="O53" i="11"/>
  <c r="N53" i="11"/>
  <c r="S52" i="11"/>
  <c r="R52" i="11"/>
  <c r="Q52" i="11"/>
  <c r="P52" i="11"/>
  <c r="O52" i="11"/>
  <c r="N52" i="11"/>
  <c r="S51" i="11"/>
  <c r="R51" i="11"/>
  <c r="Q51" i="11"/>
  <c r="P51" i="11"/>
  <c r="O51" i="11"/>
  <c r="N51" i="11"/>
  <c r="S50" i="11"/>
  <c r="R50" i="11"/>
  <c r="Q50" i="11"/>
  <c r="P50" i="11"/>
  <c r="O50" i="11"/>
  <c r="N50" i="11"/>
  <c r="S49" i="11"/>
  <c r="R49" i="11"/>
  <c r="Q49" i="11"/>
  <c r="P49" i="11"/>
  <c r="O49" i="11"/>
  <c r="N49" i="11"/>
  <c r="S48" i="11"/>
  <c r="R48" i="11"/>
  <c r="Q48" i="11"/>
  <c r="P48" i="11"/>
  <c r="O48" i="11"/>
  <c r="N48" i="11"/>
  <c r="S47" i="11"/>
  <c r="R47" i="11"/>
  <c r="Q47" i="11"/>
  <c r="P47" i="11"/>
  <c r="O47" i="11"/>
  <c r="N47" i="11"/>
  <c r="S46" i="11"/>
  <c r="R46" i="11"/>
  <c r="Q46" i="11"/>
  <c r="P46" i="11"/>
  <c r="O46" i="11"/>
  <c r="N46" i="11"/>
  <c r="S45" i="11"/>
  <c r="R45" i="11"/>
  <c r="Q45" i="11"/>
  <c r="P45" i="11"/>
  <c r="O45" i="11"/>
  <c r="N45" i="11"/>
  <c r="S44" i="11"/>
  <c r="R44" i="11"/>
  <c r="Q44" i="11"/>
  <c r="P44" i="11"/>
  <c r="O44" i="11"/>
  <c r="N44" i="11"/>
  <c r="S43" i="11"/>
  <c r="R43" i="11"/>
  <c r="Q43" i="11"/>
  <c r="P43" i="11"/>
  <c r="O43" i="11"/>
  <c r="N43" i="11"/>
  <c r="S42" i="11"/>
  <c r="R42" i="11"/>
  <c r="Q42" i="11"/>
  <c r="P42" i="11"/>
  <c r="O42" i="11"/>
  <c r="N42" i="11"/>
  <c r="S41" i="11"/>
  <c r="R41" i="11"/>
  <c r="Q41" i="11"/>
  <c r="P41" i="11"/>
  <c r="O41" i="11"/>
  <c r="N41" i="11"/>
  <c r="S40" i="11"/>
  <c r="R40" i="11"/>
  <c r="Q40" i="11"/>
  <c r="P40" i="11"/>
  <c r="O40" i="11"/>
  <c r="N40" i="11"/>
  <c r="S39" i="11"/>
  <c r="R39" i="11"/>
  <c r="Q39" i="11"/>
  <c r="P39" i="11"/>
  <c r="O39" i="11"/>
  <c r="N39" i="11"/>
  <c r="S38" i="11"/>
  <c r="R38" i="11"/>
  <c r="Q38" i="11"/>
  <c r="P38" i="11"/>
  <c r="O38" i="11"/>
  <c r="N38" i="11"/>
  <c r="S37" i="11"/>
  <c r="R37" i="11"/>
  <c r="Q37" i="11"/>
  <c r="P37" i="11"/>
  <c r="O37" i="11"/>
  <c r="N37" i="11"/>
  <c r="S36" i="11"/>
  <c r="R36" i="11"/>
  <c r="Q36" i="11"/>
  <c r="P36" i="11"/>
  <c r="O36" i="11"/>
  <c r="N36" i="11"/>
  <c r="S35" i="11"/>
  <c r="R35" i="11"/>
  <c r="Q35" i="11"/>
  <c r="P35" i="11"/>
  <c r="O35" i="11"/>
  <c r="N35" i="11"/>
  <c r="S34" i="11"/>
  <c r="R34" i="11"/>
  <c r="Q34" i="11"/>
  <c r="P34" i="11"/>
  <c r="O34" i="11"/>
  <c r="N34" i="11"/>
  <c r="S33" i="11"/>
  <c r="R33" i="11"/>
  <c r="Q33" i="11"/>
  <c r="P33" i="11"/>
  <c r="O33" i="11"/>
  <c r="N33" i="11"/>
  <c r="S32" i="11"/>
  <c r="R32" i="11"/>
  <c r="Q32" i="11"/>
  <c r="P32" i="11"/>
  <c r="O32" i="11"/>
  <c r="N32" i="11"/>
  <c r="S31" i="11"/>
  <c r="R31" i="11"/>
  <c r="Q31" i="11"/>
  <c r="P31" i="11"/>
  <c r="O31" i="11"/>
  <c r="N31" i="11"/>
  <c r="S30" i="11"/>
  <c r="R30" i="11"/>
  <c r="Q30" i="11"/>
  <c r="P30" i="11"/>
  <c r="O30" i="11"/>
  <c r="N30" i="11"/>
  <c r="S29" i="11"/>
  <c r="R29" i="11"/>
  <c r="Q29" i="11"/>
  <c r="P29" i="11"/>
  <c r="O29" i="11"/>
  <c r="N29" i="11"/>
  <c r="S28" i="11"/>
  <c r="R28" i="11"/>
  <c r="Q28" i="11"/>
  <c r="P28" i="11"/>
  <c r="O28" i="11"/>
  <c r="N28" i="11"/>
  <c r="S27" i="11"/>
  <c r="R27" i="11"/>
  <c r="Q27" i="11"/>
  <c r="P27" i="11"/>
  <c r="O27" i="11"/>
  <c r="N27" i="11"/>
  <c r="S26" i="11"/>
  <c r="R26" i="11"/>
  <c r="Q26" i="11"/>
  <c r="P26" i="11"/>
  <c r="O26" i="11"/>
  <c r="N26" i="11"/>
  <c r="S25" i="11"/>
  <c r="R25" i="11"/>
  <c r="Q25" i="11"/>
  <c r="P25" i="11"/>
  <c r="O25" i="11"/>
  <c r="N25" i="11"/>
  <c r="S24" i="11"/>
  <c r="R24" i="11"/>
  <c r="Q24" i="11"/>
  <c r="P24" i="11"/>
  <c r="O24" i="11"/>
  <c r="N24" i="11"/>
  <c r="S23" i="11"/>
  <c r="R23" i="11"/>
  <c r="Q23" i="11"/>
  <c r="P23" i="11"/>
  <c r="O23" i="11"/>
  <c r="N23" i="11"/>
  <c r="S22" i="11"/>
  <c r="R22" i="11"/>
  <c r="Q22" i="11"/>
  <c r="P22" i="11"/>
  <c r="O22" i="11"/>
  <c r="N22" i="11"/>
  <c r="S21" i="11"/>
  <c r="R21" i="11"/>
  <c r="Q21" i="11"/>
  <c r="P21" i="11"/>
  <c r="O21" i="11"/>
  <c r="N21" i="11"/>
  <c r="S20" i="11"/>
  <c r="R20" i="11"/>
  <c r="Q20" i="11"/>
  <c r="P20" i="11"/>
  <c r="O20" i="11"/>
  <c r="N20" i="11"/>
  <c r="S19" i="11"/>
  <c r="R19" i="11"/>
  <c r="Q19" i="11"/>
  <c r="P19" i="11"/>
  <c r="O19" i="11"/>
  <c r="N19" i="11"/>
  <c r="S18" i="11"/>
  <c r="R18" i="11"/>
  <c r="Q18" i="11"/>
  <c r="P18" i="11"/>
  <c r="O18" i="11"/>
  <c r="N18" i="11"/>
  <c r="S17" i="11"/>
  <c r="R17" i="11"/>
  <c r="Q17" i="11"/>
  <c r="P17" i="11"/>
  <c r="O17" i="11"/>
  <c r="N17" i="11"/>
  <c r="S16" i="11"/>
  <c r="R16" i="11"/>
  <c r="Q16" i="11"/>
  <c r="P16" i="11"/>
  <c r="O16" i="11"/>
  <c r="N16" i="11"/>
  <c r="S15" i="11"/>
  <c r="R15" i="11"/>
  <c r="Q15" i="11"/>
  <c r="P15" i="11"/>
  <c r="O15" i="11"/>
  <c r="N15" i="11"/>
  <c r="S14" i="11"/>
  <c r="R14" i="11"/>
  <c r="Q14" i="11"/>
  <c r="P14" i="11"/>
  <c r="O14" i="11"/>
  <c r="N14" i="11"/>
  <c r="S13" i="11"/>
  <c r="R13" i="11"/>
  <c r="Q13" i="11"/>
  <c r="P13" i="11"/>
  <c r="O13" i="11"/>
  <c r="N13" i="11"/>
  <c r="S12" i="11"/>
  <c r="R12" i="11"/>
  <c r="Q12" i="11"/>
  <c r="P12" i="11"/>
  <c r="O12" i="11"/>
  <c r="N12" i="11"/>
  <c r="S11" i="11"/>
  <c r="R11" i="11"/>
  <c r="Q11" i="11"/>
  <c r="P11" i="11"/>
  <c r="O11" i="11"/>
  <c r="N11" i="11"/>
  <c r="S10" i="11"/>
  <c r="R10" i="11"/>
  <c r="Q10" i="11"/>
  <c r="P10" i="11"/>
  <c r="O10" i="11"/>
  <c r="N10" i="11"/>
  <c r="S9" i="11"/>
  <c r="R9" i="11"/>
  <c r="Q9" i="11"/>
  <c r="P9" i="11"/>
  <c r="O9" i="11"/>
  <c r="N9" i="11"/>
  <c r="S8" i="11"/>
  <c r="R8" i="11"/>
  <c r="Q8" i="11"/>
  <c r="P8" i="11"/>
  <c r="O8" i="11"/>
  <c r="N8" i="11"/>
  <c r="S7" i="11"/>
  <c r="R7" i="11"/>
  <c r="Q7" i="11"/>
  <c r="P7" i="11"/>
  <c r="O7" i="11"/>
  <c r="N7" i="11"/>
  <c r="S6" i="11"/>
  <c r="R6" i="11"/>
  <c r="Q6" i="11"/>
  <c r="P6" i="11"/>
  <c r="O6" i="11"/>
  <c r="N6" i="11"/>
  <c r="O5" i="11"/>
  <c r="P5" i="11"/>
  <c r="Q5" i="11"/>
  <c r="R5" i="11"/>
  <c r="S5" i="11"/>
  <c r="N5" i="11"/>
  <c r="G15" i="12" a="1"/>
  <c r="G11" i="12" a="1"/>
  <c r="G13" i="12" a="1"/>
  <c r="G16" i="12" a="1"/>
  <c r="G14" i="12" a="1"/>
  <c r="G10" i="12" a="1"/>
  <c r="G9" i="12" a="1"/>
  <c r="G12" i="12" a="1"/>
  <c r="C8" i="14" a="1"/>
  <c r="E8" i="14" a="1"/>
  <c r="G8" i="14" a="1"/>
  <c r="I8" i="14" a="1"/>
  <c r="D8" i="14" a="1"/>
  <c r="F8" i="14" a="1"/>
  <c r="H8" i="14" a="1"/>
  <c r="B8" i="14" a="1"/>
  <c r="K13" i="14" l="1"/>
  <c r="L13" i="14" s="1"/>
  <c r="H8" i="14"/>
  <c r="F8" i="14"/>
  <c r="D8" i="14"/>
  <c r="I8" i="14"/>
  <c r="G8" i="14"/>
  <c r="E8" i="14"/>
  <c r="C8" i="14"/>
  <c r="B8" i="14"/>
  <c r="E17" i="12"/>
  <c r="F16" i="12" s="1"/>
  <c r="AL9" i="8"/>
  <c r="AL25" i="8"/>
  <c r="AL41" i="8"/>
  <c r="AL57" i="8"/>
  <c r="AL201" i="8"/>
  <c r="AL185" i="8"/>
  <c r="AL116" i="8"/>
  <c r="AL253" i="8"/>
  <c r="AL245" i="8"/>
  <c r="AL237" i="8"/>
  <c r="AL221" i="8"/>
  <c r="AL205" i="8"/>
  <c r="AL189" i="8"/>
  <c r="AL173" i="8"/>
  <c r="AL157" i="8"/>
  <c r="AL103" i="8"/>
  <c r="AL100" i="8"/>
  <c r="AL73" i="8"/>
  <c r="AL233" i="8"/>
  <c r="AL217" i="8"/>
  <c r="AL169" i="8"/>
  <c r="AL119" i="8"/>
  <c r="AL113" i="8"/>
  <c r="AL241" i="8"/>
  <c r="AL225" i="8"/>
  <c r="AL209" i="8"/>
  <c r="AL193" i="8"/>
  <c r="AL177" i="8"/>
  <c r="AL161" i="8"/>
  <c r="AL151" i="8"/>
  <c r="AL148" i="8"/>
  <c r="AL145" i="8"/>
  <c r="AL89" i="8"/>
  <c r="AL5" i="8"/>
  <c r="AL6" i="8"/>
  <c r="AL7" i="8"/>
  <c r="AL8" i="8"/>
  <c r="AL10" i="8"/>
  <c r="AL11" i="8"/>
  <c r="AL12" i="8"/>
  <c r="AL13" i="8"/>
  <c r="AL14" i="8"/>
  <c r="AL15" i="8"/>
  <c r="AL16" i="8"/>
  <c r="AL17" i="8"/>
  <c r="AL18" i="8"/>
  <c r="AL19" i="8"/>
  <c r="AL20" i="8"/>
  <c r="AL21" i="8"/>
  <c r="AL22" i="8"/>
  <c r="AL23" i="8"/>
  <c r="AL24" i="8"/>
  <c r="AL26" i="8"/>
  <c r="AL27" i="8"/>
  <c r="AL28" i="8"/>
  <c r="AL29" i="8"/>
  <c r="AL30" i="8"/>
  <c r="AL31" i="8"/>
  <c r="AL32" i="8"/>
  <c r="AL33" i="8"/>
  <c r="AL34" i="8"/>
  <c r="AL35" i="8"/>
  <c r="AL36" i="8"/>
  <c r="AL37" i="8"/>
  <c r="AL38" i="8"/>
  <c r="AL39" i="8"/>
  <c r="AL40" i="8"/>
  <c r="AL42" i="8"/>
  <c r="AL43" i="8"/>
  <c r="AL44" i="8"/>
  <c r="AL45" i="8"/>
  <c r="AL46" i="8"/>
  <c r="AL47" i="8"/>
  <c r="AL48" i="8"/>
  <c r="AL49" i="8"/>
  <c r="AL50" i="8"/>
  <c r="AL51" i="8"/>
  <c r="AL52" i="8"/>
  <c r="AL53" i="8"/>
  <c r="AL54" i="8"/>
  <c r="AL55" i="8"/>
  <c r="AL56" i="8"/>
  <c r="AL58" i="8"/>
  <c r="AL59" i="8"/>
  <c r="AL60" i="8"/>
  <c r="AL61" i="8"/>
  <c r="AL62" i="8"/>
  <c r="AL63" i="8"/>
  <c r="AL64" i="8"/>
  <c r="AL65" i="8"/>
  <c r="AL66" i="8"/>
  <c r="AL67" i="8"/>
  <c r="AL68" i="8"/>
  <c r="AL69" i="8"/>
  <c r="AL77" i="8"/>
  <c r="AL81" i="8"/>
  <c r="AL85" i="8"/>
  <c r="AL93" i="8"/>
  <c r="AL97" i="8"/>
  <c r="AL101" i="8"/>
  <c r="AL104" i="8"/>
  <c r="AL105" i="8"/>
  <c r="AL107" i="8"/>
  <c r="AL108" i="8"/>
  <c r="AL109" i="8"/>
  <c r="AL111" i="8"/>
  <c r="AL112" i="8"/>
  <c r="AL115" i="8"/>
  <c r="AL117" i="8"/>
  <c r="AL120" i="8"/>
  <c r="AL121" i="8"/>
  <c r="AL123" i="8"/>
  <c r="AL124" i="8"/>
  <c r="AL125" i="8"/>
  <c r="AL127" i="8"/>
  <c r="AL128" i="8"/>
  <c r="AL131" i="8"/>
  <c r="AL133" i="8"/>
  <c r="AL136" i="8"/>
  <c r="AL137" i="8"/>
  <c r="AL139" i="8"/>
  <c r="AL140" i="8"/>
  <c r="AL141" i="8"/>
  <c r="AL143" i="8"/>
  <c r="AL144" i="8"/>
  <c r="AL147" i="8"/>
  <c r="AL149" i="8"/>
  <c r="AL152" i="8"/>
  <c r="AL153" i="8"/>
  <c r="AL155" i="8"/>
  <c r="AL156" i="8"/>
  <c r="AL158" i="8"/>
  <c r="AL159" i="8"/>
  <c r="AL160" i="8"/>
  <c r="AL162" i="8"/>
  <c r="AL163" i="8"/>
  <c r="AL164" i="8"/>
  <c r="AL166" i="8"/>
  <c r="AL167" i="8"/>
  <c r="AL168" i="8"/>
  <c r="AL170" i="8"/>
  <c r="AL171" i="8"/>
  <c r="AL172" i="8"/>
  <c r="AL174" i="8"/>
  <c r="AL175" i="8"/>
  <c r="AL176" i="8"/>
  <c r="AL178" i="8"/>
  <c r="AL179" i="8"/>
  <c r="AL180" i="8"/>
  <c r="AL182" i="8"/>
  <c r="AL183" i="8"/>
  <c r="AL184" i="8"/>
  <c r="AL186" i="8"/>
  <c r="AL187" i="8"/>
  <c r="AL188" i="8"/>
  <c r="AL190" i="8"/>
  <c r="AL191" i="8"/>
  <c r="AL192" i="8"/>
  <c r="AL194" i="8"/>
  <c r="AL195" i="8"/>
  <c r="AL196" i="8"/>
  <c r="AL198" i="8"/>
  <c r="AL199" i="8"/>
  <c r="AL200" i="8"/>
  <c r="AL202" i="8"/>
  <c r="AL203" i="8"/>
  <c r="AL204" i="8"/>
  <c r="AL206" i="8"/>
  <c r="AL207" i="8"/>
  <c r="AL208" i="8"/>
  <c r="AL210" i="8"/>
  <c r="AL211" i="8"/>
  <c r="AL212" i="8"/>
  <c r="AL214" i="8"/>
  <c r="AL215" i="8"/>
  <c r="AL216" i="8"/>
  <c r="AL218" i="8"/>
  <c r="AL219" i="8"/>
  <c r="AL220" i="8"/>
  <c r="AL222" i="8"/>
  <c r="AL223" i="8"/>
  <c r="AL224" i="8"/>
  <c r="AL226" i="8"/>
  <c r="AL227" i="8"/>
  <c r="AL228" i="8"/>
  <c r="AL230" i="8"/>
  <c r="AL231" i="8"/>
  <c r="AL232" i="8"/>
  <c r="AL234" i="8"/>
  <c r="AL235" i="8"/>
  <c r="AL236" i="8"/>
  <c r="AL238" i="8"/>
  <c r="AL239" i="8"/>
  <c r="AL240" i="8"/>
  <c r="AL242" i="8"/>
  <c r="AL243" i="8"/>
  <c r="AL244" i="8"/>
  <c r="AL246" i="8"/>
  <c r="AL247" i="8"/>
  <c r="AL248" i="8"/>
  <c r="AL250" i="8"/>
  <c r="AL251" i="8"/>
  <c r="AL252" i="8"/>
  <c r="AL254" i="8"/>
  <c r="AL255" i="8"/>
  <c r="AL256" i="8"/>
  <c r="AL249" i="8"/>
  <c r="AL229" i="8"/>
  <c r="AL213" i="8"/>
  <c r="AL197" i="8"/>
  <c r="AL181" i="8"/>
  <c r="AL165" i="8"/>
  <c r="AL135" i="8"/>
  <c r="AL132" i="8"/>
  <c r="AL129" i="8"/>
  <c r="AL70" i="8"/>
  <c r="AL71" i="8"/>
  <c r="AL72" i="8"/>
  <c r="AL74" i="8"/>
  <c r="AL75" i="8"/>
  <c r="AL76" i="8"/>
  <c r="AL78" i="8"/>
  <c r="AL79" i="8"/>
  <c r="AL80" i="8"/>
  <c r="AL82" i="8"/>
  <c r="AL83" i="8"/>
  <c r="AL84" i="8"/>
  <c r="AL86" i="8"/>
  <c r="AL87" i="8"/>
  <c r="AL88" i="8"/>
  <c r="AL90" i="8"/>
  <c r="AL91" i="8"/>
  <c r="AL92" i="8"/>
  <c r="AL94" i="8"/>
  <c r="AL95" i="8"/>
  <c r="AL96" i="8"/>
  <c r="AL98" i="8"/>
  <c r="AL99" i="8"/>
  <c r="AL102" i="8"/>
  <c r="AL106" i="8"/>
  <c r="AL110" i="8"/>
  <c r="AL114" i="8"/>
  <c r="AL118" i="8"/>
  <c r="AL122" i="8"/>
  <c r="AL126" i="8"/>
  <c r="AL130" i="8"/>
  <c r="AL134" i="8"/>
  <c r="AL138" i="8"/>
  <c r="AL142" i="8"/>
  <c r="AL146" i="8"/>
  <c r="AL150" i="8"/>
  <c r="AL154" i="8"/>
  <c r="G16" i="12"/>
  <c r="K44" i="12" s="1"/>
  <c r="G15" i="12"/>
  <c r="J43" i="12" s="1"/>
  <c r="G14" i="12"/>
  <c r="I42" i="12" s="1"/>
  <c r="G13" i="12"/>
  <c r="H41" i="12" s="1"/>
  <c r="G12" i="12"/>
  <c r="G40" i="12" s="1"/>
  <c r="G11" i="12"/>
  <c r="F39" i="12" s="1"/>
  <c r="G10" i="12"/>
  <c r="E38" i="12" s="1"/>
  <c r="G9" i="12"/>
  <c r="D37" i="12" s="1"/>
  <c r="T259" i="11"/>
  <c r="U259" i="11"/>
  <c r="R259" i="11"/>
  <c r="P259" i="11"/>
  <c r="S259" i="11"/>
  <c r="Q259" i="11"/>
  <c r="O259" i="11"/>
  <c r="N259" i="11"/>
  <c r="D257" i="8"/>
  <c r="C257" i="8"/>
  <c r="D256" i="8"/>
  <c r="C256" i="8"/>
  <c r="D255" i="8"/>
  <c r="C255" i="8"/>
  <c r="D254" i="8"/>
  <c r="C254" i="8"/>
  <c r="D253" i="8"/>
  <c r="C253" i="8"/>
  <c r="D252" i="8"/>
  <c r="C252" i="8"/>
  <c r="D251" i="8"/>
  <c r="C251" i="8"/>
  <c r="D250" i="8"/>
  <c r="C250" i="8"/>
  <c r="D249" i="8"/>
  <c r="C249" i="8"/>
  <c r="D248" i="8"/>
  <c r="C248" i="8"/>
  <c r="D247" i="8"/>
  <c r="C247" i="8"/>
  <c r="D246" i="8"/>
  <c r="C246" i="8"/>
  <c r="D245" i="8"/>
  <c r="C245" i="8"/>
  <c r="D244" i="8"/>
  <c r="C244" i="8"/>
  <c r="D243" i="8"/>
  <c r="C243" i="8"/>
  <c r="D242" i="8"/>
  <c r="C242" i="8"/>
  <c r="D241" i="8"/>
  <c r="C241" i="8"/>
  <c r="D240" i="8"/>
  <c r="C240" i="8"/>
  <c r="D239" i="8"/>
  <c r="C239" i="8"/>
  <c r="D238" i="8"/>
  <c r="C238" i="8"/>
  <c r="D237" i="8"/>
  <c r="C237" i="8"/>
  <c r="D236" i="8"/>
  <c r="C236" i="8"/>
  <c r="D235" i="8"/>
  <c r="C235" i="8"/>
  <c r="D234" i="8"/>
  <c r="C234" i="8"/>
  <c r="D233" i="8"/>
  <c r="C233" i="8"/>
  <c r="D232" i="8"/>
  <c r="C232" i="8"/>
  <c r="D231" i="8"/>
  <c r="C231" i="8"/>
  <c r="D230" i="8"/>
  <c r="C230" i="8"/>
  <c r="D229" i="8"/>
  <c r="C229" i="8"/>
  <c r="D228" i="8"/>
  <c r="C228" i="8"/>
  <c r="D227" i="8"/>
  <c r="C227" i="8"/>
  <c r="D226" i="8"/>
  <c r="C226" i="8"/>
  <c r="D225" i="8"/>
  <c r="C225" i="8"/>
  <c r="D224" i="8"/>
  <c r="C224" i="8"/>
  <c r="D223" i="8"/>
  <c r="C223" i="8"/>
  <c r="D222" i="8"/>
  <c r="C222" i="8"/>
  <c r="D221" i="8"/>
  <c r="C221" i="8"/>
  <c r="D220" i="8"/>
  <c r="C220" i="8"/>
  <c r="D219" i="8"/>
  <c r="C219" i="8"/>
  <c r="D218" i="8"/>
  <c r="C218" i="8"/>
  <c r="D217" i="8"/>
  <c r="C217" i="8"/>
  <c r="D216" i="8"/>
  <c r="C216" i="8"/>
  <c r="D215" i="8"/>
  <c r="C215" i="8"/>
  <c r="D214" i="8"/>
  <c r="C214" i="8"/>
  <c r="D213" i="8"/>
  <c r="C213" i="8"/>
  <c r="D212" i="8"/>
  <c r="C212" i="8"/>
  <c r="D211" i="8"/>
  <c r="C211" i="8"/>
  <c r="D210" i="8"/>
  <c r="C210" i="8"/>
  <c r="D209" i="8"/>
  <c r="C209" i="8"/>
  <c r="D208" i="8"/>
  <c r="C208" i="8"/>
  <c r="D207" i="8"/>
  <c r="C207" i="8"/>
  <c r="D206" i="8"/>
  <c r="C206" i="8"/>
  <c r="D205" i="8"/>
  <c r="C205" i="8"/>
  <c r="D204" i="8"/>
  <c r="C204" i="8"/>
  <c r="D203" i="8"/>
  <c r="C203" i="8"/>
  <c r="D202" i="8"/>
  <c r="C202" i="8"/>
  <c r="D201" i="8"/>
  <c r="C201" i="8"/>
  <c r="D200" i="8"/>
  <c r="C200" i="8"/>
  <c r="D199" i="8"/>
  <c r="C199" i="8"/>
  <c r="D198" i="8"/>
  <c r="C198" i="8"/>
  <c r="D197" i="8"/>
  <c r="C197" i="8"/>
  <c r="D196" i="8"/>
  <c r="C196" i="8"/>
  <c r="D195" i="8"/>
  <c r="C195" i="8"/>
  <c r="D194" i="8"/>
  <c r="C194" i="8"/>
  <c r="D193" i="8"/>
  <c r="C193" i="8"/>
  <c r="D192" i="8"/>
  <c r="C192" i="8"/>
  <c r="D191" i="8"/>
  <c r="C191" i="8"/>
  <c r="D190" i="8"/>
  <c r="C190" i="8"/>
  <c r="D189" i="8"/>
  <c r="C189" i="8"/>
  <c r="D188" i="8"/>
  <c r="C188" i="8"/>
  <c r="D187" i="8"/>
  <c r="C187" i="8"/>
  <c r="D186" i="8"/>
  <c r="C186" i="8"/>
  <c r="D185" i="8"/>
  <c r="C185" i="8"/>
  <c r="D184" i="8"/>
  <c r="C184" i="8"/>
  <c r="D183" i="8"/>
  <c r="C183" i="8"/>
  <c r="D182" i="8"/>
  <c r="C182" i="8"/>
  <c r="D181" i="8"/>
  <c r="C181" i="8"/>
  <c r="D180" i="8"/>
  <c r="C180" i="8"/>
  <c r="D179" i="8"/>
  <c r="C179" i="8"/>
  <c r="D178" i="8"/>
  <c r="C178" i="8"/>
  <c r="D177" i="8"/>
  <c r="C177" i="8"/>
  <c r="D176" i="8"/>
  <c r="C176" i="8"/>
  <c r="D175" i="8"/>
  <c r="C175" i="8"/>
  <c r="D174" i="8"/>
  <c r="C174" i="8"/>
  <c r="D173" i="8"/>
  <c r="C173" i="8"/>
  <c r="D172" i="8"/>
  <c r="C172" i="8"/>
  <c r="D171" i="8"/>
  <c r="C171" i="8"/>
  <c r="D170" i="8"/>
  <c r="C170" i="8"/>
  <c r="D169" i="8"/>
  <c r="C169" i="8"/>
  <c r="D168" i="8"/>
  <c r="C168" i="8"/>
  <c r="D167" i="8"/>
  <c r="C167" i="8"/>
  <c r="D166" i="8"/>
  <c r="C166" i="8"/>
  <c r="D165" i="8"/>
  <c r="C165" i="8"/>
  <c r="D164" i="8"/>
  <c r="C164" i="8"/>
  <c r="D163" i="8"/>
  <c r="C163" i="8"/>
  <c r="D162" i="8"/>
  <c r="C162" i="8"/>
  <c r="D161" i="8"/>
  <c r="C161" i="8"/>
  <c r="D160" i="8"/>
  <c r="C160" i="8"/>
  <c r="D159" i="8"/>
  <c r="C159" i="8"/>
  <c r="D158" i="8"/>
  <c r="C158" i="8"/>
  <c r="D157" i="8"/>
  <c r="C157" i="8"/>
  <c r="D156" i="8"/>
  <c r="C156" i="8"/>
  <c r="D155" i="8"/>
  <c r="C155" i="8"/>
  <c r="D154" i="8"/>
  <c r="C154" i="8"/>
  <c r="D153" i="8"/>
  <c r="C153" i="8"/>
  <c r="D152" i="8"/>
  <c r="C152" i="8"/>
  <c r="D151" i="8"/>
  <c r="C151" i="8"/>
  <c r="D150" i="8"/>
  <c r="C150" i="8"/>
  <c r="D149" i="8"/>
  <c r="C149" i="8"/>
  <c r="D148" i="8"/>
  <c r="C148" i="8"/>
  <c r="D147" i="8"/>
  <c r="C147" i="8"/>
  <c r="D146" i="8"/>
  <c r="C146" i="8"/>
  <c r="D145" i="8"/>
  <c r="C145" i="8"/>
  <c r="D144" i="8"/>
  <c r="C144" i="8"/>
  <c r="D143" i="8"/>
  <c r="C143" i="8"/>
  <c r="D142" i="8"/>
  <c r="C142" i="8"/>
  <c r="D141" i="8"/>
  <c r="C141" i="8"/>
  <c r="D140" i="8"/>
  <c r="C140" i="8"/>
  <c r="D139" i="8"/>
  <c r="C139" i="8"/>
  <c r="D138" i="8"/>
  <c r="C138" i="8"/>
  <c r="D137" i="8"/>
  <c r="C137" i="8"/>
  <c r="D136" i="8"/>
  <c r="C136" i="8"/>
  <c r="D135" i="8"/>
  <c r="C135" i="8"/>
  <c r="D134" i="8"/>
  <c r="C134" i="8"/>
  <c r="D133" i="8"/>
  <c r="C133" i="8"/>
  <c r="D132" i="8"/>
  <c r="C132" i="8"/>
  <c r="D131" i="8"/>
  <c r="C131" i="8"/>
  <c r="D130" i="8"/>
  <c r="C130" i="8"/>
  <c r="D129" i="8"/>
  <c r="C129" i="8"/>
  <c r="D128" i="8"/>
  <c r="C128" i="8"/>
  <c r="D127" i="8"/>
  <c r="C127" i="8"/>
  <c r="D126" i="8"/>
  <c r="C126" i="8"/>
  <c r="D125" i="8"/>
  <c r="C125" i="8"/>
  <c r="D124" i="8"/>
  <c r="C124" i="8"/>
  <c r="D123" i="8"/>
  <c r="C123" i="8"/>
  <c r="D122" i="8"/>
  <c r="C122" i="8"/>
  <c r="D121" i="8"/>
  <c r="C121" i="8"/>
  <c r="D120" i="8"/>
  <c r="C120" i="8"/>
  <c r="D119" i="8"/>
  <c r="C119" i="8"/>
  <c r="D118" i="8"/>
  <c r="C118" i="8"/>
  <c r="D117" i="8"/>
  <c r="C117" i="8"/>
  <c r="D116" i="8"/>
  <c r="C116" i="8"/>
  <c r="D115" i="8"/>
  <c r="C115" i="8"/>
  <c r="D114" i="8"/>
  <c r="C114" i="8"/>
  <c r="D113" i="8"/>
  <c r="C113" i="8"/>
  <c r="D112" i="8"/>
  <c r="C112" i="8"/>
  <c r="D111" i="8"/>
  <c r="C111" i="8"/>
  <c r="D110" i="8"/>
  <c r="C110" i="8"/>
  <c r="D109" i="8"/>
  <c r="C109" i="8"/>
  <c r="D108" i="8"/>
  <c r="C108" i="8"/>
  <c r="D107" i="8"/>
  <c r="C107" i="8"/>
  <c r="D106" i="8"/>
  <c r="C106" i="8"/>
  <c r="D105" i="8"/>
  <c r="C105" i="8"/>
  <c r="D104" i="8"/>
  <c r="C104" i="8"/>
  <c r="D103" i="8"/>
  <c r="C103" i="8"/>
  <c r="D102" i="8"/>
  <c r="C102" i="8"/>
  <c r="D101" i="8"/>
  <c r="C101" i="8"/>
  <c r="D100" i="8"/>
  <c r="C100" i="8"/>
  <c r="D99" i="8"/>
  <c r="C99" i="8"/>
  <c r="D98" i="8"/>
  <c r="C98" i="8"/>
  <c r="D97" i="8"/>
  <c r="C97" i="8"/>
  <c r="D96" i="8"/>
  <c r="C96" i="8"/>
  <c r="D95" i="8"/>
  <c r="C95" i="8"/>
  <c r="D94" i="8"/>
  <c r="C94" i="8"/>
  <c r="D93" i="8"/>
  <c r="C93" i="8"/>
  <c r="D92" i="8"/>
  <c r="C92" i="8"/>
  <c r="D91" i="8"/>
  <c r="C91" i="8"/>
  <c r="D90" i="8"/>
  <c r="C90" i="8"/>
  <c r="D89" i="8"/>
  <c r="C89" i="8"/>
  <c r="D88" i="8"/>
  <c r="C88" i="8"/>
  <c r="D87" i="8"/>
  <c r="C87" i="8"/>
  <c r="D86" i="8"/>
  <c r="C86" i="8"/>
  <c r="D85" i="8"/>
  <c r="C85" i="8"/>
  <c r="D84" i="8"/>
  <c r="C84" i="8"/>
  <c r="D83" i="8"/>
  <c r="C83" i="8"/>
  <c r="D82" i="8"/>
  <c r="C82" i="8"/>
  <c r="D81" i="8"/>
  <c r="C81" i="8"/>
  <c r="D80" i="8"/>
  <c r="C80" i="8"/>
  <c r="D79" i="8"/>
  <c r="C79" i="8"/>
  <c r="D78" i="8"/>
  <c r="C78" i="8"/>
  <c r="D77" i="8"/>
  <c r="C77" i="8"/>
  <c r="D76" i="8"/>
  <c r="C76" i="8"/>
  <c r="D75" i="8"/>
  <c r="C75" i="8"/>
  <c r="D74" i="8"/>
  <c r="C74" i="8"/>
  <c r="D73" i="8"/>
  <c r="C73" i="8"/>
  <c r="D72" i="8"/>
  <c r="C72" i="8"/>
  <c r="D71" i="8"/>
  <c r="C71" i="8"/>
  <c r="D70" i="8"/>
  <c r="C70" i="8"/>
  <c r="D69" i="8"/>
  <c r="C69" i="8"/>
  <c r="D68" i="8"/>
  <c r="C68" i="8"/>
  <c r="D67" i="8"/>
  <c r="C67" i="8"/>
  <c r="D66" i="8"/>
  <c r="C66" i="8"/>
  <c r="D65" i="8"/>
  <c r="C65" i="8"/>
  <c r="D64" i="8"/>
  <c r="C64" i="8"/>
  <c r="D63" i="8"/>
  <c r="C63" i="8"/>
  <c r="D62" i="8"/>
  <c r="C62" i="8"/>
  <c r="D61" i="8"/>
  <c r="C61" i="8"/>
  <c r="D60" i="8"/>
  <c r="C60" i="8"/>
  <c r="D59" i="8"/>
  <c r="C59" i="8"/>
  <c r="D58" i="8"/>
  <c r="C58" i="8"/>
  <c r="D57" i="8"/>
  <c r="C57" i="8"/>
  <c r="D56" i="8"/>
  <c r="C56" i="8"/>
  <c r="D55" i="8"/>
  <c r="C55" i="8"/>
  <c r="D54" i="8"/>
  <c r="C54" i="8"/>
  <c r="D53" i="8"/>
  <c r="C53" i="8"/>
  <c r="D52" i="8"/>
  <c r="C52" i="8"/>
  <c r="D51" i="8"/>
  <c r="C51" i="8"/>
  <c r="D50" i="8"/>
  <c r="C50" i="8"/>
  <c r="D49" i="8"/>
  <c r="C49" i="8"/>
  <c r="D48" i="8"/>
  <c r="C48" i="8"/>
  <c r="D47" i="8"/>
  <c r="C47" i="8"/>
  <c r="D46" i="8"/>
  <c r="C46" i="8"/>
  <c r="D45" i="8"/>
  <c r="C45" i="8"/>
  <c r="D44" i="8"/>
  <c r="C44" i="8"/>
  <c r="D43" i="8"/>
  <c r="C43" i="8"/>
  <c r="D42" i="8"/>
  <c r="C42" i="8"/>
  <c r="D41" i="8"/>
  <c r="C41" i="8"/>
  <c r="D40" i="8"/>
  <c r="C40" i="8"/>
  <c r="D39" i="8"/>
  <c r="C39" i="8"/>
  <c r="D38" i="8"/>
  <c r="C38" i="8"/>
  <c r="D37" i="8"/>
  <c r="C37" i="8"/>
  <c r="D36" i="8"/>
  <c r="C36" i="8"/>
  <c r="D35" i="8"/>
  <c r="C35" i="8"/>
  <c r="D34" i="8"/>
  <c r="C34" i="8"/>
  <c r="D33" i="8"/>
  <c r="C33" i="8"/>
  <c r="D32" i="8"/>
  <c r="C32" i="8"/>
  <c r="D31" i="8"/>
  <c r="C31" i="8"/>
  <c r="D30" i="8"/>
  <c r="C30" i="8"/>
  <c r="D29" i="8"/>
  <c r="C29" i="8"/>
  <c r="D28" i="8"/>
  <c r="C28" i="8"/>
  <c r="D27" i="8"/>
  <c r="C27" i="8"/>
  <c r="D26" i="8"/>
  <c r="C26" i="8"/>
  <c r="D25" i="8"/>
  <c r="C25" i="8"/>
  <c r="D24" i="8"/>
  <c r="C24" i="8"/>
  <c r="D23" i="8"/>
  <c r="C23" i="8"/>
  <c r="D22" i="8"/>
  <c r="C22" i="8"/>
  <c r="D21" i="8"/>
  <c r="C21" i="8"/>
  <c r="D20" i="8"/>
  <c r="C20" i="8"/>
  <c r="D19" i="8"/>
  <c r="C19" i="8"/>
  <c r="D18" i="8"/>
  <c r="C18" i="8"/>
  <c r="D17" i="8"/>
  <c r="C17" i="8"/>
  <c r="D16" i="8"/>
  <c r="C16" i="8"/>
  <c r="D15" i="8"/>
  <c r="C15" i="8"/>
  <c r="D14" i="8"/>
  <c r="C14" i="8"/>
  <c r="D13" i="8"/>
  <c r="C13" i="8"/>
  <c r="D12" i="8"/>
  <c r="C12" i="8"/>
  <c r="D11" i="8"/>
  <c r="C11" i="8"/>
  <c r="D10" i="8"/>
  <c r="C10" i="8"/>
  <c r="D9" i="8"/>
  <c r="C9" i="8"/>
  <c r="D8" i="8"/>
  <c r="C8" i="8"/>
  <c r="D7" i="8"/>
  <c r="C7" i="8"/>
  <c r="D6" i="8"/>
  <c r="C6" i="8"/>
  <c r="D5" i="8"/>
  <c r="C5" i="8"/>
  <c r="F9" i="12" l="1"/>
  <c r="H10" i="12"/>
  <c r="I10" i="12" s="1"/>
  <c r="H15" i="12"/>
  <c r="I15" i="12" s="1"/>
  <c r="H14" i="12"/>
  <c r="I14" i="12" s="1"/>
  <c r="H12" i="12"/>
  <c r="I12" i="12" s="1"/>
  <c r="F11" i="12"/>
  <c r="H13" i="12"/>
  <c r="I13" i="12" s="1"/>
  <c r="H9" i="12"/>
  <c r="I9" i="12" s="1"/>
  <c r="F12" i="12"/>
  <c r="H11" i="12"/>
  <c r="I11" i="12" s="1"/>
  <c r="F14" i="12"/>
  <c r="F13" i="12"/>
  <c r="H16" i="12"/>
  <c r="I16" i="12" s="1"/>
  <c r="F15" i="12"/>
  <c r="F10" i="12"/>
  <c r="AO7" i="8"/>
  <c r="U4" i="11"/>
  <c r="T4" i="11"/>
  <c r="S4" i="11"/>
  <c r="R4" i="11"/>
  <c r="Q4" i="11"/>
  <c r="P4" i="11"/>
  <c r="O4" i="11"/>
  <c r="N4" i="11"/>
  <c r="D257" i="11"/>
  <c r="C257" i="11"/>
  <c r="D256" i="11"/>
  <c r="C256" i="11"/>
  <c r="A256" i="11"/>
  <c r="A255" i="11" s="1"/>
  <c r="A254" i="11" s="1"/>
  <c r="A253" i="11" s="1"/>
  <c r="A252" i="11" s="1"/>
  <c r="A251" i="11" s="1"/>
  <c r="A250" i="11" s="1"/>
  <c r="A249" i="11" s="1"/>
  <c r="A248" i="11" s="1"/>
  <c r="A247" i="11" s="1"/>
  <c r="A246" i="11" s="1"/>
  <c r="A245" i="11" s="1"/>
  <c r="A244" i="11" s="1"/>
  <c r="A243" i="11" s="1"/>
  <c r="A242" i="11" s="1"/>
  <c r="A241" i="11" s="1"/>
  <c r="A240" i="11" s="1"/>
  <c r="A239" i="11" s="1"/>
  <c r="A238" i="11" s="1"/>
  <c r="A237" i="11" s="1"/>
  <c r="A236" i="11" s="1"/>
  <c r="A235" i="11" s="1"/>
  <c r="A234" i="11" s="1"/>
  <c r="A233" i="11" s="1"/>
  <c r="A232" i="11" s="1"/>
  <c r="A231" i="11" s="1"/>
  <c r="A230" i="11" s="1"/>
  <c r="A229" i="11" s="1"/>
  <c r="A228" i="11" s="1"/>
  <c r="A227" i="11" s="1"/>
  <c r="A226" i="11" s="1"/>
  <c r="A225" i="11" s="1"/>
  <c r="A224" i="11" s="1"/>
  <c r="A223" i="11" s="1"/>
  <c r="A222" i="11" s="1"/>
  <c r="A221" i="11" s="1"/>
  <c r="A220" i="11" s="1"/>
  <c r="A219" i="11" s="1"/>
  <c r="A218" i="11" s="1"/>
  <c r="A217" i="11" s="1"/>
  <c r="A216" i="11" s="1"/>
  <c r="A215" i="11" s="1"/>
  <c r="A214" i="11" s="1"/>
  <c r="A213" i="11" s="1"/>
  <c r="A212" i="11" s="1"/>
  <c r="A211" i="11" s="1"/>
  <c r="A210" i="11" s="1"/>
  <c r="A209" i="11" s="1"/>
  <c r="A208" i="11" s="1"/>
  <c r="A207" i="11" s="1"/>
  <c r="A206" i="11" s="1"/>
  <c r="A205" i="11" s="1"/>
  <c r="A204" i="11" s="1"/>
  <c r="A203" i="11" s="1"/>
  <c r="A202" i="11" s="1"/>
  <c r="A201" i="11" s="1"/>
  <c r="A200" i="11" s="1"/>
  <c r="A199" i="11" s="1"/>
  <c r="A198" i="11" s="1"/>
  <c r="A197" i="11" s="1"/>
  <c r="A196" i="11" s="1"/>
  <c r="A195" i="11" s="1"/>
  <c r="A194" i="11" s="1"/>
  <c r="A193" i="11" s="1"/>
  <c r="A192" i="11" s="1"/>
  <c r="A191" i="11" s="1"/>
  <c r="A190" i="11" s="1"/>
  <c r="A189" i="11" s="1"/>
  <c r="A188" i="11" s="1"/>
  <c r="A187" i="11" s="1"/>
  <c r="A186" i="11" s="1"/>
  <c r="A185" i="11" s="1"/>
  <c r="A184" i="11" s="1"/>
  <c r="A183" i="11" s="1"/>
  <c r="A182" i="11" s="1"/>
  <c r="A181" i="11" s="1"/>
  <c r="A180" i="11" s="1"/>
  <c r="A179" i="11" s="1"/>
  <c r="A178" i="11" s="1"/>
  <c r="A177" i="11" s="1"/>
  <c r="A176" i="11" s="1"/>
  <c r="A175" i="11" s="1"/>
  <c r="A174" i="11" s="1"/>
  <c r="A173" i="11" s="1"/>
  <c r="A172" i="11" s="1"/>
  <c r="A171" i="11" s="1"/>
  <c r="A170" i="11" s="1"/>
  <c r="A169" i="11" s="1"/>
  <c r="A168" i="11" s="1"/>
  <c r="A167" i="11" s="1"/>
  <c r="A166" i="11" s="1"/>
  <c r="A165" i="11" s="1"/>
  <c r="A164" i="11" s="1"/>
  <c r="A163" i="11" s="1"/>
  <c r="A162" i="11" s="1"/>
  <c r="A161" i="11" s="1"/>
  <c r="A160" i="11" s="1"/>
  <c r="A159" i="11" s="1"/>
  <c r="A158" i="11" s="1"/>
  <c r="A157" i="11" s="1"/>
  <c r="A156" i="11" s="1"/>
  <c r="A155" i="11" s="1"/>
  <c r="A154" i="11" s="1"/>
  <c r="A153" i="11" s="1"/>
  <c r="A152" i="11" s="1"/>
  <c r="A151" i="11" s="1"/>
  <c r="A150" i="11" s="1"/>
  <c r="A149" i="11" s="1"/>
  <c r="A148" i="11" s="1"/>
  <c r="A147" i="11" s="1"/>
  <c r="A146" i="11" s="1"/>
  <c r="A145" i="11" s="1"/>
  <c r="A144" i="11" s="1"/>
  <c r="A143" i="11" s="1"/>
  <c r="A142" i="11" s="1"/>
  <c r="A141" i="11" s="1"/>
  <c r="A140" i="11" s="1"/>
  <c r="A139" i="11" s="1"/>
  <c r="A138" i="11" s="1"/>
  <c r="A137" i="11" s="1"/>
  <c r="A136" i="11" s="1"/>
  <c r="A135" i="11" s="1"/>
  <c r="A134" i="11" s="1"/>
  <c r="A133" i="11" s="1"/>
  <c r="A132" i="11" s="1"/>
  <c r="A131" i="11" s="1"/>
  <c r="A130" i="11" s="1"/>
  <c r="A129" i="11" s="1"/>
  <c r="A128" i="11" s="1"/>
  <c r="A127" i="11" s="1"/>
  <c r="A126" i="11" s="1"/>
  <c r="A125" i="11" s="1"/>
  <c r="A124" i="11" s="1"/>
  <c r="A123" i="11" s="1"/>
  <c r="A122" i="11" s="1"/>
  <c r="A121" i="11" s="1"/>
  <c r="A120" i="11" s="1"/>
  <c r="A119" i="11" s="1"/>
  <c r="A118" i="11" s="1"/>
  <c r="A117" i="11" s="1"/>
  <c r="A116" i="11" s="1"/>
  <c r="A115" i="11" s="1"/>
  <c r="A114" i="11" s="1"/>
  <c r="A113" i="11" s="1"/>
  <c r="A112" i="11" s="1"/>
  <c r="A111" i="11" s="1"/>
  <c r="A110" i="11" s="1"/>
  <c r="A109" i="11" s="1"/>
  <c r="A108" i="11" s="1"/>
  <c r="A107" i="11" s="1"/>
  <c r="A106" i="11" s="1"/>
  <c r="A105" i="11" s="1"/>
  <c r="A104" i="11" s="1"/>
  <c r="A103" i="11" s="1"/>
  <c r="A102" i="11" s="1"/>
  <c r="A101" i="11" s="1"/>
  <c r="A100" i="11" s="1"/>
  <c r="A99" i="11" s="1"/>
  <c r="A98" i="11" s="1"/>
  <c r="A97" i="11" s="1"/>
  <c r="A96" i="11" s="1"/>
  <c r="A95" i="11" s="1"/>
  <c r="A94" i="11" s="1"/>
  <c r="A93" i="11" s="1"/>
  <c r="A92" i="11" s="1"/>
  <c r="A91" i="11" s="1"/>
  <c r="A90" i="11" s="1"/>
  <c r="A89" i="11" s="1"/>
  <c r="A88" i="11" s="1"/>
  <c r="A87" i="11" s="1"/>
  <c r="A86" i="11" s="1"/>
  <c r="A85" i="11" s="1"/>
  <c r="A84" i="11" s="1"/>
  <c r="A83" i="11" s="1"/>
  <c r="A82" i="11" s="1"/>
  <c r="A81" i="11" s="1"/>
  <c r="A80" i="11" s="1"/>
  <c r="A79" i="11" s="1"/>
  <c r="A78" i="11" s="1"/>
  <c r="A77" i="11" s="1"/>
  <c r="A76" i="11" s="1"/>
  <c r="A75" i="11" s="1"/>
  <c r="A74" i="11" s="1"/>
  <c r="A73" i="11" s="1"/>
  <c r="A72" i="11" s="1"/>
  <c r="A71" i="11" s="1"/>
  <c r="A70" i="11" s="1"/>
  <c r="A69" i="11" s="1"/>
  <c r="A68" i="11" s="1"/>
  <c r="A67" i="11" s="1"/>
  <c r="A66" i="11" s="1"/>
  <c r="A65" i="11" s="1"/>
  <c r="A64" i="11" s="1"/>
  <c r="A63" i="11" s="1"/>
  <c r="A62" i="11" s="1"/>
  <c r="A61" i="11" s="1"/>
  <c r="A60" i="11" s="1"/>
  <c r="A59" i="11" s="1"/>
  <c r="A58" i="11" s="1"/>
  <c r="A57" i="11" s="1"/>
  <c r="A56" i="11" s="1"/>
  <c r="A55" i="11" s="1"/>
  <c r="A54" i="11" s="1"/>
  <c r="A53" i="11" s="1"/>
  <c r="A52" i="11" s="1"/>
  <c r="A51" i="11" s="1"/>
  <c r="A50" i="11" s="1"/>
  <c r="A49" i="11" s="1"/>
  <c r="A48" i="11" s="1"/>
  <c r="A47" i="11" s="1"/>
  <c r="A46" i="11" s="1"/>
  <c r="A45" i="11" s="1"/>
  <c r="A44" i="11" s="1"/>
  <c r="A43" i="11" s="1"/>
  <c r="A42" i="11" s="1"/>
  <c r="A41" i="11" s="1"/>
  <c r="A40" i="11" s="1"/>
  <c r="A39" i="11" s="1"/>
  <c r="A38" i="11" s="1"/>
  <c r="A37" i="11" s="1"/>
  <c r="A36" i="11" s="1"/>
  <c r="A35" i="11" s="1"/>
  <c r="A34" i="11" s="1"/>
  <c r="A33" i="11" s="1"/>
  <c r="A32" i="11" s="1"/>
  <c r="A31" i="11" s="1"/>
  <c r="A30" i="11" s="1"/>
  <c r="A29" i="11" s="1"/>
  <c r="A28" i="11" s="1"/>
  <c r="A27" i="11" s="1"/>
  <c r="A26" i="11" s="1"/>
  <c r="A25" i="11" s="1"/>
  <c r="A24" i="11" s="1"/>
  <c r="A23" i="11" s="1"/>
  <c r="A22" i="11" s="1"/>
  <c r="A21" i="11" s="1"/>
  <c r="A20" i="11" s="1"/>
  <c r="A19" i="11" s="1"/>
  <c r="A18" i="11" s="1"/>
  <c r="A17" i="11" s="1"/>
  <c r="A16" i="11" s="1"/>
  <c r="A15" i="11" s="1"/>
  <c r="A14" i="11" s="1"/>
  <c r="A13" i="11" s="1"/>
  <c r="A12" i="11" s="1"/>
  <c r="A11" i="11" s="1"/>
  <c r="A10" i="11" s="1"/>
  <c r="A9" i="11" s="1"/>
  <c r="A8" i="11" s="1"/>
  <c r="A7" i="11" s="1"/>
  <c r="A6" i="11" s="1"/>
  <c r="A5" i="11" s="1"/>
  <c r="D255" i="11"/>
  <c r="C255" i="11"/>
  <c r="D254" i="11"/>
  <c r="C254" i="11"/>
  <c r="D253" i="11"/>
  <c r="C253" i="11"/>
  <c r="D252" i="11"/>
  <c r="C252" i="11"/>
  <c r="D251" i="11"/>
  <c r="C251" i="11"/>
  <c r="D250" i="11"/>
  <c r="C250" i="11"/>
  <c r="D249" i="11"/>
  <c r="C249" i="11"/>
  <c r="D248" i="11"/>
  <c r="C248" i="11"/>
  <c r="D247" i="11"/>
  <c r="C247" i="11"/>
  <c r="D246" i="11"/>
  <c r="C246" i="11"/>
  <c r="D245" i="11"/>
  <c r="C245" i="11"/>
  <c r="D244" i="11"/>
  <c r="C244" i="11"/>
  <c r="D243" i="11"/>
  <c r="C243" i="11"/>
  <c r="D242" i="11"/>
  <c r="C242" i="11"/>
  <c r="D241" i="11"/>
  <c r="C241" i="11"/>
  <c r="D240" i="11"/>
  <c r="C240" i="11"/>
  <c r="D239" i="11"/>
  <c r="C239" i="11"/>
  <c r="D238" i="11"/>
  <c r="C238" i="11"/>
  <c r="D237" i="11"/>
  <c r="C237" i="11"/>
  <c r="D236" i="11"/>
  <c r="C236" i="11"/>
  <c r="D235" i="11"/>
  <c r="C235" i="11"/>
  <c r="D234" i="11"/>
  <c r="C234" i="11"/>
  <c r="D233" i="11"/>
  <c r="C233" i="11"/>
  <c r="D232" i="11"/>
  <c r="C232" i="11"/>
  <c r="D231" i="11"/>
  <c r="C231" i="11"/>
  <c r="D230" i="11"/>
  <c r="C230" i="11"/>
  <c r="D229" i="11"/>
  <c r="C229" i="11"/>
  <c r="D228" i="11"/>
  <c r="C228" i="11"/>
  <c r="D227" i="11"/>
  <c r="C227" i="11"/>
  <c r="D226" i="11"/>
  <c r="C226" i="11"/>
  <c r="D225" i="11"/>
  <c r="C225" i="11"/>
  <c r="D224" i="11"/>
  <c r="C224" i="11"/>
  <c r="D223" i="11"/>
  <c r="C223" i="11"/>
  <c r="D222" i="11"/>
  <c r="C222" i="11"/>
  <c r="D221" i="11"/>
  <c r="C221" i="11"/>
  <c r="D220" i="11"/>
  <c r="C220" i="11"/>
  <c r="D219" i="11"/>
  <c r="C219" i="11"/>
  <c r="D218" i="11"/>
  <c r="C218" i="11"/>
  <c r="D217" i="11"/>
  <c r="C217" i="11"/>
  <c r="D216" i="11"/>
  <c r="C216" i="11"/>
  <c r="D215" i="11"/>
  <c r="C215" i="11"/>
  <c r="D214" i="11"/>
  <c r="C214" i="11"/>
  <c r="D213" i="11"/>
  <c r="C213" i="11"/>
  <c r="D212" i="11"/>
  <c r="C212" i="11"/>
  <c r="D211" i="11"/>
  <c r="C211" i="11"/>
  <c r="D210" i="11"/>
  <c r="C210" i="11"/>
  <c r="D209" i="11"/>
  <c r="C209" i="11"/>
  <c r="D208" i="11"/>
  <c r="C208" i="11"/>
  <c r="D207" i="11"/>
  <c r="C207" i="11"/>
  <c r="D206" i="11"/>
  <c r="C206" i="11"/>
  <c r="D205" i="11"/>
  <c r="C205" i="11"/>
  <c r="D204" i="11"/>
  <c r="C204" i="11"/>
  <c r="D203" i="11"/>
  <c r="C203" i="11"/>
  <c r="D202" i="11"/>
  <c r="C202" i="11"/>
  <c r="D201" i="11"/>
  <c r="C201" i="11"/>
  <c r="D200" i="11"/>
  <c r="C200" i="11"/>
  <c r="D199" i="11"/>
  <c r="C199" i="11"/>
  <c r="D198" i="11"/>
  <c r="C198" i="11"/>
  <c r="D197" i="11"/>
  <c r="C197" i="11"/>
  <c r="D196" i="11"/>
  <c r="C196" i="11"/>
  <c r="D195" i="11"/>
  <c r="C195" i="11"/>
  <c r="D194" i="11"/>
  <c r="C194" i="11"/>
  <c r="D193" i="11"/>
  <c r="C193" i="11"/>
  <c r="D192" i="11"/>
  <c r="C192" i="11"/>
  <c r="D191" i="11"/>
  <c r="C191" i="11"/>
  <c r="D190" i="11"/>
  <c r="C190" i="11"/>
  <c r="D189" i="11"/>
  <c r="C189" i="11"/>
  <c r="D188" i="11"/>
  <c r="C188" i="11"/>
  <c r="D187" i="11"/>
  <c r="C187" i="11"/>
  <c r="D186" i="11"/>
  <c r="C186" i="11"/>
  <c r="D185" i="11"/>
  <c r="C185" i="11"/>
  <c r="D184" i="11"/>
  <c r="C184" i="11"/>
  <c r="D183" i="11"/>
  <c r="C183" i="11"/>
  <c r="D182" i="11"/>
  <c r="C182" i="11"/>
  <c r="D181" i="11"/>
  <c r="C181" i="11"/>
  <c r="D180" i="11"/>
  <c r="C180" i="11"/>
  <c r="D179" i="11"/>
  <c r="C179" i="11"/>
  <c r="D178" i="11"/>
  <c r="C178" i="11"/>
  <c r="D177" i="11"/>
  <c r="C177" i="11"/>
  <c r="D176" i="11"/>
  <c r="C176" i="11"/>
  <c r="D175" i="11"/>
  <c r="C175" i="11"/>
  <c r="D174" i="11"/>
  <c r="C174" i="11"/>
  <c r="D173" i="11"/>
  <c r="C173" i="11"/>
  <c r="D172" i="11"/>
  <c r="C172" i="11"/>
  <c r="D171" i="11"/>
  <c r="C171" i="11"/>
  <c r="D170" i="11"/>
  <c r="C170" i="11"/>
  <c r="D169" i="11"/>
  <c r="C169" i="11"/>
  <c r="D168" i="11"/>
  <c r="C168" i="11"/>
  <c r="D167" i="11"/>
  <c r="C167" i="11"/>
  <c r="D166" i="11"/>
  <c r="C166" i="11"/>
  <c r="D165" i="11"/>
  <c r="C165" i="11"/>
  <c r="D164" i="11"/>
  <c r="C164" i="11"/>
  <c r="D163" i="11"/>
  <c r="C163" i="11"/>
  <c r="D162" i="11"/>
  <c r="C162" i="11"/>
  <c r="D161" i="11"/>
  <c r="C161" i="11"/>
  <c r="D160" i="11"/>
  <c r="C160" i="11"/>
  <c r="D159" i="11"/>
  <c r="C159" i="11"/>
  <c r="D158" i="11"/>
  <c r="C158" i="11"/>
  <c r="D157" i="11"/>
  <c r="C157" i="11"/>
  <c r="D156" i="11"/>
  <c r="C156" i="11"/>
  <c r="D155" i="11"/>
  <c r="C155" i="11"/>
  <c r="D154" i="11"/>
  <c r="C154" i="11"/>
  <c r="D153" i="11"/>
  <c r="C153" i="11"/>
  <c r="D152" i="11"/>
  <c r="C152" i="11"/>
  <c r="D151" i="11"/>
  <c r="C151" i="11"/>
  <c r="D150" i="11"/>
  <c r="C150" i="11"/>
  <c r="D149" i="11"/>
  <c r="C149" i="11"/>
  <c r="D148" i="11"/>
  <c r="C148" i="11"/>
  <c r="D147" i="11"/>
  <c r="C147" i="11"/>
  <c r="D146" i="11"/>
  <c r="C146" i="11"/>
  <c r="D145" i="11"/>
  <c r="C145" i="11"/>
  <c r="D144" i="11"/>
  <c r="C144" i="11"/>
  <c r="D143" i="11"/>
  <c r="C143" i="11"/>
  <c r="D142" i="11"/>
  <c r="C142" i="11"/>
  <c r="D141" i="11"/>
  <c r="C141" i="11"/>
  <c r="D140" i="11"/>
  <c r="C140" i="11"/>
  <c r="D139" i="11"/>
  <c r="C139" i="11"/>
  <c r="D138" i="11"/>
  <c r="C138" i="11"/>
  <c r="D137" i="11"/>
  <c r="C137" i="11"/>
  <c r="D136" i="11"/>
  <c r="C136" i="11"/>
  <c r="D135" i="11"/>
  <c r="C135" i="11"/>
  <c r="D134" i="11"/>
  <c r="C134" i="11"/>
  <c r="D133" i="11"/>
  <c r="C133" i="11"/>
  <c r="D132" i="11"/>
  <c r="C132" i="11"/>
  <c r="D131" i="11"/>
  <c r="C131" i="11"/>
  <c r="D130" i="11"/>
  <c r="C130" i="11"/>
  <c r="D129" i="11"/>
  <c r="C129" i="11"/>
  <c r="D128" i="11"/>
  <c r="C128" i="11"/>
  <c r="D127" i="11"/>
  <c r="C127" i="11"/>
  <c r="D126" i="11"/>
  <c r="C126" i="11"/>
  <c r="D125" i="11"/>
  <c r="C125" i="11"/>
  <c r="D124" i="11"/>
  <c r="C124" i="11"/>
  <c r="D123" i="11"/>
  <c r="C123" i="11"/>
  <c r="D122" i="11"/>
  <c r="C122" i="11"/>
  <c r="D121" i="11"/>
  <c r="C121" i="11"/>
  <c r="D120" i="11"/>
  <c r="C120" i="11"/>
  <c r="D119" i="11"/>
  <c r="C119" i="11"/>
  <c r="D118" i="11"/>
  <c r="C118" i="11"/>
  <c r="D117" i="11"/>
  <c r="C117" i="11"/>
  <c r="D116" i="11"/>
  <c r="C116" i="11"/>
  <c r="D115" i="11"/>
  <c r="C115" i="11"/>
  <c r="D114" i="11"/>
  <c r="C114" i="11"/>
  <c r="D113" i="11"/>
  <c r="C113" i="11"/>
  <c r="D112" i="11"/>
  <c r="C112" i="11"/>
  <c r="D111" i="11"/>
  <c r="C111" i="11"/>
  <c r="D110" i="11"/>
  <c r="C110" i="11"/>
  <c r="D109" i="11"/>
  <c r="C109" i="11"/>
  <c r="D108" i="11"/>
  <c r="C108" i="11"/>
  <c r="D107" i="11"/>
  <c r="C107" i="11"/>
  <c r="D106" i="11"/>
  <c r="C106" i="11"/>
  <c r="D105" i="11"/>
  <c r="C105" i="11"/>
  <c r="D104" i="11"/>
  <c r="C104" i="11"/>
  <c r="D103" i="11"/>
  <c r="C103" i="11"/>
  <c r="D102" i="11"/>
  <c r="C102" i="11"/>
  <c r="D101" i="11"/>
  <c r="C101" i="11"/>
  <c r="D100" i="11"/>
  <c r="C100" i="11"/>
  <c r="D99" i="11"/>
  <c r="C99" i="11"/>
  <c r="D98" i="11"/>
  <c r="C98" i="11"/>
  <c r="D97" i="11"/>
  <c r="C97" i="11"/>
  <c r="D96" i="11"/>
  <c r="C96" i="11"/>
  <c r="D95" i="11"/>
  <c r="C95" i="11"/>
  <c r="D94" i="11"/>
  <c r="C94" i="11"/>
  <c r="D93" i="11"/>
  <c r="C93" i="11"/>
  <c r="D92" i="11"/>
  <c r="C92" i="11"/>
  <c r="D91" i="11"/>
  <c r="C91" i="11"/>
  <c r="D90" i="11"/>
  <c r="C90" i="11"/>
  <c r="D89" i="11"/>
  <c r="C89" i="11"/>
  <c r="D88" i="11"/>
  <c r="C88" i="11"/>
  <c r="D87" i="11"/>
  <c r="C87" i="11"/>
  <c r="D86" i="11"/>
  <c r="C86" i="11"/>
  <c r="D85" i="11"/>
  <c r="C85" i="11"/>
  <c r="D84" i="11"/>
  <c r="C84" i="11"/>
  <c r="D83" i="11"/>
  <c r="C83" i="11"/>
  <c r="D82" i="11"/>
  <c r="C82" i="11"/>
  <c r="D81" i="11"/>
  <c r="C81" i="11"/>
  <c r="D80" i="11"/>
  <c r="C80" i="11"/>
  <c r="D79" i="11"/>
  <c r="C79" i="11"/>
  <c r="D78" i="11"/>
  <c r="C78" i="11"/>
  <c r="D77" i="11"/>
  <c r="C77" i="11"/>
  <c r="D76" i="11"/>
  <c r="C76" i="11"/>
  <c r="D75" i="11"/>
  <c r="C75" i="11"/>
  <c r="D74" i="11"/>
  <c r="C74" i="11"/>
  <c r="D73" i="11"/>
  <c r="C73" i="11"/>
  <c r="D72" i="11"/>
  <c r="C72" i="11"/>
  <c r="D71" i="11"/>
  <c r="C71" i="11"/>
  <c r="D70" i="11"/>
  <c r="C70" i="11"/>
  <c r="D69" i="11"/>
  <c r="C69" i="11"/>
  <c r="D68" i="11"/>
  <c r="C68" i="11"/>
  <c r="D67" i="11"/>
  <c r="C67" i="11"/>
  <c r="D66" i="11"/>
  <c r="C66" i="11"/>
  <c r="D65" i="11"/>
  <c r="C65" i="11"/>
  <c r="D64" i="11"/>
  <c r="C64" i="11"/>
  <c r="D63" i="11"/>
  <c r="C63" i="11"/>
  <c r="D62" i="11"/>
  <c r="C62" i="11"/>
  <c r="D61" i="11"/>
  <c r="C61" i="11"/>
  <c r="D60" i="11"/>
  <c r="C60" i="11"/>
  <c r="D59" i="11"/>
  <c r="C59" i="11"/>
  <c r="D58" i="11"/>
  <c r="C58" i="11"/>
  <c r="D57" i="11"/>
  <c r="C57" i="11"/>
  <c r="D56" i="11"/>
  <c r="C56" i="11"/>
  <c r="D55" i="11"/>
  <c r="C55" i="11"/>
  <c r="D54" i="11"/>
  <c r="C54" i="11"/>
  <c r="D53" i="11"/>
  <c r="C53" i="11"/>
  <c r="D52" i="11"/>
  <c r="C52" i="11"/>
  <c r="D51" i="11"/>
  <c r="C51" i="11"/>
  <c r="D50" i="11"/>
  <c r="C50" i="11"/>
  <c r="D49" i="11"/>
  <c r="C49" i="11"/>
  <c r="D48" i="11"/>
  <c r="C48" i="11"/>
  <c r="D47" i="11"/>
  <c r="C47" i="11"/>
  <c r="D46" i="11"/>
  <c r="C46" i="11"/>
  <c r="D45" i="11"/>
  <c r="C45" i="11"/>
  <c r="D44" i="11"/>
  <c r="C44" i="11"/>
  <c r="D43" i="11"/>
  <c r="C43" i="11"/>
  <c r="D42" i="11"/>
  <c r="C42" i="11"/>
  <c r="D41" i="11"/>
  <c r="C41" i="11"/>
  <c r="D40" i="11"/>
  <c r="C40" i="11"/>
  <c r="D39" i="11"/>
  <c r="C39" i="11"/>
  <c r="D38" i="11"/>
  <c r="C38" i="11"/>
  <c r="D37" i="11"/>
  <c r="C37" i="11"/>
  <c r="D36" i="11"/>
  <c r="C36" i="11"/>
  <c r="D35" i="11"/>
  <c r="C35" i="11"/>
  <c r="D34" i="11"/>
  <c r="C34" i="11"/>
  <c r="D33" i="11"/>
  <c r="C33" i="11"/>
  <c r="D32" i="11"/>
  <c r="C32" i="11"/>
  <c r="D31" i="11"/>
  <c r="C31" i="11"/>
  <c r="D30" i="11"/>
  <c r="C30" i="11"/>
  <c r="D29" i="11"/>
  <c r="C29" i="11"/>
  <c r="D28" i="11"/>
  <c r="C28" i="11"/>
  <c r="D27" i="11"/>
  <c r="C27" i="11"/>
  <c r="D26" i="11"/>
  <c r="C26" i="11"/>
  <c r="D25" i="11"/>
  <c r="C25" i="11"/>
  <c r="D24" i="11"/>
  <c r="C24" i="11"/>
  <c r="D23" i="11"/>
  <c r="C23" i="11"/>
  <c r="D22" i="11"/>
  <c r="C22" i="11"/>
  <c r="D21" i="11"/>
  <c r="C21" i="11"/>
  <c r="D20" i="11"/>
  <c r="C20" i="11"/>
  <c r="D19" i="11"/>
  <c r="C19" i="11"/>
  <c r="D18" i="11"/>
  <c r="C18" i="11"/>
  <c r="D17" i="11"/>
  <c r="C17" i="11"/>
  <c r="D16" i="11"/>
  <c r="C16" i="11"/>
  <c r="D15" i="11"/>
  <c r="C15" i="11"/>
  <c r="D14" i="11"/>
  <c r="C14" i="11"/>
  <c r="D13" i="11"/>
  <c r="C13" i="11"/>
  <c r="D12" i="11"/>
  <c r="C12" i="11"/>
  <c r="D11" i="11"/>
  <c r="C11" i="11"/>
  <c r="D10" i="11"/>
  <c r="C10" i="11"/>
  <c r="D9" i="11"/>
  <c r="C9" i="11"/>
  <c r="D8" i="11"/>
  <c r="C8" i="11"/>
  <c r="D7" i="11"/>
  <c r="C7" i="11"/>
  <c r="D6" i="11"/>
  <c r="C6" i="11"/>
  <c r="D5" i="11"/>
  <c r="C5" i="11"/>
  <c r="H21" i="12" l="1" a="1"/>
  <c r="H21" i="12" s="1"/>
  <c r="O25" i="12" s="1"/>
  <c r="P25" i="12" s="1"/>
  <c r="F17" i="12"/>
  <c r="AO8" i="8"/>
  <c r="AK1" i="8"/>
  <c r="AJ1" i="8"/>
  <c r="AE1" i="8"/>
  <c r="AF1" i="8"/>
  <c r="AG1" i="8"/>
  <c r="AH1" i="8"/>
  <c r="AI1" i="8"/>
  <c r="AD1" i="8"/>
  <c r="AM1" i="8" l="1"/>
  <c r="AP7" i="8" s="1"/>
  <c r="AP8" i="8" l="1"/>
  <c r="A256" i="8"/>
  <c r="A255" i="8" s="1"/>
  <c r="A254" i="8" s="1"/>
  <c r="A253" i="8" s="1"/>
  <c r="A252" i="8" s="1"/>
  <c r="A251" i="8" s="1"/>
  <c r="A250" i="8" s="1"/>
  <c r="A249" i="8" s="1"/>
  <c r="A248" i="8" s="1"/>
  <c r="A247" i="8" s="1"/>
  <c r="A246" i="8" s="1"/>
  <c r="A245" i="8" s="1"/>
  <c r="A244" i="8" s="1"/>
  <c r="A243" i="8" s="1"/>
  <c r="A242" i="8" s="1"/>
  <c r="A241" i="8" s="1"/>
  <c r="A240" i="8" s="1"/>
  <c r="A239" i="8" s="1"/>
  <c r="A238" i="8" s="1"/>
  <c r="A237" i="8" s="1"/>
  <c r="A236" i="8" s="1"/>
  <c r="A235" i="8" s="1"/>
  <c r="A234" i="8" s="1"/>
  <c r="A233" i="8" s="1"/>
  <c r="A232" i="8" s="1"/>
  <c r="A231" i="8" s="1"/>
  <c r="A230" i="8" s="1"/>
  <c r="A229" i="8" s="1"/>
  <c r="A228" i="8" s="1"/>
  <c r="A227" i="8" s="1"/>
  <c r="A226" i="8" s="1"/>
  <c r="A225" i="8" s="1"/>
  <c r="A224" i="8" s="1"/>
  <c r="A223" i="8" s="1"/>
  <c r="A222" i="8" s="1"/>
  <c r="A221" i="8" s="1"/>
  <c r="A220" i="8" s="1"/>
  <c r="A219" i="8" s="1"/>
  <c r="A218" i="8" s="1"/>
  <c r="A217" i="8" s="1"/>
  <c r="A216" i="8" s="1"/>
  <c r="A215" i="8" s="1"/>
  <c r="A214" i="8" s="1"/>
  <c r="A213" i="8" s="1"/>
  <c r="A212" i="8" s="1"/>
  <c r="A211" i="8" s="1"/>
  <c r="A210" i="8" s="1"/>
  <c r="A209" i="8" s="1"/>
  <c r="A208" i="8" s="1"/>
  <c r="A207" i="8" s="1"/>
  <c r="A206" i="8" s="1"/>
  <c r="A205" i="8" s="1"/>
  <c r="A204" i="8" s="1"/>
  <c r="A203" i="8" s="1"/>
  <c r="A202" i="8" s="1"/>
  <c r="A201" i="8" s="1"/>
  <c r="A200" i="8" s="1"/>
  <c r="A199" i="8" s="1"/>
  <c r="A198" i="8" s="1"/>
  <c r="A197" i="8" s="1"/>
  <c r="A196" i="8" s="1"/>
  <c r="A195" i="8" s="1"/>
  <c r="A194" i="8" s="1"/>
  <c r="A193" i="8" s="1"/>
  <c r="A192" i="8" s="1"/>
  <c r="A191" i="8" s="1"/>
  <c r="A190" i="8" s="1"/>
  <c r="A189" i="8" s="1"/>
  <c r="A188" i="8" s="1"/>
  <c r="A187" i="8" s="1"/>
  <c r="A186" i="8" s="1"/>
  <c r="A185" i="8" s="1"/>
  <c r="A184" i="8" s="1"/>
  <c r="A183" i="8" s="1"/>
  <c r="A182" i="8" s="1"/>
  <c r="A181" i="8" s="1"/>
  <c r="A180" i="8" s="1"/>
  <c r="A179" i="8" s="1"/>
  <c r="A178" i="8" s="1"/>
  <c r="A177" i="8" s="1"/>
  <c r="A176" i="8" s="1"/>
  <c r="A175" i="8" s="1"/>
  <c r="A174" i="8" s="1"/>
  <c r="A173" i="8" s="1"/>
  <c r="A172" i="8" s="1"/>
  <c r="A171" i="8" s="1"/>
  <c r="A170" i="8" s="1"/>
  <c r="A169" i="8" s="1"/>
  <c r="A168" i="8" s="1"/>
  <c r="A167" i="8" s="1"/>
  <c r="A166" i="8" s="1"/>
  <c r="A165" i="8" s="1"/>
  <c r="A164" i="8" s="1"/>
  <c r="A163" i="8" s="1"/>
  <c r="A162" i="8" s="1"/>
  <c r="A161" i="8" s="1"/>
  <c r="A160" i="8" s="1"/>
  <c r="A159" i="8" s="1"/>
  <c r="A158" i="8" s="1"/>
  <c r="A157" i="8" s="1"/>
  <c r="A156" i="8" s="1"/>
  <c r="A155" i="8" s="1"/>
  <c r="A154" i="8" s="1"/>
  <c r="A153" i="8" s="1"/>
  <c r="A152" i="8" s="1"/>
  <c r="A151" i="8" s="1"/>
  <c r="A150" i="8" s="1"/>
  <c r="A149" i="8" s="1"/>
  <c r="A148" i="8" s="1"/>
  <c r="A147" i="8" s="1"/>
  <c r="A146" i="8" s="1"/>
  <c r="A145" i="8" s="1"/>
  <c r="A144" i="8" s="1"/>
  <c r="A143" i="8" s="1"/>
  <c r="A142" i="8" s="1"/>
  <c r="A141" i="8" s="1"/>
  <c r="A140" i="8" s="1"/>
  <c r="A139" i="8" s="1"/>
  <c r="A138" i="8" s="1"/>
  <c r="A137" i="8" s="1"/>
  <c r="A136" i="8" s="1"/>
  <c r="A135" i="8" s="1"/>
  <c r="A134" i="8" s="1"/>
  <c r="A133" i="8" s="1"/>
  <c r="A132" i="8" s="1"/>
  <c r="A131" i="8" s="1"/>
  <c r="A130" i="8" s="1"/>
  <c r="A129" i="8" s="1"/>
  <c r="A128" i="8" s="1"/>
  <c r="A127" i="8" s="1"/>
  <c r="A126" i="8" s="1"/>
  <c r="A125" i="8" s="1"/>
  <c r="A124" i="8" s="1"/>
  <c r="A123" i="8" s="1"/>
  <c r="A122" i="8" s="1"/>
  <c r="A121" i="8" s="1"/>
  <c r="A120" i="8" s="1"/>
  <c r="A119" i="8" s="1"/>
  <c r="A118" i="8" s="1"/>
  <c r="A117" i="8" s="1"/>
  <c r="A116" i="8" s="1"/>
  <c r="A115" i="8" s="1"/>
  <c r="A114" i="8" s="1"/>
  <c r="A113" i="8" s="1"/>
  <c r="A112" i="8" s="1"/>
  <c r="A111" i="8" s="1"/>
  <c r="A110" i="8" s="1"/>
  <c r="A109" i="8" s="1"/>
  <c r="A108" i="8" s="1"/>
  <c r="A107" i="8" s="1"/>
  <c r="A106" i="8" s="1"/>
  <c r="A105" i="8" s="1"/>
  <c r="A104" i="8" s="1"/>
  <c r="A103" i="8" s="1"/>
  <c r="A102" i="8" s="1"/>
  <c r="A101" i="8" s="1"/>
  <c r="A100" i="8" s="1"/>
  <c r="A99" i="8" s="1"/>
  <c r="A98" i="8" s="1"/>
  <c r="A97" i="8" s="1"/>
  <c r="A96" i="8" s="1"/>
  <c r="A95" i="8" s="1"/>
  <c r="A94" i="8" s="1"/>
  <c r="A93" i="8" s="1"/>
  <c r="A92" i="8" s="1"/>
  <c r="A91" i="8" s="1"/>
  <c r="A90" i="8" s="1"/>
  <c r="A89" i="8" s="1"/>
  <c r="A88" i="8" s="1"/>
  <c r="A87" i="8" s="1"/>
  <c r="A86" i="8" s="1"/>
  <c r="A85" i="8" s="1"/>
  <c r="A84" i="8" s="1"/>
  <c r="A83" i="8" s="1"/>
  <c r="A82" i="8" s="1"/>
  <c r="A81" i="8" s="1"/>
  <c r="A80" i="8" s="1"/>
  <c r="A79" i="8" s="1"/>
  <c r="A78" i="8" s="1"/>
  <c r="A77" i="8" s="1"/>
  <c r="A76" i="8" s="1"/>
  <c r="A75" i="8" s="1"/>
  <c r="A74" i="8" s="1"/>
  <c r="A73" i="8" s="1"/>
  <c r="A72" i="8" s="1"/>
  <c r="A71" i="8" s="1"/>
  <c r="A70" i="8" s="1"/>
  <c r="A69" i="8" s="1"/>
  <c r="A68" i="8" s="1"/>
  <c r="A67" i="8" s="1"/>
  <c r="A66" i="8" s="1"/>
  <c r="A65" i="8" s="1"/>
  <c r="A64" i="8" s="1"/>
  <c r="A63" i="8" s="1"/>
  <c r="A62" i="8" s="1"/>
  <c r="A61" i="8" s="1"/>
  <c r="A60" i="8" s="1"/>
  <c r="A59" i="8" s="1"/>
  <c r="A58" i="8" s="1"/>
  <c r="A57" i="8" s="1"/>
  <c r="A56" i="8" s="1"/>
  <c r="A55" i="8" s="1"/>
  <c r="A54" i="8" s="1"/>
  <c r="A53" i="8" s="1"/>
  <c r="A52" i="8" s="1"/>
  <c r="A51" i="8" s="1"/>
  <c r="A50" i="8" s="1"/>
  <c r="A49" i="8" s="1"/>
  <c r="A48" i="8" s="1"/>
  <c r="A47" i="8" s="1"/>
  <c r="A46" i="8" s="1"/>
  <c r="A45" i="8" s="1"/>
  <c r="A44" i="8" s="1"/>
  <c r="A43" i="8" s="1"/>
  <c r="A42" i="8" s="1"/>
  <c r="A41" i="8" s="1"/>
  <c r="A40" i="8" s="1"/>
  <c r="A39" i="8" s="1"/>
  <c r="A38" i="8" s="1"/>
  <c r="A37" i="8" s="1"/>
  <c r="A36" i="8" s="1"/>
  <c r="A35" i="8" s="1"/>
  <c r="A34" i="8" s="1"/>
  <c r="A33" i="8" s="1"/>
  <c r="A32" i="8" s="1"/>
  <c r="A31" i="8" s="1"/>
  <c r="A30" i="8" s="1"/>
  <c r="A29" i="8" s="1"/>
  <c r="A28" i="8" s="1"/>
  <c r="A27" i="8" s="1"/>
  <c r="A26" i="8" s="1"/>
  <c r="A25" i="8" s="1"/>
  <c r="A24" i="8" s="1"/>
  <c r="A23" i="8" s="1"/>
  <c r="A22" i="8" s="1"/>
  <c r="A21" i="8" s="1"/>
  <c r="A20" i="8" s="1"/>
  <c r="A19" i="8" s="1"/>
  <c r="A18" i="8" s="1"/>
  <c r="A17" i="8" s="1"/>
  <c r="A16" i="8" s="1"/>
  <c r="A15" i="8" s="1"/>
  <c r="A14" i="8" s="1"/>
  <c r="A13" i="8" s="1"/>
  <c r="A12" i="8" s="1"/>
  <c r="A11" i="8" s="1"/>
  <c r="A10" i="8" s="1"/>
  <c r="A9" i="8" s="1"/>
  <c r="A8" i="8" s="1"/>
  <c r="A7" i="8" s="1"/>
  <c r="A6" i="8" s="1"/>
  <c r="A5" i="8" s="1"/>
  <c r="S4" i="8"/>
  <c r="AA4" i="8" s="1"/>
  <c r="AI4" i="8" s="1"/>
  <c r="R4" i="8"/>
  <c r="Z4" i="8" s="1"/>
  <c r="AH4" i="8" s="1"/>
  <c r="Q4" i="8"/>
  <c r="Y4" i="8" s="1"/>
  <c r="AG4" i="8" s="1"/>
  <c r="P4" i="8"/>
  <c r="X4" i="8" s="1"/>
  <c r="AF4" i="8" s="1"/>
  <c r="O4" i="8"/>
  <c r="W4" i="8" s="1"/>
  <c r="AE4" i="8" s="1"/>
  <c r="N4" i="8"/>
  <c r="V4" i="8" s="1"/>
  <c r="AD4" i="8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tc={BFA1AA3B-A49C-4F5C-A6AF-63D29280A495}</author>
    <author>tc={102CE814-327F-468F-8D01-59FD935306A5}</author>
    <author>tc={9E38F1B8-8C75-4B13-BEFF-811690DF7755}</author>
    <author>tc={70995427-6381-4336-9BB7-5B87DFB73A45}</author>
  </authors>
  <commentList>
    <comment ref="F3" authorId="0" shapeId="0" xr:uid="{BFA1AA3B-A49C-4F5C-A6AF-63D29280A495}">
      <text>
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Los precios de cierre de cada accion de este portafolio</t>
      </text>
    </comment>
    <comment ref="N3" authorId="1" shapeId="0" xr:uid="{102CE814-327F-468F-8D01-59FD935306A5}">
      <text>
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Calculamos los rendimientos diarios (sin olvidar que hay acciones Americanas y estas las pasamos a pesos con el tipo de cambio)</t>
      </text>
    </comment>
    <comment ref="E4" authorId="2" shapeId="0" xr:uid="{9E38F1B8-8C75-4B13-BEFF-811690DF7755}">
      <text>
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Este el tipo de cambio del doliar al pesos mexicanos a la fecha de cada cierre de precios</t>
      </text>
    </comment>
    <comment ref="L259" authorId="3" shapeId="0" xr:uid="{70995427-6381-4336-9BB7-5B87DFB73A45}">
      <text>
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Aqui podemos ver que se esta cumpliendo el supuesto de que la media de los rendimientos por activos sea cero</t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tc={BE276EF9-4B7F-4BD5-8E4B-11BBBF56F6D8}</author>
    <author>tc={120143BA-D836-4B81-B923-B9F64CF1C4A8}</author>
    <author>tc={5BA98ABB-5040-4854-AED9-31F8B79B9141}</author>
    <author>tc={FC6F82DC-1450-42D1-AD49-3B2650849F00}</author>
    <author>tc={5E9672E4-5215-40A6-940E-0CAEEDE507CE}</author>
    <author>tc={C0C358BD-A467-4841-822D-63967493DD4B}</author>
    <author>tc={012F9F90-2C6D-45D2-871D-7DEF690A9EDA}</author>
    <author>tc={03653430-5964-4A67-9652-32E95275F0AC}</author>
  </authors>
  <commentList>
    <comment ref="C3" authorId="0" shapeId="0" xr:uid="{BE276EF9-4B7F-4BD5-8E4B-11BBBF56F6D8}">
      <text>
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Pedido una fecha de Evaluvacion (comun con informacion de una ano o semanal)</t>
      </text>
    </comment>
    <comment ref="G7" authorId="1" shapeId="0" xr:uid="{120143BA-D836-4B81-B923-B9F64CF1C4A8}">
      <text>
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Aplicamos la funcion "volatibilidad dinamica"</t>
      </text>
    </comment>
    <comment ref="H7" authorId="2" shapeId="0" xr:uid="{5BA98ABB-5040-4854-AED9-31F8B79B9141}">
      <text>
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Como lo habiamos visto en clase:
          VaR = -F x S x σ x raiz(t)</t>
      </text>
    </comment>
    <comment ref="C8" authorId="3" shapeId="0" xr:uid="{FC6F82DC-1450-42D1-AD49-3B2650849F00}">
      <text>
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Precios a fecha de Evaluacion</t>
      </text>
    </comment>
    <comment ref="E8" authorId="4" shapeId="0" xr:uid="{5E9672E4-5215-40A6-940E-0CAEEDE507CE}">
      <text>
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Titulos x precios</t>
      </text>
    </comment>
    <comment ref="F8" authorId="5" shapeId="0" xr:uid="{C0C358BD-A467-4841-822D-63967493DD4B}">
      <text>
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La proporcion de  cada activo respecto a la valuacion total</t>
      </text>
    </comment>
    <comment ref="I8" authorId="6" shapeId="0" xr:uid="{012F9F90-2C6D-45D2-871D-7DEF690A9EDA}">
      <text>
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Es el Monto entre Valuacion</t>
      </text>
    </comment>
    <comment ref="F21" authorId="7" shapeId="0" xr:uid="{03653430-5964-4A67-9652-32E95275F0AC}">
      <text>
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Esta volatibilidad se construyen en base a la teoria de minkowsky</t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tc={699BBD37-2353-4B87-AF53-8209561F7295}</author>
    <author>tc={B84A47C8-EC64-41EC-B3E7-779620024D57}</author>
    <author>tc={27D197DE-467A-4536-992C-7937432EA6A5}</author>
    <author>tc={1FBA8E8B-3513-4F77-AA8C-10A82C139CB2}</author>
    <author>tc={B73C12D5-07D5-4261-90B9-83D9E10FD423}</author>
    <author>tc={15861ECC-1B0F-4C5D-A299-9693794D24CE}</author>
    <author>tc={1F78324F-3118-4664-9267-0F2D99653754}</author>
    <author>tc={BC7409EC-E090-4E13-88D5-C9C73AEF26F0}</author>
    <author>tc={D8F3C081-B6F4-4CCC-97AC-D2D211175610}</author>
  </authors>
  <commentList>
    <comment ref="AC2" authorId="0" shapeId="0" xr:uid="{699BBD37-2353-4B87-AF53-8209561F7295}">
      <text>
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Tomamos estos titulos de manera de ejemplo</t>
      </text>
    </comment>
    <comment ref="F3" authorId="1" shapeId="0" xr:uid="{B84A47C8-EC64-41EC-B3E7-779620024D57}">
      <text>
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Los precios de cierre de cada accion de este portafolio</t>
      </text>
    </comment>
    <comment ref="N3" authorId="2" shapeId="0" xr:uid="{27D197DE-467A-4536-992C-7937432EA6A5}">
      <text>
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Calculamos los rendimientos diarios (sin olvidar que hay acciones Americanas y estas las pasamos a pesos con el tipo de cambio)</t>
      </text>
    </comment>
    <comment ref="V3" authorId="3" shapeId="0" xr:uid="{1FBA8E8B-3513-4F77-AA8C-10A82C139CB2}">
      <text>
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Serie de precios que consiste en el precio de Valuacion por cada rendimientos anterior (creando una simulacion basta)</t>
      </text>
    </comment>
    <comment ref="AD3" authorId="4" shapeId="0" xr:uid="{B73C12D5-07D5-4261-90B9-83D9E10FD423}">
      <text>
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Determinamos la diferencia entre el precio de valuacion y los precios de la simulacion (y con ello vamos a multiplicarlo por el # de activos )</t>
      </text>
    </comment>
    <comment ref="E4" authorId="5" shapeId="0" xr:uid="{15861ECC-1B0F-4C5D-A299-9693794D24CE}">
      <text>
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Este el tipo de cambio del doliar al pesos mexicanos a la fecha de cada cierre de precios</t>
      </text>
    </comment>
    <comment ref="AL4" authorId="6" shapeId="0" xr:uid="{1F78324F-3118-4664-9267-0F2D99653754}">
      <text>
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Suma de las perdidas y Ganancias del portafolio por dia</t>
      </text>
    </comment>
    <comment ref="AN7" authorId="7" shapeId="0" xr:uid="{BC7409EC-E090-4E13-88D5-C9C73AEF26F0}">
      <text>
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Ocupamos el Percentil en base a 99% de confianza de todo el portafolio y por ello pedimos que sea el resto del correspondiente del precentil del 1%</t>
      </text>
    </comment>
    <comment ref="AN8" authorId="8" shapeId="0" xr:uid="{D8F3C081-B6F4-4CCC-97AC-D2D211175610}">
      <text>
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Es el VaR condicional de esta condicionado al ser menor del VaR anterior</t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tc={F8E6FEB5-7433-497A-99F6-D27B7ACAF0DA}</author>
    <author>tc={A6FB34AA-D2BA-4F66-8AD3-EAC538E8FA49}</author>
    <author>tc={BF7ADF9B-08EC-4E5E-9557-4355CA156DDE}</author>
    <author>tc={435490A3-9274-4596-A44C-87ED926D0466}</author>
    <author>tc={F1E2B6F0-7B86-4C6C-9B09-201DA80DDD89}</author>
    <author>tc={1CE454B6-7E85-465B-B510-39671E85362E}</author>
    <author>tc={A21D6E86-72BC-4C4F-A3F8-244BE21F39EE}</author>
    <author>tc={9F5E0EE9-92DB-4EDC-AD5F-7EE9A112007A}</author>
    <author>tc={B02DAAF0-32CE-4037-8688-6F2D8B2D61A0}</author>
  </authors>
  <commentList>
    <comment ref="A6" authorId="0" shapeId="0" xr:uid="{F8E6FEB5-7433-497A-99F6-D27B7ACAF0DA}">
      <text>
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El tamano de los titulos es deacuerdo a portafolio y estos puede variar entre portafolios</t>
      </text>
    </comment>
    <comment ref="A7" authorId="1" shapeId="0" xr:uid="{A6FB34AA-D2BA-4F66-8AD3-EAC538E8FA49}">
      <text>
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Recordemos que el debe cumplir el supuesto de que las medias de los rendimientos se acercara a cero</t>
      </text>
    </comment>
    <comment ref="A8" authorId="2" shapeId="0" xr:uid="{BF7ADF9B-08EC-4E5E-9557-4355CA156DDE}">
      <text>
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Aplicamos la funcion de volatibilidad dinamica (algo que habiamos visto)</t>
      </text>
    </comment>
    <comment ref="I10" authorId="3" shapeId="0" xr:uid="{435490A3-9274-4596-A44C-87ED926D0466}">
      <text>
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Es el valor del portafolio base</t>
      </text>
    </comment>
    <comment ref="J12" authorId="4" shapeId="0" xr:uid="{F1E2B6F0-7B86-4C6C-9B09-201DA80DDD89}">
      <text>
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Estimamos el percentil en base a una confianza del 99% y utilizando los valores de portafolio</t>
      </text>
    </comment>
    <comment ref="J13" authorId="5" shapeId="0" xr:uid="{1CE454B6-7E85-465B-B510-39671E85362E}">
      <text>
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Este el VaR condicional en base al promedio de aquellos valores que esten por debajo el VaR al 99%</t>
      </text>
    </comment>
    <comment ref="B16" authorId="6" shapeId="0" xr:uid="{A21D6E86-72BC-4C4F-A3F8-244BE21F39EE}">
      <text>
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En este apartado esta generando los precios acequibles aleatorios para generar el otro apartado</t>
      </text>
    </comment>
    <comment ref="J16" authorId="7" shapeId="0" xr:uid="{9F5E0EE9-92DB-4EDC-AD5F-7EE9A112007A}">
      <text>
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Parecido a las perdidas y ganancias del VaR del metodo historico pero tomando en cuenta los precios simulados</t>
      </text>
    </comment>
    <comment ref="R17" authorId="8" shapeId="0" xr:uid="{B02DAAF0-32CE-4037-8688-6F2D8B2D61A0}">
      <text>
        <t xml:space="preserve"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El portafolio representa 
La suma de todos los activos en ese dia </t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<sst xmlns="http://schemas.openxmlformats.org/spreadsheetml/2006/main" count="161" uniqueCount="72">
  <si>
    <t>PRECIOS</t>
  </si>
  <si>
    <t>RENDIMIENTOS DIARIOS</t>
  </si>
  <si>
    <t>Fecha</t>
  </si>
  <si>
    <t>Año</t>
  </si>
  <si>
    <t>Mes</t>
  </si>
  <si>
    <t>Títulos</t>
  </si>
  <si>
    <t>ID</t>
  </si>
  <si>
    <t>T.C.</t>
  </si>
  <si>
    <t>Monto</t>
  </si>
  <si>
    <t>%</t>
  </si>
  <si>
    <t>Volatilidad 
Anualizada</t>
  </si>
  <si>
    <t>AMZN (USD)</t>
  </si>
  <si>
    <t>PEÑOLES</t>
  </si>
  <si>
    <t>NAFTRAC</t>
  </si>
  <si>
    <t>AMZN</t>
  </si>
  <si>
    <t>SERIE DE PÉRDIDAS Y GANANCIAS</t>
  </si>
  <si>
    <t>TÍTULOS:</t>
  </si>
  <si>
    <t>PORTAFOLIO</t>
  </si>
  <si>
    <t>VaR Condicional:=</t>
  </si>
  <si>
    <t>LACOMER</t>
  </si>
  <si>
    <t>CEMEX</t>
  </si>
  <si>
    <t>VOLAR</t>
  </si>
  <si>
    <t>GAP</t>
  </si>
  <si>
    <r>
      <t xml:space="preserve">VaR </t>
    </r>
    <r>
      <rPr>
        <b/>
        <vertAlign val="subscript"/>
        <sz val="12"/>
        <color theme="1"/>
        <rFont val="Calibri"/>
        <family val="2"/>
        <scheme val="minor"/>
      </rPr>
      <t>99%</t>
    </r>
    <r>
      <rPr>
        <b/>
        <sz val="12"/>
        <color theme="1"/>
        <rFont val="Calibri"/>
        <family val="2"/>
        <scheme val="minor"/>
      </rPr>
      <t xml:space="preserve">= </t>
    </r>
  </si>
  <si>
    <t>SERIE DE PRECIOS SIMULADOS (CON INFORMACIÓN HISTÓRICA)</t>
  </si>
  <si>
    <t>Cálculo del VaR mediante el Método de Simulación Histórica</t>
  </si>
  <si>
    <t>TESLA (USD)</t>
  </si>
  <si>
    <t>TESLA</t>
  </si>
  <si>
    <t>MtM:</t>
  </si>
  <si>
    <t>Fecha de Valuación:=</t>
  </si>
  <si>
    <t>Cálculo del VaR Paramétrico</t>
  </si>
  <si>
    <t>VaR diario (Paramétrico)</t>
  </si>
  <si>
    <t>Emisora</t>
  </si>
  <si>
    <t>Precios (MXN)</t>
  </si>
  <si>
    <t>Valuación (S)</t>
  </si>
  <si>
    <t>Pesos (W)</t>
  </si>
  <si>
    <r>
      <t>Volatilidad del Portafolio (</t>
    </r>
    <r>
      <rPr>
        <b/>
        <sz val="12"/>
        <color theme="1"/>
        <rFont val="Calibri"/>
        <family val="2"/>
      </rPr>
      <t>σ</t>
    </r>
    <r>
      <rPr>
        <b/>
        <vertAlign val="subscript"/>
        <sz val="12"/>
        <color theme="1"/>
        <rFont val="Calibri"/>
        <family val="2"/>
        <scheme val="minor"/>
      </rPr>
      <t>p</t>
    </r>
    <r>
      <rPr>
        <b/>
        <sz val="12"/>
        <color theme="1"/>
        <rFont val="Calibri"/>
        <family val="2"/>
        <scheme val="minor"/>
      </rPr>
      <t xml:space="preserve">)=  </t>
    </r>
  </si>
  <si>
    <t>Porcentaje</t>
  </si>
  <si>
    <t>Matriz de Correlaciones (C):</t>
  </si>
  <si>
    <r>
      <t>Matriz de Volatilidades (</t>
    </r>
    <r>
      <rPr>
        <b/>
        <u/>
        <sz val="12"/>
        <color theme="1"/>
        <rFont val="Calibri"/>
        <family val="2"/>
      </rPr>
      <t>σ</t>
    </r>
    <r>
      <rPr>
        <b/>
        <u/>
        <sz val="12"/>
        <color theme="1"/>
        <rFont val="Calibri"/>
        <family val="2"/>
        <scheme val="minor"/>
      </rPr>
      <t>):</t>
    </r>
  </si>
  <si>
    <t>TSLA</t>
  </si>
  <si>
    <t>Dinámica</t>
  </si>
  <si>
    <t>Valor en Riesgo (VaR) por Simulaciones</t>
  </si>
  <si>
    <t>No. Simulaciones =</t>
  </si>
  <si>
    <t>Generación de Escenarios Aleatorios</t>
  </si>
  <si>
    <t>No. De Escenario</t>
  </si>
  <si>
    <t>PRECIOS SIMULADOS CON MODELO LOGNORMAL</t>
  </si>
  <si>
    <t>SERIES DE PÉRDIDAS Y GANANCIAS</t>
  </si>
  <si>
    <r>
      <t xml:space="preserve">VaR </t>
    </r>
    <r>
      <rPr>
        <b/>
        <vertAlign val="subscript"/>
        <sz val="11"/>
        <color theme="1"/>
        <rFont val="Calibri"/>
        <family val="2"/>
        <scheme val="minor"/>
      </rPr>
      <t>99%</t>
    </r>
    <r>
      <rPr>
        <b/>
        <sz val="11"/>
        <color theme="1"/>
        <rFont val="Calibri"/>
        <family val="2"/>
        <scheme val="minor"/>
      </rPr>
      <t xml:space="preserve"> =</t>
    </r>
  </si>
  <si>
    <r>
      <t xml:space="preserve">CVaR </t>
    </r>
    <r>
      <rPr>
        <b/>
        <vertAlign val="subscript"/>
        <sz val="11"/>
        <color theme="1"/>
        <rFont val="Calibri"/>
        <family val="2"/>
        <scheme val="minor"/>
      </rPr>
      <t>99%</t>
    </r>
    <r>
      <rPr>
        <b/>
        <sz val="11"/>
        <color theme="1"/>
        <rFont val="Calibri"/>
        <family val="2"/>
        <scheme val="minor"/>
      </rPr>
      <t xml:space="preserve"> =</t>
    </r>
  </si>
  <si>
    <t>Valor del Portafolio =</t>
  </si>
  <si>
    <t>Clase</t>
  </si>
  <si>
    <t>y mayor...</t>
  </si>
  <si>
    <t>Frecuencia</t>
  </si>
  <si>
    <t>% acumulado</t>
  </si>
  <si>
    <t>Promedio_rendimientos</t>
  </si>
  <si>
    <t>Promedio_Positivo</t>
  </si>
  <si>
    <t>Promedio_Negativo</t>
  </si>
  <si>
    <t>Portafolio</t>
  </si>
  <si>
    <t>Totales</t>
  </si>
  <si>
    <t>Monto_Perdida</t>
  </si>
  <si>
    <t>Anualizada</t>
  </si>
  <si>
    <t>Paso 1</t>
  </si>
  <si>
    <t>Paso 2</t>
  </si>
  <si>
    <t>Paso 3</t>
  </si>
  <si>
    <t>Total:</t>
  </si>
  <si>
    <t>Paso 4</t>
  </si>
  <si>
    <t xml:space="preserve">VaR 99%= </t>
  </si>
  <si>
    <t>Media del Histograma</t>
  </si>
  <si>
    <t>Acumulaciona al 99% de probabilidad</t>
  </si>
  <si>
    <t>Media Rendimientos</t>
  </si>
  <si>
    <t>Precio Último
 31/01/2024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</si>
</sst>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44" formatCode="_-&quot;$&quot;* #,##0.00_-;\-&quot;$&quot;* #,##0.00_-;_-&quot;$&quot;* &quot;-&quot;??_-;_-@_-"/>
    <numFmt numFmtId="43" formatCode="_-* #,##0.00_-;\-* #,##0.00_-;_-* &quot;-&quot;??_-;_-@_-"/>
    <numFmt numFmtId="164" formatCode="0.0%"/>
    <numFmt numFmtId="165" formatCode="_-&quot;$&quot;* #,##0_-;\-&quot;$&quot;* #,##0_-;_-&quot;$&quot;* &quot;-&quot;??_-;_-@_-"/>
    <numFmt numFmtId="166" formatCode="_-* #,##0_-;\-* #,##0_-;_-* &quot;-&quot;??_-;_-@_-"/>
    <numFmt numFmtId="167" formatCode="_-&quot;$&quot;* #,##0.0_-;\-&quot;$&quot;* #,##0.0_-;_-&quot;$&quot;* &quot;-&quot;??_-;_-@_-"/>
    <numFmt numFmtId="168" formatCode="0.000"/>
  </numFmts>
  <fonts count="35" x14ac:knownFonts="1">
    <font>
      <sz val="11"/>
      <color theme="1"/>
      <name val="Calibri"/>
      <family val="2"/>
      <scheme val="minor"/>
    </font>
    <font>
      <sz val="10"/>
      <name val="Arial"/>
      <family val="2"/>
    </font>
    <font>
      <sz val="11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vertAlign val="subscript"/>
      <sz val="12"/>
      <color theme="1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b/>
      <u/>
      <sz val="14"/>
      <color theme="1"/>
      <name val="Calibri"/>
      <family val="2"/>
      <scheme val="minor"/>
    </font>
    <font>
      <b/>
      <sz val="12"/>
      <color theme="1"/>
      <name val="Calibri"/>
      <family val="2"/>
    </font>
    <font>
      <b/>
      <u/>
      <sz val="12"/>
      <color theme="1"/>
      <name val="Calibri"/>
      <family val="2"/>
      <scheme val="minor"/>
    </font>
    <font>
      <b/>
      <u/>
      <sz val="12"/>
      <color theme="1"/>
      <name val="Calibri"/>
      <family val="2"/>
    </font>
    <font>
      <b/>
      <sz val="11"/>
      <color theme="4"/>
      <name val="Calibri"/>
      <family val="2"/>
      <scheme val="minor"/>
    </font>
    <font>
      <b/>
      <sz val="11"/>
      <color rgb="FF00B050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b/>
      <vertAlign val="subscript"/>
      <sz val="11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sz val="11"/>
      <color rgb="FF000000"/>
      <name val="Calibri"/>
      <family val="2"/>
    </font>
  </fonts>
  <fills count="46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6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5" tint="0.39997558519241921"/>
        <bgColor indexed="64"/>
      </patternFill>
    </fill>
  </fills>
  <borders count="28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</borders>
  <cellStyleXfs count="46">
    <xf numFmtId="0" fontId="0" fillId="0" borderId="0"/>
    <xf numFmtId="0" fontId="2" fillId="10" borderId="0" applyNumberFormat="0" applyBorder="0" applyAlignment="0" applyProtection="0"/>
    <xf numFmtId="0" fontId="2" fillId="14" borderId="0" applyNumberFormat="0" applyBorder="0" applyAlignment="0" applyProtection="0"/>
    <xf numFmtId="0" fontId="2" fillId="18" borderId="0" applyNumberFormat="0" applyBorder="0" applyAlignment="0" applyProtection="0"/>
    <xf numFmtId="0" fontId="2" fillId="22" borderId="0" applyNumberFormat="0" applyBorder="0" applyAlignment="0" applyProtection="0"/>
    <xf numFmtId="0" fontId="2" fillId="26" borderId="0" applyNumberFormat="0" applyBorder="0" applyAlignment="0" applyProtection="0"/>
    <xf numFmtId="0" fontId="2" fillId="30" borderId="0" applyNumberFormat="0" applyBorder="0" applyAlignment="0" applyProtection="0"/>
    <xf numFmtId="0" fontId="2" fillId="11" borderId="0" applyNumberFormat="0" applyBorder="0" applyAlignment="0" applyProtection="0"/>
    <xf numFmtId="0" fontId="2" fillId="15" borderId="0" applyNumberFormat="0" applyBorder="0" applyAlignment="0" applyProtection="0"/>
    <xf numFmtId="0" fontId="2" fillId="19" borderId="0" applyNumberFormat="0" applyBorder="0" applyAlignment="0" applyProtection="0"/>
    <xf numFmtId="0" fontId="2" fillId="23" borderId="0" applyNumberFormat="0" applyBorder="0" applyAlignment="0" applyProtection="0"/>
    <xf numFmtId="0" fontId="2" fillId="27" borderId="0" applyNumberFormat="0" applyBorder="0" applyAlignment="0" applyProtection="0"/>
    <xf numFmtId="0" fontId="2" fillId="31" borderId="0" applyNumberFormat="0" applyBorder="0" applyAlignment="0" applyProtection="0"/>
    <xf numFmtId="0" fontId="18" fillId="12" borderId="0" applyNumberFormat="0" applyBorder="0" applyAlignment="0" applyProtection="0"/>
    <xf numFmtId="0" fontId="18" fillId="16" borderId="0" applyNumberFormat="0" applyBorder="0" applyAlignment="0" applyProtection="0"/>
    <xf numFmtId="0" fontId="18" fillId="20" borderId="0" applyNumberFormat="0" applyBorder="0" applyAlignment="0" applyProtection="0"/>
    <xf numFmtId="0" fontId="18" fillId="24" borderId="0" applyNumberFormat="0" applyBorder="0" applyAlignment="0" applyProtection="0"/>
    <xf numFmtId="0" fontId="18" fillId="28" borderId="0" applyNumberFormat="0" applyBorder="0" applyAlignment="0" applyProtection="0"/>
    <xf numFmtId="0" fontId="18" fillId="32" borderId="0" applyNumberFormat="0" applyBorder="0" applyAlignment="0" applyProtection="0"/>
    <xf numFmtId="0" fontId="18" fillId="9" borderId="0" applyNumberFormat="0" applyBorder="0" applyAlignment="0" applyProtection="0"/>
    <xf numFmtId="0" fontId="18" fillId="13" borderId="0" applyNumberFormat="0" applyBorder="0" applyAlignment="0" applyProtection="0"/>
    <xf numFmtId="0" fontId="18" fillId="17" borderId="0" applyNumberFormat="0" applyBorder="0" applyAlignment="0" applyProtection="0"/>
    <xf numFmtId="0" fontId="18" fillId="21" borderId="0" applyNumberFormat="0" applyBorder="0" applyAlignment="0" applyProtection="0"/>
    <xf numFmtId="0" fontId="18" fillId="25" borderId="0" applyNumberFormat="0" applyBorder="0" applyAlignment="0" applyProtection="0"/>
    <xf numFmtId="0" fontId="18" fillId="29" borderId="0" applyNumberFormat="0" applyBorder="0" applyAlignment="0" applyProtection="0"/>
    <xf numFmtId="0" fontId="8" fillId="3" borderId="0" applyNumberFormat="0" applyBorder="0" applyAlignment="0" applyProtection="0"/>
    <xf numFmtId="0" fontId="12" fillId="6" borderId="4" applyNumberFormat="0" applyAlignment="0" applyProtection="0"/>
    <xf numFmtId="0" fontId="14" fillId="7" borderId="7" applyNumberFormat="0" applyAlignment="0" applyProtection="0"/>
    <xf numFmtId="0" fontId="16" fillId="0" borderId="0" applyNumberFormat="0" applyFill="0" applyBorder="0" applyAlignment="0" applyProtection="0"/>
    <xf numFmtId="0" fontId="7" fillId="2" borderId="0" applyNumberFormat="0" applyBorder="0" applyAlignment="0" applyProtection="0"/>
    <xf numFmtId="0" fontId="4" fillId="0" borderId="1" applyNumberFormat="0" applyFill="0" applyAlignment="0" applyProtection="0"/>
    <xf numFmtId="0" fontId="5" fillId="0" borderId="2" applyNumberFormat="0" applyFill="0" applyAlignment="0" applyProtection="0"/>
    <xf numFmtId="0" fontId="6" fillId="0" borderId="3" applyNumberFormat="0" applyFill="0" applyAlignment="0" applyProtection="0"/>
    <xf numFmtId="0" fontId="6" fillId="0" borderId="0" applyNumberFormat="0" applyFill="0" applyBorder="0" applyAlignment="0" applyProtection="0"/>
    <xf numFmtId="0" fontId="10" fillId="5" borderId="4" applyNumberFormat="0" applyAlignment="0" applyProtection="0"/>
    <xf numFmtId="0" fontId="13" fillId="0" borderId="6" applyNumberFormat="0" applyFill="0" applyAlignment="0" applyProtection="0"/>
    <xf numFmtId="0" fontId="9" fillId="4" borderId="0" applyNumberFormat="0" applyBorder="0" applyAlignment="0" applyProtection="0"/>
    <xf numFmtId="0" fontId="2" fillId="8" borderId="8" applyNumberFormat="0" applyFont="0" applyAlignment="0" applyProtection="0"/>
    <xf numFmtId="0" fontId="11" fillId="6" borderId="5" applyNumberFormat="0" applyAlignment="0" applyProtection="0"/>
    <xf numFmtId="0" fontId="3" fillId="0" borderId="0" applyNumberFormat="0" applyFill="0" applyBorder="0" applyAlignment="0" applyProtection="0"/>
    <xf numFmtId="0" fontId="17" fillId="0" borderId="9" applyNumberFormat="0" applyFill="0" applyAlignment="0" applyProtection="0"/>
    <xf numFmtId="0" fontId="15" fillId="0" borderId="0" applyNumberFormat="0" applyFill="0" applyBorder="0" applyAlignment="0" applyProtection="0"/>
    <xf numFmtId="22" fontId="1" fillId="0" borderId="0"/>
    <xf numFmtId="9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4" fontId="2" fillId="0" borderId="0" applyFont="0" applyFill="0" applyBorder="0" applyAlignment="0" applyProtection="0"/>
  </cellStyleXfs>
  <cellXfs count="213">
    <xf numFmtId="0" fontId="0" fillId="0" borderId="0" xfId="0"/>
    <xf numFmtId="14" fontId="0" fillId="0" borderId="0" xfId="0" applyNumberFormat="1"/>
    <xf numFmtId="4" fontId="0" fillId="0" borderId="0" xfId="0" applyNumberFormat="1"/>
    <xf numFmtId="0" fontId="17" fillId="0" borderId="10" xfId="0" applyFont="1" applyBorder="1" applyAlignment="1">
      <alignment horizontal="center" vertical="center"/>
    </xf>
    <xf numFmtId="0" fontId="17" fillId="0" borderId="10" xfId="0" applyFont="1" applyBorder="1" applyAlignment="1">
      <alignment horizontal="center"/>
    </xf>
    <xf numFmtId="14" fontId="19" fillId="0" borderId="0" xfId="0" applyNumberFormat="1" applyFont="1"/>
    <xf numFmtId="4" fontId="19" fillId="0" borderId="0" xfId="0" applyNumberFormat="1" applyFont="1"/>
    <xf numFmtId="1" fontId="0" fillId="0" borderId="0" xfId="0" applyNumberFormat="1" applyAlignment="1">
      <alignment horizontal="center"/>
    </xf>
    <xf numFmtId="1" fontId="19" fillId="0" borderId="0" xfId="0" applyNumberFormat="1" applyFont="1" applyAlignment="1">
      <alignment horizontal="center"/>
    </xf>
    <xf numFmtId="0" fontId="17" fillId="0" borderId="11" xfId="0" applyFont="1" applyBorder="1" applyAlignment="1">
      <alignment horizontal="center" vertical="center"/>
    </xf>
    <xf numFmtId="0" fontId="17" fillId="0" borderId="11" xfId="0" applyFont="1" applyBorder="1" applyAlignment="1">
      <alignment horizontal="center"/>
    </xf>
    <xf numFmtId="0" fontId="20" fillId="0" borderId="0" xfId="0" applyFont="1" applyAlignment="1">
      <alignment horizontal="right"/>
    </xf>
    <xf numFmtId="164" fontId="0" fillId="0" borderId="0" xfId="43" applyNumberFormat="1" applyFont="1" applyAlignment="1">
      <alignment horizontal="center"/>
    </xf>
    <xf numFmtId="0" fontId="0" fillId="0" borderId="0" xfId="0" applyAlignment="1">
      <alignment horizontal="center"/>
    </xf>
    <xf numFmtId="0" fontId="17" fillId="0" borderId="0" xfId="0" applyFont="1"/>
    <xf numFmtId="0" fontId="17" fillId="0" borderId="0" xfId="0" applyFont="1" applyAlignment="1">
      <alignment horizontal="right"/>
    </xf>
    <xf numFmtId="10" fontId="19" fillId="35" borderId="0" xfId="43" applyNumberFormat="1" applyFont="1" applyFill="1" applyAlignment="1">
      <alignment horizontal="center"/>
    </xf>
    <xf numFmtId="0" fontId="17" fillId="0" borderId="0" xfId="0" applyFont="1" applyAlignment="1">
      <alignment horizontal="center"/>
    </xf>
    <xf numFmtId="43" fontId="0" fillId="0" borderId="0" xfId="44" applyFont="1"/>
    <xf numFmtId="43" fontId="0" fillId="0" borderId="0" xfId="0" applyNumberFormat="1"/>
    <xf numFmtId="43" fontId="17" fillId="0" borderId="0" xfId="0" applyNumberFormat="1" applyFont="1"/>
    <xf numFmtId="0" fontId="22" fillId="0" borderId="0" xfId="0" applyFont="1"/>
    <xf numFmtId="0" fontId="19" fillId="0" borderId="0" xfId="0" applyFont="1" applyAlignment="1">
      <alignment horizontal="center"/>
    </xf>
    <xf numFmtId="167" fontId="17" fillId="35" borderId="0" xfId="45" applyNumberFormat="1" applyFont="1" applyFill="1"/>
    <xf numFmtId="164" fontId="0" fillId="0" borderId="0" xfId="0" applyNumberFormat="1" applyAlignment="1">
      <alignment horizontal="center"/>
    </xf>
    <xf numFmtId="0" fontId="0" fillId="0" borderId="0" xfId="0" applyAlignment="1">
      <alignment horizontal="left"/>
    </xf>
    <xf numFmtId="0" fontId="17" fillId="0" borderId="12" xfId="0" applyFont="1" applyBorder="1" applyAlignment="1">
      <alignment horizontal="center" vertical="center" wrapText="1"/>
    </xf>
    <xf numFmtId="0" fontId="17" fillId="41" borderId="10" xfId="0" applyFont="1" applyFill="1" applyBorder="1" applyAlignment="1">
      <alignment horizontal="left" indent="1"/>
    </xf>
    <xf numFmtId="10" fontId="0" fillId="0" borderId="0" xfId="43" applyNumberFormat="1" applyFont="1" applyFill="1"/>
    <xf numFmtId="164" fontId="0" fillId="0" borderId="0" xfId="43" applyNumberFormat="1" applyFont="1" applyFill="1"/>
    <xf numFmtId="164" fontId="0" fillId="0" borderId="0" xfId="43" applyNumberFormat="1" applyFont="1"/>
    <xf numFmtId="0" fontId="17" fillId="38" borderId="10" xfId="0" applyFont="1" applyFill="1" applyBorder="1" applyAlignment="1">
      <alignment horizontal="center" vertical="center"/>
    </xf>
    <xf numFmtId="0" fontId="19" fillId="41" borderId="0" xfId="0" applyFont="1" applyFill="1" applyAlignment="1">
      <alignment horizontal="center"/>
    </xf>
    <xf numFmtId="166" fontId="28" fillId="0" borderId="0" xfId="44" applyNumberFormat="1" applyFont="1"/>
    <xf numFmtId="10" fontId="28" fillId="0" borderId="0" xfId="43" applyNumberFormat="1" applyFont="1" applyAlignment="1">
      <alignment horizontal="center"/>
    </xf>
    <xf numFmtId="0" fontId="29" fillId="0" borderId="0" xfId="0" applyFont="1"/>
    <xf numFmtId="44" fontId="0" fillId="0" borderId="0" xfId="0" applyNumberFormat="1"/>
    <xf numFmtId="0" fontId="14" fillId="42" borderId="10" xfId="0" applyFont="1" applyFill="1" applyBorder="1" applyAlignment="1">
      <alignment horizontal="center"/>
    </xf>
    <xf numFmtId="0" fontId="0" fillId="0" borderId="0" xfId="0" applyAlignment="1">
      <alignment vertical="center"/>
    </xf>
    <xf numFmtId="10" fontId="17" fillId="0" borderId="10" xfId="43" applyNumberFormat="1" applyFont="1" applyBorder="1" applyAlignment="1">
      <alignment horizontal="center" vertical="center"/>
    </xf>
    <xf numFmtId="0" fontId="17" fillId="34" borderId="0" xfId="0" applyFont="1" applyFill="1" applyAlignment="1">
      <alignment horizontal="center"/>
    </xf>
    <xf numFmtId="0" fontId="14" fillId="43" borderId="17" xfId="0" applyFont="1" applyFill="1" applyBorder="1" applyAlignment="1">
      <alignment horizontal="center"/>
    </xf>
    <xf numFmtId="166" fontId="0" fillId="0" borderId="0" xfId="44" applyNumberFormat="1" applyFont="1"/>
    <xf numFmtId="0" fontId="29" fillId="0" borderId="0" xfId="0" applyFont="1" applyAlignment="1">
      <alignment horizontal="center" vertical="center"/>
    </xf>
    <xf numFmtId="10" fontId="0" fillId="0" borderId="0" xfId="0" applyNumberFormat="1"/>
    <xf numFmtId="0" fontId="0" fillId="0" borderId="18" xfId="0" applyBorder="1"/>
    <xf numFmtId="10" fontId="0" fillId="0" borderId="18" xfId="0" applyNumberFormat="1" applyBorder="1"/>
    <xf numFmtId="0" fontId="33" fillId="0" borderId="19" xfId="0" applyFont="1" applyBorder="1" applyAlignment="1">
      <alignment horizontal="center"/>
    </xf>
    <xf numFmtId="0" fontId="17" fillId="44" borderId="11" xfId="0" applyFont="1" applyFill="1" applyBorder="1" applyAlignment="1">
      <alignment horizontal="center"/>
    </xf>
    <xf numFmtId="0" fontId="17" fillId="44" borderId="10" xfId="0" applyFont="1" applyFill="1" applyBorder="1" applyAlignment="1">
      <alignment horizontal="center"/>
    </xf>
    <xf numFmtId="0" fontId="0" fillId="0" borderId="20" xfId="0" applyBorder="1" applyAlignment="1">
      <alignment horizontal="center"/>
    </xf>
    <xf numFmtId="14" fontId="19" fillId="0" borderId="21" xfId="0" applyNumberFormat="1" applyFont="1" applyBorder="1"/>
    <xf numFmtId="1" fontId="19" fillId="0" borderId="21" xfId="0" applyNumberFormat="1" applyFont="1" applyBorder="1" applyAlignment="1">
      <alignment horizontal="center"/>
    </xf>
    <xf numFmtId="1" fontId="19" fillId="0" borderId="22" xfId="0" applyNumberFormat="1" applyFont="1" applyBorder="1" applyAlignment="1">
      <alignment horizontal="center"/>
    </xf>
    <xf numFmtId="0" fontId="0" fillId="0" borderId="23" xfId="0" applyBorder="1" applyAlignment="1">
      <alignment horizontal="center"/>
    </xf>
    <xf numFmtId="1" fontId="0" fillId="0" borderId="24" xfId="0" applyNumberFormat="1" applyBorder="1" applyAlignment="1">
      <alignment horizontal="center"/>
    </xf>
    <xf numFmtId="0" fontId="0" fillId="0" borderId="16" xfId="0" applyBorder="1" applyAlignment="1">
      <alignment horizontal="center"/>
    </xf>
    <xf numFmtId="14" fontId="0" fillId="0" borderId="15" xfId="0" applyNumberFormat="1" applyBorder="1"/>
    <xf numFmtId="1" fontId="0" fillId="0" borderId="15" xfId="0" applyNumberFormat="1" applyBorder="1" applyAlignment="1">
      <alignment horizontal="center"/>
    </xf>
    <xf numFmtId="1" fontId="0" fillId="0" borderId="25" xfId="0" applyNumberFormat="1" applyBorder="1" applyAlignment="1">
      <alignment horizontal="center"/>
    </xf>
    <xf numFmtId="4" fontId="19" fillId="0" borderId="26" xfId="0" applyNumberFormat="1" applyFont="1" applyBorder="1" applyAlignment="1">
      <alignment horizontal="center"/>
    </xf>
    <xf numFmtId="4" fontId="0" fillId="0" borderId="17" xfId="0" applyNumberFormat="1" applyBorder="1" applyAlignment="1">
      <alignment horizontal="center"/>
    </xf>
    <xf numFmtId="4" fontId="0" fillId="0" borderId="11" xfId="0" applyNumberFormat="1" applyBorder="1" applyAlignment="1">
      <alignment horizontal="center"/>
    </xf>
    <xf numFmtId="4" fontId="0" fillId="0" borderId="20" xfId="0" applyNumberFormat="1" applyBorder="1"/>
    <xf numFmtId="4" fontId="0" fillId="0" borderId="21" xfId="0" applyNumberFormat="1" applyBorder="1"/>
    <xf numFmtId="4" fontId="0" fillId="0" borderId="23" xfId="0" applyNumberFormat="1" applyBorder="1"/>
    <xf numFmtId="4" fontId="0" fillId="0" borderId="16" xfId="0" applyNumberFormat="1" applyBorder="1"/>
    <xf numFmtId="4" fontId="0" fillId="0" borderId="15" xfId="0" applyNumberFormat="1" applyBorder="1"/>
    <xf numFmtId="4" fontId="0" fillId="0" borderId="25" xfId="0" applyNumberFormat="1" applyBorder="1"/>
    <xf numFmtId="164" fontId="0" fillId="0" borderId="20" xfId="43" applyNumberFormat="1" applyFont="1" applyBorder="1" applyAlignment="1">
      <alignment horizontal="center"/>
    </xf>
    <xf numFmtId="164" fontId="0" fillId="0" borderId="21" xfId="43" applyNumberFormat="1" applyFont="1" applyBorder="1" applyAlignment="1">
      <alignment horizontal="center"/>
    </xf>
    <xf numFmtId="164" fontId="0" fillId="0" borderId="22" xfId="43" applyNumberFormat="1" applyFont="1" applyBorder="1" applyAlignment="1">
      <alignment horizontal="center"/>
    </xf>
    <xf numFmtId="164" fontId="0" fillId="0" borderId="23" xfId="43" applyNumberFormat="1" applyFont="1" applyBorder="1" applyAlignment="1">
      <alignment horizontal="center"/>
    </xf>
    <xf numFmtId="164" fontId="0" fillId="0" borderId="0" xfId="43" applyNumberFormat="1" applyFont="1" applyBorder="1" applyAlignment="1">
      <alignment horizontal="center"/>
    </xf>
    <xf numFmtId="164" fontId="0" fillId="0" borderId="24" xfId="43" applyNumberFormat="1" applyFont="1" applyBorder="1" applyAlignment="1">
      <alignment horizontal="center"/>
    </xf>
    <xf numFmtId="164" fontId="0" fillId="0" borderId="16" xfId="43" applyNumberFormat="1" applyFont="1" applyBorder="1" applyAlignment="1">
      <alignment horizontal="center"/>
    </xf>
    <xf numFmtId="164" fontId="0" fillId="0" borderId="15" xfId="43" applyNumberFormat="1" applyFont="1" applyBorder="1" applyAlignment="1">
      <alignment horizontal="center"/>
    </xf>
    <xf numFmtId="164" fontId="0" fillId="0" borderId="25" xfId="43" applyNumberFormat="1" applyFont="1" applyBorder="1" applyAlignment="1">
      <alignment horizontal="center"/>
    </xf>
    <xf numFmtId="164" fontId="0" fillId="34" borderId="10" xfId="0" applyNumberFormat="1" applyFill="1" applyBorder="1" applyAlignment="1">
      <alignment horizontal="center"/>
    </xf>
    <xf numFmtId="164" fontId="0" fillId="0" borderId="10" xfId="43" applyNumberFormat="1" applyFont="1" applyBorder="1" applyAlignment="1">
      <alignment horizontal="center"/>
    </xf>
    <xf numFmtId="0" fontId="0" fillId="0" borderId="10" xfId="0" applyBorder="1" applyAlignment="1">
      <alignment horizontal="center" vertical="center"/>
    </xf>
    <xf numFmtId="14" fontId="19" fillId="34" borderId="10" xfId="0" applyNumberFormat="1" applyFont="1" applyFill="1" applyBorder="1" applyAlignment="1">
      <alignment horizontal="center"/>
    </xf>
    <xf numFmtId="0" fontId="17" fillId="44" borderId="10" xfId="0" applyFont="1" applyFill="1" applyBorder="1" applyAlignment="1">
      <alignment horizontal="left" indent="1"/>
    </xf>
    <xf numFmtId="44" fontId="0" fillId="35" borderId="20" xfId="45" applyFont="1" applyFill="1" applyBorder="1"/>
    <xf numFmtId="3" fontId="0" fillId="35" borderId="21" xfId="44" applyNumberFormat="1" applyFont="1" applyFill="1" applyBorder="1" applyAlignment="1">
      <alignment horizontal="center"/>
    </xf>
    <xf numFmtId="165" fontId="0" fillId="35" borderId="21" xfId="45" applyNumberFormat="1" applyFont="1" applyFill="1" applyBorder="1"/>
    <xf numFmtId="164" fontId="0" fillId="35" borderId="21" xfId="43" applyNumberFormat="1" applyFont="1" applyFill="1" applyBorder="1" applyAlignment="1">
      <alignment horizontal="center"/>
    </xf>
    <xf numFmtId="10" fontId="15" fillId="35" borderId="21" xfId="43" applyNumberFormat="1" applyFont="1" applyFill="1" applyBorder="1" applyAlignment="1">
      <alignment horizontal="center"/>
    </xf>
    <xf numFmtId="44" fontId="0" fillId="37" borderId="21" xfId="0" applyNumberFormat="1" applyFill="1" applyBorder="1"/>
    <xf numFmtId="164" fontId="0" fillId="37" borderId="22" xfId="43" applyNumberFormat="1" applyFont="1" applyFill="1" applyBorder="1" applyAlignment="1">
      <alignment horizontal="center"/>
    </xf>
    <xf numFmtId="44" fontId="0" fillId="35" borderId="23" xfId="45" applyFont="1" applyFill="1" applyBorder="1"/>
    <xf numFmtId="3" fontId="0" fillId="35" borderId="0" xfId="44" applyNumberFormat="1" applyFont="1" applyFill="1" applyBorder="1" applyAlignment="1">
      <alignment horizontal="center"/>
    </xf>
    <xf numFmtId="165" fontId="0" fillId="35" borderId="0" xfId="45" applyNumberFormat="1" applyFont="1" applyFill="1" applyBorder="1"/>
    <xf numFmtId="164" fontId="0" fillId="35" borderId="0" xfId="43" applyNumberFormat="1" applyFont="1" applyFill="1" applyBorder="1" applyAlignment="1">
      <alignment horizontal="center"/>
    </xf>
    <xf numFmtId="10" fontId="15" fillId="35" borderId="0" xfId="43" applyNumberFormat="1" applyFont="1" applyFill="1" applyBorder="1" applyAlignment="1">
      <alignment horizontal="center"/>
    </xf>
    <xf numFmtId="44" fontId="0" fillId="37" borderId="0" xfId="0" applyNumberFormat="1" applyFill="1"/>
    <xf numFmtId="164" fontId="0" fillId="37" borderId="24" xfId="43" applyNumberFormat="1" applyFont="1" applyFill="1" applyBorder="1" applyAlignment="1">
      <alignment horizontal="center"/>
    </xf>
    <xf numFmtId="44" fontId="0" fillId="35" borderId="16" xfId="45" applyFont="1" applyFill="1" applyBorder="1"/>
    <xf numFmtId="3" fontId="0" fillId="35" borderId="15" xfId="44" applyNumberFormat="1" applyFont="1" applyFill="1" applyBorder="1" applyAlignment="1">
      <alignment horizontal="center"/>
    </xf>
    <xf numFmtId="165" fontId="0" fillId="35" borderId="15" xfId="45" applyNumberFormat="1" applyFont="1" applyFill="1" applyBorder="1"/>
    <xf numFmtId="164" fontId="0" fillId="35" borderId="15" xfId="43" applyNumberFormat="1" applyFont="1" applyFill="1" applyBorder="1" applyAlignment="1">
      <alignment horizontal="center"/>
    </xf>
    <xf numFmtId="10" fontId="15" fillId="35" borderId="15" xfId="43" applyNumberFormat="1" applyFont="1" applyFill="1" applyBorder="1" applyAlignment="1">
      <alignment horizontal="center"/>
    </xf>
    <xf numFmtId="44" fontId="0" fillId="37" borderId="15" xfId="0" applyNumberFormat="1" applyFill="1" applyBorder="1"/>
    <xf numFmtId="164" fontId="0" fillId="37" borderId="25" xfId="43" applyNumberFormat="1" applyFont="1" applyFill="1" applyBorder="1" applyAlignment="1">
      <alignment horizontal="center"/>
    </xf>
    <xf numFmtId="1" fontId="17" fillId="35" borderId="27" xfId="45" applyNumberFormat="1" applyFont="1" applyFill="1" applyBorder="1" applyAlignment="1">
      <alignment horizontal="center" vertical="center"/>
    </xf>
    <xf numFmtId="165" fontId="17" fillId="35" borderId="27" xfId="45" applyNumberFormat="1" applyFont="1" applyFill="1" applyBorder="1"/>
    <xf numFmtId="9" fontId="17" fillId="35" borderId="27" xfId="43" applyFont="1" applyFill="1" applyBorder="1" applyAlignment="1">
      <alignment horizontal="center" vertical="center"/>
    </xf>
    <xf numFmtId="3" fontId="17" fillId="35" borderId="27" xfId="44" applyNumberFormat="1" applyFont="1" applyFill="1" applyBorder="1" applyAlignment="1">
      <alignment horizontal="center"/>
    </xf>
    <xf numFmtId="0" fontId="17" fillId="0" borderId="23" xfId="0" applyFont="1" applyBorder="1" applyAlignment="1">
      <alignment horizontal="center" vertical="center"/>
    </xf>
    <xf numFmtId="0" fontId="17" fillId="0" borderId="10" xfId="0" applyFont="1" applyBorder="1" applyAlignment="1">
      <alignment horizontal="left" indent="1"/>
    </xf>
    <xf numFmtId="168" fontId="0" fillId="35" borderId="20" xfId="44" applyNumberFormat="1" applyFont="1" applyFill="1" applyBorder="1" applyAlignment="1">
      <alignment horizontal="center"/>
    </xf>
    <xf numFmtId="168" fontId="0" fillId="35" borderId="21" xfId="44" applyNumberFormat="1" applyFont="1" applyFill="1" applyBorder="1" applyAlignment="1">
      <alignment horizontal="center"/>
    </xf>
    <xf numFmtId="168" fontId="0" fillId="35" borderId="22" xfId="44" applyNumberFormat="1" applyFont="1" applyFill="1" applyBorder="1" applyAlignment="1">
      <alignment horizontal="center"/>
    </xf>
    <xf numFmtId="168" fontId="0" fillId="35" borderId="23" xfId="44" applyNumberFormat="1" applyFont="1" applyFill="1" applyBorder="1" applyAlignment="1">
      <alignment horizontal="center"/>
    </xf>
    <xf numFmtId="168" fontId="0" fillId="35" borderId="0" xfId="44" applyNumberFormat="1" applyFont="1" applyFill="1" applyBorder="1" applyAlignment="1">
      <alignment horizontal="center"/>
    </xf>
    <xf numFmtId="168" fontId="0" fillId="35" borderId="24" xfId="44" applyNumberFormat="1" applyFont="1" applyFill="1" applyBorder="1" applyAlignment="1">
      <alignment horizontal="center"/>
    </xf>
    <xf numFmtId="168" fontId="0" fillId="35" borderId="16" xfId="44" applyNumberFormat="1" applyFont="1" applyFill="1" applyBorder="1" applyAlignment="1">
      <alignment horizontal="center"/>
    </xf>
    <xf numFmtId="168" fontId="0" fillId="35" borderId="15" xfId="44" applyNumberFormat="1" applyFont="1" applyFill="1" applyBorder="1" applyAlignment="1">
      <alignment horizontal="center"/>
    </xf>
    <xf numFmtId="168" fontId="0" fillId="35" borderId="25" xfId="44" applyNumberFormat="1" applyFont="1" applyFill="1" applyBorder="1" applyAlignment="1">
      <alignment horizontal="center"/>
    </xf>
    <xf numFmtId="10" fontId="0" fillId="38" borderId="20" xfId="43" applyNumberFormat="1" applyFont="1" applyFill="1" applyBorder="1" applyAlignment="1">
      <alignment horizontal="center"/>
    </xf>
    <xf numFmtId="10" fontId="0" fillId="35" borderId="21" xfId="43" applyNumberFormat="1" applyFont="1" applyFill="1" applyBorder="1" applyAlignment="1">
      <alignment horizontal="center"/>
    </xf>
    <xf numFmtId="10" fontId="0" fillId="35" borderId="22" xfId="43" applyNumberFormat="1" applyFont="1" applyFill="1" applyBorder="1" applyAlignment="1">
      <alignment horizontal="center"/>
    </xf>
    <xf numFmtId="10" fontId="0" fillId="35" borderId="23" xfId="43" applyNumberFormat="1" applyFont="1" applyFill="1" applyBorder="1" applyAlignment="1">
      <alignment horizontal="center"/>
    </xf>
    <xf numFmtId="10" fontId="0" fillId="38" borderId="0" xfId="43" applyNumberFormat="1" applyFont="1" applyFill="1" applyBorder="1" applyAlignment="1">
      <alignment horizontal="center"/>
    </xf>
    <xf numFmtId="10" fontId="0" fillId="35" borderId="0" xfId="43" applyNumberFormat="1" applyFont="1" applyFill="1" applyBorder="1" applyAlignment="1">
      <alignment horizontal="center"/>
    </xf>
    <xf numFmtId="10" fontId="0" fillId="35" borderId="24" xfId="43" applyNumberFormat="1" applyFont="1" applyFill="1" applyBorder="1" applyAlignment="1">
      <alignment horizontal="center"/>
    </xf>
    <xf numFmtId="10" fontId="0" fillId="35" borderId="16" xfId="43" applyNumberFormat="1" applyFont="1" applyFill="1" applyBorder="1" applyAlignment="1">
      <alignment horizontal="center"/>
    </xf>
    <xf numFmtId="10" fontId="0" fillId="35" borderId="15" xfId="43" applyNumberFormat="1" applyFont="1" applyFill="1" applyBorder="1" applyAlignment="1">
      <alignment horizontal="center"/>
    </xf>
    <xf numFmtId="10" fontId="0" fillId="38" borderId="25" xfId="43" applyNumberFormat="1" applyFont="1" applyFill="1" applyBorder="1" applyAlignment="1">
      <alignment horizontal="center"/>
    </xf>
    <xf numFmtId="10" fontId="19" fillId="35" borderId="10" xfId="43" applyNumberFormat="1" applyFont="1" applyFill="1" applyBorder="1" applyAlignment="1">
      <alignment horizontal="center"/>
    </xf>
    <xf numFmtId="44" fontId="17" fillId="35" borderId="10" xfId="45" applyFont="1" applyFill="1" applyBorder="1"/>
    <xf numFmtId="0" fontId="22" fillId="45" borderId="10" xfId="0" applyFont="1" applyFill="1" applyBorder="1" applyAlignment="1">
      <alignment horizontal="center" vertical="center"/>
    </xf>
    <xf numFmtId="0" fontId="22" fillId="45" borderId="26" xfId="0" applyFont="1" applyFill="1" applyBorder="1" applyAlignment="1">
      <alignment horizontal="center" vertical="center"/>
    </xf>
    <xf numFmtId="166" fontId="17" fillId="0" borderId="12" xfId="44" applyNumberFormat="1" applyFont="1" applyBorder="1"/>
    <xf numFmtId="166" fontId="17" fillId="0" borderId="13" xfId="44" applyNumberFormat="1" applyFont="1" applyBorder="1"/>
    <xf numFmtId="166" fontId="17" fillId="0" borderId="14" xfId="44" applyNumberFormat="1" applyFont="1" applyBorder="1"/>
    <xf numFmtId="166" fontId="17" fillId="0" borderId="10" xfId="44" applyNumberFormat="1" applyFont="1" applyBorder="1"/>
    <xf numFmtId="166" fontId="0" fillId="34" borderId="12" xfId="44" applyNumberFormat="1" applyFont="1" applyFill="1" applyBorder="1"/>
    <xf numFmtId="166" fontId="0" fillId="34" borderId="13" xfId="44" applyNumberFormat="1" applyFont="1" applyFill="1" applyBorder="1"/>
    <xf numFmtId="166" fontId="0" fillId="34" borderId="14" xfId="44" applyNumberFormat="1" applyFont="1" applyFill="1" applyBorder="1"/>
    <xf numFmtId="0" fontId="19" fillId="0" borderId="10" xfId="0" applyFont="1" applyBorder="1" applyAlignment="1">
      <alignment horizontal="center"/>
    </xf>
    <xf numFmtId="4" fontId="19" fillId="0" borderId="20" xfId="0" applyNumberFormat="1" applyFont="1" applyBorder="1"/>
    <xf numFmtId="4" fontId="19" fillId="0" borderId="21" xfId="0" applyNumberFormat="1" applyFont="1" applyBorder="1"/>
    <xf numFmtId="4" fontId="19" fillId="0" borderId="22" xfId="0" applyNumberFormat="1" applyFont="1" applyBorder="1"/>
    <xf numFmtId="4" fontId="0" fillId="0" borderId="24" xfId="0" applyNumberFormat="1" applyBorder="1"/>
    <xf numFmtId="43" fontId="0" fillId="0" borderId="20" xfId="44" applyFont="1" applyBorder="1"/>
    <xf numFmtId="43" fontId="0" fillId="0" borderId="21" xfId="44" applyFont="1" applyBorder="1"/>
    <xf numFmtId="43" fontId="0" fillId="0" borderId="22" xfId="44" applyFont="1" applyBorder="1"/>
    <xf numFmtId="43" fontId="0" fillId="0" borderId="23" xfId="44" applyFont="1" applyBorder="1"/>
    <xf numFmtId="43" fontId="0" fillId="0" borderId="0" xfId="44" applyFont="1" applyBorder="1"/>
    <xf numFmtId="43" fontId="0" fillId="0" borderId="24" xfId="44" applyFont="1" applyBorder="1"/>
    <xf numFmtId="43" fontId="0" fillId="0" borderId="16" xfId="44" applyFont="1" applyBorder="1"/>
    <xf numFmtId="43" fontId="0" fillId="0" borderId="15" xfId="44" applyFont="1" applyBorder="1"/>
    <xf numFmtId="43" fontId="0" fillId="0" borderId="25" xfId="44" applyFont="1" applyBorder="1"/>
    <xf numFmtId="43" fontId="0" fillId="0" borderId="20" xfId="0" applyNumberFormat="1" applyBorder="1"/>
    <xf numFmtId="43" fontId="0" fillId="0" borderId="21" xfId="0" applyNumberFormat="1" applyBorder="1"/>
    <xf numFmtId="43" fontId="0" fillId="0" borderId="22" xfId="0" applyNumberFormat="1" applyBorder="1"/>
    <xf numFmtId="43" fontId="0" fillId="0" borderId="23" xfId="0" applyNumberFormat="1" applyBorder="1"/>
    <xf numFmtId="43" fontId="0" fillId="0" borderId="24" xfId="0" applyNumberFormat="1" applyBorder="1"/>
    <xf numFmtId="43" fontId="0" fillId="0" borderId="16" xfId="0" applyNumberFormat="1" applyBorder="1"/>
    <xf numFmtId="43" fontId="0" fillId="0" borderId="15" xfId="0" applyNumberFormat="1" applyBorder="1"/>
    <xf numFmtId="43" fontId="0" fillId="0" borderId="25" xfId="0" applyNumberFormat="1" applyBorder="1"/>
    <xf numFmtId="43" fontId="17" fillId="0" borderId="26" xfId="0" applyNumberFormat="1" applyFont="1" applyBorder="1"/>
    <xf numFmtId="43" fontId="17" fillId="0" borderId="17" xfId="0" applyNumberFormat="1" applyFont="1" applyBorder="1"/>
    <xf numFmtId="43" fontId="17" fillId="0" borderId="11" xfId="0" applyNumberFormat="1" applyFont="1" applyBorder="1"/>
    <xf numFmtId="0" fontId="14" fillId="42" borderId="10" xfId="0" applyFont="1" applyFill="1" applyBorder="1" applyAlignment="1">
      <alignment horizontal="center" vertical="center"/>
    </xf>
    <xf numFmtId="164" fontId="17" fillId="0" borderId="10" xfId="43" applyNumberFormat="1" applyFont="1" applyBorder="1" applyAlignment="1">
      <alignment horizontal="center" vertical="center"/>
    </xf>
    <xf numFmtId="44" fontId="17" fillId="0" borderId="10" xfId="45" applyFont="1" applyBorder="1" applyAlignment="1">
      <alignment vertical="center"/>
    </xf>
    <xf numFmtId="166" fontId="17" fillId="0" borderId="10" xfId="44" applyNumberFormat="1" applyFont="1" applyBorder="1" applyAlignment="1"/>
    <xf numFmtId="166" fontId="17" fillId="34" borderId="0" xfId="44" applyNumberFormat="1" applyFont="1" applyFill="1"/>
    <xf numFmtId="166" fontId="19" fillId="0" borderId="20" xfId="44" applyNumberFormat="1" applyFont="1" applyBorder="1"/>
    <xf numFmtId="10" fontId="19" fillId="0" borderId="22" xfId="43" applyNumberFormat="1" applyFont="1" applyBorder="1" applyAlignment="1">
      <alignment horizontal="center"/>
    </xf>
    <xf numFmtId="166" fontId="19" fillId="0" borderId="16" xfId="44" applyNumberFormat="1" applyFont="1" applyBorder="1"/>
    <xf numFmtId="10" fontId="19" fillId="0" borderId="25" xfId="43" applyNumberFormat="1" applyFont="1" applyBorder="1" applyAlignment="1">
      <alignment horizontal="center"/>
    </xf>
    <xf numFmtId="0" fontId="17" fillId="33" borderId="12" xfId="0" applyFont="1" applyFill="1" applyBorder="1" applyAlignment="1">
      <alignment horizontal="center"/>
    </xf>
    <xf numFmtId="0" fontId="17" fillId="33" borderId="13" xfId="0" applyFont="1" applyFill="1" applyBorder="1" applyAlignment="1">
      <alignment horizontal="center"/>
    </xf>
    <xf numFmtId="0" fontId="17" fillId="33" borderId="14" xfId="0" applyFont="1" applyFill="1" applyBorder="1" applyAlignment="1">
      <alignment horizontal="center"/>
    </xf>
    <xf numFmtId="0" fontId="17" fillId="36" borderId="12" xfId="0" applyFont="1" applyFill="1" applyBorder="1" applyAlignment="1">
      <alignment horizontal="center"/>
    </xf>
    <xf numFmtId="0" fontId="17" fillId="36" borderId="13" xfId="0" applyFont="1" applyFill="1" applyBorder="1" applyAlignment="1">
      <alignment horizontal="center"/>
    </xf>
    <xf numFmtId="0" fontId="17" fillId="36" borderId="14" xfId="0" applyFont="1" applyFill="1" applyBorder="1" applyAlignment="1">
      <alignment horizontal="center"/>
    </xf>
    <xf numFmtId="0" fontId="0" fillId="0" borderId="12" xfId="0" applyBorder="1" applyAlignment="1">
      <alignment horizontal="center"/>
    </xf>
    <xf numFmtId="0" fontId="0" fillId="0" borderId="14" xfId="0" applyBorder="1" applyAlignment="1">
      <alignment horizontal="center"/>
    </xf>
    <xf numFmtId="0" fontId="0" fillId="0" borderId="10" xfId="0" applyBorder="1" applyAlignment="1">
      <alignment horizontal="center" vertical="center"/>
    </xf>
    <xf numFmtId="0" fontId="24" fillId="0" borderId="12" xfId="0" applyFont="1" applyBorder="1" applyAlignment="1">
      <alignment horizontal="center"/>
    </xf>
    <xf numFmtId="0" fontId="24" fillId="0" borderId="13" xfId="0" applyFont="1" applyBorder="1" applyAlignment="1">
      <alignment horizontal="center"/>
    </xf>
    <xf numFmtId="0" fontId="24" fillId="0" borderId="14" xfId="0" applyFont="1" applyBorder="1" applyAlignment="1">
      <alignment horizontal="center"/>
    </xf>
    <xf numFmtId="0" fontId="17" fillId="37" borderId="12" xfId="0" applyFont="1" applyFill="1" applyBorder="1" applyAlignment="1">
      <alignment horizontal="center"/>
    </xf>
    <xf numFmtId="0" fontId="17" fillId="37" borderId="14" xfId="0" applyFont="1" applyFill="1" applyBorder="1" applyAlignment="1">
      <alignment horizontal="center"/>
    </xf>
    <xf numFmtId="0" fontId="26" fillId="0" borderId="10" xfId="0" applyFont="1" applyBorder="1" applyAlignment="1">
      <alignment horizontal="center"/>
    </xf>
    <xf numFmtId="0" fontId="20" fillId="0" borderId="12" xfId="0" applyFont="1" applyBorder="1" applyAlignment="1">
      <alignment horizontal="center"/>
    </xf>
    <xf numFmtId="0" fontId="20" fillId="0" borderId="14" xfId="0" applyFont="1" applyBorder="1" applyAlignment="1">
      <alignment horizontal="center"/>
    </xf>
    <xf numFmtId="0" fontId="20" fillId="0" borderId="12" xfId="0" applyFont="1" applyBorder="1" applyAlignment="1">
      <alignment horizontal="center" vertical="center"/>
    </xf>
    <xf numFmtId="0" fontId="20" fillId="0" borderId="13" xfId="0" applyFont="1" applyBorder="1" applyAlignment="1">
      <alignment horizontal="center" vertical="center"/>
    </xf>
    <xf numFmtId="0" fontId="0" fillId="0" borderId="12" xfId="0" applyBorder="1" applyAlignment="1">
      <alignment horizontal="center" vertical="center"/>
    </xf>
    <xf numFmtId="0" fontId="0" fillId="0" borderId="14" xfId="0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17" fillId="39" borderId="10" xfId="0" applyFont="1" applyFill="1" applyBorder="1" applyAlignment="1">
      <alignment horizontal="center"/>
    </xf>
    <xf numFmtId="0" fontId="17" fillId="40" borderId="10" xfId="0" applyFont="1" applyFill="1" applyBorder="1" applyAlignment="1">
      <alignment horizontal="center"/>
    </xf>
    <xf numFmtId="0" fontId="23" fillId="0" borderId="15" xfId="0" applyFont="1" applyBorder="1" applyAlignment="1">
      <alignment horizontal="center" wrapText="1"/>
    </xf>
    <xf numFmtId="0" fontId="17" fillId="39" borderId="12" xfId="0" applyFont="1" applyFill="1" applyBorder="1" applyAlignment="1">
      <alignment horizontal="center" wrapText="1"/>
    </xf>
    <xf numFmtId="0" fontId="17" fillId="39" borderId="13" xfId="0" applyFont="1" applyFill="1" applyBorder="1" applyAlignment="1">
      <alignment horizontal="center" wrapText="1"/>
    </xf>
    <xf numFmtId="0" fontId="17" fillId="39" borderId="14" xfId="0" applyFont="1" applyFill="1" applyBorder="1" applyAlignment="1">
      <alignment horizontal="center" wrapText="1"/>
    </xf>
    <xf numFmtId="0" fontId="17" fillId="41" borderId="12" xfId="0" applyFont="1" applyFill="1" applyBorder="1" applyAlignment="1">
      <alignment horizontal="center" wrapText="1"/>
    </xf>
    <xf numFmtId="0" fontId="17" fillId="41" borderId="13" xfId="0" applyFont="1" applyFill="1" applyBorder="1" applyAlignment="1">
      <alignment horizontal="center" wrapText="1"/>
    </xf>
    <xf numFmtId="0" fontId="17" fillId="41" borderId="14" xfId="0" applyFont="1" applyFill="1" applyBorder="1" applyAlignment="1">
      <alignment horizontal="center" wrapText="1"/>
    </xf>
    <xf numFmtId="0" fontId="31" fillId="0" borderId="12" xfId="0" applyFont="1" applyBorder="1" applyAlignment="1">
      <alignment horizontal="center" vertical="center"/>
    </xf>
    <xf numFmtId="0" fontId="31" fillId="0" borderId="13" xfId="0" applyFont="1" applyBorder="1" applyAlignment="1">
      <alignment horizontal="center" vertical="center"/>
    </xf>
    <xf numFmtId="0" fontId="31" fillId="0" borderId="14" xfId="0" applyFont="1" applyBorder="1" applyAlignment="1">
      <alignment horizontal="center" vertical="center"/>
    </xf>
    <xf numFmtId="0" fontId="30" fillId="0" borderId="12" xfId="0" applyFont="1" applyBorder="1" applyAlignment="1">
      <alignment horizontal="center" vertical="center"/>
    </xf>
    <xf numFmtId="0" fontId="30" fillId="0" borderId="13" xfId="0" applyFont="1" applyBorder="1" applyAlignment="1">
      <alignment horizontal="center" vertical="center"/>
    </xf>
    <xf numFmtId="0" fontId="30" fillId="0" borderId="14" xfId="0" applyFont="1" applyBorder="1" applyAlignment="1">
      <alignment horizontal="center" vertical="center"/>
    </xf>
    <xf numFmtId="0" fontId="17" fillId="0" borderId="12" xfId="0" applyFont="1" applyBorder="1" applyAlignment="1">
      <alignment horizontal="center" vertical="center"/>
    </xf>
    <xf numFmtId="0" fontId="17" fillId="0" borderId="14" xfId="0" applyFont="1" applyBorder="1" applyAlignment="1">
      <alignment horizontal="center" vertical="center"/>
    </xf>
  </cellXfs>
  <cellStyles count="46">
    <cellStyle name="20% - Énfasis1" xfId="1" builtinId="30" customBuiltin="1"/>
    <cellStyle name="20% - Énfasis2" xfId="2" builtinId="34" customBuiltin="1"/>
    <cellStyle name="20% - Énfasis3" xfId="3" builtinId="38" customBuiltin="1"/>
    <cellStyle name="20% - Énfasis4" xfId="4" builtinId="42" customBuiltin="1"/>
    <cellStyle name="20% - Énfasis5" xfId="5" builtinId="46" customBuiltin="1"/>
    <cellStyle name="20% - Énfasis6" xfId="6" builtinId="50" customBuiltin="1"/>
    <cellStyle name="40% - Énfasis1" xfId="7" builtinId="31" customBuiltin="1"/>
    <cellStyle name="40% - Énfasis2" xfId="8" builtinId="35" customBuiltin="1"/>
    <cellStyle name="40% - Énfasis3" xfId="9" builtinId="39" customBuiltin="1"/>
    <cellStyle name="40% - Énfasis4" xfId="10" builtinId="43" customBuiltin="1"/>
    <cellStyle name="40% - Énfasis5" xfId="11" builtinId="47" customBuiltin="1"/>
    <cellStyle name="40% - Énfasis6" xfId="12" builtinId="51" customBuiltin="1"/>
    <cellStyle name="60% - Énfasis1" xfId="13" builtinId="32" customBuiltin="1"/>
    <cellStyle name="60% - Énfasis2" xfId="14" builtinId="36" customBuiltin="1"/>
    <cellStyle name="60% - Énfasis3" xfId="15" builtinId="40" customBuiltin="1"/>
    <cellStyle name="60% - Énfasis4" xfId="16" builtinId="44" customBuiltin="1"/>
    <cellStyle name="60% - Énfasis5" xfId="17" builtinId="48" customBuiltin="1"/>
    <cellStyle name="60% - Énfasis6" xfId="18" builtinId="52" customBuiltin="1"/>
    <cellStyle name="blp_datetime" xfId="42" xr:uid="{00000000-0005-0000-0000-000012000000}"/>
    <cellStyle name="Bueno" xfId="29" builtinId="26" customBuiltin="1"/>
    <cellStyle name="Cálculo" xfId="26" builtinId="22" customBuiltin="1"/>
    <cellStyle name="Celda de comprobación" xfId="27" builtinId="23" customBuiltin="1"/>
    <cellStyle name="Celda vinculada" xfId="35" builtinId="24" customBuiltin="1"/>
    <cellStyle name="Encabezado 1" xfId="30" builtinId="16" customBuiltin="1"/>
    <cellStyle name="Encabezado 4" xfId="33" builtinId="19" customBuiltin="1"/>
    <cellStyle name="Énfasis1" xfId="19" builtinId="29" customBuiltin="1"/>
    <cellStyle name="Énfasis2" xfId="20" builtinId="33" customBuiltin="1"/>
    <cellStyle name="Énfasis3" xfId="21" builtinId="37" customBuiltin="1"/>
    <cellStyle name="Énfasis4" xfId="22" builtinId="41" customBuiltin="1"/>
    <cellStyle name="Énfasis5" xfId="23" builtinId="45" customBuiltin="1"/>
    <cellStyle name="Énfasis6" xfId="24" builtinId="49" customBuiltin="1"/>
    <cellStyle name="Entrada" xfId="34" builtinId="20" customBuiltin="1"/>
    <cellStyle name="Incorrecto" xfId="25" builtinId="27" customBuiltin="1"/>
    <cellStyle name="Millares" xfId="44" builtinId="3"/>
    <cellStyle name="Moneda" xfId="45" builtinId="4"/>
    <cellStyle name="Neutral" xfId="36" builtinId="28" customBuiltin="1"/>
    <cellStyle name="Normal" xfId="0" builtinId="0"/>
    <cellStyle name="Notas" xfId="37" builtinId="10" customBuiltin="1"/>
    <cellStyle name="Porcentaje" xfId="43" builtinId="5"/>
    <cellStyle name="Salida" xfId="38" builtinId="21" customBuiltin="1"/>
    <cellStyle name="Texto de advertencia" xfId="41" builtinId="11" customBuiltin="1"/>
    <cellStyle name="Texto explicativo" xfId="28" builtinId="53" customBuiltin="1"/>
    <cellStyle name="Título" xfId="39" builtinId="15" customBuiltin="1"/>
    <cellStyle name="Título 2" xfId="31" builtinId="17" customBuiltin="1"/>
    <cellStyle name="Título 3" xfId="32" builtinId="18" customBuiltin="1"/>
    <cellStyle name="Total" xfId="40" builtinId="25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11" Type="http://schemas.microsoft.com/office/2006/relationships/vbaProject" Target="vbaProject.bin"/><Relationship Id="rId5" Type="http://schemas.openxmlformats.org/officeDocument/2006/relationships/theme" Target="theme/theme1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microsoft.com/office/2017/10/relationships/person" Target="persons/person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s-MX"/>
              <a:t>Histograma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Frecuencia</c:v>
          </c:tx>
          <c:invertIfNegative val="0"/>
          <c:cat>
            <c:strRef>
              <c:f>'VaR Histórico'!$AN$13:$AN$28</c:f>
              <c:strCache>
                <c:ptCount val="16"/>
                <c:pt idx="0">
                  <c:v>-488029.692</c:v>
                </c:pt>
                <c:pt idx="1">
                  <c:v>-427826.4326</c:v>
                </c:pt>
                <c:pt idx="2">
                  <c:v>-367623.1732</c:v>
                </c:pt>
                <c:pt idx="3">
                  <c:v>-307419.9138</c:v>
                </c:pt>
                <c:pt idx="4">
                  <c:v>-247216.6545</c:v>
                </c:pt>
                <c:pt idx="5">
                  <c:v>-187013.3951</c:v>
                </c:pt>
                <c:pt idx="6">
                  <c:v>-126810.1357</c:v>
                </c:pt>
                <c:pt idx="7">
                  <c:v>-66606.8763</c:v>
                </c:pt>
                <c:pt idx="8">
                  <c:v>-6403.616918</c:v>
                </c:pt>
                <c:pt idx="9">
                  <c:v>53799.64247</c:v>
                </c:pt>
                <c:pt idx="10">
                  <c:v>114002.9019</c:v>
                </c:pt>
                <c:pt idx="11">
                  <c:v>174206.1612</c:v>
                </c:pt>
                <c:pt idx="12">
                  <c:v>234409.4206</c:v>
                </c:pt>
                <c:pt idx="13">
                  <c:v>294612.68</c:v>
                </c:pt>
                <c:pt idx="14">
                  <c:v>354815.9394</c:v>
                </c:pt>
                <c:pt idx="15">
                  <c:v>y mayor...</c:v>
                </c:pt>
              </c:strCache>
            </c:strRef>
          </c:cat>
          <c:val>
            <c:numRef>
              <c:f>'VaR Histórico'!$AO$13:$AO$28</c:f>
              <c:numCache>
                <c:formatCode>General</c:formatCode>
                <c:ptCount val="16"/>
                <c:pt idx="0">
                  <c:v>1</c:v>
                </c:pt>
                <c:pt idx="1">
                  <c:v>0</c:v>
                </c:pt>
                <c:pt idx="2">
                  <c:v>1</c:v>
                </c:pt>
                <c:pt idx="3">
                  <c:v>0</c:v>
                </c:pt>
                <c:pt idx="4">
                  <c:v>0</c:v>
                </c:pt>
                <c:pt idx="5">
                  <c:v>3</c:v>
                </c:pt>
                <c:pt idx="6">
                  <c:v>15</c:v>
                </c:pt>
                <c:pt idx="7">
                  <c:v>36</c:v>
                </c:pt>
                <c:pt idx="8">
                  <c:v>68</c:v>
                </c:pt>
                <c:pt idx="9">
                  <c:v>58</c:v>
                </c:pt>
                <c:pt idx="10">
                  <c:v>44</c:v>
                </c:pt>
                <c:pt idx="11">
                  <c:v>21</c:v>
                </c:pt>
                <c:pt idx="12">
                  <c:v>4</c:v>
                </c:pt>
                <c:pt idx="13">
                  <c:v>1</c:v>
                </c:pt>
                <c:pt idx="14">
                  <c:v>0</c:v>
                </c:pt>
                <c:pt idx="15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360-4708-A8D8-E35207DA6FF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491885951"/>
        <c:axId val="1491874911"/>
      </c:barChart>
      <c:lineChart>
        <c:grouping val="standard"/>
        <c:varyColors val="0"/>
        <c:ser>
          <c:idx val="1"/>
          <c:order val="1"/>
          <c:tx>
            <c:v>% acumulado</c:v>
          </c:tx>
          <c:cat>
            <c:strRef>
              <c:f>'VaR Histórico'!$AN$13:$AN$28</c:f>
              <c:strCache>
                <c:ptCount val="16"/>
                <c:pt idx="0">
                  <c:v>-488029.692</c:v>
                </c:pt>
                <c:pt idx="1">
                  <c:v>-427826.4326</c:v>
                </c:pt>
                <c:pt idx="2">
                  <c:v>-367623.1732</c:v>
                </c:pt>
                <c:pt idx="3">
                  <c:v>-307419.9138</c:v>
                </c:pt>
                <c:pt idx="4">
                  <c:v>-247216.6545</c:v>
                </c:pt>
                <c:pt idx="5">
                  <c:v>-187013.3951</c:v>
                </c:pt>
                <c:pt idx="6">
                  <c:v>-126810.1357</c:v>
                </c:pt>
                <c:pt idx="7">
                  <c:v>-66606.8763</c:v>
                </c:pt>
                <c:pt idx="8">
                  <c:v>-6403.616918</c:v>
                </c:pt>
                <c:pt idx="9">
                  <c:v>53799.64247</c:v>
                </c:pt>
                <c:pt idx="10">
                  <c:v>114002.9019</c:v>
                </c:pt>
                <c:pt idx="11">
                  <c:v>174206.1612</c:v>
                </c:pt>
                <c:pt idx="12">
                  <c:v>234409.4206</c:v>
                </c:pt>
                <c:pt idx="13">
                  <c:v>294612.68</c:v>
                </c:pt>
                <c:pt idx="14">
                  <c:v>354815.9394</c:v>
                </c:pt>
                <c:pt idx="15">
                  <c:v>y mayor...</c:v>
                </c:pt>
              </c:strCache>
            </c:strRef>
          </c:cat>
          <c:val>
            <c:numRef>
              <c:f>'VaR Histórico'!$AP$13:$AP$28</c:f>
              <c:numCache>
                <c:formatCode>0.00%</c:formatCode>
                <c:ptCount val="16"/>
                <c:pt idx="0">
                  <c:v>3.952569169960474E-3</c:v>
                </c:pt>
                <c:pt idx="1">
                  <c:v>3.952569169960474E-3</c:v>
                </c:pt>
                <c:pt idx="2">
                  <c:v>7.9051383399209481E-3</c:v>
                </c:pt>
                <c:pt idx="3">
                  <c:v>7.9051383399209481E-3</c:v>
                </c:pt>
                <c:pt idx="4">
                  <c:v>7.9051383399209481E-3</c:v>
                </c:pt>
                <c:pt idx="5">
                  <c:v>1.9762845849802372E-2</c:v>
                </c:pt>
                <c:pt idx="6">
                  <c:v>7.9051383399209488E-2</c:v>
                </c:pt>
                <c:pt idx="7">
                  <c:v>0.22134387351778656</c:v>
                </c:pt>
                <c:pt idx="8">
                  <c:v>0.49011857707509882</c:v>
                </c:pt>
                <c:pt idx="9">
                  <c:v>0.71936758893280628</c:v>
                </c:pt>
                <c:pt idx="10">
                  <c:v>0.89328063241106714</c:v>
                </c:pt>
                <c:pt idx="11">
                  <c:v>0.97628458498023718</c:v>
                </c:pt>
                <c:pt idx="12">
                  <c:v>0.9920948616600791</c:v>
                </c:pt>
                <c:pt idx="13">
                  <c:v>0.99604743083003955</c:v>
                </c:pt>
                <c:pt idx="14">
                  <c:v>0.99604743083003955</c:v>
                </c:pt>
                <c:pt idx="15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360-4708-A8D8-E35207DA6FF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491887391"/>
        <c:axId val="1491880671"/>
      </c:lineChart>
      <c:catAx>
        <c:axId val="1491885951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s-MX"/>
                  <a:t>Clase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491874911"/>
        <c:crosses val="autoZero"/>
        <c:auto val="1"/>
        <c:lblAlgn val="ctr"/>
        <c:lblOffset val="100"/>
        <c:noMultiLvlLbl val="0"/>
      </c:catAx>
      <c:valAx>
        <c:axId val="1491874911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/>
                </a:pPr>
                <a:r>
                  <a:rPr lang="es-MX"/>
                  <a:t>Frecuencia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491885951"/>
        <c:crosses val="autoZero"/>
        <c:crossBetween val="between"/>
      </c:valAx>
      <c:valAx>
        <c:axId val="1491880671"/>
        <c:scaling>
          <c:orientation val="minMax"/>
        </c:scaling>
        <c:delete val="0"/>
        <c:axPos val="r"/>
        <c:numFmt formatCode="0.00%" sourceLinked="1"/>
        <c:majorTickMark val="out"/>
        <c:minorTickMark val="none"/>
        <c:tickLblPos val="nextTo"/>
        <c:crossAx val="1491887391"/>
        <c:crosses val="max"/>
        <c:crossBetween val="between"/>
      </c:valAx>
      <c:catAx>
        <c:axId val="1491887391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491880671"/>
        <c:crosses val="autoZero"/>
        <c:auto val="1"/>
        <c:lblAlgn val="ctr"/>
        <c:lblOffset val="100"/>
        <c:noMultiLvlLbl val="0"/>
      </c:cat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720480</xdr:colOff>
      <xdr:row>259</xdr:row>
      <xdr:rowOff>146539</xdr:rowOff>
    </xdr:from>
    <xdr:to>
      <xdr:col>12</xdr:col>
      <xdr:colOff>183173</xdr:colOff>
      <xdr:row>262</xdr:row>
      <xdr:rowOff>122116</xdr:rowOff>
    </xdr:to>
    <xdr:sp macro="" textlink="">
      <xdr:nvSpPr>
        <xdr:cNvPr id="2" name="Flecha: hacia abajo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9940192" y="50751154"/>
          <a:ext cx="341923" cy="561731"/>
        </a:xfrm>
        <a:prstGeom prst="downArrow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MX" sz="1100"/>
        </a:p>
      </xdr:txBody>
    </xdr:sp>
    <xdr:clientData/>
  </xdr:twoCellAnchor>
  <xdr:twoCellAnchor>
    <xdr:from>
      <xdr:col>12</xdr:col>
      <xdr:colOff>805961</xdr:colOff>
      <xdr:row>260</xdr:row>
      <xdr:rowOff>36633</xdr:rowOff>
    </xdr:from>
    <xdr:to>
      <xdr:col>20</xdr:col>
      <xdr:colOff>720480</xdr:colOff>
      <xdr:row>261</xdr:row>
      <xdr:rowOff>134325</xdr:rowOff>
    </xdr:to>
    <xdr:sp macro="" textlink="">
      <xdr:nvSpPr>
        <xdr:cNvPr id="3" name="CuadroTexto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 txBox="1"/>
      </xdr:nvSpPr>
      <xdr:spPr>
        <a:xfrm>
          <a:off x="10904903" y="50836633"/>
          <a:ext cx="6948365" cy="293077"/>
        </a:xfrm>
        <a:prstGeom prst="rect">
          <a:avLst/>
        </a:prstGeom>
        <a:solidFill>
          <a:schemeClr val="lt1"/>
        </a:solidFill>
        <a:ln w="9525" cmpd="sng">
          <a:solidFill>
            <a:schemeClr val="accent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s-MX" sz="1400"/>
            <a:t>Podemos ver como los promedio positivos y negativois por activos se contrarestan entre si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255548</xdr:colOff>
      <xdr:row>5</xdr:row>
      <xdr:rowOff>34847</xdr:rowOff>
    </xdr:from>
    <xdr:to>
      <xdr:col>16</xdr:col>
      <xdr:colOff>569176</xdr:colOff>
      <xdr:row>11</xdr:row>
      <xdr:rowOff>11616</xdr:rowOff>
    </xdr:to>
    <xdr:sp macro="" textlink="">
      <xdr:nvSpPr>
        <xdr:cNvPr id="2" name="CuadroTexto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 txBox="1"/>
      </xdr:nvSpPr>
      <xdr:spPr>
        <a:xfrm>
          <a:off x="11058292" y="1022195"/>
          <a:ext cx="4193323" cy="1289360"/>
        </a:xfrm>
        <a:prstGeom prst="rect">
          <a:avLst/>
        </a:prstGeom>
        <a:solidFill>
          <a:schemeClr val="lt1"/>
        </a:solidFill>
        <a:ln w="9525" cmpd="sng">
          <a:solidFill>
            <a:schemeClr val="accent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s-MX" sz="1400"/>
            <a:t>Rescordemos que</a:t>
          </a:r>
          <a:r>
            <a:rPr lang="es-MX" sz="1400" baseline="0"/>
            <a:t> el </a:t>
          </a:r>
          <a:r>
            <a:rPr lang="es-MX" sz="1400" b="1" baseline="0"/>
            <a:t>VaR</a:t>
          </a:r>
          <a:r>
            <a:rPr lang="es-MX" sz="1400" baseline="0"/>
            <a:t> consisten en una dato que nos indica la perdida maxima que puede tener un activo o una portafolio </a:t>
          </a:r>
          <a:r>
            <a:rPr lang="es-MX" sz="1400" b="1" i="1" baseline="0"/>
            <a:t>(este ultimo usando la volatibilidad del Portafolio)</a:t>
          </a:r>
          <a:endParaRPr lang="es-MX" sz="1400" b="1" i="1"/>
        </a:p>
      </xdr:txBody>
    </xdr:sp>
    <xdr:clientData/>
  </xdr:twoCellAnchor>
  <xdr:twoCellAnchor>
    <xdr:from>
      <xdr:col>9</xdr:col>
      <xdr:colOff>116158</xdr:colOff>
      <xdr:row>11</xdr:row>
      <xdr:rowOff>127775</xdr:rowOff>
    </xdr:from>
    <xdr:to>
      <xdr:col>13</xdr:col>
      <xdr:colOff>92926</xdr:colOff>
      <xdr:row>14</xdr:row>
      <xdr:rowOff>151008</xdr:rowOff>
    </xdr:to>
    <xdr:sp macro="" textlink="">
      <xdr:nvSpPr>
        <xdr:cNvPr id="3" name="CuadroTexto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 txBox="1"/>
      </xdr:nvSpPr>
      <xdr:spPr>
        <a:xfrm>
          <a:off x="10001249" y="2427714"/>
          <a:ext cx="2996890" cy="580794"/>
        </a:xfrm>
        <a:prstGeom prst="rect">
          <a:avLst/>
        </a:prstGeom>
        <a:solidFill>
          <a:schemeClr val="lt1"/>
        </a:solidFill>
        <a:ln w="9525" cmpd="sng">
          <a:solidFill>
            <a:schemeClr val="accent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s-MX" sz="1400" b="0" i="0"/>
            <a:t>Este</a:t>
          </a:r>
          <a:r>
            <a:rPr lang="es-MX" sz="1400" b="0" i="0" baseline="0"/>
            <a:t> es le VaR diario de cada accion de este portafolio</a:t>
          </a:r>
          <a:endParaRPr lang="es-MX" sz="1400" b="0" i="0"/>
        </a:p>
      </xdr:txBody>
    </xdr:sp>
    <xdr:clientData/>
  </xdr:twoCellAnchor>
  <xdr:twoCellAnchor>
    <xdr:from>
      <xdr:col>8</xdr:col>
      <xdr:colOff>549088</xdr:colOff>
      <xdr:row>18</xdr:row>
      <xdr:rowOff>112059</xdr:rowOff>
    </xdr:from>
    <xdr:to>
      <xdr:col>11</xdr:col>
      <xdr:colOff>437029</xdr:colOff>
      <xdr:row>20</xdr:row>
      <xdr:rowOff>179294</xdr:rowOff>
    </xdr:to>
    <xdr:sp macro="" textlink="">
      <xdr:nvSpPr>
        <xdr:cNvPr id="4" name="CuadroTexto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SpPr txBox="1"/>
      </xdr:nvSpPr>
      <xdr:spPr>
        <a:xfrm>
          <a:off x="9356912" y="3798794"/>
          <a:ext cx="2812676" cy="493059"/>
        </a:xfrm>
        <a:prstGeom prst="rect">
          <a:avLst/>
        </a:prstGeom>
        <a:solidFill>
          <a:schemeClr val="lt1"/>
        </a:solidFill>
        <a:ln w="9525" cmpd="sng">
          <a:solidFill>
            <a:schemeClr val="accent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s-MX" sz="1400" b="1" i="0"/>
            <a:t>El</a:t>
          </a:r>
          <a:r>
            <a:rPr lang="es-MX" sz="1400" b="1" i="0" baseline="0"/>
            <a:t> VaR de una Portafolio de activos</a:t>
          </a:r>
          <a:endParaRPr lang="es-MX" sz="1400" b="1" i="0"/>
        </a:p>
      </xdr:txBody>
    </xdr:sp>
    <xdr:clientData/>
  </xdr:twoCellAnchor>
  <xdr:twoCellAnchor>
    <xdr:from>
      <xdr:col>11</xdr:col>
      <xdr:colOff>520257</xdr:colOff>
      <xdr:row>26</xdr:row>
      <xdr:rowOff>19301</xdr:rowOff>
    </xdr:from>
    <xdr:to>
      <xdr:col>16</xdr:col>
      <xdr:colOff>347900</xdr:colOff>
      <xdr:row>30</xdr:row>
      <xdr:rowOff>121114</xdr:rowOff>
    </xdr:to>
    <xdr:sp macro="" textlink="">
      <xdr:nvSpPr>
        <xdr:cNvPr id="5" name="CuadroTexto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SpPr txBox="1"/>
      </xdr:nvSpPr>
      <xdr:spPr>
        <a:xfrm>
          <a:off x="12233980" y="5399913"/>
          <a:ext cx="3394452" cy="871919"/>
        </a:xfrm>
        <a:prstGeom prst="rect">
          <a:avLst/>
        </a:prstGeom>
        <a:solidFill>
          <a:schemeClr val="lt1"/>
        </a:solidFill>
        <a:ln w="9525" cmpd="sng">
          <a:solidFill>
            <a:schemeClr val="accent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s-MX" sz="1400" b="0" i="0"/>
            <a:t>el supuesto de que la normal tiene colas asintoticas y no pesadas puede afectar nuestro </a:t>
          </a:r>
          <a:r>
            <a:rPr lang="es-MX" sz="1400" b="1" i="0"/>
            <a:t>VaR 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42</xdr:col>
      <xdr:colOff>351778</xdr:colOff>
      <xdr:row>14</xdr:row>
      <xdr:rowOff>9003</xdr:rowOff>
    </xdr:from>
    <xdr:to>
      <xdr:col>55</xdr:col>
      <xdr:colOff>95511</xdr:colOff>
      <xdr:row>37</xdr:row>
      <xdr:rowOff>37846</xdr:rowOff>
    </xdr:to>
    <xdr:graphicFrame macro="">
      <xdr:nvGraphicFramePr>
        <xdr:cNvPr id="6" name="Gráfico 5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42</xdr:col>
      <xdr:colOff>210564</xdr:colOff>
      <xdr:row>5</xdr:row>
      <xdr:rowOff>105833</xdr:rowOff>
    </xdr:from>
    <xdr:to>
      <xdr:col>46</xdr:col>
      <xdr:colOff>557893</xdr:colOff>
      <xdr:row>8</xdr:row>
      <xdr:rowOff>163285</xdr:rowOff>
    </xdr:to>
    <xdr:sp macro="" textlink="">
      <xdr:nvSpPr>
        <xdr:cNvPr id="2" name="CuadroTexto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 txBox="1"/>
      </xdr:nvSpPr>
      <xdr:spPr>
        <a:xfrm>
          <a:off x="33548064" y="1058333"/>
          <a:ext cx="3531400" cy="683381"/>
        </a:xfrm>
        <a:prstGeom prst="rect">
          <a:avLst/>
        </a:prstGeom>
        <a:solidFill>
          <a:schemeClr val="lt1"/>
        </a:solidFill>
        <a:ln w="9525" cmpd="sng">
          <a:solidFill>
            <a:schemeClr val="accent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s-MX" sz="1400" b="0" i="0"/>
            <a:t>Estos valores % son los que se compara con el </a:t>
          </a:r>
          <a:r>
            <a:rPr lang="es-MX" sz="1400" b="1" i="0"/>
            <a:t>VaR</a:t>
          </a:r>
          <a:r>
            <a:rPr lang="es-MX" sz="1400" b="0" i="0"/>
            <a:t> del modelo parametrico</a:t>
          </a:r>
        </a:p>
      </xdr:txBody>
    </xdr:sp>
    <xdr:clientData/>
  </xdr:twoCellAnchor>
  <xdr:twoCellAnchor>
    <xdr:from>
      <xdr:col>45</xdr:col>
      <xdr:colOff>263192</xdr:colOff>
      <xdr:row>13</xdr:row>
      <xdr:rowOff>37598</xdr:rowOff>
    </xdr:from>
    <xdr:to>
      <xdr:col>52</xdr:col>
      <xdr:colOff>75199</xdr:colOff>
      <xdr:row>18</xdr:row>
      <xdr:rowOff>81642</xdr:rowOff>
    </xdr:to>
    <xdr:sp macro="" textlink="">
      <xdr:nvSpPr>
        <xdr:cNvPr id="4" name="Cerrar llave 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SpPr/>
      </xdr:nvSpPr>
      <xdr:spPr>
        <a:xfrm rot="16200000">
          <a:off x="37927585" y="886791"/>
          <a:ext cx="984011" cy="4298783"/>
        </a:xfrm>
        <a:prstGeom prst="rightBrace">
          <a:avLst>
            <a:gd name="adj1" fmla="val 8333"/>
            <a:gd name="adj2" fmla="val 52249"/>
          </a:avLst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s-MX" sz="1100"/>
        </a:p>
      </xdr:txBody>
    </xdr:sp>
    <xdr:clientData/>
  </xdr:twoCellAnchor>
  <xdr:twoCellAnchor>
    <xdr:from>
      <xdr:col>45</xdr:col>
      <xdr:colOff>275723</xdr:colOff>
      <xdr:row>18</xdr:row>
      <xdr:rowOff>162928</xdr:rowOff>
    </xdr:from>
    <xdr:to>
      <xdr:col>45</xdr:col>
      <xdr:colOff>275723</xdr:colOff>
      <xdr:row>39</xdr:row>
      <xdr:rowOff>162927</xdr:rowOff>
    </xdr:to>
    <xdr:cxnSp macro="">
      <xdr:nvCxnSpPr>
        <xdr:cNvPr id="7" name="Conector recto 6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CxnSpPr/>
      </xdr:nvCxnSpPr>
      <xdr:spPr>
        <a:xfrm>
          <a:off x="36282730" y="3609474"/>
          <a:ext cx="0" cy="3960394"/>
        </a:xfrm>
        <a:prstGeom prst="line">
          <a:avLst/>
        </a:prstGeom>
        <a:ln w="38100"/>
      </xdr:spPr>
      <xdr:style>
        <a:lnRef idx="1">
          <a:schemeClr val="accent2"/>
        </a:lnRef>
        <a:fillRef idx="0">
          <a:schemeClr val="accent2"/>
        </a:fillRef>
        <a:effectRef idx="0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47</xdr:col>
      <xdr:colOff>501316</xdr:colOff>
      <xdr:row>19</xdr:row>
      <xdr:rowOff>25066</xdr:rowOff>
    </xdr:from>
    <xdr:to>
      <xdr:col>47</xdr:col>
      <xdr:colOff>513849</xdr:colOff>
      <xdr:row>37</xdr:row>
      <xdr:rowOff>175460</xdr:rowOff>
    </xdr:to>
    <xdr:cxnSp macro="">
      <xdr:nvCxnSpPr>
        <xdr:cNvPr id="11" name="Conector recto 10">
          <a:extLst>
            <a:ext uri="{FF2B5EF4-FFF2-40B4-BE49-F238E27FC236}">
              <a16:creationId xmlns:a16="http://schemas.microsoft.com/office/drawing/2014/main" id="{00000000-0008-0000-0200-00000B000000}"/>
            </a:ext>
          </a:extLst>
        </xdr:cNvPr>
        <xdr:cNvCxnSpPr/>
      </xdr:nvCxnSpPr>
      <xdr:spPr>
        <a:xfrm>
          <a:off x="37886941" y="3659605"/>
          <a:ext cx="12533" cy="3546809"/>
        </a:xfrm>
        <a:prstGeom prst="line">
          <a:avLst/>
        </a:prstGeom>
        <a:ln w="28575">
          <a:solidFill>
            <a:srgbClr val="92D050"/>
          </a:solidFill>
          <a:prstDash val="dash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42</xdr:col>
      <xdr:colOff>1077827</xdr:colOff>
      <xdr:row>35</xdr:row>
      <xdr:rowOff>100262</xdr:rowOff>
    </xdr:from>
    <xdr:to>
      <xdr:col>45</xdr:col>
      <xdr:colOff>250656</xdr:colOff>
      <xdr:row>38</xdr:row>
      <xdr:rowOff>125331</xdr:rowOff>
    </xdr:to>
    <xdr:sp macro="" textlink="">
      <xdr:nvSpPr>
        <xdr:cNvPr id="18" name="Cerrar llave 17">
          <a:extLst>
            <a:ext uri="{FF2B5EF4-FFF2-40B4-BE49-F238E27FC236}">
              <a16:creationId xmlns:a16="http://schemas.microsoft.com/office/drawing/2014/main" id="{00000000-0008-0000-0200-000012000000}"/>
            </a:ext>
          </a:extLst>
        </xdr:cNvPr>
        <xdr:cNvSpPr/>
      </xdr:nvSpPr>
      <xdr:spPr>
        <a:xfrm rot="5400000">
          <a:off x="35117168" y="6203783"/>
          <a:ext cx="589049" cy="1691941"/>
        </a:xfrm>
        <a:prstGeom prst="rightBrace">
          <a:avLst>
            <a:gd name="adj1" fmla="val 8333"/>
            <a:gd name="adj2" fmla="val 51508"/>
          </a:avLst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s-MX" sz="1100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257175</xdr:colOff>
          <xdr:row>11</xdr:row>
          <xdr:rowOff>57150</xdr:rowOff>
        </xdr:from>
        <xdr:to>
          <xdr:col>8</xdr:col>
          <xdr:colOff>361950</xdr:colOff>
          <xdr:row>12</xdr:row>
          <xdr:rowOff>209550</xdr:rowOff>
        </xdr:to>
        <xdr:sp macro="" textlink="">
          <xdr:nvSpPr>
            <xdr:cNvPr id="6151" name="Button 7" hidden="1">
              <a:extLst>
                <a:ext uri="{63B3BB69-23CF-44E3-9099-C40C66FF867C}">
                  <a14:compatExt spid="_x0000_s6151"/>
                </a:ext>
                <a:ext uri="{FF2B5EF4-FFF2-40B4-BE49-F238E27FC236}">
                  <a16:creationId xmlns:a16="http://schemas.microsoft.com/office/drawing/2014/main" id="{00000000-0008-0000-0300-00000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MX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VaR Simulado</a:t>
              </a:r>
            </a:p>
          </xdr:txBody>
        </xdr:sp>
        <xdr:clientData fPrintsWithSheet="0"/>
      </xdr:twoCellAnchor>
    </mc:Choice>
    <mc:Fallback/>
  </mc:AlternateContent>
</xdr:wsDr>
</file>

<file path=xl/persons/person.xml><?xml version="1.0" encoding="utf-8"?>
<personList xmlns="http://schemas.microsoft.com/office/spreadsheetml/2018/threadedcomments" xmlns:x="http://schemas.openxmlformats.org/spreadsheetml/2006/main">
  <person displayName="DAVID MENDIETA LOPEZ" id="{5A45B830-496B-44BC-A732-614018668C8D}" userId="S::mendieta_lopez_david@comunidad.unam.mx::50135692-ec2c-489a-957d-9bedbfc7b984" providerId="AD"/>
</personList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F3" dT="2024-03-16T13:08:45.82" personId="{5A45B830-496B-44BC-A732-614018668C8D}" id="{BFA1AA3B-A49C-4F5C-A6AF-63D29280A495}">
    <text>Los precios de cierre de cada accion de este portafolio</text>
  </threadedComment>
  <threadedComment ref="N3" dT="2024-03-16T13:11:13.08" personId="{5A45B830-496B-44BC-A732-614018668C8D}" id="{102CE814-327F-468F-8D01-59FD935306A5}">
    <text>Calculamos los rendimientos diarios (sin olvidar que hay acciones Americanas y estas las pasamos a pesos con el tipo de cambio)</text>
  </threadedComment>
  <threadedComment ref="E4" dT="2024-03-16T13:07:31.59" personId="{5A45B830-496B-44BC-A732-614018668C8D}" id="{9E38F1B8-8C75-4B13-BEFF-811690DF7755}">
    <text>Este el tipo de cambio del doliar al pesos mexicanos a la fecha de cada cierre de precios</text>
  </threadedComment>
  <threadedComment ref="L259" dT="2024-03-16T13:24:22.60" personId="{5A45B830-496B-44BC-A732-614018668C8D}" id="{70995427-6381-4336-9BB7-5B87DFB73A45}">
    <text>Aqui podemos ver que se esta cumpliendo el supuesto de que la media de los rendimientos por activos sea cero</text>
  </threadedComment>
</ThreadedComments>
</file>

<file path=xl/threadedComments/threadedComment2.xml><?xml version="1.0" encoding="utf-8"?>
<ThreadedComments xmlns="http://schemas.microsoft.com/office/spreadsheetml/2018/threadedcomments" xmlns:x="http://schemas.openxmlformats.org/spreadsheetml/2006/main">
  <threadedComment ref="C3" dT="2024-03-16T13:29:58.13" personId="{5A45B830-496B-44BC-A732-614018668C8D}" id="{BE276EF9-4B7F-4BD5-8E4B-11BBBF56F6D8}">
    <text>Pedido una fecha de Evaluvacion (comun con informacion de una ano o semanal)</text>
  </threadedComment>
  <threadedComment ref="G7" dT="2024-03-13T01:00:24.92" personId="{5A45B830-496B-44BC-A732-614018668C8D}" id="{120143BA-D836-4B81-B923-B9F64CF1C4A8}">
    <text>Aplicamos la funcion "volatibilidad dinamica"</text>
  </threadedComment>
  <threadedComment ref="H7" dT="2024-03-13T01:05:40.88" personId="{5A45B830-496B-44BC-A732-614018668C8D}" id="{5BA98ABB-5040-4854-AED9-31F8B79B9141}">
    <text>Como lo habiamos visto en clase:
          VaR = -F x S x σ x raiz(t)</text>
  </threadedComment>
  <threadedComment ref="C8" dT="2024-03-16T13:32:50.46" personId="{5A45B830-496B-44BC-A732-614018668C8D}" id="{FC6F82DC-1450-42D1-AD49-3B2650849F00}">
    <text>Precios a fecha de Evaluacion</text>
  </threadedComment>
  <threadedComment ref="E8" dT="2024-03-13T00:59:51.25" personId="{5A45B830-496B-44BC-A732-614018668C8D}" id="{5E9672E4-5215-40A6-940E-0CAEEDE507CE}">
    <text>Titulos x precios</text>
  </threadedComment>
  <threadedComment ref="F8" dT="2024-03-16T13:35:19.03" personId="{5A45B830-496B-44BC-A732-614018668C8D}" id="{C0C358BD-A467-4841-822D-63967493DD4B}">
    <text>La proporcion de  cada activo respecto a la valuacion total</text>
  </threadedComment>
  <threadedComment ref="I8" dT="2024-03-13T01:08:58.55" personId="{5A45B830-496B-44BC-A732-614018668C8D}" id="{012F9F90-2C6D-45D2-871D-7DEF690A9EDA}">
    <text>Es el Monto entre Valuacion</text>
  </threadedComment>
  <threadedComment ref="F21" dT="2024-03-18T14:51:14.25" personId="{5A45B830-496B-44BC-A732-614018668C8D}" id="{03653430-5964-4A67-9652-32E95275F0AC}">
    <text>Esta volatibilidad se construyen en base a la teoria de minkowsky</text>
  </threadedComment>
</ThreadedComments>
</file>

<file path=xl/threadedComments/threadedComment3.xml><?xml version="1.0" encoding="utf-8"?>
<ThreadedComments xmlns="http://schemas.microsoft.com/office/spreadsheetml/2018/threadedcomments" xmlns:x="http://schemas.openxmlformats.org/spreadsheetml/2006/main">
  <threadedComment ref="AC2" dT="2024-03-18T16:13:03.85" personId="{5A45B830-496B-44BC-A732-614018668C8D}" id="{699BBD37-2353-4B87-AF53-8209561F7295}">
    <text>Tomamos estos titulos de manera de ejemplo</text>
  </threadedComment>
  <threadedComment ref="F3" dT="2024-03-18T14:59:58.81" personId="{5A45B830-496B-44BC-A732-614018668C8D}" id="{B84A47C8-EC64-41EC-B3E7-779620024D57}">
    <text>Los precios de cierre de cada accion de este portafolio</text>
  </threadedComment>
  <threadedComment ref="N3" dT="2024-03-18T15:00:23.05" personId="{5A45B830-496B-44BC-A732-614018668C8D}" id="{27D197DE-467A-4536-992C-7937432EA6A5}">
    <text>Calculamos los rendimientos diarios (sin olvidar que hay acciones Americanas y estas las pasamos a pesos con el tipo de cambio)</text>
  </threadedComment>
  <threadedComment ref="V3" dT="2024-03-18T15:55:11.58" personId="{5A45B830-496B-44BC-A732-614018668C8D}" id="{1FBA8E8B-3513-4F77-AA8C-10A82C139CB2}">
    <text>Serie de precios que consiste en el precio de Valuacion por cada rendimientos anterior (creando una simulacion basta)</text>
  </threadedComment>
  <threadedComment ref="AD3" dT="2024-03-18T16:05:12.48" personId="{5A45B830-496B-44BC-A732-614018668C8D}" id="{B73C12D5-07D5-4261-90B9-83D9E10FD423}">
    <text>Determinamos la diferencia entre el precio de valuacion y los precios de la simulacion (y con ello vamos a multiplicarlo por el # de activos )</text>
  </threadedComment>
  <threadedComment ref="E4" dT="2024-03-18T14:59:12.90" personId="{5A45B830-496B-44BC-A732-614018668C8D}" id="{15861ECC-1B0F-4C5D-A299-9693794D24CE}">
    <text>Este el tipo de cambio del doliar al pesos mexicanos a la fecha de cada cierre de precios</text>
  </threadedComment>
  <threadedComment ref="AL4" dT="2024-03-18T16:12:23.73" personId="{5A45B830-496B-44BC-A732-614018668C8D}" id="{1F78324F-3118-4664-9267-0F2D99653754}">
    <text>Suma de las perdidas y Ganancias del portafolio por dia</text>
  </threadedComment>
  <threadedComment ref="AN7" dT="2024-03-18T16:18:09.51" personId="{5A45B830-496B-44BC-A732-614018668C8D}" id="{BC7409EC-E090-4E13-88D5-C9C73AEF26F0}">
    <text>Ocupamos el Percentil en base a 99% de confianza de todo el portafolio y por ello pedimos que sea el resto del correspondiente del precentil del 1%</text>
  </threadedComment>
  <threadedComment ref="AN8" dT="2024-03-18T16:19:57.14" personId="{5A45B830-496B-44BC-A732-614018668C8D}" id="{D8F3C081-B6F4-4CCC-97AC-D2D211175610}">
    <text>Es el VaR condicional de esta condicionado al ser menor del VaR anterior</text>
  </threadedComment>
</ThreadedComments>
</file>

<file path=xl/threadedComments/threadedComment4.xml><?xml version="1.0" encoding="utf-8"?>
<ThreadedComments xmlns="http://schemas.microsoft.com/office/spreadsheetml/2018/threadedcomments" xmlns:x="http://schemas.openxmlformats.org/spreadsheetml/2006/main">
  <threadedComment ref="A6" dT="2024-03-20T17:37:27.22" personId="{5A45B830-496B-44BC-A732-614018668C8D}" id="{F8E6FEB5-7433-497A-99F6-D27B7ACAF0DA}">
    <text>El tamano de los titulos es deacuerdo a portafolio y estos puede variar entre portafolios</text>
  </threadedComment>
  <threadedComment ref="A7" dT="2024-03-20T17:39:00.38" personId="{5A45B830-496B-44BC-A732-614018668C8D}" id="{A6FB34AA-D2BA-4F66-8AD3-EAC538E8FA49}">
    <text>Recordemos que el debe cumplir el supuesto de que las medias de los rendimientos se acercara a cero</text>
  </threadedComment>
  <threadedComment ref="A8" dT="2024-03-20T17:42:19.38" personId="{5A45B830-496B-44BC-A732-614018668C8D}" id="{BF7ADF9B-08EC-4E5E-9557-4355CA156DDE}">
    <text>Aplicamos la funcion de volatibilidad dinamica (algo que habiamos visto)</text>
  </threadedComment>
  <threadedComment ref="I10" dT="2024-03-20T20:07:30.94" personId="{5A45B830-496B-44BC-A732-614018668C8D}" id="{435490A3-9274-4596-A44C-87ED926D0466}">
    <text>Es el valor del portafolio base</text>
  </threadedComment>
  <threadedComment ref="J12" dT="2024-03-20T20:09:51.95" personId="{5A45B830-496B-44BC-A732-614018668C8D}" id="{F1E2B6F0-7B86-4C6C-9B09-201DA80DDD89}">
    <text>Estimamos el percentil en base a una confianza del 99% y utilizando los valores de portafolio</text>
  </threadedComment>
  <threadedComment ref="J13" dT="2024-03-20T20:12:00.54" personId="{5A45B830-496B-44BC-A732-614018668C8D}" id="{1CE454B6-7E85-465B-B510-39671E85362E}">
    <text>Este el VaR condicional en base al promedio de aquellos valores que esten por debajo el VaR al 99%</text>
  </threadedComment>
  <threadedComment ref="B16" dT="2024-03-20T19:56:37.24" personId="{5A45B830-496B-44BC-A732-614018668C8D}" id="{A21D6E86-72BC-4C4F-A3F8-244BE21F39EE}">
    <text>En este apartado esta generando los precios acequibles aleatorios para generar el otro apartado</text>
  </threadedComment>
  <threadedComment ref="J16" dT="2024-03-20T20:00:32.36" personId="{5A45B830-496B-44BC-A732-614018668C8D}" id="{9F5E0EE9-92DB-4EDC-AD5F-7EE9A112007A}">
    <text>Parecido a las perdidas y ganancias del VaR del metodo historico pero tomando en cuenta los precios simulados</text>
  </threadedComment>
  <threadedComment ref="R17" dT="2024-03-20T20:03:42.68" personId="{5A45B830-496B-44BC-A732-614018668C8D}" id="{B02DAAF0-32CE-4037-8688-6F2D8B2D61A0}">
    <text xml:space="preserve">El portafolio representa 
La suma de todos los activos en ese dia </text>
  </threadedComment>
</ThreadedComment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microsoft.com/office/2017/10/relationships/threadedComment" Target="../threadedComments/threadedComment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Relationship Id="rId5" Type="http://schemas.microsoft.com/office/2017/10/relationships/threadedComment" Target="../threadedComments/threadedComment2.xml"/><Relationship Id="rId4" Type="http://schemas.openxmlformats.org/officeDocument/2006/relationships/comments" Target="../comments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Relationship Id="rId5" Type="http://schemas.microsoft.com/office/2017/10/relationships/threadedComment" Target="../threadedComments/threadedComment3.xml"/><Relationship Id="rId4" Type="http://schemas.openxmlformats.org/officeDocument/2006/relationships/comments" Target="../comments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5" Type="http://schemas.microsoft.com/office/2017/10/relationships/threadedComment" Target="../threadedComments/threadedComment4.xml"/><Relationship Id="rId4" Type="http://schemas.openxmlformats.org/officeDocument/2006/relationships/comments" Target="../comments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CEF9E4-EE11-4B71-B04F-5EC9B5730581}">
  <sheetPr codeName="Hoja3"/>
  <dimension ref="A3:X265"/>
  <sheetViews>
    <sheetView tabSelected="1" zoomScale="78" zoomScaleNormal="130" workbookViewId="0">
      <pane xSplit="4" ySplit="4" topLeftCell="E247" activePane="bottomRight" state="frozen"/>
      <selection pane="topRight" activeCell="D1" sqref="D1"/>
      <selection pane="bottomLeft" activeCell="A3" sqref="A3"/>
      <selection pane="bottomRight" activeCell="I263" sqref="I263"/>
    </sheetView>
  </sheetViews>
  <sheetFormatPr baseColWidth="10" defaultColWidth="8.85546875" defaultRowHeight="15" x14ac:dyDescent="0.25"/>
  <cols>
    <col min="1" max="1" width="10.85546875" customWidth="1"/>
    <col min="2" max="2" width="15.85546875" bestFit="1" customWidth="1"/>
    <col min="3" max="5" width="10.7109375" customWidth="1"/>
    <col min="6" max="21" width="13.140625" customWidth="1"/>
    <col min="22" max="22" width="14.7109375" bestFit="1" customWidth="1"/>
    <col min="23" max="23" width="13.28515625" customWidth="1"/>
    <col min="24" max="31" width="10.7109375" customWidth="1"/>
  </cols>
  <sheetData>
    <row r="3" spans="1:24" x14ac:dyDescent="0.25">
      <c r="F3" s="174" t="s">
        <v>0</v>
      </c>
      <c r="G3" s="175"/>
      <c r="H3" s="175"/>
      <c r="I3" s="175"/>
      <c r="J3" s="175"/>
      <c r="K3" s="175"/>
      <c r="L3" s="175"/>
      <c r="M3" s="176"/>
      <c r="N3" s="177" t="s">
        <v>1</v>
      </c>
      <c r="O3" s="178"/>
      <c r="P3" s="178"/>
      <c r="Q3" s="178"/>
      <c r="R3" s="178"/>
      <c r="S3" s="178"/>
      <c r="T3" s="178"/>
      <c r="U3" s="179"/>
    </row>
    <row r="4" spans="1:24" x14ac:dyDescent="0.25">
      <c r="A4" s="3" t="s">
        <v>6</v>
      </c>
      <c r="B4" s="3" t="s">
        <v>2</v>
      </c>
      <c r="C4" s="3" t="s">
        <v>3</v>
      </c>
      <c r="D4" s="3" t="s">
        <v>4</v>
      </c>
      <c r="E4" s="3" t="s">
        <v>7</v>
      </c>
      <c r="F4" s="9" t="s">
        <v>13</v>
      </c>
      <c r="G4" s="9" t="s">
        <v>19</v>
      </c>
      <c r="H4" s="9" t="s">
        <v>20</v>
      </c>
      <c r="I4" s="9" t="s">
        <v>12</v>
      </c>
      <c r="J4" s="9" t="s">
        <v>21</v>
      </c>
      <c r="K4" s="10" t="s">
        <v>22</v>
      </c>
      <c r="L4" s="48" t="s">
        <v>14</v>
      </c>
      <c r="M4" s="48" t="s">
        <v>40</v>
      </c>
      <c r="N4" s="4" t="str">
        <f>+F4</f>
        <v>NAFTRAC</v>
      </c>
      <c r="O4" s="4" t="str">
        <f t="shared" ref="O4:U4" si="0">+G4</f>
        <v>LACOMER</v>
      </c>
      <c r="P4" s="4" t="str">
        <f t="shared" si="0"/>
        <v>CEMEX</v>
      </c>
      <c r="Q4" s="4" t="str">
        <f t="shared" si="0"/>
        <v>PEÑOLES</v>
      </c>
      <c r="R4" s="4" t="str">
        <f t="shared" si="0"/>
        <v>VOLAR</v>
      </c>
      <c r="S4" s="4" t="str">
        <f t="shared" si="0"/>
        <v>GAP</v>
      </c>
      <c r="T4" s="49" t="str">
        <f t="shared" si="0"/>
        <v>AMZN</v>
      </c>
      <c r="U4" s="49" t="str">
        <f t="shared" si="0"/>
        <v>TSLA</v>
      </c>
    </row>
    <row r="5" spans="1:24" x14ac:dyDescent="0.25">
      <c r="A5" s="50">
        <f t="shared" ref="A5:A68" si="1">+A6-1</f>
        <v>1</v>
      </c>
      <c r="B5" s="51">
        <v>45322</v>
      </c>
      <c r="C5" s="52">
        <f t="shared" ref="C5:C68" si="2">+YEAR(B5)</f>
        <v>2024</v>
      </c>
      <c r="D5" s="53">
        <f t="shared" ref="D5:D68" si="3">+MONTH(B5)</f>
        <v>1</v>
      </c>
      <c r="E5" s="60">
        <v>17.212</v>
      </c>
      <c r="F5" s="6">
        <v>57.06</v>
      </c>
      <c r="G5" s="6">
        <v>40.409999999999997</v>
      </c>
      <c r="H5" s="6">
        <v>14.3</v>
      </c>
      <c r="I5" s="6">
        <v>226.34</v>
      </c>
      <c r="J5" s="6">
        <v>13.76</v>
      </c>
      <c r="K5" s="6">
        <v>267.95</v>
      </c>
      <c r="L5" s="6">
        <v>155.19999999999999</v>
      </c>
      <c r="M5" s="6">
        <v>187.29</v>
      </c>
      <c r="N5" s="69">
        <f xml:space="preserve"> (F5/F6) - 1</f>
        <v>-2.2731246721453546E-3</v>
      </c>
      <c r="O5" s="70">
        <f t="shared" ref="O5:S5" si="4" xml:space="preserve"> (G5/G6) - 1</f>
        <v>-5.4147181885307871E-3</v>
      </c>
      <c r="P5" s="70">
        <f t="shared" si="4"/>
        <v>-5.5632823365785455E-3</v>
      </c>
      <c r="Q5" s="70">
        <f t="shared" si="4"/>
        <v>-2.5320816467143237E-2</v>
      </c>
      <c r="R5" s="70">
        <f t="shared" si="4"/>
        <v>-8.6455331412104153E-3</v>
      </c>
      <c r="S5" s="70">
        <f t="shared" si="4"/>
        <v>-1.3438880706922118E-2</v>
      </c>
      <c r="T5" s="70">
        <f xml:space="preserve"> (E5*L5) / (E6*L6) - 1</f>
        <v>-1.9799065043335506E-2</v>
      </c>
      <c r="U5" s="71">
        <f xml:space="preserve"> (E5*M5) / (E6*M6) - 1</f>
        <v>-1.8337339501779182E-2</v>
      </c>
    </row>
    <row r="6" spans="1:24" x14ac:dyDescent="0.25">
      <c r="A6" s="54">
        <f t="shared" si="1"/>
        <v>2</v>
      </c>
      <c r="B6" s="1">
        <v>45321</v>
      </c>
      <c r="C6" s="7">
        <f t="shared" si="2"/>
        <v>2024</v>
      </c>
      <c r="D6" s="55">
        <f t="shared" si="3"/>
        <v>1</v>
      </c>
      <c r="E6" s="61">
        <v>17.14</v>
      </c>
      <c r="F6" s="2">
        <v>57.19</v>
      </c>
      <c r="G6" s="2">
        <v>40.630000000000003</v>
      </c>
      <c r="H6" s="2">
        <v>14.38</v>
      </c>
      <c r="I6" s="2">
        <v>232.22</v>
      </c>
      <c r="J6" s="2">
        <v>13.88</v>
      </c>
      <c r="K6" s="2">
        <v>271.60000000000002</v>
      </c>
      <c r="L6" s="2">
        <v>159</v>
      </c>
      <c r="M6" s="2">
        <v>191.59</v>
      </c>
      <c r="N6" s="72">
        <f t="shared" ref="N6:N69" si="5" xml:space="preserve"> (F6/F7) - 1</f>
        <v>6.1576354679802048E-3</v>
      </c>
      <c r="O6" s="73">
        <f t="shared" ref="O6:O69" si="6" xml:space="preserve"> (G6/G7) - 1</f>
        <v>-1.4745637748831975E-3</v>
      </c>
      <c r="P6" s="73">
        <f t="shared" ref="P6:P69" si="7" xml:space="preserve"> (H6/H7) - 1</f>
        <v>6.2981105668300508E-3</v>
      </c>
      <c r="Q6" s="73">
        <f t="shared" ref="Q6:Q69" si="8" xml:space="preserve"> (I6/I7) - 1</f>
        <v>-2.6983993966311903E-2</v>
      </c>
      <c r="R6" s="73">
        <f t="shared" ref="R6:R69" si="9" xml:space="preserve"> (J6/J7) - 1</f>
        <v>-3.2078103207810238E-2</v>
      </c>
      <c r="S6" s="73">
        <f t="shared" ref="S6:S69" si="10" xml:space="preserve"> (K6/K7) - 1</f>
        <v>-1.4656798722971875E-2</v>
      </c>
      <c r="T6" s="73">
        <f t="shared" ref="T6:T69" si="11" xml:space="preserve"> (E6*L6) / (E7*L7) - 1</f>
        <v>-1.8481289327323069E-2</v>
      </c>
      <c r="U6" s="74">
        <f t="shared" ref="U6:U69" si="12" xml:space="preserve"> (E6*M6) / (E7*M7) - 1</f>
        <v>-1.0890382505590601E-3</v>
      </c>
    </row>
    <row r="7" spans="1:24" x14ac:dyDescent="0.25">
      <c r="A7" s="54">
        <f t="shared" si="1"/>
        <v>3</v>
      </c>
      <c r="B7" s="1">
        <v>45320</v>
      </c>
      <c r="C7" s="7">
        <f t="shared" si="2"/>
        <v>2024</v>
      </c>
      <c r="D7" s="55">
        <f t="shared" si="3"/>
        <v>1</v>
      </c>
      <c r="E7" s="61">
        <v>17.218</v>
      </c>
      <c r="F7" s="2">
        <v>56.84</v>
      </c>
      <c r="G7" s="2">
        <v>40.69</v>
      </c>
      <c r="H7" s="2">
        <v>14.29</v>
      </c>
      <c r="I7" s="2">
        <v>238.66</v>
      </c>
      <c r="J7" s="2">
        <v>14.34</v>
      </c>
      <c r="K7" s="2">
        <v>275.64</v>
      </c>
      <c r="L7" s="2">
        <v>161.26</v>
      </c>
      <c r="M7" s="2">
        <v>190.93</v>
      </c>
      <c r="N7" s="72">
        <f t="shared" si="5"/>
        <v>5.4838139041217815E-3</v>
      </c>
      <c r="O7" s="73">
        <f t="shared" si="6"/>
        <v>1.969958138389627E-3</v>
      </c>
      <c r="P7" s="73">
        <f t="shared" si="7"/>
        <v>9.8939929328620835E-3</v>
      </c>
      <c r="Q7" s="73">
        <f t="shared" si="8"/>
        <v>7.2147349505840008E-2</v>
      </c>
      <c r="R7" s="73">
        <f t="shared" si="9"/>
        <v>2.501786990707644E-2</v>
      </c>
      <c r="S7" s="73">
        <f t="shared" si="10"/>
        <v>1.2080044060950756E-2</v>
      </c>
      <c r="T7" s="73">
        <f t="shared" si="11"/>
        <v>1.7212264793474708E-2</v>
      </c>
      <c r="U7" s="74">
        <f t="shared" si="12"/>
        <v>4.5778940283599967E-2</v>
      </c>
    </row>
    <row r="8" spans="1:24" x14ac:dyDescent="0.25">
      <c r="A8" s="54">
        <f t="shared" si="1"/>
        <v>4</v>
      </c>
      <c r="B8" s="1">
        <v>45317</v>
      </c>
      <c r="C8" s="7">
        <f t="shared" si="2"/>
        <v>2024</v>
      </c>
      <c r="D8" s="55">
        <f t="shared" si="3"/>
        <v>1</v>
      </c>
      <c r="E8" s="61">
        <v>17.154299999999999</v>
      </c>
      <c r="F8" s="2">
        <v>56.53</v>
      </c>
      <c r="G8" s="2">
        <v>40.61</v>
      </c>
      <c r="H8" s="2">
        <v>14.15</v>
      </c>
      <c r="I8" s="2">
        <v>222.6</v>
      </c>
      <c r="J8" s="2">
        <v>13.99</v>
      </c>
      <c r="K8" s="2">
        <v>272.35000000000002</v>
      </c>
      <c r="L8" s="2">
        <v>159.12</v>
      </c>
      <c r="M8" s="2">
        <v>183.25</v>
      </c>
      <c r="N8" s="72">
        <f t="shared" si="5"/>
        <v>1.0366398570151869E-2</v>
      </c>
      <c r="O8" s="73">
        <f t="shared" si="6"/>
        <v>-1.3602137478746723E-2</v>
      </c>
      <c r="P8" s="73">
        <f t="shared" si="7"/>
        <v>1.1436740528949274E-2</v>
      </c>
      <c r="Q8" s="73">
        <f t="shared" si="8"/>
        <v>1.0853276417964519E-2</v>
      </c>
      <c r="R8" s="73">
        <f t="shared" si="9"/>
        <v>-1.3399153737658653E-2</v>
      </c>
      <c r="S8" s="73">
        <f t="shared" si="10"/>
        <v>2.2795553552651615E-2</v>
      </c>
      <c r="T8" s="73">
        <f t="shared" si="11"/>
        <v>6.5898026070143612E-3</v>
      </c>
      <c r="U8" s="74">
        <f t="shared" si="12"/>
        <v>1.3110028296083875E-3</v>
      </c>
    </row>
    <row r="9" spans="1:24" x14ac:dyDescent="0.25">
      <c r="A9" s="54">
        <f t="shared" si="1"/>
        <v>5</v>
      </c>
      <c r="B9" s="1">
        <v>45316</v>
      </c>
      <c r="C9" s="7">
        <f t="shared" si="2"/>
        <v>2024</v>
      </c>
      <c r="D9" s="55">
        <f t="shared" si="3"/>
        <v>1</v>
      </c>
      <c r="E9" s="61">
        <v>17.190000000000001</v>
      </c>
      <c r="F9" s="2">
        <v>55.95</v>
      </c>
      <c r="G9" s="2">
        <v>41.17</v>
      </c>
      <c r="H9" s="2">
        <v>13.99</v>
      </c>
      <c r="I9" s="2">
        <v>220.21</v>
      </c>
      <c r="J9" s="2">
        <v>14.18</v>
      </c>
      <c r="K9" s="2">
        <v>266.27999999999997</v>
      </c>
      <c r="L9" s="2">
        <v>157.75</v>
      </c>
      <c r="M9" s="2">
        <v>182.63</v>
      </c>
      <c r="N9" s="72">
        <f t="shared" si="5"/>
        <v>1.4873934337021666E-2</v>
      </c>
      <c r="O9" s="73">
        <f t="shared" si="6"/>
        <v>3.0280280280280403E-2</v>
      </c>
      <c r="P9" s="73">
        <f t="shared" si="7"/>
        <v>4.872563718140932E-2</v>
      </c>
      <c r="Q9" s="73">
        <f t="shared" si="8"/>
        <v>-7.4371225096908633E-3</v>
      </c>
      <c r="R9" s="73">
        <f t="shared" si="9"/>
        <v>-1.8005540166204925E-2</v>
      </c>
      <c r="S9" s="73">
        <f t="shared" si="10"/>
        <v>2.6285361905495908E-2</v>
      </c>
      <c r="T9" s="73">
        <f t="shared" si="11"/>
        <v>4.4411063361939895E-3</v>
      </c>
      <c r="U9" s="74">
        <f t="shared" si="12"/>
        <v>-0.12227415229500116</v>
      </c>
      <c r="V9" s="18"/>
      <c r="W9" s="25"/>
      <c r="X9" s="12"/>
    </row>
    <row r="10" spans="1:24" x14ac:dyDescent="0.25">
      <c r="A10" s="54">
        <f t="shared" si="1"/>
        <v>6</v>
      </c>
      <c r="B10" s="1">
        <v>45315</v>
      </c>
      <c r="C10" s="7">
        <f t="shared" si="2"/>
        <v>2024</v>
      </c>
      <c r="D10" s="55">
        <f t="shared" si="3"/>
        <v>1</v>
      </c>
      <c r="E10" s="61">
        <v>17.21</v>
      </c>
      <c r="F10" s="2">
        <v>55.13</v>
      </c>
      <c r="G10" s="2">
        <v>39.96</v>
      </c>
      <c r="H10" s="2">
        <v>13.34</v>
      </c>
      <c r="I10" s="2">
        <v>221.86</v>
      </c>
      <c r="J10" s="2">
        <v>14.44</v>
      </c>
      <c r="K10" s="2">
        <v>259.45999999999998</v>
      </c>
      <c r="L10" s="2">
        <v>156.87</v>
      </c>
      <c r="M10" s="2">
        <v>207.83</v>
      </c>
      <c r="N10" s="72">
        <f t="shared" si="5"/>
        <v>-3.2543843789549776E-3</v>
      </c>
      <c r="O10" s="73">
        <f t="shared" si="6"/>
        <v>3.7678975131876236E-3</v>
      </c>
      <c r="P10" s="73">
        <f t="shared" si="7"/>
        <v>2.1439509954058078E-2</v>
      </c>
      <c r="Q10" s="73">
        <f t="shared" si="8"/>
        <v>4.9082655570266809E-2</v>
      </c>
      <c r="R10" s="73">
        <f t="shared" si="9"/>
        <v>1.3333333333333197E-2</v>
      </c>
      <c r="S10" s="73">
        <f t="shared" si="10"/>
        <v>-4.3745203376824859E-3</v>
      </c>
      <c r="T10" s="73">
        <f t="shared" si="11"/>
        <v>2.173650480559175E-4</v>
      </c>
      <c r="U10" s="74">
        <f t="shared" si="12"/>
        <v>-1.1433472945356571E-2</v>
      </c>
      <c r="V10" s="18"/>
      <c r="W10" s="25"/>
      <c r="X10" s="12"/>
    </row>
    <row r="11" spans="1:24" x14ac:dyDescent="0.25">
      <c r="A11" s="54">
        <f t="shared" si="1"/>
        <v>7</v>
      </c>
      <c r="B11" s="1">
        <v>45314</v>
      </c>
      <c r="C11" s="7">
        <f t="shared" si="2"/>
        <v>2024</v>
      </c>
      <c r="D11" s="55">
        <f t="shared" si="3"/>
        <v>1</v>
      </c>
      <c r="E11" s="61">
        <v>17.3</v>
      </c>
      <c r="F11" s="2">
        <v>55.31</v>
      </c>
      <c r="G11" s="2">
        <v>39.81</v>
      </c>
      <c r="H11" s="2">
        <v>13.06</v>
      </c>
      <c r="I11" s="2">
        <v>211.48</v>
      </c>
      <c r="J11" s="2">
        <v>14.25</v>
      </c>
      <c r="K11" s="2">
        <v>260.60000000000002</v>
      </c>
      <c r="L11" s="2">
        <v>156.02000000000001</v>
      </c>
      <c r="M11" s="2">
        <v>209.14</v>
      </c>
      <c r="N11" s="72">
        <f t="shared" si="5"/>
        <v>1.5607785530664664E-2</v>
      </c>
      <c r="O11" s="73">
        <f t="shared" si="6"/>
        <v>3.2762096774194838E-3</v>
      </c>
      <c r="P11" s="73">
        <f t="shared" si="7"/>
        <v>1.9516003122560521E-2</v>
      </c>
      <c r="Q11" s="73">
        <f t="shared" si="8"/>
        <v>1.8003273322422242E-2</v>
      </c>
      <c r="R11" s="73">
        <f t="shared" si="9"/>
        <v>2.4442846872753332E-2</v>
      </c>
      <c r="S11" s="73">
        <f t="shared" si="10"/>
        <v>3.0528313824739195E-2</v>
      </c>
      <c r="T11" s="73">
        <f t="shared" si="11"/>
        <v>1.5406819490055623E-2</v>
      </c>
      <c r="U11" s="74">
        <f t="shared" si="12"/>
        <v>8.9769708911313639E-3</v>
      </c>
      <c r="V11" s="19"/>
      <c r="W11" s="25"/>
      <c r="X11" s="12"/>
    </row>
    <row r="12" spans="1:24" x14ac:dyDescent="0.25">
      <c r="A12" s="54">
        <f t="shared" si="1"/>
        <v>8</v>
      </c>
      <c r="B12" s="1">
        <v>45313</v>
      </c>
      <c r="C12" s="7">
        <f t="shared" si="2"/>
        <v>2024</v>
      </c>
      <c r="D12" s="55">
        <f t="shared" si="3"/>
        <v>1</v>
      </c>
      <c r="E12" s="61">
        <v>17.173999999999999</v>
      </c>
      <c r="F12" s="2">
        <v>54.46</v>
      </c>
      <c r="G12" s="2">
        <v>39.68</v>
      </c>
      <c r="H12" s="2">
        <v>12.81</v>
      </c>
      <c r="I12" s="2">
        <v>207.74</v>
      </c>
      <c r="J12" s="2">
        <v>13.91</v>
      </c>
      <c r="K12" s="2">
        <v>252.88</v>
      </c>
      <c r="L12" s="2">
        <v>154.78</v>
      </c>
      <c r="M12" s="2">
        <v>208.8</v>
      </c>
      <c r="N12" s="72">
        <f t="shared" si="5"/>
        <v>-1.2869313032445207E-2</v>
      </c>
      <c r="O12" s="73">
        <f t="shared" si="6"/>
        <v>-9.4857713429855606E-3</v>
      </c>
      <c r="P12" s="73">
        <f t="shared" si="7"/>
        <v>-7.800312012480326E-4</v>
      </c>
      <c r="Q12" s="73">
        <f t="shared" si="8"/>
        <v>-1.9261637239165297E-2</v>
      </c>
      <c r="R12" s="73">
        <f t="shared" si="9"/>
        <v>-2.2487702037948032E-2</v>
      </c>
      <c r="S12" s="73">
        <f t="shared" si="10"/>
        <v>-4.7819865953761531E-2</v>
      </c>
      <c r="T12" s="73">
        <f t="shared" si="11"/>
        <v>1.9960069908795397E-3</v>
      </c>
      <c r="U12" s="74">
        <f t="shared" si="12"/>
        <v>-1.0444787331260308E-2</v>
      </c>
      <c r="V12" s="18"/>
      <c r="W12" s="25"/>
      <c r="X12" s="12"/>
    </row>
    <row r="13" spans="1:24" x14ac:dyDescent="0.25">
      <c r="A13" s="54">
        <f t="shared" si="1"/>
        <v>9</v>
      </c>
      <c r="B13" s="1">
        <v>45310</v>
      </c>
      <c r="C13" s="7">
        <f t="shared" si="2"/>
        <v>2024</v>
      </c>
      <c r="D13" s="55">
        <f t="shared" si="3"/>
        <v>1</v>
      </c>
      <c r="E13" s="61">
        <v>17.077999999999999</v>
      </c>
      <c r="F13" s="2">
        <v>55.17</v>
      </c>
      <c r="G13" s="2">
        <v>40.06</v>
      </c>
      <c r="H13" s="2">
        <v>12.82</v>
      </c>
      <c r="I13" s="2">
        <v>211.82</v>
      </c>
      <c r="J13" s="2">
        <v>14.23</v>
      </c>
      <c r="K13" s="2">
        <v>265.58</v>
      </c>
      <c r="L13" s="2">
        <v>155.34</v>
      </c>
      <c r="M13" s="2">
        <v>212.19</v>
      </c>
      <c r="N13" s="72">
        <f t="shared" si="5"/>
        <v>1.3968020584451457E-2</v>
      </c>
      <c r="O13" s="73">
        <f t="shared" si="6"/>
        <v>3.0045067601403019E-3</v>
      </c>
      <c r="P13" s="73">
        <f t="shared" si="7"/>
        <v>6.2794348508634634E-3</v>
      </c>
      <c r="Q13" s="73">
        <f t="shared" si="8"/>
        <v>1.5484922575387028E-2</v>
      </c>
      <c r="R13" s="73">
        <f t="shared" si="9"/>
        <v>8.5046066619418603E-3</v>
      </c>
      <c r="S13" s="73">
        <f t="shared" si="10"/>
        <v>1.817205950007672E-2</v>
      </c>
      <c r="T13" s="73">
        <f t="shared" si="11"/>
        <v>7.9734915048417232E-3</v>
      </c>
      <c r="U13" s="74">
        <f t="shared" si="12"/>
        <v>-2.5086497970621124E-3</v>
      </c>
      <c r="V13" s="18"/>
    </row>
    <row r="14" spans="1:24" x14ac:dyDescent="0.25">
      <c r="A14" s="54">
        <f t="shared" si="1"/>
        <v>10</v>
      </c>
      <c r="B14" s="1">
        <v>45309</v>
      </c>
      <c r="C14" s="7">
        <f t="shared" si="2"/>
        <v>2024</v>
      </c>
      <c r="D14" s="55">
        <f t="shared" si="3"/>
        <v>1</v>
      </c>
      <c r="E14" s="61">
        <v>17.146000000000001</v>
      </c>
      <c r="F14" s="2">
        <v>54.41</v>
      </c>
      <c r="G14" s="2">
        <v>39.94</v>
      </c>
      <c r="H14" s="2">
        <v>12.74</v>
      </c>
      <c r="I14" s="2">
        <v>208.59</v>
      </c>
      <c r="J14" s="2">
        <v>14.11</v>
      </c>
      <c r="K14" s="2">
        <v>260.83999999999997</v>
      </c>
      <c r="L14" s="2">
        <v>153.5</v>
      </c>
      <c r="M14" s="2">
        <v>211.88</v>
      </c>
      <c r="N14" s="72">
        <f t="shared" si="5"/>
        <v>-1.1015237745548578E-3</v>
      </c>
      <c r="O14" s="73">
        <f t="shared" si="6"/>
        <v>7.8002699055330638E-2</v>
      </c>
      <c r="P14" s="73">
        <f t="shared" si="7"/>
        <v>-8.5603112840466622E-3</v>
      </c>
      <c r="Q14" s="73">
        <f t="shared" si="8"/>
        <v>2.3546371936569166E-3</v>
      </c>
      <c r="R14" s="73">
        <f t="shared" si="9"/>
        <v>5.1415797317436729E-2</v>
      </c>
      <c r="S14" s="73">
        <f t="shared" si="10"/>
        <v>4.6217840086273387E-3</v>
      </c>
      <c r="T14" s="73">
        <f t="shared" si="11"/>
        <v>8.9742167471200673E-3</v>
      </c>
      <c r="U14" s="74">
        <f t="shared" si="12"/>
        <v>-1.9770351938028119E-2</v>
      </c>
      <c r="V14" s="19"/>
    </row>
    <row r="15" spans="1:24" x14ac:dyDescent="0.25">
      <c r="A15" s="54">
        <f t="shared" si="1"/>
        <v>11</v>
      </c>
      <c r="B15" s="1">
        <v>45308</v>
      </c>
      <c r="C15" s="7">
        <f t="shared" si="2"/>
        <v>2024</v>
      </c>
      <c r="D15" s="55">
        <f t="shared" si="3"/>
        <v>1</v>
      </c>
      <c r="E15" s="61">
        <v>17.193999999999999</v>
      </c>
      <c r="F15" s="2">
        <v>54.47</v>
      </c>
      <c r="G15" s="2">
        <v>37.049999999999997</v>
      </c>
      <c r="H15" s="2">
        <v>12.85</v>
      </c>
      <c r="I15" s="2">
        <v>208.1</v>
      </c>
      <c r="J15" s="2">
        <v>13.42</v>
      </c>
      <c r="K15" s="2">
        <v>259.64</v>
      </c>
      <c r="L15" s="2">
        <v>151.71</v>
      </c>
      <c r="M15" s="2">
        <v>215.55</v>
      </c>
      <c r="N15" s="72">
        <f t="shared" si="5"/>
        <v>-6.5657486777311869E-3</v>
      </c>
      <c r="O15" s="73">
        <f t="shared" si="6"/>
        <v>-6.3447927199191234E-2</v>
      </c>
      <c r="P15" s="73">
        <f t="shared" si="7"/>
        <v>3.90625E-3</v>
      </c>
      <c r="Q15" s="73">
        <f t="shared" si="8"/>
        <v>-3.888786255311294E-2</v>
      </c>
      <c r="R15" s="73">
        <f t="shared" si="9"/>
        <v>-4.8901488306165808E-2</v>
      </c>
      <c r="S15" s="73">
        <f t="shared" si="10"/>
        <v>-5.058246474555439E-3</v>
      </c>
      <c r="T15" s="73">
        <f t="shared" si="11"/>
        <v>-9.9278831723423888E-3</v>
      </c>
      <c r="U15" s="74">
        <f t="shared" si="12"/>
        <v>-2.0282134317020972E-2</v>
      </c>
      <c r="V15" s="18"/>
    </row>
    <row r="16" spans="1:24" x14ac:dyDescent="0.25">
      <c r="A16" s="54">
        <f t="shared" si="1"/>
        <v>12</v>
      </c>
      <c r="B16" s="1">
        <v>45307</v>
      </c>
      <c r="C16" s="7">
        <f t="shared" si="2"/>
        <v>2024</v>
      </c>
      <c r="D16" s="55">
        <f t="shared" si="3"/>
        <v>1</v>
      </c>
      <c r="E16" s="61">
        <v>17.202000000000002</v>
      </c>
      <c r="F16" s="2">
        <v>54.83</v>
      </c>
      <c r="G16" s="2">
        <v>39.56</v>
      </c>
      <c r="H16" s="2">
        <v>12.8</v>
      </c>
      <c r="I16" s="2">
        <v>216.52</v>
      </c>
      <c r="J16" s="2">
        <v>14.11</v>
      </c>
      <c r="K16" s="2">
        <v>260.95999999999998</v>
      </c>
      <c r="L16" s="2">
        <v>153.16</v>
      </c>
      <c r="M16" s="2">
        <v>219.91</v>
      </c>
      <c r="N16" s="72">
        <f t="shared" si="5"/>
        <v>-7.9609191242989708E-3</v>
      </c>
      <c r="O16" s="73">
        <f t="shared" si="6"/>
        <v>-2.8009828009827986E-2</v>
      </c>
      <c r="P16" s="73">
        <f t="shared" si="7"/>
        <v>-1.9908116385911168E-2</v>
      </c>
      <c r="Q16" s="73">
        <f t="shared" si="8"/>
        <v>-3.031931568811852E-2</v>
      </c>
      <c r="R16" s="73">
        <f t="shared" si="9"/>
        <v>-2.5552486187845336E-2</v>
      </c>
      <c r="S16" s="73">
        <f t="shared" si="10"/>
        <v>-3.3731995408597837E-2</v>
      </c>
      <c r="T16" s="73">
        <f t="shared" si="11"/>
        <v>9.632638661213111E-3</v>
      </c>
      <c r="U16" s="74">
        <f t="shared" si="12"/>
        <v>2.4006586875910507E-2</v>
      </c>
      <c r="V16" s="19"/>
    </row>
    <row r="17" spans="1:22" x14ac:dyDescent="0.25">
      <c r="A17" s="54">
        <f t="shared" si="1"/>
        <v>13</v>
      </c>
      <c r="B17" s="1">
        <v>45306</v>
      </c>
      <c r="C17" s="7">
        <f t="shared" si="2"/>
        <v>2024</v>
      </c>
      <c r="D17" s="55">
        <f t="shared" si="3"/>
        <v>1</v>
      </c>
      <c r="E17" s="61">
        <v>16.876999999999999</v>
      </c>
      <c r="F17" s="2">
        <v>55.27</v>
      </c>
      <c r="G17" s="2">
        <v>40.700000000000003</v>
      </c>
      <c r="H17" s="2">
        <v>13.06</v>
      </c>
      <c r="I17" s="2">
        <v>223.29</v>
      </c>
      <c r="J17" s="2">
        <v>14.48</v>
      </c>
      <c r="K17" s="2">
        <v>270.07</v>
      </c>
      <c r="L17" s="2">
        <v>154.62</v>
      </c>
      <c r="M17" s="2">
        <v>218.89</v>
      </c>
      <c r="N17" s="72">
        <f t="shared" si="5"/>
        <v>-1.0844026748598745E-3</v>
      </c>
      <c r="O17" s="73">
        <f t="shared" si="6"/>
        <v>2.1329987452948673E-2</v>
      </c>
      <c r="P17" s="73">
        <f t="shared" si="7"/>
        <v>-1.2102874432677768E-2</v>
      </c>
      <c r="Q17" s="73">
        <f t="shared" si="8"/>
        <v>-8.1730555678941608E-3</v>
      </c>
      <c r="R17" s="73">
        <f t="shared" si="9"/>
        <v>9.7629009762900676E-3</v>
      </c>
      <c r="S17" s="73">
        <f t="shared" si="10"/>
        <v>7.535907479947701E-3</v>
      </c>
      <c r="T17" s="73">
        <f t="shared" si="11"/>
        <v>9.4893541308316287E-4</v>
      </c>
      <c r="U17" s="74">
        <f t="shared" si="12"/>
        <v>9.4893541308316287E-4</v>
      </c>
      <c r="V17" s="19"/>
    </row>
    <row r="18" spans="1:22" x14ac:dyDescent="0.25">
      <c r="A18" s="54">
        <f t="shared" si="1"/>
        <v>14</v>
      </c>
      <c r="B18" s="1">
        <v>45303</v>
      </c>
      <c r="C18" s="7">
        <f t="shared" si="2"/>
        <v>2024</v>
      </c>
      <c r="D18" s="55">
        <f t="shared" si="3"/>
        <v>1</v>
      </c>
      <c r="E18" s="61">
        <v>16.861000000000001</v>
      </c>
      <c r="F18" s="2">
        <v>55.33</v>
      </c>
      <c r="G18" s="2">
        <v>39.85</v>
      </c>
      <c r="H18" s="2">
        <v>13.22</v>
      </c>
      <c r="I18" s="2">
        <v>225.13</v>
      </c>
      <c r="J18" s="2">
        <v>14.34</v>
      </c>
      <c r="K18" s="2">
        <v>268.05</v>
      </c>
      <c r="L18" s="2">
        <v>154.62</v>
      </c>
      <c r="M18" s="2">
        <v>218.89</v>
      </c>
      <c r="N18" s="72">
        <f t="shared" si="5"/>
        <v>2.9001268805508573E-3</v>
      </c>
      <c r="O18" s="73">
        <f t="shared" si="6"/>
        <v>-3.6508704061895547E-2</v>
      </c>
      <c r="P18" s="73">
        <f t="shared" si="7"/>
        <v>0</v>
      </c>
      <c r="Q18" s="73">
        <f t="shared" si="8"/>
        <v>-4.5102807870882611E-3</v>
      </c>
      <c r="R18" s="73">
        <f t="shared" si="9"/>
        <v>-3.5642232683254838E-2</v>
      </c>
      <c r="S18" s="73">
        <f t="shared" si="10"/>
        <v>-1.5318492395856365E-2</v>
      </c>
      <c r="T18" s="73">
        <f t="shared" si="11"/>
        <v>-6.4959491920600909E-3</v>
      </c>
      <c r="U18" s="74">
        <f t="shared" si="12"/>
        <v>-3.9451967995545956E-2</v>
      </c>
    </row>
    <row r="19" spans="1:22" x14ac:dyDescent="0.25">
      <c r="A19" s="54">
        <f t="shared" si="1"/>
        <v>15</v>
      </c>
      <c r="B19" s="1">
        <v>45302</v>
      </c>
      <c r="C19" s="7">
        <f t="shared" si="2"/>
        <v>2024</v>
      </c>
      <c r="D19" s="55">
        <f t="shared" si="3"/>
        <v>1</v>
      </c>
      <c r="E19" s="61">
        <v>16.91</v>
      </c>
      <c r="F19" s="2">
        <v>55.17</v>
      </c>
      <c r="G19" s="2">
        <v>41.36</v>
      </c>
      <c r="H19" s="2">
        <v>13.22</v>
      </c>
      <c r="I19" s="2">
        <v>226.15</v>
      </c>
      <c r="J19" s="2">
        <v>14.87</v>
      </c>
      <c r="K19" s="2">
        <v>272.22000000000003</v>
      </c>
      <c r="L19" s="2">
        <v>155.18</v>
      </c>
      <c r="M19" s="2">
        <v>227.22</v>
      </c>
      <c r="N19" s="72">
        <f t="shared" si="5"/>
        <v>2.5440668726148807E-3</v>
      </c>
      <c r="O19" s="73">
        <f t="shared" si="6"/>
        <v>1.447142506745136E-2</v>
      </c>
      <c r="P19" s="73">
        <f t="shared" si="7"/>
        <v>-7.5075075075075048E-3</v>
      </c>
      <c r="Q19" s="73">
        <f t="shared" si="8"/>
        <v>-9.3306465743823175E-3</v>
      </c>
      <c r="R19" s="73">
        <f t="shared" si="9"/>
        <v>1.2942779291553075E-2</v>
      </c>
      <c r="S19" s="73">
        <f t="shared" si="10"/>
        <v>-1.0720645419195374E-2</v>
      </c>
      <c r="T19" s="73">
        <f t="shared" si="11"/>
        <v>7.0499805524264492E-3</v>
      </c>
      <c r="U19" s="74">
        <f t="shared" si="12"/>
        <v>-3.1017407836969046E-2</v>
      </c>
    </row>
    <row r="20" spans="1:22" x14ac:dyDescent="0.25">
      <c r="A20" s="54">
        <f t="shared" si="1"/>
        <v>16</v>
      </c>
      <c r="B20" s="1">
        <v>45301</v>
      </c>
      <c r="C20" s="7">
        <f t="shared" si="2"/>
        <v>2024</v>
      </c>
      <c r="D20" s="55">
        <f t="shared" si="3"/>
        <v>1</v>
      </c>
      <c r="E20" s="61">
        <v>16.95</v>
      </c>
      <c r="F20" s="2">
        <v>55.03</v>
      </c>
      <c r="G20" s="2">
        <v>40.770000000000003</v>
      </c>
      <c r="H20" s="2">
        <v>13.32</v>
      </c>
      <c r="I20" s="2">
        <v>228.28</v>
      </c>
      <c r="J20" s="2">
        <v>14.68</v>
      </c>
      <c r="K20" s="2">
        <v>275.17</v>
      </c>
      <c r="L20" s="2">
        <v>153.72999999999999</v>
      </c>
      <c r="M20" s="2">
        <v>233.94</v>
      </c>
      <c r="N20" s="72">
        <f t="shared" si="5"/>
        <v>3.4646243617797445E-3</v>
      </c>
      <c r="O20" s="73">
        <f t="shared" si="6"/>
        <v>-6.5789473684209065E-3</v>
      </c>
      <c r="P20" s="73">
        <f t="shared" si="7"/>
        <v>8.3270249810749597E-3</v>
      </c>
      <c r="Q20" s="73">
        <f t="shared" si="8"/>
        <v>-6.181976491075214E-3</v>
      </c>
      <c r="R20" s="73">
        <f t="shared" si="9"/>
        <v>-4.070556309362261E-3</v>
      </c>
      <c r="S20" s="73">
        <f t="shared" si="10"/>
        <v>7.1739687419933862E-3</v>
      </c>
      <c r="T20" s="73">
        <f t="shared" si="11"/>
        <v>1.4932278001282828E-2</v>
      </c>
      <c r="U20" s="74">
        <f t="shared" si="12"/>
        <v>-4.986895671672209E-3</v>
      </c>
    </row>
    <row r="21" spans="1:22" x14ac:dyDescent="0.25">
      <c r="A21" s="54">
        <f t="shared" si="1"/>
        <v>17</v>
      </c>
      <c r="B21" s="1">
        <v>45300</v>
      </c>
      <c r="C21" s="7">
        <f t="shared" si="2"/>
        <v>2024</v>
      </c>
      <c r="D21" s="55">
        <f t="shared" si="3"/>
        <v>1</v>
      </c>
      <c r="E21" s="61">
        <v>16.960999999999999</v>
      </c>
      <c r="F21" s="2">
        <v>54.84</v>
      </c>
      <c r="G21" s="2">
        <v>41.04</v>
      </c>
      <c r="H21" s="2">
        <v>13.21</v>
      </c>
      <c r="I21" s="2">
        <v>229.7</v>
      </c>
      <c r="J21" s="2">
        <v>14.74</v>
      </c>
      <c r="K21" s="2">
        <v>273.20999999999998</v>
      </c>
      <c r="L21" s="2">
        <v>151.37</v>
      </c>
      <c r="M21" s="2">
        <v>234.96</v>
      </c>
      <c r="N21" s="72">
        <f t="shared" si="5"/>
        <v>-1.8611309949892574E-2</v>
      </c>
      <c r="O21" s="73">
        <f t="shared" si="6"/>
        <v>-1.6299137104506256E-2</v>
      </c>
      <c r="P21" s="73">
        <f t="shared" si="7"/>
        <v>9.9388379204894406E-3</v>
      </c>
      <c r="Q21" s="73">
        <f t="shared" si="8"/>
        <v>-2.858834475175509E-2</v>
      </c>
      <c r="R21" s="73">
        <f t="shared" si="9"/>
        <v>-3.9113428943937434E-2</v>
      </c>
      <c r="S21" s="73">
        <f t="shared" si="10"/>
        <v>-5.2505635512398285E-2</v>
      </c>
      <c r="T21" s="73">
        <f t="shared" si="11"/>
        <v>2.3917810643767856E-2</v>
      </c>
      <c r="U21" s="74">
        <f t="shared" si="12"/>
        <v>-1.446493242308089E-2</v>
      </c>
    </row>
    <row r="22" spans="1:22" x14ac:dyDescent="0.25">
      <c r="A22" s="54">
        <f t="shared" si="1"/>
        <v>18</v>
      </c>
      <c r="B22" s="1">
        <v>45299</v>
      </c>
      <c r="C22" s="7">
        <f t="shared" si="2"/>
        <v>2024</v>
      </c>
      <c r="D22" s="55">
        <f t="shared" si="3"/>
        <v>1</v>
      </c>
      <c r="E22" s="61">
        <v>16.817</v>
      </c>
      <c r="F22" s="2">
        <v>55.88</v>
      </c>
      <c r="G22" s="2">
        <v>41.72</v>
      </c>
      <c r="H22" s="2">
        <v>13.08</v>
      </c>
      <c r="I22" s="2">
        <v>236.46</v>
      </c>
      <c r="J22" s="2">
        <v>15.34</v>
      </c>
      <c r="K22" s="2">
        <v>288.35000000000002</v>
      </c>
      <c r="L22" s="2">
        <v>149.1</v>
      </c>
      <c r="M22" s="2">
        <v>240.45</v>
      </c>
      <c r="N22" s="72">
        <f t="shared" si="5"/>
        <v>-8.9397461112095122E-4</v>
      </c>
      <c r="O22" s="73">
        <f t="shared" si="6"/>
        <v>-2.2950819672131195E-2</v>
      </c>
      <c r="P22" s="73">
        <f t="shared" si="7"/>
        <v>6.1538461538461764E-3</v>
      </c>
      <c r="Q22" s="73">
        <f t="shared" si="8"/>
        <v>2.9250457038391131E-2</v>
      </c>
      <c r="R22" s="73">
        <f t="shared" si="9"/>
        <v>3.2996632996632913E-2</v>
      </c>
      <c r="S22" s="73">
        <f t="shared" si="10"/>
        <v>1.346126810066095E-2</v>
      </c>
      <c r="T22" s="73">
        <f t="shared" si="11"/>
        <v>2.359423541755401E-2</v>
      </c>
      <c r="U22" s="74">
        <f t="shared" si="12"/>
        <v>9.5222193556683266E-3</v>
      </c>
    </row>
    <row r="23" spans="1:22" x14ac:dyDescent="0.25">
      <c r="A23" s="54">
        <f t="shared" si="1"/>
        <v>19</v>
      </c>
      <c r="B23" s="1">
        <v>45296</v>
      </c>
      <c r="C23" s="7">
        <f t="shared" si="2"/>
        <v>2024</v>
      </c>
      <c r="D23" s="55">
        <f t="shared" si="3"/>
        <v>1</v>
      </c>
      <c r="E23" s="61">
        <v>16.866</v>
      </c>
      <c r="F23" s="2">
        <v>55.93</v>
      </c>
      <c r="G23" s="2">
        <v>42.7</v>
      </c>
      <c r="H23" s="2">
        <v>13</v>
      </c>
      <c r="I23" s="2">
        <v>229.74</v>
      </c>
      <c r="J23" s="2">
        <v>14.85</v>
      </c>
      <c r="K23" s="2">
        <v>284.52</v>
      </c>
      <c r="L23" s="2">
        <v>145.24</v>
      </c>
      <c r="M23" s="2">
        <v>237.49</v>
      </c>
      <c r="N23" s="72">
        <f t="shared" si="5"/>
        <v>1.4695210449927387E-2</v>
      </c>
      <c r="O23" s="73">
        <f t="shared" si="6"/>
        <v>3.6659383345472252E-2</v>
      </c>
      <c r="P23" s="73">
        <f t="shared" si="7"/>
        <v>2.6045777426992878E-2</v>
      </c>
      <c r="Q23" s="73">
        <f t="shared" si="8"/>
        <v>-1.6946943032198902E-3</v>
      </c>
      <c r="R23" s="73">
        <f t="shared" si="9"/>
        <v>3.3783783783782884E-3</v>
      </c>
      <c r="S23" s="73">
        <f t="shared" si="10"/>
        <v>-2.8109627547445726E-4</v>
      </c>
      <c r="T23" s="73">
        <f t="shared" si="11"/>
        <v>-3.7532720219841664E-3</v>
      </c>
      <c r="U23" s="74">
        <f t="shared" si="12"/>
        <v>-1.0182855942475699E-2</v>
      </c>
    </row>
    <row r="24" spans="1:22" x14ac:dyDescent="0.25">
      <c r="A24" s="54">
        <f t="shared" si="1"/>
        <v>20</v>
      </c>
      <c r="B24" s="1">
        <v>45295</v>
      </c>
      <c r="C24" s="7">
        <f t="shared" si="2"/>
        <v>2024</v>
      </c>
      <c r="D24" s="55">
        <f t="shared" si="3"/>
        <v>1</v>
      </c>
      <c r="E24" s="61">
        <v>17.007999999999999</v>
      </c>
      <c r="F24" s="2">
        <v>55.12</v>
      </c>
      <c r="G24" s="2">
        <v>41.19</v>
      </c>
      <c r="H24" s="2">
        <v>12.67</v>
      </c>
      <c r="I24" s="2">
        <v>230.13</v>
      </c>
      <c r="J24" s="2">
        <v>14.8</v>
      </c>
      <c r="K24" s="2">
        <v>284.60000000000002</v>
      </c>
      <c r="L24" s="2">
        <v>144.57</v>
      </c>
      <c r="M24" s="2">
        <v>237.93</v>
      </c>
      <c r="N24" s="72">
        <f t="shared" si="5"/>
        <v>-5.9513074842201252E-3</v>
      </c>
      <c r="O24" s="73">
        <f t="shared" si="6"/>
        <v>-1.1044417767106851E-2</v>
      </c>
      <c r="P24" s="73">
        <f t="shared" si="7"/>
        <v>-7.8864353312302349E-4</v>
      </c>
      <c r="Q24" s="73">
        <f t="shared" si="8"/>
        <v>-2.0223092643051777E-2</v>
      </c>
      <c r="R24" s="73">
        <f t="shared" si="9"/>
        <v>-2.3746701846965701E-2</v>
      </c>
      <c r="S24" s="73">
        <f t="shared" si="10"/>
        <v>-7.7241766729851946E-4</v>
      </c>
      <c r="T24" s="73">
        <f t="shared" si="11"/>
        <v>-2.5981591662113557E-2</v>
      </c>
      <c r="U24" s="74">
        <f t="shared" si="12"/>
        <v>-1.8873262124736723E-3</v>
      </c>
    </row>
    <row r="25" spans="1:22" x14ac:dyDescent="0.25">
      <c r="A25" s="54">
        <f t="shared" si="1"/>
        <v>21</v>
      </c>
      <c r="B25" s="1">
        <v>45294</v>
      </c>
      <c r="C25" s="7">
        <f t="shared" si="2"/>
        <v>2024</v>
      </c>
      <c r="D25" s="55">
        <f t="shared" si="3"/>
        <v>1</v>
      </c>
      <c r="E25" s="61">
        <v>17.003</v>
      </c>
      <c r="F25" s="2">
        <v>55.45</v>
      </c>
      <c r="G25" s="2">
        <v>41.65</v>
      </c>
      <c r="H25" s="2">
        <v>12.68</v>
      </c>
      <c r="I25" s="2">
        <v>234.88</v>
      </c>
      <c r="J25" s="2">
        <v>15.16</v>
      </c>
      <c r="K25" s="2">
        <v>284.82</v>
      </c>
      <c r="L25" s="2">
        <v>148.47</v>
      </c>
      <c r="M25" s="2">
        <v>238.45</v>
      </c>
      <c r="N25" s="72">
        <f t="shared" si="5"/>
        <v>-2.1873346269183136E-2</v>
      </c>
      <c r="O25" s="73">
        <f t="shared" si="6"/>
        <v>-3.5656401944894611E-2</v>
      </c>
      <c r="P25" s="73">
        <f t="shared" si="7"/>
        <v>-2.4615384615384595E-2</v>
      </c>
      <c r="Q25" s="73">
        <f t="shared" si="8"/>
        <v>-5.3552000644719322E-2</v>
      </c>
      <c r="R25" s="73">
        <f t="shared" si="9"/>
        <v>-1.1089367253750759E-2</v>
      </c>
      <c r="S25" s="73">
        <f t="shared" si="10"/>
        <v>-2.4722640734146095E-2</v>
      </c>
      <c r="T25" s="73">
        <f t="shared" si="11"/>
        <v>-1.0378108271380082E-2</v>
      </c>
      <c r="U25" s="74">
        <f t="shared" si="12"/>
        <v>-4.0754223563735037E-2</v>
      </c>
    </row>
    <row r="26" spans="1:22" x14ac:dyDescent="0.25">
      <c r="A26" s="54">
        <f t="shared" si="1"/>
        <v>22</v>
      </c>
      <c r="B26" s="1">
        <v>45293</v>
      </c>
      <c r="C26" s="7">
        <f t="shared" si="2"/>
        <v>2024</v>
      </c>
      <c r="D26" s="55">
        <f t="shared" si="3"/>
        <v>1</v>
      </c>
      <c r="E26" s="61">
        <v>17.013999999999999</v>
      </c>
      <c r="F26" s="2">
        <v>56.69</v>
      </c>
      <c r="G26" s="2">
        <v>43.19</v>
      </c>
      <c r="H26" s="2">
        <v>13</v>
      </c>
      <c r="I26" s="2">
        <v>248.17</v>
      </c>
      <c r="J26" s="2">
        <v>15.33</v>
      </c>
      <c r="K26" s="2">
        <v>292.04000000000002</v>
      </c>
      <c r="L26" s="2">
        <v>149.93</v>
      </c>
      <c r="M26" s="2">
        <v>248.42</v>
      </c>
      <c r="N26" s="72">
        <f t="shared" si="5"/>
        <v>-7.528011204481766E-3</v>
      </c>
      <c r="O26" s="73">
        <f t="shared" si="6"/>
        <v>-1.1670480549199169E-2</v>
      </c>
      <c r="P26" s="73">
        <f t="shared" si="7"/>
        <v>-1.6641452344931973E-2</v>
      </c>
      <c r="Q26" s="73">
        <f t="shared" si="8"/>
        <v>-2.8198517563660097E-4</v>
      </c>
      <c r="R26" s="73">
        <f t="shared" si="9"/>
        <v>-4.1874999999999996E-2</v>
      </c>
      <c r="S26" s="73">
        <f t="shared" si="10"/>
        <v>-1.4809567182808681E-2</v>
      </c>
      <c r="T26" s="73">
        <f t="shared" si="11"/>
        <v>-9.736735235804983E-3</v>
      </c>
      <c r="U26" s="74">
        <f t="shared" si="12"/>
        <v>3.296665170503088E-3</v>
      </c>
    </row>
    <row r="27" spans="1:22" x14ac:dyDescent="0.25">
      <c r="A27" s="54">
        <f t="shared" si="1"/>
        <v>23</v>
      </c>
      <c r="B27" s="1">
        <v>45289</v>
      </c>
      <c r="C27" s="7">
        <f t="shared" si="2"/>
        <v>2023</v>
      </c>
      <c r="D27" s="55">
        <f t="shared" si="3"/>
        <v>12</v>
      </c>
      <c r="E27" s="61">
        <v>16.954000000000001</v>
      </c>
      <c r="F27" s="2">
        <v>57.12</v>
      </c>
      <c r="G27" s="2">
        <v>43.7</v>
      </c>
      <c r="H27" s="2">
        <v>13.22</v>
      </c>
      <c r="I27" s="2">
        <v>248.24</v>
      </c>
      <c r="J27" s="2">
        <v>16</v>
      </c>
      <c r="K27" s="2">
        <v>296.43</v>
      </c>
      <c r="L27" s="2">
        <v>151.94</v>
      </c>
      <c r="M27" s="2">
        <v>248.48</v>
      </c>
      <c r="N27" s="72">
        <f t="shared" si="5"/>
        <v>-1.3986013986014845E-3</v>
      </c>
      <c r="O27" s="73">
        <f t="shared" si="6"/>
        <v>5.9852670349909154E-3</v>
      </c>
      <c r="P27" s="73">
        <f t="shared" si="7"/>
        <v>-1.4903129657227954E-2</v>
      </c>
      <c r="Q27" s="73">
        <f t="shared" si="8"/>
        <v>-1.4333928925947981E-2</v>
      </c>
      <c r="R27" s="73">
        <f t="shared" si="9"/>
        <v>-9.2879256965943124E-3</v>
      </c>
      <c r="S27" s="73">
        <f t="shared" si="10"/>
        <v>-1.650276168664977E-3</v>
      </c>
      <c r="T27" s="73">
        <f t="shared" si="11"/>
        <v>-7.9255555758128704E-3</v>
      </c>
      <c r="U27" s="74">
        <f t="shared" si="12"/>
        <v>-1.7114526041674516E-2</v>
      </c>
    </row>
    <row r="28" spans="1:22" x14ac:dyDescent="0.25">
      <c r="A28" s="54">
        <f t="shared" si="1"/>
        <v>24</v>
      </c>
      <c r="B28" s="1">
        <v>45288</v>
      </c>
      <c r="C28" s="7">
        <f t="shared" si="2"/>
        <v>2023</v>
      </c>
      <c r="D28" s="55">
        <f t="shared" si="3"/>
        <v>12</v>
      </c>
      <c r="E28" s="61">
        <v>16.928999999999998</v>
      </c>
      <c r="F28" s="2">
        <v>57.2</v>
      </c>
      <c r="G28" s="2">
        <v>43.44</v>
      </c>
      <c r="H28" s="2">
        <v>13.42</v>
      </c>
      <c r="I28" s="2">
        <v>251.85</v>
      </c>
      <c r="J28" s="2">
        <v>16.149999999999999</v>
      </c>
      <c r="K28" s="2">
        <v>296.92</v>
      </c>
      <c r="L28" s="2">
        <v>153.38</v>
      </c>
      <c r="M28" s="2">
        <v>253.18</v>
      </c>
      <c r="N28" s="72">
        <f t="shared" si="5"/>
        <v>-2.4415765608650775E-3</v>
      </c>
      <c r="O28" s="73">
        <f t="shared" si="6"/>
        <v>1.1173184357541777E-2</v>
      </c>
      <c r="P28" s="73">
        <f t="shared" si="7"/>
        <v>-2.4709302325581439E-2</v>
      </c>
      <c r="Q28" s="73">
        <f t="shared" si="8"/>
        <v>-3.4031102845158978E-3</v>
      </c>
      <c r="R28" s="73">
        <f t="shared" si="9"/>
        <v>-3.0864197530864335E-3</v>
      </c>
      <c r="S28" s="73">
        <f t="shared" si="10"/>
        <v>-6.6575223311364784E-3</v>
      </c>
      <c r="T28" s="73">
        <f t="shared" si="11"/>
        <v>9.1122289080081131E-4</v>
      </c>
      <c r="U28" s="74">
        <f t="shared" si="12"/>
        <v>-3.0964594610941365E-2</v>
      </c>
    </row>
    <row r="29" spans="1:22" x14ac:dyDescent="0.25">
      <c r="A29" s="54">
        <f t="shared" si="1"/>
        <v>25</v>
      </c>
      <c r="B29" s="1">
        <v>45287</v>
      </c>
      <c r="C29" s="7">
        <f t="shared" si="2"/>
        <v>2023</v>
      </c>
      <c r="D29" s="55">
        <f t="shared" si="3"/>
        <v>12</v>
      </c>
      <c r="E29" s="61">
        <v>16.917999999999999</v>
      </c>
      <c r="F29" s="2">
        <v>57.34</v>
      </c>
      <c r="G29" s="2">
        <v>42.96</v>
      </c>
      <c r="H29" s="2">
        <v>13.76</v>
      </c>
      <c r="I29" s="2">
        <v>252.71</v>
      </c>
      <c r="J29" s="2">
        <v>16.2</v>
      </c>
      <c r="K29" s="2">
        <v>298.91000000000003</v>
      </c>
      <c r="L29" s="2">
        <v>153.34</v>
      </c>
      <c r="M29" s="2">
        <v>261.44</v>
      </c>
      <c r="N29" s="72">
        <f t="shared" si="5"/>
        <v>-6.755586350251086E-3</v>
      </c>
      <c r="O29" s="73">
        <f t="shared" si="6"/>
        <v>-2.0905923344947119E-3</v>
      </c>
      <c r="P29" s="73">
        <f t="shared" si="7"/>
        <v>-2.17548948513413E-3</v>
      </c>
      <c r="Q29" s="73">
        <f t="shared" si="8"/>
        <v>1.8170829975826086E-2</v>
      </c>
      <c r="R29" s="73">
        <f t="shared" si="9"/>
        <v>2.5316455696202445E-2</v>
      </c>
      <c r="S29" s="73">
        <f t="shared" si="10"/>
        <v>-6.2502077861631422E-3</v>
      </c>
      <c r="T29" s="73">
        <f t="shared" si="11"/>
        <v>-3.8126406477239083E-3</v>
      </c>
      <c r="U29" s="74">
        <f t="shared" si="12"/>
        <v>1.540125502910672E-2</v>
      </c>
    </row>
    <row r="30" spans="1:22" x14ac:dyDescent="0.25">
      <c r="A30" s="54">
        <f t="shared" si="1"/>
        <v>26</v>
      </c>
      <c r="B30" s="1">
        <v>45286</v>
      </c>
      <c r="C30" s="7">
        <f t="shared" si="2"/>
        <v>2023</v>
      </c>
      <c r="D30" s="55">
        <f t="shared" si="3"/>
        <v>12</v>
      </c>
      <c r="E30" s="61">
        <v>16.975000000000001</v>
      </c>
      <c r="F30" s="2">
        <v>57.73</v>
      </c>
      <c r="G30" s="2">
        <v>43.05</v>
      </c>
      <c r="H30" s="2">
        <v>13.79</v>
      </c>
      <c r="I30" s="2">
        <v>248.2</v>
      </c>
      <c r="J30" s="2">
        <v>15.8</v>
      </c>
      <c r="K30" s="2">
        <v>300.79000000000002</v>
      </c>
      <c r="L30" s="2">
        <v>153.41</v>
      </c>
      <c r="M30" s="2">
        <v>256.61</v>
      </c>
      <c r="N30" s="72">
        <f t="shared" si="5"/>
        <v>7.5043630017452845E-3</v>
      </c>
      <c r="O30" s="73">
        <f t="shared" si="6"/>
        <v>8.4328882642303871E-3</v>
      </c>
      <c r="P30" s="73">
        <f t="shared" si="7"/>
        <v>-9.339080459770166E-3</v>
      </c>
      <c r="Q30" s="73">
        <f t="shared" si="8"/>
        <v>3.6798900076833174E-3</v>
      </c>
      <c r="R30" s="73">
        <f t="shared" si="9"/>
        <v>-1.6801493466085837E-2</v>
      </c>
      <c r="S30" s="73">
        <f t="shared" si="10"/>
        <v>-1.6595306847223545E-3</v>
      </c>
      <c r="T30" s="73">
        <f t="shared" si="11"/>
        <v>3.4733381433582622E-4</v>
      </c>
      <c r="U30" s="74">
        <f t="shared" si="12"/>
        <v>1.6535448686232579E-2</v>
      </c>
    </row>
    <row r="31" spans="1:22" x14ac:dyDescent="0.25">
      <c r="A31" s="54">
        <f t="shared" si="1"/>
        <v>27</v>
      </c>
      <c r="B31" s="1">
        <v>45282</v>
      </c>
      <c r="C31" s="7">
        <f t="shared" si="2"/>
        <v>2023</v>
      </c>
      <c r="D31" s="55">
        <f t="shared" si="3"/>
        <v>12</v>
      </c>
      <c r="E31" s="61">
        <v>16.968</v>
      </c>
      <c r="F31" s="2">
        <v>57.3</v>
      </c>
      <c r="G31" s="2">
        <v>42.69</v>
      </c>
      <c r="H31" s="2">
        <v>13.92</v>
      </c>
      <c r="I31" s="2">
        <v>247.29</v>
      </c>
      <c r="J31" s="2">
        <v>16.07</v>
      </c>
      <c r="K31" s="2">
        <v>301.29000000000002</v>
      </c>
      <c r="L31" s="2">
        <v>153.41999999999999</v>
      </c>
      <c r="M31" s="2">
        <v>252.54</v>
      </c>
      <c r="N31" s="72">
        <f t="shared" si="5"/>
        <v>-2.9580650774316819E-3</v>
      </c>
      <c r="O31" s="73">
        <f t="shared" si="6"/>
        <v>2.0559407124073559E-2</v>
      </c>
      <c r="P31" s="73">
        <f t="shared" si="7"/>
        <v>1.2363636363636354E-2</v>
      </c>
      <c r="Q31" s="73">
        <f t="shared" si="8"/>
        <v>1.6859245857148819E-2</v>
      </c>
      <c r="R31" s="73">
        <f t="shared" si="9"/>
        <v>1.8377693282636276E-2</v>
      </c>
      <c r="S31" s="73">
        <f t="shared" si="10"/>
        <v>6.8506884106402932E-3</v>
      </c>
      <c r="T31" s="73">
        <f t="shared" si="11"/>
        <v>-5.8938134754857874E-3</v>
      </c>
      <c r="U31" s="74">
        <f t="shared" si="12"/>
        <v>-1.084930884543478E-2</v>
      </c>
    </row>
    <row r="32" spans="1:22" x14ac:dyDescent="0.25">
      <c r="A32" s="54">
        <f t="shared" si="1"/>
        <v>28</v>
      </c>
      <c r="B32" s="1">
        <v>45281</v>
      </c>
      <c r="C32" s="7">
        <f t="shared" si="2"/>
        <v>2023</v>
      </c>
      <c r="D32" s="55">
        <f t="shared" si="3"/>
        <v>12</v>
      </c>
      <c r="E32" s="61">
        <v>17.021999999999998</v>
      </c>
      <c r="F32" s="2">
        <v>57.47</v>
      </c>
      <c r="G32" s="2">
        <v>41.83</v>
      </c>
      <c r="H32" s="2">
        <v>13.75</v>
      </c>
      <c r="I32" s="2">
        <v>243.19</v>
      </c>
      <c r="J32" s="2">
        <v>15.78</v>
      </c>
      <c r="K32" s="2">
        <v>299.24</v>
      </c>
      <c r="L32" s="2">
        <v>153.84</v>
      </c>
      <c r="M32" s="2">
        <v>254.5</v>
      </c>
      <c r="N32" s="72">
        <f t="shared" si="5"/>
        <v>9.4853328649218138E-3</v>
      </c>
      <c r="O32" s="73">
        <f t="shared" si="6"/>
        <v>-1.1344835736232683E-2</v>
      </c>
      <c r="P32" s="73">
        <f t="shared" si="7"/>
        <v>2.2304832713754719E-2</v>
      </c>
      <c r="Q32" s="73">
        <f t="shared" si="8"/>
        <v>4.3778135712220223E-3</v>
      </c>
      <c r="R32" s="73">
        <f t="shared" si="9"/>
        <v>2.3346303501945442E-2</v>
      </c>
      <c r="S32" s="73">
        <f t="shared" si="10"/>
        <v>-6.8370394955193925E-3</v>
      </c>
      <c r="T32" s="73">
        <f t="shared" si="11"/>
        <v>4.262511932236146E-3</v>
      </c>
      <c r="U32" s="74">
        <f t="shared" si="12"/>
        <v>2.2607658884961523E-2</v>
      </c>
    </row>
    <row r="33" spans="1:21" x14ac:dyDescent="0.25">
      <c r="A33" s="54">
        <f t="shared" si="1"/>
        <v>29</v>
      </c>
      <c r="B33" s="1">
        <v>45280</v>
      </c>
      <c r="C33" s="7">
        <f t="shared" si="2"/>
        <v>2023</v>
      </c>
      <c r="D33" s="55">
        <f t="shared" si="3"/>
        <v>12</v>
      </c>
      <c r="E33" s="61">
        <v>17.141400000000001</v>
      </c>
      <c r="F33" s="2">
        <v>56.93</v>
      </c>
      <c r="G33" s="2">
        <v>42.31</v>
      </c>
      <c r="H33" s="2">
        <v>13.45</v>
      </c>
      <c r="I33" s="2">
        <v>242.13</v>
      </c>
      <c r="J33" s="2">
        <v>15.42</v>
      </c>
      <c r="K33" s="2">
        <v>301.3</v>
      </c>
      <c r="L33" s="2">
        <v>152.12</v>
      </c>
      <c r="M33" s="2">
        <v>247.14</v>
      </c>
      <c r="N33" s="72">
        <f t="shared" si="5"/>
        <v>-1.317386028774481E-2</v>
      </c>
      <c r="O33" s="73">
        <f t="shared" si="6"/>
        <v>3.4474327628361889E-2</v>
      </c>
      <c r="P33" s="73">
        <f t="shared" si="7"/>
        <v>-1.1029411764705954E-2</v>
      </c>
      <c r="Q33" s="73">
        <f t="shared" si="8"/>
        <v>-2.0905782450465038E-2</v>
      </c>
      <c r="R33" s="73">
        <f t="shared" si="9"/>
        <v>-3.2622333751568311E-2</v>
      </c>
      <c r="S33" s="73">
        <f t="shared" si="10"/>
        <v>-1.1709909141601305E-2</v>
      </c>
      <c r="T33" s="73">
        <f t="shared" si="11"/>
        <v>-6.4887986236149553E-3</v>
      </c>
      <c r="U33" s="74">
        <f t="shared" si="12"/>
        <v>-3.4943241391815483E-2</v>
      </c>
    </row>
    <row r="34" spans="1:21" x14ac:dyDescent="0.25">
      <c r="A34" s="54">
        <f t="shared" si="1"/>
        <v>30</v>
      </c>
      <c r="B34" s="1">
        <v>45279</v>
      </c>
      <c r="C34" s="7">
        <f t="shared" si="2"/>
        <v>2023</v>
      </c>
      <c r="D34" s="55">
        <f t="shared" si="3"/>
        <v>12</v>
      </c>
      <c r="E34" s="61">
        <v>17.065999999999999</v>
      </c>
      <c r="F34" s="2">
        <v>57.69</v>
      </c>
      <c r="G34" s="2">
        <v>40.9</v>
      </c>
      <c r="H34" s="2">
        <v>13.6</v>
      </c>
      <c r="I34" s="2">
        <v>247.3</v>
      </c>
      <c r="J34" s="2">
        <v>15.94</v>
      </c>
      <c r="K34" s="2">
        <v>304.87</v>
      </c>
      <c r="L34" s="2">
        <v>153.79</v>
      </c>
      <c r="M34" s="2">
        <v>257.22000000000003</v>
      </c>
      <c r="N34" s="72">
        <f t="shared" si="5"/>
        <v>-1.0389610389610615E-3</v>
      </c>
      <c r="O34" s="73">
        <f t="shared" si="6"/>
        <v>5.2225366606637458E-2</v>
      </c>
      <c r="P34" s="73">
        <f t="shared" si="7"/>
        <v>7.3583517292119538E-4</v>
      </c>
      <c r="Q34" s="73">
        <f t="shared" si="8"/>
        <v>-2.614790895487118E-2</v>
      </c>
      <c r="R34" s="73">
        <f t="shared" si="9"/>
        <v>2.515723270440251E-3</v>
      </c>
      <c r="S34" s="73">
        <f t="shared" si="10"/>
        <v>-1.1189673066943406E-2</v>
      </c>
      <c r="T34" s="73">
        <f t="shared" si="11"/>
        <v>-7.1348218952123066E-3</v>
      </c>
      <c r="U34" s="74">
        <f t="shared" si="12"/>
        <v>1.495458238572378E-2</v>
      </c>
    </row>
    <row r="35" spans="1:21" x14ac:dyDescent="0.25">
      <c r="A35" s="54">
        <f t="shared" si="1"/>
        <v>31</v>
      </c>
      <c r="B35" s="1">
        <v>45278</v>
      </c>
      <c r="C35" s="7">
        <f t="shared" si="2"/>
        <v>2023</v>
      </c>
      <c r="D35" s="55">
        <f t="shared" si="3"/>
        <v>12</v>
      </c>
      <c r="E35" s="61">
        <v>17.157399999999999</v>
      </c>
      <c r="F35" s="2">
        <v>57.75</v>
      </c>
      <c r="G35" s="2">
        <v>38.869999999999997</v>
      </c>
      <c r="H35" s="2">
        <v>13.59</v>
      </c>
      <c r="I35" s="2">
        <v>253.94</v>
      </c>
      <c r="J35" s="2">
        <v>15.9</v>
      </c>
      <c r="K35" s="2">
        <v>308.32</v>
      </c>
      <c r="L35" s="2">
        <v>154.07</v>
      </c>
      <c r="M35" s="2">
        <v>252.08</v>
      </c>
      <c r="N35" s="72">
        <f t="shared" si="5"/>
        <v>1.0675533776688839E-2</v>
      </c>
      <c r="O35" s="73">
        <f t="shared" si="6"/>
        <v>1.8872870249017071E-2</v>
      </c>
      <c r="P35" s="73">
        <f t="shared" si="7"/>
        <v>5.177514792899407E-3</v>
      </c>
      <c r="Q35" s="73">
        <f t="shared" si="8"/>
        <v>-3.8324623191698826E-2</v>
      </c>
      <c r="R35" s="73">
        <f t="shared" si="9"/>
        <v>-2.5094102885820924E-3</v>
      </c>
      <c r="S35" s="73">
        <f t="shared" si="10"/>
        <v>5.8723737439645429E-3</v>
      </c>
      <c r="T35" s="73">
        <f t="shared" si="11"/>
        <v>2.5748530370257594E-2</v>
      </c>
      <c r="U35" s="74">
        <f t="shared" si="12"/>
        <v>-7.1408585207467512E-3</v>
      </c>
    </row>
    <row r="36" spans="1:21" x14ac:dyDescent="0.25">
      <c r="A36" s="54">
        <f t="shared" si="1"/>
        <v>32</v>
      </c>
      <c r="B36" s="1">
        <v>45275</v>
      </c>
      <c r="C36" s="7">
        <f t="shared" si="2"/>
        <v>2023</v>
      </c>
      <c r="D36" s="55">
        <f t="shared" si="3"/>
        <v>12</v>
      </c>
      <c r="E36" s="61">
        <v>17.184000000000001</v>
      </c>
      <c r="F36" s="2">
        <v>57.14</v>
      </c>
      <c r="G36" s="2">
        <v>38.15</v>
      </c>
      <c r="H36" s="2">
        <v>13.52</v>
      </c>
      <c r="I36" s="2">
        <v>264.06</v>
      </c>
      <c r="J36" s="2">
        <v>15.94</v>
      </c>
      <c r="K36" s="2">
        <v>306.52</v>
      </c>
      <c r="L36" s="2">
        <v>149.97</v>
      </c>
      <c r="M36" s="2">
        <v>253.5</v>
      </c>
      <c r="N36" s="72">
        <f t="shared" si="5"/>
        <v>2.4561403508771562E-3</v>
      </c>
      <c r="O36" s="73">
        <f t="shared" si="6"/>
        <v>-1.4466546112115841E-2</v>
      </c>
      <c r="P36" s="73">
        <f t="shared" si="7"/>
        <v>-1.477104874446078E-3</v>
      </c>
      <c r="Q36" s="73">
        <f t="shared" si="8"/>
        <v>7.4011902945216868E-3</v>
      </c>
      <c r="R36" s="73">
        <f t="shared" si="9"/>
        <v>-9.9378881987578493E-3</v>
      </c>
      <c r="S36" s="73">
        <f t="shared" si="10"/>
        <v>3.0492519751218694E-2</v>
      </c>
      <c r="T36" s="73">
        <f t="shared" si="11"/>
        <v>1.7179130527204656E-2</v>
      </c>
      <c r="U36" s="74">
        <f t="shared" si="12"/>
        <v>9.6415026630964906E-3</v>
      </c>
    </row>
    <row r="37" spans="1:21" x14ac:dyDescent="0.25">
      <c r="A37" s="54">
        <f t="shared" si="1"/>
        <v>33</v>
      </c>
      <c r="B37" s="1">
        <v>45274</v>
      </c>
      <c r="C37" s="7">
        <f t="shared" si="2"/>
        <v>2023</v>
      </c>
      <c r="D37" s="55">
        <f t="shared" si="3"/>
        <v>12</v>
      </c>
      <c r="E37" s="61">
        <v>17.186</v>
      </c>
      <c r="F37" s="2">
        <v>57</v>
      </c>
      <c r="G37" s="2">
        <v>38.71</v>
      </c>
      <c r="H37" s="2">
        <v>13.54</v>
      </c>
      <c r="I37" s="2">
        <v>262.12</v>
      </c>
      <c r="J37" s="2">
        <v>16.100000000000001</v>
      </c>
      <c r="K37" s="2">
        <v>297.45</v>
      </c>
      <c r="L37" s="2">
        <v>147.41999999999999</v>
      </c>
      <c r="M37" s="2">
        <v>251.05</v>
      </c>
      <c r="N37" s="72">
        <f t="shared" si="5"/>
        <v>3.3357505438723845E-2</v>
      </c>
      <c r="O37" s="73">
        <f t="shared" si="6"/>
        <v>3.7523452157598447E-2</v>
      </c>
      <c r="P37" s="73">
        <f t="shared" si="7"/>
        <v>5.0426687354538258E-2</v>
      </c>
      <c r="Q37" s="73">
        <f t="shared" si="8"/>
        <v>1.782316623306035E-2</v>
      </c>
      <c r="R37" s="73">
        <f t="shared" si="9"/>
        <v>9.0785907859078696E-2</v>
      </c>
      <c r="S37" s="73">
        <f t="shared" si="10"/>
        <v>0.17198581560283688</v>
      </c>
      <c r="T37" s="73">
        <f t="shared" si="11"/>
        <v>-1.2356374062111763E-2</v>
      </c>
      <c r="U37" s="74">
        <f t="shared" si="12"/>
        <v>4.6162613620171822E-2</v>
      </c>
    </row>
    <row r="38" spans="1:21" x14ac:dyDescent="0.25">
      <c r="A38" s="54">
        <f t="shared" si="1"/>
        <v>34</v>
      </c>
      <c r="B38" s="1">
        <v>45273</v>
      </c>
      <c r="C38" s="7">
        <f t="shared" si="2"/>
        <v>2023</v>
      </c>
      <c r="D38" s="55">
        <f t="shared" si="3"/>
        <v>12</v>
      </c>
      <c r="E38" s="61">
        <v>17.234999999999999</v>
      </c>
      <c r="F38" s="2">
        <v>55.16</v>
      </c>
      <c r="G38" s="2">
        <v>37.31</v>
      </c>
      <c r="H38" s="2">
        <v>12.89</v>
      </c>
      <c r="I38" s="2">
        <v>257.52999999999997</v>
      </c>
      <c r="J38" s="2">
        <v>14.76</v>
      </c>
      <c r="K38" s="2">
        <v>253.8</v>
      </c>
      <c r="L38" s="2">
        <v>148.84</v>
      </c>
      <c r="M38" s="2">
        <v>239.29</v>
      </c>
      <c r="N38" s="72">
        <f t="shared" si="5"/>
        <v>1.3039485766758396E-2</v>
      </c>
      <c r="O38" s="73">
        <f t="shared" si="6"/>
        <v>-2.406417112299386E-3</v>
      </c>
      <c r="P38" s="73">
        <f t="shared" si="7"/>
        <v>3.6173633440514497E-2</v>
      </c>
      <c r="Q38" s="73">
        <f t="shared" si="8"/>
        <v>-5.5220883534137233E-3</v>
      </c>
      <c r="R38" s="73">
        <f t="shared" si="9"/>
        <v>3.7245256500351376E-2</v>
      </c>
      <c r="S38" s="73">
        <f t="shared" si="10"/>
        <v>1.4307409479658029E-2</v>
      </c>
      <c r="T38" s="73">
        <f t="shared" si="11"/>
        <v>1.1971109313139383E-2</v>
      </c>
      <c r="U38" s="74">
        <f t="shared" si="12"/>
        <v>-9.947953817781241E-3</v>
      </c>
    </row>
    <row r="39" spans="1:21" x14ac:dyDescent="0.25">
      <c r="A39" s="54">
        <f t="shared" si="1"/>
        <v>35</v>
      </c>
      <c r="B39" s="1">
        <v>45271</v>
      </c>
      <c r="C39" s="7">
        <f t="shared" si="2"/>
        <v>2023</v>
      </c>
      <c r="D39" s="55">
        <f t="shared" si="3"/>
        <v>12</v>
      </c>
      <c r="E39" s="61">
        <v>17.375499999999999</v>
      </c>
      <c r="F39" s="2">
        <v>54.45</v>
      </c>
      <c r="G39" s="2">
        <v>37.4</v>
      </c>
      <c r="H39" s="2">
        <v>12.44</v>
      </c>
      <c r="I39" s="2">
        <v>258.95999999999998</v>
      </c>
      <c r="J39" s="2">
        <v>14.23</v>
      </c>
      <c r="K39" s="2">
        <v>250.22</v>
      </c>
      <c r="L39" s="2">
        <v>145.88999999999999</v>
      </c>
      <c r="M39" s="2">
        <v>239.74</v>
      </c>
      <c r="N39" s="72">
        <f t="shared" si="5"/>
        <v>1.1031439602868787E-3</v>
      </c>
      <c r="O39" s="73">
        <f t="shared" si="6"/>
        <v>-1.6017084890550537E-3</v>
      </c>
      <c r="P39" s="73">
        <f t="shared" si="7"/>
        <v>8.921330089213253E-3</v>
      </c>
      <c r="Q39" s="73">
        <f t="shared" si="8"/>
        <v>9.7087378640774435E-3</v>
      </c>
      <c r="R39" s="73">
        <f t="shared" si="9"/>
        <v>-2.2664835164835195E-2</v>
      </c>
      <c r="S39" s="73">
        <f t="shared" si="10"/>
        <v>-2.2730823308858117E-2</v>
      </c>
      <c r="T39" s="73">
        <f t="shared" si="11"/>
        <v>-8.7526262225057216E-3</v>
      </c>
      <c r="U39" s="74">
        <f t="shared" si="12"/>
        <v>-1.5198993899722235E-2</v>
      </c>
    </row>
    <row r="40" spans="1:21" x14ac:dyDescent="0.25">
      <c r="A40" s="54">
        <f t="shared" si="1"/>
        <v>36</v>
      </c>
      <c r="B40" s="1">
        <v>45268</v>
      </c>
      <c r="C40" s="7">
        <f t="shared" si="2"/>
        <v>2023</v>
      </c>
      <c r="D40" s="55">
        <f t="shared" si="3"/>
        <v>12</v>
      </c>
      <c r="E40" s="61">
        <v>17.347000000000001</v>
      </c>
      <c r="F40" s="2">
        <v>54.39</v>
      </c>
      <c r="G40" s="2">
        <v>37.46</v>
      </c>
      <c r="H40" s="2">
        <v>12.33</v>
      </c>
      <c r="I40" s="2">
        <v>256.47000000000003</v>
      </c>
      <c r="J40" s="2">
        <v>14.56</v>
      </c>
      <c r="K40" s="2">
        <v>256.04000000000002</v>
      </c>
      <c r="L40" s="2">
        <v>147.41999999999999</v>
      </c>
      <c r="M40" s="2">
        <v>243.84</v>
      </c>
      <c r="N40" s="72">
        <f t="shared" si="5"/>
        <v>-5.5126791620729865E-4</v>
      </c>
      <c r="O40" s="73">
        <f t="shared" si="6"/>
        <v>-6.8928950159066193E-3</v>
      </c>
      <c r="P40" s="73">
        <f t="shared" si="7"/>
        <v>8.1766148814390593E-3</v>
      </c>
      <c r="Q40" s="73">
        <f t="shared" si="8"/>
        <v>-1.0952142223593309E-2</v>
      </c>
      <c r="R40" s="73">
        <f t="shared" si="9"/>
        <v>-1.154107264086901E-2</v>
      </c>
      <c r="S40" s="73">
        <f t="shared" si="10"/>
        <v>-1.8665440190103855E-2</v>
      </c>
      <c r="T40" s="73">
        <f t="shared" si="11"/>
        <v>-2.4193127087539512E-3</v>
      </c>
      <c r="U40" s="74">
        <f t="shared" si="12"/>
        <v>-1.1578928696046598E-3</v>
      </c>
    </row>
    <row r="41" spans="1:21" x14ac:dyDescent="0.25">
      <c r="A41" s="54">
        <f t="shared" si="1"/>
        <v>37</v>
      </c>
      <c r="B41" s="1">
        <v>45267</v>
      </c>
      <c r="C41" s="7">
        <f t="shared" si="2"/>
        <v>2023</v>
      </c>
      <c r="D41" s="55">
        <f t="shared" si="3"/>
        <v>12</v>
      </c>
      <c r="E41" s="61">
        <v>17.452999999999999</v>
      </c>
      <c r="F41" s="2">
        <v>54.42</v>
      </c>
      <c r="G41" s="2">
        <v>37.72</v>
      </c>
      <c r="H41" s="2">
        <v>12.23</v>
      </c>
      <c r="I41" s="2">
        <v>259.31</v>
      </c>
      <c r="J41" s="2">
        <v>14.73</v>
      </c>
      <c r="K41" s="2">
        <v>260.91000000000003</v>
      </c>
      <c r="L41" s="2">
        <v>146.88</v>
      </c>
      <c r="M41" s="2">
        <v>242.64</v>
      </c>
      <c r="N41" s="72">
        <f t="shared" si="5"/>
        <v>6.8455134135061435E-3</v>
      </c>
      <c r="O41" s="73">
        <f t="shared" si="6"/>
        <v>4.2598509052182987E-3</v>
      </c>
      <c r="P41" s="73">
        <f t="shared" si="7"/>
        <v>7.4135090609555032E-3</v>
      </c>
      <c r="Q41" s="73">
        <f t="shared" si="8"/>
        <v>-5.5988035433522931E-3</v>
      </c>
      <c r="R41" s="73">
        <f t="shared" si="9"/>
        <v>-1.4056224899598346E-2</v>
      </c>
      <c r="S41" s="73">
        <f t="shared" si="10"/>
        <v>-1.1496895838114529E-4</v>
      </c>
      <c r="T41" s="73">
        <f t="shared" si="11"/>
        <v>2.7813540915668566E-2</v>
      </c>
      <c r="U41" s="74">
        <f t="shared" si="12"/>
        <v>2.5114322942201062E-2</v>
      </c>
    </row>
    <row r="42" spans="1:21" x14ac:dyDescent="0.25">
      <c r="A42" s="54">
        <f t="shared" si="1"/>
        <v>38</v>
      </c>
      <c r="B42" s="1">
        <v>45266</v>
      </c>
      <c r="C42" s="7">
        <f t="shared" si="2"/>
        <v>2023</v>
      </c>
      <c r="D42" s="55">
        <f t="shared" si="3"/>
        <v>12</v>
      </c>
      <c r="E42" s="61">
        <v>17.257999999999999</v>
      </c>
      <c r="F42" s="2">
        <v>54.05</v>
      </c>
      <c r="G42" s="2">
        <v>37.56</v>
      </c>
      <c r="H42" s="2">
        <v>12.14</v>
      </c>
      <c r="I42" s="2">
        <v>260.77</v>
      </c>
      <c r="J42" s="2">
        <v>14.94</v>
      </c>
      <c r="K42" s="2">
        <v>260.94</v>
      </c>
      <c r="L42" s="2">
        <v>144.52000000000001</v>
      </c>
      <c r="M42" s="2">
        <v>239.37</v>
      </c>
      <c r="N42" s="72">
        <f t="shared" si="5"/>
        <v>-9.2421441774503954E-4</v>
      </c>
      <c r="O42" s="73">
        <f t="shared" si="6"/>
        <v>1.18534482758621E-2</v>
      </c>
      <c r="P42" s="73">
        <f t="shared" si="7"/>
        <v>0</v>
      </c>
      <c r="Q42" s="73">
        <f t="shared" si="8"/>
        <v>-3.8346498964614284E-5</v>
      </c>
      <c r="R42" s="73">
        <f t="shared" si="9"/>
        <v>4.9894588896697067E-2</v>
      </c>
      <c r="S42" s="73">
        <f t="shared" si="10"/>
        <v>1.4968336211858002E-3</v>
      </c>
      <c r="T42" s="73">
        <f t="shared" si="11"/>
        <v>-2.2833754739447487E-2</v>
      </c>
      <c r="U42" s="74">
        <f t="shared" si="12"/>
        <v>-4.1725774407834759E-3</v>
      </c>
    </row>
    <row r="43" spans="1:21" x14ac:dyDescent="0.25">
      <c r="A43" s="54">
        <f t="shared" si="1"/>
        <v>39</v>
      </c>
      <c r="B43" s="1">
        <v>45265</v>
      </c>
      <c r="C43" s="7">
        <f t="shared" si="2"/>
        <v>2023</v>
      </c>
      <c r="D43" s="55">
        <f t="shared" si="3"/>
        <v>12</v>
      </c>
      <c r="E43" s="61">
        <v>17.377500000000001</v>
      </c>
      <c r="F43" s="2">
        <v>54.1</v>
      </c>
      <c r="G43" s="2">
        <v>37.119999999999997</v>
      </c>
      <c r="H43" s="2">
        <v>12.14</v>
      </c>
      <c r="I43" s="2">
        <v>260.77999999999997</v>
      </c>
      <c r="J43" s="2">
        <v>14.23</v>
      </c>
      <c r="K43" s="2">
        <v>260.55</v>
      </c>
      <c r="L43" s="2">
        <v>146.88</v>
      </c>
      <c r="M43" s="2">
        <v>238.72</v>
      </c>
      <c r="N43" s="72">
        <f t="shared" si="5"/>
        <v>1.1102886750555818E-3</v>
      </c>
      <c r="O43" s="73">
        <f t="shared" si="6"/>
        <v>1.8940433708481974E-2</v>
      </c>
      <c r="P43" s="73">
        <f t="shared" si="7"/>
        <v>-1.4610389610389629E-2</v>
      </c>
      <c r="Q43" s="73">
        <f t="shared" si="8"/>
        <v>4.2198948862526287E-4</v>
      </c>
      <c r="R43" s="73">
        <f t="shared" si="9"/>
        <v>2.4478041756659463E-2</v>
      </c>
      <c r="S43" s="73">
        <f t="shared" si="10"/>
        <v>-5.9516996680782919E-3</v>
      </c>
      <c r="T43" s="73">
        <f t="shared" si="11"/>
        <v>9.7439589923768999E-3</v>
      </c>
      <c r="U43" s="74">
        <f t="shared" si="12"/>
        <v>8.9914920525271391E-3</v>
      </c>
    </row>
    <row r="44" spans="1:21" x14ac:dyDescent="0.25">
      <c r="A44" s="54">
        <f t="shared" si="1"/>
        <v>40</v>
      </c>
      <c r="B44" s="1">
        <v>45264</v>
      </c>
      <c r="C44" s="7">
        <f t="shared" si="2"/>
        <v>2023</v>
      </c>
      <c r="D44" s="55">
        <f t="shared" si="3"/>
        <v>12</v>
      </c>
      <c r="E44" s="61">
        <v>17.452200000000001</v>
      </c>
      <c r="F44" s="2">
        <v>54.04</v>
      </c>
      <c r="G44" s="2">
        <v>36.43</v>
      </c>
      <c r="H44" s="2">
        <v>12.32</v>
      </c>
      <c r="I44" s="2">
        <v>260.67</v>
      </c>
      <c r="J44" s="2">
        <v>13.89</v>
      </c>
      <c r="K44" s="2">
        <v>262.11</v>
      </c>
      <c r="L44" s="2">
        <v>144.84</v>
      </c>
      <c r="M44" s="2">
        <v>235.58</v>
      </c>
      <c r="N44" s="72">
        <f t="shared" si="5"/>
        <v>4.2742984575356857E-3</v>
      </c>
      <c r="O44" s="73">
        <f t="shared" si="6"/>
        <v>-1.4606437652150417E-2</v>
      </c>
      <c r="P44" s="73">
        <f t="shared" si="7"/>
        <v>-8.110300081103361E-4</v>
      </c>
      <c r="Q44" s="73">
        <f t="shared" si="8"/>
        <v>2.1914648212226773E-3</v>
      </c>
      <c r="R44" s="73">
        <f t="shared" si="9"/>
        <v>1.5350877192982448E-2</v>
      </c>
      <c r="S44" s="73">
        <f t="shared" si="10"/>
        <v>6.8720650555498253E-4</v>
      </c>
      <c r="T44" s="73">
        <f t="shared" si="11"/>
        <v>1.2959165739057088E-3</v>
      </c>
      <c r="U44" s="74">
        <f t="shared" si="12"/>
        <v>2.6039815387142173E-3</v>
      </c>
    </row>
    <row r="45" spans="1:21" x14ac:dyDescent="0.25">
      <c r="A45" s="54">
        <f t="shared" si="1"/>
        <v>41</v>
      </c>
      <c r="B45" s="1">
        <v>45261</v>
      </c>
      <c r="C45" s="7">
        <f t="shared" si="2"/>
        <v>2023</v>
      </c>
      <c r="D45" s="55">
        <f t="shared" si="3"/>
        <v>12</v>
      </c>
      <c r="E45" s="61">
        <v>17.170000000000002</v>
      </c>
      <c r="F45" s="2">
        <v>53.81</v>
      </c>
      <c r="G45" s="2">
        <v>36.97</v>
      </c>
      <c r="H45" s="2">
        <v>12.33</v>
      </c>
      <c r="I45" s="2">
        <v>260.10000000000002</v>
      </c>
      <c r="J45" s="2">
        <v>13.68</v>
      </c>
      <c r="K45" s="2">
        <v>261.93</v>
      </c>
      <c r="L45" s="2">
        <v>147.03</v>
      </c>
      <c r="M45" s="2">
        <v>238.83</v>
      </c>
      <c r="N45" s="72">
        <f t="shared" si="5"/>
        <v>-3.1493145609483575E-3</v>
      </c>
      <c r="O45" s="73">
        <f t="shared" si="6"/>
        <v>-4.3091839482899408E-3</v>
      </c>
      <c r="P45" s="73">
        <f t="shared" si="7"/>
        <v>2.1541010770505409E-2</v>
      </c>
      <c r="Q45" s="73">
        <f t="shared" si="8"/>
        <v>2.1000981354269088E-2</v>
      </c>
      <c r="R45" s="73">
        <f t="shared" si="9"/>
        <v>-1.5827338129496438E-2</v>
      </c>
      <c r="S45" s="73">
        <f t="shared" si="10"/>
        <v>-9.9410341699425198E-3</v>
      </c>
      <c r="T45" s="73">
        <f t="shared" si="11"/>
        <v>-5.6346687741859469E-3</v>
      </c>
      <c r="U45" s="74">
        <f t="shared" si="12"/>
        <v>-1.7136058799347875E-2</v>
      </c>
    </row>
    <row r="46" spans="1:21" x14ac:dyDescent="0.25">
      <c r="A46" s="54">
        <f t="shared" si="1"/>
        <v>42</v>
      </c>
      <c r="B46" s="1">
        <v>45260</v>
      </c>
      <c r="C46" s="7">
        <f t="shared" si="2"/>
        <v>2023</v>
      </c>
      <c r="D46" s="55">
        <f t="shared" si="3"/>
        <v>11</v>
      </c>
      <c r="E46" s="61">
        <v>17.378399999999999</v>
      </c>
      <c r="F46" s="2">
        <v>53.98</v>
      </c>
      <c r="G46" s="2">
        <v>37.130000000000003</v>
      </c>
      <c r="H46" s="2">
        <v>12.07</v>
      </c>
      <c r="I46" s="2">
        <v>254.75</v>
      </c>
      <c r="J46" s="2">
        <v>13.9</v>
      </c>
      <c r="K46" s="2">
        <v>264.56</v>
      </c>
      <c r="L46" s="2">
        <v>146.09</v>
      </c>
      <c r="M46" s="2">
        <v>240.08</v>
      </c>
      <c r="N46" s="72">
        <f t="shared" si="5"/>
        <v>2.5261158594491961E-2</v>
      </c>
      <c r="O46" s="73">
        <f t="shared" si="6"/>
        <v>1.0615133369624496E-2</v>
      </c>
      <c r="P46" s="73">
        <f t="shared" si="7"/>
        <v>2.491694352159568E-3</v>
      </c>
      <c r="Q46" s="73">
        <f t="shared" si="8"/>
        <v>1.8592562974810045E-2</v>
      </c>
      <c r="R46" s="73">
        <f t="shared" si="9"/>
        <v>-4.2979942693409656E-3</v>
      </c>
      <c r="S46" s="73">
        <f t="shared" si="10"/>
        <v>4.2765362027511689E-2</v>
      </c>
      <c r="T46" s="73">
        <f t="shared" si="11"/>
        <v>4.3460836708779649E-3</v>
      </c>
      <c r="U46" s="74">
        <f t="shared" si="12"/>
        <v>-1.0801074381938114E-2</v>
      </c>
    </row>
    <row r="47" spans="1:21" x14ac:dyDescent="0.25">
      <c r="A47" s="54">
        <f t="shared" si="1"/>
        <v>43</v>
      </c>
      <c r="B47" s="1">
        <v>45259</v>
      </c>
      <c r="C47" s="7">
        <f t="shared" si="2"/>
        <v>2023</v>
      </c>
      <c r="D47" s="55">
        <f t="shared" si="3"/>
        <v>11</v>
      </c>
      <c r="E47" s="61">
        <v>17.276</v>
      </c>
      <c r="F47" s="2">
        <v>52.65</v>
      </c>
      <c r="G47" s="2">
        <v>36.74</v>
      </c>
      <c r="H47" s="2">
        <v>12.04</v>
      </c>
      <c r="I47" s="2">
        <v>250.1</v>
      </c>
      <c r="J47" s="2">
        <v>13.96</v>
      </c>
      <c r="K47" s="2">
        <v>253.71</v>
      </c>
      <c r="L47" s="2">
        <v>146.32</v>
      </c>
      <c r="M47" s="2">
        <v>244.14</v>
      </c>
      <c r="N47" s="72">
        <f t="shared" si="5"/>
        <v>6.8846815834766595E-3</v>
      </c>
      <c r="O47" s="73">
        <f t="shared" si="6"/>
        <v>-9.970358393963874E-3</v>
      </c>
      <c r="P47" s="73">
        <f t="shared" si="7"/>
        <v>3.3476394849785374E-2</v>
      </c>
      <c r="Q47" s="73">
        <f t="shared" si="8"/>
        <v>4.7056853386921116E-2</v>
      </c>
      <c r="R47" s="73">
        <f t="shared" si="9"/>
        <v>1.3798111837327598E-2</v>
      </c>
      <c r="S47" s="73">
        <f t="shared" si="10"/>
        <v>-8.286752921862206E-3</v>
      </c>
      <c r="T47" s="73">
        <f t="shared" si="11"/>
        <v>3.3249562737027727E-3</v>
      </c>
      <c r="U47" s="74">
        <f t="shared" si="12"/>
        <v>-2.3494106019797956E-3</v>
      </c>
    </row>
    <row r="48" spans="1:21" x14ac:dyDescent="0.25">
      <c r="A48" s="54">
        <f t="shared" si="1"/>
        <v>44</v>
      </c>
      <c r="B48" s="1">
        <v>45258</v>
      </c>
      <c r="C48" s="7">
        <f t="shared" si="2"/>
        <v>2023</v>
      </c>
      <c r="D48" s="55">
        <f t="shared" si="3"/>
        <v>11</v>
      </c>
      <c r="E48" s="61">
        <v>17.1356</v>
      </c>
      <c r="F48" s="2">
        <v>52.29</v>
      </c>
      <c r="G48" s="2">
        <v>37.11</v>
      </c>
      <c r="H48" s="2">
        <v>11.65</v>
      </c>
      <c r="I48" s="2">
        <v>238.86</v>
      </c>
      <c r="J48" s="2">
        <v>13.77</v>
      </c>
      <c r="K48" s="2">
        <v>255.83</v>
      </c>
      <c r="L48" s="2">
        <v>147.03</v>
      </c>
      <c r="M48" s="2">
        <v>246.72</v>
      </c>
      <c r="N48" s="72">
        <f t="shared" si="5"/>
        <v>-5.7339449541282672E-4</v>
      </c>
      <c r="O48" s="73">
        <f t="shared" si="6"/>
        <v>1.089621356578574E-2</v>
      </c>
      <c r="P48" s="73">
        <f t="shared" si="7"/>
        <v>1.0407632263660149E-2</v>
      </c>
      <c r="Q48" s="73">
        <f t="shared" si="8"/>
        <v>1.2891188194385617E-2</v>
      </c>
      <c r="R48" s="73">
        <f t="shared" si="9"/>
        <v>4.7945205479452024E-2</v>
      </c>
      <c r="S48" s="73">
        <f t="shared" si="10"/>
        <v>1.0466861521447157E-2</v>
      </c>
      <c r="T48" s="73">
        <f t="shared" si="11"/>
        <v>-6.414103676542604E-3</v>
      </c>
      <c r="U48" s="74">
        <f t="shared" si="12"/>
        <v>4.3309876516411272E-2</v>
      </c>
    </row>
    <row r="49" spans="1:21" x14ac:dyDescent="0.25">
      <c r="A49" s="54">
        <f t="shared" si="1"/>
        <v>45</v>
      </c>
      <c r="B49" s="1">
        <v>45257</v>
      </c>
      <c r="C49" s="7">
        <f t="shared" si="2"/>
        <v>2023</v>
      </c>
      <c r="D49" s="55">
        <f t="shared" si="3"/>
        <v>11</v>
      </c>
      <c r="E49" s="61">
        <v>17.1645</v>
      </c>
      <c r="F49" s="2">
        <v>52.32</v>
      </c>
      <c r="G49" s="2">
        <v>36.71</v>
      </c>
      <c r="H49" s="2">
        <v>11.53</v>
      </c>
      <c r="I49" s="2">
        <v>235.82</v>
      </c>
      <c r="J49" s="2">
        <v>13.14</v>
      </c>
      <c r="K49" s="2">
        <v>253.18</v>
      </c>
      <c r="L49" s="2">
        <v>147.72999999999999</v>
      </c>
      <c r="M49" s="2">
        <v>236.08</v>
      </c>
      <c r="N49" s="72">
        <f t="shared" si="5"/>
        <v>-1.1151011151011136E-2</v>
      </c>
      <c r="O49" s="73">
        <f t="shared" si="6"/>
        <v>-1.0884353741495989E-3</v>
      </c>
      <c r="P49" s="73">
        <f t="shared" si="7"/>
        <v>-3.1092436974790028E-2</v>
      </c>
      <c r="Q49" s="73">
        <f t="shared" si="8"/>
        <v>5.0329592018528269E-2</v>
      </c>
      <c r="R49" s="73">
        <f t="shared" si="9"/>
        <v>5.1200000000000134E-2</v>
      </c>
      <c r="S49" s="73">
        <f t="shared" si="10"/>
        <v>1.0134056814554926E-2</v>
      </c>
      <c r="T49" s="73">
        <f t="shared" si="11"/>
        <v>1.0544004313632449E-2</v>
      </c>
      <c r="U49" s="74">
        <f t="shared" si="12"/>
        <v>6.4577498109257281E-3</v>
      </c>
    </row>
    <row r="50" spans="1:21" x14ac:dyDescent="0.25">
      <c r="A50" s="54">
        <f t="shared" si="1"/>
        <v>46</v>
      </c>
      <c r="B50" s="1">
        <v>45254</v>
      </c>
      <c r="C50" s="7">
        <f t="shared" si="2"/>
        <v>2023</v>
      </c>
      <c r="D50" s="55">
        <f t="shared" si="3"/>
        <v>11</v>
      </c>
      <c r="E50" s="61">
        <v>17.100000000000001</v>
      </c>
      <c r="F50" s="2">
        <v>52.91</v>
      </c>
      <c r="G50" s="2">
        <v>36.75</v>
      </c>
      <c r="H50" s="2">
        <v>11.9</v>
      </c>
      <c r="I50" s="2">
        <v>224.52</v>
      </c>
      <c r="J50" s="2">
        <v>12.5</v>
      </c>
      <c r="K50" s="2">
        <v>250.64</v>
      </c>
      <c r="L50" s="2">
        <v>146.74</v>
      </c>
      <c r="M50" s="2">
        <v>235.45</v>
      </c>
      <c r="N50" s="72">
        <f t="shared" si="5"/>
        <v>2.2731577950367843E-3</v>
      </c>
      <c r="O50" s="73">
        <f t="shared" si="6"/>
        <v>-1.9011406844106071E-3</v>
      </c>
      <c r="P50" s="73">
        <f t="shared" si="7"/>
        <v>5.0675675675675436E-3</v>
      </c>
      <c r="Q50" s="73">
        <f t="shared" si="8"/>
        <v>9.486983498943502E-3</v>
      </c>
      <c r="R50" s="73">
        <f t="shared" si="9"/>
        <v>2.5430680885972112E-2</v>
      </c>
      <c r="S50" s="73">
        <f t="shared" si="10"/>
        <v>-8.034194799540928E-3</v>
      </c>
      <c r="T50" s="73">
        <f t="shared" si="11"/>
        <v>-4.3950931859511044E-3</v>
      </c>
      <c r="U50" s="74">
        <f t="shared" si="12"/>
        <v>6.7140904777751587E-4</v>
      </c>
    </row>
    <row r="51" spans="1:21" x14ac:dyDescent="0.25">
      <c r="A51" s="54">
        <f t="shared" si="1"/>
        <v>47</v>
      </c>
      <c r="B51" s="1">
        <v>45253</v>
      </c>
      <c r="C51" s="7">
        <f t="shared" si="2"/>
        <v>2023</v>
      </c>
      <c r="D51" s="55">
        <f t="shared" si="3"/>
        <v>11</v>
      </c>
      <c r="E51" s="61">
        <v>17.178999999999998</v>
      </c>
      <c r="F51" s="2">
        <v>52.79</v>
      </c>
      <c r="G51" s="2">
        <v>36.82</v>
      </c>
      <c r="H51" s="2">
        <v>11.84</v>
      </c>
      <c r="I51" s="2">
        <v>222.41</v>
      </c>
      <c r="J51" s="2">
        <v>12.19</v>
      </c>
      <c r="K51" s="2">
        <v>252.67</v>
      </c>
      <c r="L51" s="2">
        <v>146.71</v>
      </c>
      <c r="M51" s="2">
        <v>234.21</v>
      </c>
      <c r="N51" s="72">
        <f t="shared" si="5"/>
        <v>3.230710756366495E-3</v>
      </c>
      <c r="O51" s="73">
        <f t="shared" si="6"/>
        <v>3.2697547683921968E-3</v>
      </c>
      <c r="P51" s="73">
        <f t="shared" si="7"/>
        <v>1.5437392795883298E-2</v>
      </c>
      <c r="Q51" s="73">
        <f t="shared" si="8"/>
        <v>9.4403848772295351E-3</v>
      </c>
      <c r="R51" s="73">
        <f t="shared" si="9"/>
        <v>4.1880341880341954E-2</v>
      </c>
      <c r="S51" s="73">
        <f t="shared" si="10"/>
        <v>2.4157918203558726E-2</v>
      </c>
      <c r="T51" s="73">
        <f t="shared" si="11"/>
        <v>5.8213994644340517E-5</v>
      </c>
      <c r="U51" s="74">
        <f t="shared" si="12"/>
        <v>5.8213994644118472E-5</v>
      </c>
    </row>
    <row r="52" spans="1:21" x14ac:dyDescent="0.25">
      <c r="A52" s="54">
        <f t="shared" si="1"/>
        <v>48</v>
      </c>
      <c r="B52" s="1">
        <v>45252</v>
      </c>
      <c r="C52" s="7">
        <f t="shared" si="2"/>
        <v>2023</v>
      </c>
      <c r="D52" s="55">
        <f t="shared" si="3"/>
        <v>11</v>
      </c>
      <c r="E52" s="61">
        <v>17.178000000000001</v>
      </c>
      <c r="F52" s="2">
        <v>52.62</v>
      </c>
      <c r="G52" s="2">
        <v>36.700000000000003</v>
      </c>
      <c r="H52" s="2">
        <v>11.66</v>
      </c>
      <c r="I52" s="2">
        <v>220.33</v>
      </c>
      <c r="J52" s="2">
        <v>11.7</v>
      </c>
      <c r="K52" s="2">
        <v>246.71</v>
      </c>
      <c r="L52" s="2">
        <v>146.71</v>
      </c>
      <c r="M52" s="2">
        <v>234.21</v>
      </c>
      <c r="N52" s="72">
        <f t="shared" si="5"/>
        <v>3.8153376573826225E-3</v>
      </c>
      <c r="O52" s="73">
        <f t="shared" si="6"/>
        <v>1.6375545851528006E-3</v>
      </c>
      <c r="P52" s="73">
        <f t="shared" si="7"/>
        <v>-1.1026293469041493E-2</v>
      </c>
      <c r="Q52" s="73">
        <f t="shared" si="8"/>
        <v>-5.0997114183572223E-2</v>
      </c>
      <c r="R52" s="73">
        <f t="shared" si="9"/>
        <v>1.0362694300518172E-2</v>
      </c>
      <c r="S52" s="73">
        <f t="shared" si="10"/>
        <v>1.260055820062389E-2</v>
      </c>
      <c r="T52" s="73">
        <f t="shared" si="11"/>
        <v>1.9349428411291392E-2</v>
      </c>
      <c r="U52" s="74">
        <f t="shared" si="12"/>
        <v>-2.9149650733585331E-2</v>
      </c>
    </row>
    <row r="53" spans="1:21" x14ac:dyDescent="0.25">
      <c r="A53" s="54">
        <f t="shared" si="1"/>
        <v>49</v>
      </c>
      <c r="B53" s="1">
        <v>45251</v>
      </c>
      <c r="C53" s="7">
        <f t="shared" si="2"/>
        <v>2023</v>
      </c>
      <c r="D53" s="55">
        <f t="shared" si="3"/>
        <v>11</v>
      </c>
      <c r="E53" s="61">
        <v>17.181000000000001</v>
      </c>
      <c r="F53" s="2">
        <v>52.42</v>
      </c>
      <c r="G53" s="2">
        <v>36.64</v>
      </c>
      <c r="H53" s="2">
        <v>11.79</v>
      </c>
      <c r="I53" s="2">
        <v>232.17</v>
      </c>
      <c r="J53" s="2">
        <v>11.58</v>
      </c>
      <c r="K53" s="2">
        <v>243.64</v>
      </c>
      <c r="L53" s="2">
        <v>143.9</v>
      </c>
      <c r="M53" s="2">
        <v>241.2</v>
      </c>
      <c r="N53" s="72">
        <f t="shared" si="5"/>
        <v>-4.1793313069908855E-3</v>
      </c>
      <c r="O53" s="73">
        <f t="shared" si="6"/>
        <v>-5.1588379038826071E-3</v>
      </c>
      <c r="P53" s="73">
        <f t="shared" si="7"/>
        <v>-2.2388059701492602E-2</v>
      </c>
      <c r="Q53" s="73">
        <f t="shared" si="8"/>
        <v>-4.0324310411394837E-3</v>
      </c>
      <c r="R53" s="73">
        <f t="shared" si="9"/>
        <v>-1.1945392491467643E-2</v>
      </c>
      <c r="S53" s="73">
        <f t="shared" si="10"/>
        <v>-3.5581366815263804E-3</v>
      </c>
      <c r="T53" s="73">
        <f t="shared" si="11"/>
        <v>-1.0256812511716396E-2</v>
      </c>
      <c r="U53" s="74">
        <f t="shared" si="12"/>
        <v>2.7953652829023845E-2</v>
      </c>
    </row>
    <row r="54" spans="1:21" x14ac:dyDescent="0.25">
      <c r="A54" s="54">
        <f t="shared" si="1"/>
        <v>50</v>
      </c>
      <c r="B54" s="1">
        <v>45247</v>
      </c>
      <c r="C54" s="7">
        <f t="shared" si="2"/>
        <v>2023</v>
      </c>
      <c r="D54" s="55">
        <f t="shared" si="3"/>
        <v>11</v>
      </c>
      <c r="E54" s="61">
        <v>17.206</v>
      </c>
      <c r="F54" s="2">
        <v>52.64</v>
      </c>
      <c r="G54" s="2">
        <v>36.83</v>
      </c>
      <c r="H54" s="2">
        <v>12.06</v>
      </c>
      <c r="I54" s="2">
        <v>233.11</v>
      </c>
      <c r="J54" s="2">
        <v>11.72</v>
      </c>
      <c r="K54" s="2">
        <v>244.51</v>
      </c>
      <c r="L54" s="2">
        <v>145.18</v>
      </c>
      <c r="M54" s="2">
        <v>234.3</v>
      </c>
      <c r="N54" s="72">
        <f t="shared" si="5"/>
        <v>5.1556234485392594E-3</v>
      </c>
      <c r="O54" s="73">
        <f t="shared" si="6"/>
        <v>8.1521739130430149E-4</v>
      </c>
      <c r="P54" s="73">
        <f t="shared" si="7"/>
        <v>1.3445378151260456E-2</v>
      </c>
      <c r="Q54" s="73">
        <f t="shared" si="8"/>
        <v>1.74144553072626E-2</v>
      </c>
      <c r="R54" s="73">
        <f t="shared" si="9"/>
        <v>1.736111111111116E-2</v>
      </c>
      <c r="S54" s="73">
        <f t="shared" si="10"/>
        <v>4.4066783381015329E-2</v>
      </c>
      <c r="T54" s="73">
        <f t="shared" si="11"/>
        <v>1.5414459670024527E-2</v>
      </c>
      <c r="U54" s="74">
        <f t="shared" si="12"/>
        <v>2.0145540038334353E-3</v>
      </c>
    </row>
    <row r="55" spans="1:21" x14ac:dyDescent="0.25">
      <c r="A55" s="54">
        <f t="shared" si="1"/>
        <v>51</v>
      </c>
      <c r="B55" s="1">
        <v>45246</v>
      </c>
      <c r="C55" s="7">
        <f t="shared" si="2"/>
        <v>2023</v>
      </c>
      <c r="D55" s="55">
        <f t="shared" si="3"/>
        <v>11</v>
      </c>
      <c r="E55" s="61">
        <v>17.223600000000001</v>
      </c>
      <c r="F55" s="2">
        <v>52.37</v>
      </c>
      <c r="G55" s="2">
        <v>36.799999999999997</v>
      </c>
      <c r="H55" s="2">
        <v>11.9</v>
      </c>
      <c r="I55" s="2">
        <v>229.12</v>
      </c>
      <c r="J55" s="2">
        <v>11.52</v>
      </c>
      <c r="K55" s="2">
        <v>234.19</v>
      </c>
      <c r="L55" s="2">
        <v>142.83000000000001</v>
      </c>
      <c r="M55" s="2">
        <v>233.59</v>
      </c>
      <c r="N55" s="72">
        <f t="shared" si="5"/>
        <v>-6.2618595825427725E-3</v>
      </c>
      <c r="O55" s="73">
        <f t="shared" si="6"/>
        <v>-2.9802221620156555E-3</v>
      </c>
      <c r="P55" s="73">
        <f t="shared" si="7"/>
        <v>-2.3789991796554499E-2</v>
      </c>
      <c r="Q55" s="73">
        <f t="shared" si="8"/>
        <v>-2.4938292620648506E-2</v>
      </c>
      <c r="R55" s="73">
        <f t="shared" si="9"/>
        <v>4.3591979075849885E-3</v>
      </c>
      <c r="S55" s="73">
        <f t="shared" si="10"/>
        <v>2.0391268354320147E-2</v>
      </c>
      <c r="T55" s="73">
        <f t="shared" si="11"/>
        <v>-6.6842627183903991E-3</v>
      </c>
      <c r="U55" s="74">
        <f t="shared" si="12"/>
        <v>-4.2045415053736823E-2</v>
      </c>
    </row>
    <row r="56" spans="1:21" x14ac:dyDescent="0.25">
      <c r="A56" s="54">
        <f t="shared" si="1"/>
        <v>52</v>
      </c>
      <c r="B56" s="1">
        <v>45245</v>
      </c>
      <c r="C56" s="7">
        <f t="shared" si="2"/>
        <v>2023</v>
      </c>
      <c r="D56" s="55">
        <f t="shared" si="3"/>
        <v>11</v>
      </c>
      <c r="E56" s="61">
        <v>17.294699999999999</v>
      </c>
      <c r="F56" s="2">
        <v>52.7</v>
      </c>
      <c r="G56" s="2">
        <v>36.909999999999997</v>
      </c>
      <c r="H56" s="2">
        <v>12.19</v>
      </c>
      <c r="I56" s="2">
        <v>234.98</v>
      </c>
      <c r="J56" s="2">
        <v>11.47</v>
      </c>
      <c r="K56" s="2">
        <v>229.51</v>
      </c>
      <c r="L56" s="2">
        <v>143.19999999999999</v>
      </c>
      <c r="M56" s="2">
        <v>242.84</v>
      </c>
      <c r="N56" s="72">
        <f t="shared" si="5"/>
        <v>5.1497234407782422E-3</v>
      </c>
      <c r="O56" s="73">
        <f t="shared" si="6"/>
        <v>-8.0623488309595759E-3</v>
      </c>
      <c r="P56" s="73">
        <f t="shared" si="7"/>
        <v>-1.2955465587044523E-2</v>
      </c>
      <c r="Q56" s="73">
        <f t="shared" si="8"/>
        <v>3.3696991025866652E-2</v>
      </c>
      <c r="R56" s="73">
        <f t="shared" si="9"/>
        <v>1.2356575463371655E-2</v>
      </c>
      <c r="S56" s="73">
        <f t="shared" si="10"/>
        <v>1.5665796344647376E-2</v>
      </c>
      <c r="T56" s="73">
        <f t="shared" si="11"/>
        <v>-2.0342020189506038E-2</v>
      </c>
      <c r="U56" s="74">
        <f t="shared" si="12"/>
        <v>2.0258455145981236E-2</v>
      </c>
    </row>
    <row r="57" spans="1:21" x14ac:dyDescent="0.25">
      <c r="A57" s="54">
        <f t="shared" si="1"/>
        <v>53</v>
      </c>
      <c r="B57" s="1">
        <v>45244</v>
      </c>
      <c r="C57" s="7">
        <f t="shared" si="2"/>
        <v>2023</v>
      </c>
      <c r="D57" s="55">
        <f t="shared" si="3"/>
        <v>11</v>
      </c>
      <c r="E57" s="61">
        <v>17.338999999999999</v>
      </c>
      <c r="F57" s="2">
        <v>52.43</v>
      </c>
      <c r="G57" s="2">
        <v>37.21</v>
      </c>
      <c r="H57" s="2">
        <v>12.35</v>
      </c>
      <c r="I57" s="2">
        <v>227.32</v>
      </c>
      <c r="J57" s="2">
        <v>11.33</v>
      </c>
      <c r="K57" s="2">
        <v>225.97</v>
      </c>
      <c r="L57" s="2">
        <v>145.80000000000001</v>
      </c>
      <c r="M57" s="2">
        <v>237.41</v>
      </c>
      <c r="N57" s="72">
        <f t="shared" si="5"/>
        <v>2.7837678886492911E-2</v>
      </c>
      <c r="O57" s="73">
        <f t="shared" si="6"/>
        <v>6.4917500676224815E-3</v>
      </c>
      <c r="P57" s="73">
        <f t="shared" si="7"/>
        <v>1.9818331957060398E-2</v>
      </c>
      <c r="Q57" s="73">
        <f t="shared" si="8"/>
        <v>4.5726377771644122E-2</v>
      </c>
      <c r="R57" s="73">
        <f t="shared" si="9"/>
        <v>5.4934823091247642E-2</v>
      </c>
      <c r="S57" s="73">
        <f t="shared" si="10"/>
        <v>1.0102364668544084E-2</v>
      </c>
      <c r="T57" s="73">
        <f t="shared" si="11"/>
        <v>7.5777029255208461E-3</v>
      </c>
      <c r="U57" s="74">
        <f t="shared" si="12"/>
        <v>4.5739959592939305E-2</v>
      </c>
    </row>
    <row r="58" spans="1:21" x14ac:dyDescent="0.25">
      <c r="A58" s="54">
        <f t="shared" si="1"/>
        <v>54</v>
      </c>
      <c r="B58" s="1">
        <v>45243</v>
      </c>
      <c r="C58" s="7">
        <f t="shared" si="2"/>
        <v>2023</v>
      </c>
      <c r="D58" s="55">
        <f t="shared" si="3"/>
        <v>11</v>
      </c>
      <c r="E58" s="61">
        <v>17.596</v>
      </c>
      <c r="F58" s="2">
        <v>51.01</v>
      </c>
      <c r="G58" s="2">
        <v>36.97</v>
      </c>
      <c r="H58" s="2">
        <v>12.11</v>
      </c>
      <c r="I58" s="2">
        <v>217.38</v>
      </c>
      <c r="J58" s="2">
        <v>10.74</v>
      </c>
      <c r="K58" s="2">
        <v>223.71</v>
      </c>
      <c r="L58" s="2">
        <v>142.59</v>
      </c>
      <c r="M58" s="2">
        <v>223.71</v>
      </c>
      <c r="N58" s="72">
        <f t="shared" si="5"/>
        <v>-3.5163117796445098E-3</v>
      </c>
      <c r="O58" s="73">
        <f t="shared" si="6"/>
        <v>5.4127198917441888E-4</v>
      </c>
      <c r="P58" s="73">
        <f t="shared" si="7"/>
        <v>-1.2234910277324706E-2</v>
      </c>
      <c r="Q58" s="73">
        <f t="shared" si="8"/>
        <v>-7.5785244704162924E-3</v>
      </c>
      <c r="R58" s="73">
        <f t="shared" si="9"/>
        <v>-3.7634408602150504E-2</v>
      </c>
      <c r="S58" s="73">
        <f t="shared" si="10"/>
        <v>-5.8077197998573915E-4</v>
      </c>
      <c r="T58" s="73">
        <f t="shared" si="11"/>
        <v>-8.7847034875165875E-3</v>
      </c>
      <c r="U58" s="74">
        <f t="shared" si="12"/>
        <v>4.0080325334408862E-2</v>
      </c>
    </row>
    <row r="59" spans="1:21" x14ac:dyDescent="0.25">
      <c r="A59" s="54">
        <f t="shared" si="1"/>
        <v>55</v>
      </c>
      <c r="B59" s="1">
        <v>45240</v>
      </c>
      <c r="C59" s="7">
        <f t="shared" si="2"/>
        <v>2023</v>
      </c>
      <c r="D59" s="55">
        <f t="shared" si="3"/>
        <v>11</v>
      </c>
      <c r="E59" s="61">
        <v>17.632000000000001</v>
      </c>
      <c r="F59" s="2">
        <v>51.19</v>
      </c>
      <c r="G59" s="2">
        <v>36.950000000000003</v>
      </c>
      <c r="H59" s="2">
        <v>12.26</v>
      </c>
      <c r="I59" s="2">
        <v>219.04</v>
      </c>
      <c r="J59" s="2">
        <v>11.16</v>
      </c>
      <c r="K59" s="2">
        <v>223.84</v>
      </c>
      <c r="L59" s="2">
        <v>143.56</v>
      </c>
      <c r="M59" s="2">
        <v>214.65</v>
      </c>
      <c r="N59" s="72">
        <f t="shared" si="5"/>
        <v>3.922337713277102E-3</v>
      </c>
      <c r="O59" s="73">
        <f t="shared" si="6"/>
        <v>2.7070925825678493E-4</v>
      </c>
      <c r="P59" s="73">
        <f t="shared" si="7"/>
        <v>-3.2520325203252431E-3</v>
      </c>
      <c r="Q59" s="73">
        <f t="shared" si="8"/>
        <v>-1.4664867296446338E-2</v>
      </c>
      <c r="R59" s="73">
        <f t="shared" si="9"/>
        <v>-9.7604259094942192E-3</v>
      </c>
      <c r="S59" s="73">
        <f t="shared" si="10"/>
        <v>-1.3399153737658653E-2</v>
      </c>
      <c r="T59" s="73">
        <f t="shared" si="11"/>
        <v>1.0961365678346935E-2</v>
      </c>
      <c r="U59" s="74">
        <f t="shared" si="12"/>
        <v>1.2137210346563787E-2</v>
      </c>
    </row>
    <row r="60" spans="1:21" x14ac:dyDescent="0.25">
      <c r="A60" s="54">
        <f t="shared" si="1"/>
        <v>56</v>
      </c>
      <c r="B60" s="1">
        <v>45239</v>
      </c>
      <c r="C60" s="7">
        <f t="shared" si="2"/>
        <v>2023</v>
      </c>
      <c r="D60" s="55">
        <f t="shared" si="3"/>
        <v>11</v>
      </c>
      <c r="E60" s="61">
        <v>17.808</v>
      </c>
      <c r="F60" s="2">
        <v>50.99</v>
      </c>
      <c r="G60" s="2">
        <v>36.94</v>
      </c>
      <c r="H60" s="2">
        <v>12.3</v>
      </c>
      <c r="I60" s="2">
        <v>222.3</v>
      </c>
      <c r="J60" s="2">
        <v>11.27</v>
      </c>
      <c r="K60" s="2">
        <v>226.88</v>
      </c>
      <c r="L60" s="2">
        <v>140.6</v>
      </c>
      <c r="M60" s="2">
        <v>209.98</v>
      </c>
      <c r="N60" s="72">
        <f t="shared" si="5"/>
        <v>2.753195673549591E-3</v>
      </c>
      <c r="O60" s="73">
        <f t="shared" si="6"/>
        <v>-1.3517166801839675E-3</v>
      </c>
      <c r="P60" s="73">
        <f t="shared" si="7"/>
        <v>1.0682004930156141E-2</v>
      </c>
      <c r="Q60" s="73">
        <f t="shared" si="8"/>
        <v>-2.5854513584574801E-2</v>
      </c>
      <c r="R60" s="73">
        <f t="shared" si="9"/>
        <v>-4.9747048903878599E-2</v>
      </c>
      <c r="S60" s="73">
        <f t="shared" si="10"/>
        <v>2.8288543140027045E-3</v>
      </c>
      <c r="T60" s="73">
        <f t="shared" si="11"/>
        <v>5.0874621434640055E-3</v>
      </c>
      <c r="U60" s="74">
        <f t="shared" si="12"/>
        <v>-3.9800882498481349E-2</v>
      </c>
    </row>
    <row r="61" spans="1:21" x14ac:dyDescent="0.25">
      <c r="A61" s="54">
        <f t="shared" si="1"/>
        <v>57</v>
      </c>
      <c r="B61" s="1">
        <v>45238</v>
      </c>
      <c r="C61" s="7">
        <f t="shared" si="2"/>
        <v>2023</v>
      </c>
      <c r="D61" s="55">
        <f t="shared" si="3"/>
        <v>11</v>
      </c>
      <c r="E61" s="61">
        <v>17.533300000000001</v>
      </c>
      <c r="F61" s="2">
        <v>50.85</v>
      </c>
      <c r="G61" s="2">
        <v>36.99</v>
      </c>
      <c r="H61" s="2">
        <v>12.17</v>
      </c>
      <c r="I61" s="2">
        <v>228.2</v>
      </c>
      <c r="J61" s="2">
        <v>11.86</v>
      </c>
      <c r="K61" s="2">
        <v>226.24</v>
      </c>
      <c r="L61" s="2">
        <v>142.08000000000001</v>
      </c>
      <c r="M61" s="2">
        <v>222.11</v>
      </c>
      <c r="N61" s="72">
        <f t="shared" si="5"/>
        <v>-3.9177277179235359E-3</v>
      </c>
      <c r="O61" s="73">
        <f t="shared" si="6"/>
        <v>8.7264794109627175E-3</v>
      </c>
      <c r="P61" s="73">
        <f t="shared" si="7"/>
        <v>1.6708437761069339E-2</v>
      </c>
      <c r="Q61" s="73">
        <f t="shared" si="8"/>
        <v>2.2035112862773154E-2</v>
      </c>
      <c r="R61" s="73">
        <f t="shared" si="9"/>
        <v>3.3840947546530664E-3</v>
      </c>
      <c r="S61" s="73">
        <f t="shared" si="10"/>
        <v>-8.8929776142288031E-3</v>
      </c>
      <c r="T61" s="73">
        <f t="shared" si="11"/>
        <v>-9.2156459614944897E-4</v>
      </c>
      <c r="U61" s="74">
        <f t="shared" si="12"/>
        <v>3.1923054563058884E-3</v>
      </c>
    </row>
    <row r="62" spans="1:21" x14ac:dyDescent="0.25">
      <c r="A62" s="54">
        <f t="shared" si="1"/>
        <v>58</v>
      </c>
      <c r="B62" s="1">
        <v>45237</v>
      </c>
      <c r="C62" s="7">
        <f t="shared" si="2"/>
        <v>2023</v>
      </c>
      <c r="D62" s="55">
        <f t="shared" si="3"/>
        <v>11</v>
      </c>
      <c r="E62" s="61">
        <v>17.472000000000001</v>
      </c>
      <c r="F62" s="2">
        <v>51.05</v>
      </c>
      <c r="G62" s="2">
        <v>36.67</v>
      </c>
      <c r="H62" s="2">
        <v>11.97</v>
      </c>
      <c r="I62" s="2">
        <v>223.28</v>
      </c>
      <c r="J62" s="2">
        <v>11.82</v>
      </c>
      <c r="K62" s="2">
        <v>228.27</v>
      </c>
      <c r="L62" s="2">
        <v>142.71</v>
      </c>
      <c r="M62" s="2">
        <v>222.18</v>
      </c>
      <c r="N62" s="72">
        <f t="shared" si="5"/>
        <v>-8.7378640776699656E-3</v>
      </c>
      <c r="O62" s="73">
        <f t="shared" si="6"/>
        <v>-1.1590296495956887E-2</v>
      </c>
      <c r="P62" s="73">
        <f t="shared" si="7"/>
        <v>1.0126582278481067E-2</v>
      </c>
      <c r="Q62" s="73">
        <f t="shared" si="8"/>
        <v>-2.2587988093153544E-2</v>
      </c>
      <c r="R62" s="73">
        <f t="shared" si="9"/>
        <v>6.9683257918552011E-2</v>
      </c>
      <c r="S62" s="73">
        <f t="shared" si="10"/>
        <v>-1.7009732150546797E-2</v>
      </c>
      <c r="T62" s="73">
        <f t="shared" si="11"/>
        <v>1.7114742657021731E-2</v>
      </c>
      <c r="U62" s="74">
        <f t="shared" si="12"/>
        <v>9.1646468907782275E-3</v>
      </c>
    </row>
    <row r="63" spans="1:21" x14ac:dyDescent="0.25">
      <c r="A63" s="54">
        <f t="shared" si="1"/>
        <v>59</v>
      </c>
      <c r="B63" s="1">
        <v>45236</v>
      </c>
      <c r="C63" s="7">
        <f t="shared" si="2"/>
        <v>2023</v>
      </c>
      <c r="D63" s="55">
        <f t="shared" si="3"/>
        <v>11</v>
      </c>
      <c r="E63" s="61">
        <v>17.543099999999999</v>
      </c>
      <c r="F63" s="2">
        <v>51.5</v>
      </c>
      <c r="G63" s="2">
        <v>37.1</v>
      </c>
      <c r="H63" s="2">
        <v>11.85</v>
      </c>
      <c r="I63" s="2">
        <v>228.44</v>
      </c>
      <c r="J63" s="2">
        <v>11.05</v>
      </c>
      <c r="K63" s="2">
        <v>232.22</v>
      </c>
      <c r="L63" s="2">
        <v>139.74</v>
      </c>
      <c r="M63" s="2">
        <v>219.27</v>
      </c>
      <c r="N63" s="72">
        <f t="shared" si="5"/>
        <v>7.0394994133751165E-3</v>
      </c>
      <c r="O63" s="73">
        <f t="shared" si="6"/>
        <v>9.52380952380949E-3</v>
      </c>
      <c r="P63" s="73">
        <f t="shared" si="7"/>
        <v>1.2820512820512775E-2</v>
      </c>
      <c r="Q63" s="73">
        <f t="shared" si="8"/>
        <v>4.996093211380237E-2</v>
      </c>
      <c r="R63" s="73">
        <f t="shared" si="9"/>
        <v>-3.3245844269466196E-2</v>
      </c>
      <c r="S63" s="73">
        <f t="shared" si="10"/>
        <v>3.5402175851614093E-2</v>
      </c>
      <c r="T63" s="73">
        <f t="shared" si="11"/>
        <v>1.366232426522429E-2</v>
      </c>
      <c r="U63" s="74">
        <f t="shared" si="12"/>
        <v>2.2390081583558707E-3</v>
      </c>
    </row>
    <row r="64" spans="1:21" x14ac:dyDescent="0.25">
      <c r="A64" s="54">
        <f t="shared" si="1"/>
        <v>60</v>
      </c>
      <c r="B64" s="1">
        <v>45233</v>
      </c>
      <c r="C64" s="7">
        <f t="shared" si="2"/>
        <v>2023</v>
      </c>
      <c r="D64" s="55">
        <f t="shared" si="3"/>
        <v>11</v>
      </c>
      <c r="E64" s="61">
        <v>17.449000000000002</v>
      </c>
      <c r="F64" s="2">
        <v>51.14</v>
      </c>
      <c r="G64" s="2">
        <v>36.75</v>
      </c>
      <c r="H64" s="2">
        <v>11.7</v>
      </c>
      <c r="I64" s="2">
        <v>217.57</v>
      </c>
      <c r="J64" s="2">
        <v>11.43</v>
      </c>
      <c r="K64" s="2">
        <v>224.28</v>
      </c>
      <c r="L64" s="2">
        <v>138.6</v>
      </c>
      <c r="M64" s="2">
        <v>219.96</v>
      </c>
      <c r="N64" s="72">
        <f t="shared" si="5"/>
        <v>3.1464300121016642E-2</v>
      </c>
      <c r="O64" s="73">
        <f t="shared" si="6"/>
        <v>1.6597510373443924E-2</v>
      </c>
      <c r="P64" s="73">
        <f t="shared" si="7"/>
        <v>6.8493150684931559E-2</v>
      </c>
      <c r="Q64" s="73">
        <f t="shared" si="8"/>
        <v>8.5191281360666338E-2</v>
      </c>
      <c r="R64" s="73">
        <f t="shared" si="9"/>
        <v>0.11295034079844202</v>
      </c>
      <c r="S64" s="73">
        <f t="shared" si="10"/>
        <v>5.5882491408125734E-2</v>
      </c>
      <c r="T64" s="73">
        <f t="shared" si="11"/>
        <v>-6.2999126579207365E-3</v>
      </c>
      <c r="U64" s="74">
        <f t="shared" si="12"/>
        <v>5.0525368577610363E-2</v>
      </c>
    </row>
    <row r="65" spans="1:21" x14ac:dyDescent="0.25">
      <c r="A65" s="54">
        <f t="shared" si="1"/>
        <v>61</v>
      </c>
      <c r="B65" s="1">
        <v>45231</v>
      </c>
      <c r="C65" s="7">
        <f t="shared" si="2"/>
        <v>2023</v>
      </c>
      <c r="D65" s="55">
        <f t="shared" si="3"/>
        <v>11</v>
      </c>
      <c r="E65" s="61">
        <v>17.764700000000001</v>
      </c>
      <c r="F65" s="2">
        <v>49.58</v>
      </c>
      <c r="G65" s="2">
        <v>36.15</v>
      </c>
      <c r="H65" s="2">
        <v>10.95</v>
      </c>
      <c r="I65" s="2">
        <v>200.49</v>
      </c>
      <c r="J65" s="2">
        <v>10.27</v>
      </c>
      <c r="K65" s="2">
        <v>212.41</v>
      </c>
      <c r="L65" s="2">
        <v>137</v>
      </c>
      <c r="M65" s="2">
        <v>205.66</v>
      </c>
      <c r="N65" s="72">
        <f t="shared" si="5"/>
        <v>1.4735980352026168E-2</v>
      </c>
      <c r="O65" s="73">
        <f t="shared" si="6"/>
        <v>5.5632823365785455E-3</v>
      </c>
      <c r="P65" s="73">
        <f t="shared" si="7"/>
        <v>1.1080332409972193E-2</v>
      </c>
      <c r="Q65" s="73">
        <f t="shared" si="8"/>
        <v>-3.875391265464323E-3</v>
      </c>
      <c r="R65" s="73">
        <f t="shared" si="9"/>
        <v>-9.7276264591439343E-4</v>
      </c>
      <c r="S65" s="73">
        <f t="shared" si="10"/>
        <v>9.9852598545004945E-3</v>
      </c>
      <c r="T65" s="73">
        <f t="shared" si="11"/>
        <v>1.3838348904808839E-2</v>
      </c>
      <c r="U65" s="74">
        <f t="shared" si="12"/>
        <v>8.5401479004127978E-3</v>
      </c>
    </row>
    <row r="66" spans="1:21" x14ac:dyDescent="0.25">
      <c r="A66" s="54">
        <f t="shared" si="1"/>
        <v>62</v>
      </c>
      <c r="B66" s="1">
        <v>45230</v>
      </c>
      <c r="C66" s="7">
        <f t="shared" si="2"/>
        <v>2023</v>
      </c>
      <c r="D66" s="55">
        <f t="shared" si="3"/>
        <v>10</v>
      </c>
      <c r="E66" s="61">
        <v>18.036999999999999</v>
      </c>
      <c r="F66" s="2">
        <v>48.86</v>
      </c>
      <c r="G66" s="2">
        <v>35.950000000000003</v>
      </c>
      <c r="H66" s="2">
        <v>10.83</v>
      </c>
      <c r="I66" s="2">
        <v>201.27</v>
      </c>
      <c r="J66" s="2">
        <v>10.28</v>
      </c>
      <c r="K66" s="2">
        <v>210.31</v>
      </c>
      <c r="L66" s="2">
        <v>133.09</v>
      </c>
      <c r="M66" s="2">
        <v>200.84</v>
      </c>
      <c r="N66" s="72">
        <f t="shared" si="5"/>
        <v>-3.4672649398327371E-3</v>
      </c>
      <c r="O66" s="73">
        <f t="shared" si="6"/>
        <v>-1.1114198388441077E-3</v>
      </c>
      <c r="P66" s="73">
        <f t="shared" si="7"/>
        <v>7.4418604651163012E-3</v>
      </c>
      <c r="Q66" s="73">
        <f t="shared" si="8"/>
        <v>-1.8195121951219417E-2</v>
      </c>
      <c r="R66" s="73">
        <f t="shared" si="9"/>
        <v>-6.375227686703111E-2</v>
      </c>
      <c r="S66" s="73">
        <f t="shared" si="10"/>
        <v>2.60025368328618E-2</v>
      </c>
      <c r="T66" s="73">
        <f t="shared" si="11"/>
        <v>2.424335920620857E-3</v>
      </c>
      <c r="U66" s="74">
        <f t="shared" si="12"/>
        <v>1.7187235938687762E-2</v>
      </c>
    </row>
    <row r="67" spans="1:21" x14ac:dyDescent="0.25">
      <c r="A67" s="54">
        <f t="shared" si="1"/>
        <v>63</v>
      </c>
      <c r="B67" s="1">
        <v>45229</v>
      </c>
      <c r="C67" s="7">
        <f t="shared" si="2"/>
        <v>2023</v>
      </c>
      <c r="D67" s="55">
        <f t="shared" si="3"/>
        <v>10</v>
      </c>
      <c r="E67" s="61">
        <v>18.044899999999998</v>
      </c>
      <c r="F67" s="2">
        <v>49.03</v>
      </c>
      <c r="G67" s="2">
        <v>35.99</v>
      </c>
      <c r="H67" s="2">
        <v>10.75</v>
      </c>
      <c r="I67" s="2">
        <v>205</v>
      </c>
      <c r="J67" s="2">
        <v>10.98</v>
      </c>
      <c r="K67" s="2">
        <v>204.98</v>
      </c>
      <c r="L67" s="2">
        <v>132.71</v>
      </c>
      <c r="M67" s="2">
        <v>197.36</v>
      </c>
      <c r="N67" s="72">
        <f t="shared" si="5"/>
        <v>5.7435897435897942E-3</v>
      </c>
      <c r="O67" s="73">
        <f t="shared" si="6"/>
        <v>8.1232492997198591E-3</v>
      </c>
      <c r="P67" s="73">
        <f t="shared" si="7"/>
        <v>-2.7829313543599188E-3</v>
      </c>
      <c r="Q67" s="73">
        <f t="shared" si="8"/>
        <v>8.5604644297943011E-3</v>
      </c>
      <c r="R67" s="73">
        <f t="shared" si="9"/>
        <v>1.9498607242339983E-2</v>
      </c>
      <c r="S67" s="73">
        <f t="shared" si="10"/>
        <v>4.6243364638627993E-2</v>
      </c>
      <c r="T67" s="73">
        <f t="shared" si="11"/>
        <v>3.5001144157629005E-2</v>
      </c>
      <c r="U67" s="74">
        <f t="shared" si="12"/>
        <v>-5.1529283296273043E-2</v>
      </c>
    </row>
    <row r="68" spans="1:21" x14ac:dyDescent="0.25">
      <c r="A68" s="54">
        <f t="shared" si="1"/>
        <v>64</v>
      </c>
      <c r="B68" s="1">
        <v>45226</v>
      </c>
      <c r="C68" s="7">
        <f t="shared" si="2"/>
        <v>2023</v>
      </c>
      <c r="D68" s="55">
        <f t="shared" si="3"/>
        <v>10</v>
      </c>
      <c r="E68" s="61">
        <v>18.113</v>
      </c>
      <c r="F68" s="2">
        <v>48.75</v>
      </c>
      <c r="G68" s="2">
        <v>35.700000000000003</v>
      </c>
      <c r="H68" s="2">
        <v>10.78</v>
      </c>
      <c r="I68" s="2">
        <v>203.26</v>
      </c>
      <c r="J68" s="2">
        <v>10.77</v>
      </c>
      <c r="K68" s="2">
        <v>195.92</v>
      </c>
      <c r="L68" s="2">
        <v>127.74</v>
      </c>
      <c r="M68" s="2">
        <v>207.3</v>
      </c>
      <c r="N68" s="72">
        <f t="shared" si="5"/>
        <v>-9.1463414634146423E-3</v>
      </c>
      <c r="O68" s="73">
        <f t="shared" si="6"/>
        <v>-1.6257922292642446E-2</v>
      </c>
      <c r="P68" s="73">
        <f t="shared" si="7"/>
        <v>-4.6861184792219346E-2</v>
      </c>
      <c r="Q68" s="73">
        <f t="shared" si="8"/>
        <v>1.6755371575005729E-3</v>
      </c>
      <c r="R68" s="73">
        <f t="shared" si="9"/>
        <v>1.1267605633802802E-2</v>
      </c>
      <c r="S68" s="73">
        <f t="shared" si="10"/>
        <v>-2.2160111798762316E-2</v>
      </c>
      <c r="T68" s="73">
        <f t="shared" si="11"/>
        <v>6.6162065214690147E-2</v>
      </c>
      <c r="U68" s="74">
        <f t="shared" si="12"/>
        <v>5.441702102566115E-3</v>
      </c>
    </row>
    <row r="69" spans="1:21" x14ac:dyDescent="0.25">
      <c r="A69" s="54">
        <f t="shared" ref="A69:A132" si="13">+A70-1</f>
        <v>65</v>
      </c>
      <c r="B69" s="1">
        <v>45225</v>
      </c>
      <c r="C69" s="7">
        <f t="shared" ref="C69:C132" si="14">+YEAR(B69)</f>
        <v>2023</v>
      </c>
      <c r="D69" s="55">
        <f t="shared" ref="D69:D132" si="15">+MONTH(B69)</f>
        <v>10</v>
      </c>
      <c r="E69" s="61">
        <v>18.149799999999999</v>
      </c>
      <c r="F69" s="2">
        <v>49.2</v>
      </c>
      <c r="G69" s="2">
        <v>36.29</v>
      </c>
      <c r="H69" s="2">
        <v>11.31</v>
      </c>
      <c r="I69" s="2">
        <v>202.92</v>
      </c>
      <c r="J69" s="2">
        <v>10.65</v>
      </c>
      <c r="K69" s="2">
        <v>200.36</v>
      </c>
      <c r="L69" s="2">
        <v>119.57</v>
      </c>
      <c r="M69" s="2">
        <v>205.76</v>
      </c>
      <c r="N69" s="72">
        <f t="shared" si="5"/>
        <v>9.8522167487684609E-3</v>
      </c>
      <c r="O69" s="73">
        <f t="shared" si="6"/>
        <v>1.6811431773606111E-2</v>
      </c>
      <c r="P69" s="73">
        <f t="shared" si="7"/>
        <v>2.0758122743682383E-2</v>
      </c>
      <c r="Q69" s="73">
        <f t="shared" si="8"/>
        <v>-1.4807981744914378E-2</v>
      </c>
      <c r="R69" s="73">
        <f t="shared" si="9"/>
        <v>-2.2038567493112948E-2</v>
      </c>
      <c r="S69" s="73">
        <f t="shared" si="10"/>
        <v>-4.6948580126528028E-2</v>
      </c>
      <c r="T69" s="73">
        <f t="shared" si="11"/>
        <v>-2.3611136593695292E-2</v>
      </c>
      <c r="U69" s="74">
        <f t="shared" si="12"/>
        <v>-3.9827980088086301E-2</v>
      </c>
    </row>
    <row r="70" spans="1:21" x14ac:dyDescent="0.25">
      <c r="A70" s="54">
        <f t="shared" si="13"/>
        <v>66</v>
      </c>
      <c r="B70" s="1">
        <v>45224</v>
      </c>
      <c r="C70" s="7">
        <f t="shared" si="14"/>
        <v>2023</v>
      </c>
      <c r="D70" s="55">
        <f t="shared" si="15"/>
        <v>10</v>
      </c>
      <c r="E70" s="61">
        <v>18.309999999999999</v>
      </c>
      <c r="F70" s="2">
        <v>48.72</v>
      </c>
      <c r="G70" s="2">
        <v>35.69</v>
      </c>
      <c r="H70" s="2">
        <v>11.08</v>
      </c>
      <c r="I70" s="2">
        <v>205.97</v>
      </c>
      <c r="J70" s="2">
        <v>10.89</v>
      </c>
      <c r="K70" s="2">
        <v>210.23</v>
      </c>
      <c r="L70" s="2">
        <v>121.39</v>
      </c>
      <c r="M70" s="2">
        <v>212.42</v>
      </c>
      <c r="N70" s="72">
        <f t="shared" ref="N70:N133" si="16" xml:space="preserve"> (F70/F71) - 1</f>
        <v>9.1135045567523054E-3</v>
      </c>
      <c r="O70" s="73">
        <f t="shared" ref="O70:O133" si="17" xml:space="preserve"> (G70/G71) - 1</f>
        <v>8.4769708957330714E-3</v>
      </c>
      <c r="P70" s="73">
        <f t="shared" ref="P70:P133" si="18" xml:space="preserve"> (H70/H71) - 1</f>
        <v>2.3084025854108958E-2</v>
      </c>
      <c r="Q70" s="73">
        <f t="shared" ref="Q70:Q133" si="19" xml:space="preserve"> (I70/I71) - 1</f>
        <v>2.0158494304110874E-2</v>
      </c>
      <c r="R70" s="73">
        <f t="shared" ref="R70:R133" si="20" xml:space="preserve"> (J70/J71) - 1</f>
        <v>1.8399264029440587E-3</v>
      </c>
      <c r="S70" s="73">
        <f t="shared" ref="S70:S133" si="21" xml:space="preserve"> (K70/K71) - 1</f>
        <v>-3.743720974315301E-3</v>
      </c>
      <c r="T70" s="73">
        <f t="shared" ref="T70:T133" si="22" xml:space="preserve"> (E70*L70) / (E71*L71) - 1</f>
        <v>-5.2563483016406676E-2</v>
      </c>
      <c r="U70" s="74">
        <f t="shared" ref="U70:U133" si="23" xml:space="preserve"> (E70*M70) / (E71*M71) - 1</f>
        <v>-1.560259966487576E-2</v>
      </c>
    </row>
    <row r="71" spans="1:21" x14ac:dyDescent="0.25">
      <c r="A71" s="54">
        <f t="shared" si="13"/>
        <v>67</v>
      </c>
      <c r="B71" s="1">
        <v>45223</v>
      </c>
      <c r="C71" s="7">
        <f t="shared" si="14"/>
        <v>2023</v>
      </c>
      <c r="D71" s="55">
        <f t="shared" si="15"/>
        <v>10</v>
      </c>
      <c r="E71" s="61">
        <v>18.248000000000001</v>
      </c>
      <c r="F71" s="2">
        <v>48.28</v>
      </c>
      <c r="G71" s="2">
        <v>35.39</v>
      </c>
      <c r="H71" s="2">
        <v>10.83</v>
      </c>
      <c r="I71" s="2">
        <v>201.9</v>
      </c>
      <c r="J71" s="2">
        <v>10.87</v>
      </c>
      <c r="K71" s="2">
        <v>211.02</v>
      </c>
      <c r="L71" s="2">
        <v>128.56</v>
      </c>
      <c r="M71" s="2">
        <v>216.52</v>
      </c>
      <c r="N71" s="72">
        <f t="shared" si="16"/>
        <v>4.1442188147544634E-4</v>
      </c>
      <c r="O71" s="73">
        <f t="shared" si="17"/>
        <v>2.8336639274582076E-3</v>
      </c>
      <c r="P71" s="73">
        <f t="shared" si="18"/>
        <v>0</v>
      </c>
      <c r="Q71" s="73">
        <f t="shared" si="19"/>
        <v>2.7315619567918059E-3</v>
      </c>
      <c r="R71" s="73">
        <f t="shared" si="20"/>
        <v>-3.0330062444246297E-2</v>
      </c>
      <c r="S71" s="73">
        <f t="shared" si="21"/>
        <v>-6.6902498341808503E-2</v>
      </c>
      <c r="T71" s="73">
        <f t="shared" si="22"/>
        <v>2.1906894149122058E-2</v>
      </c>
      <c r="U71" s="74">
        <f t="shared" si="23"/>
        <v>2.7070452159649427E-2</v>
      </c>
    </row>
    <row r="72" spans="1:21" x14ac:dyDescent="0.25">
      <c r="A72" s="54">
        <f t="shared" si="13"/>
        <v>68</v>
      </c>
      <c r="B72" s="1">
        <v>45222</v>
      </c>
      <c r="C72" s="7">
        <f t="shared" si="14"/>
        <v>2023</v>
      </c>
      <c r="D72" s="55">
        <f t="shared" si="15"/>
        <v>10</v>
      </c>
      <c r="E72" s="61">
        <v>18.138999999999999</v>
      </c>
      <c r="F72" s="2">
        <v>48.26</v>
      </c>
      <c r="G72" s="2">
        <v>35.29</v>
      </c>
      <c r="H72" s="2">
        <v>10.83</v>
      </c>
      <c r="I72" s="2">
        <v>201.35</v>
      </c>
      <c r="J72" s="2">
        <v>11.21</v>
      </c>
      <c r="K72" s="2">
        <v>226.15</v>
      </c>
      <c r="L72" s="2">
        <v>126.56</v>
      </c>
      <c r="M72" s="2">
        <v>212.08</v>
      </c>
      <c r="N72" s="72">
        <f t="shared" si="16"/>
        <v>-1.8614270941055278E-3</v>
      </c>
      <c r="O72" s="73">
        <f t="shared" si="17"/>
        <v>0</v>
      </c>
      <c r="P72" s="73">
        <f t="shared" si="18"/>
        <v>-1.0958904109588996E-2</v>
      </c>
      <c r="Q72" s="73">
        <f t="shared" si="19"/>
        <v>-3.1039461020211823E-2</v>
      </c>
      <c r="R72" s="73">
        <f t="shared" si="20"/>
        <v>4.0854224698235964E-2</v>
      </c>
      <c r="S72" s="73">
        <f t="shared" si="21"/>
        <v>-1.4167393199651213E-2</v>
      </c>
      <c r="T72" s="73">
        <f t="shared" si="22"/>
        <v>6.4441493082003642E-3</v>
      </c>
      <c r="U72" s="74">
        <f t="shared" si="23"/>
        <v>-4.1869680010381272E-3</v>
      </c>
    </row>
    <row r="73" spans="1:21" x14ac:dyDescent="0.25">
      <c r="A73" s="54">
        <f t="shared" si="13"/>
        <v>69</v>
      </c>
      <c r="B73" s="1">
        <v>45219</v>
      </c>
      <c r="C73" s="7">
        <f t="shared" si="14"/>
        <v>2023</v>
      </c>
      <c r="D73" s="55">
        <f t="shared" si="15"/>
        <v>10</v>
      </c>
      <c r="E73" s="61">
        <v>18.222999999999999</v>
      </c>
      <c r="F73" s="2">
        <v>48.35</v>
      </c>
      <c r="G73" s="2">
        <v>35.29</v>
      </c>
      <c r="H73" s="2">
        <v>10.95</v>
      </c>
      <c r="I73" s="2">
        <v>207.8</v>
      </c>
      <c r="J73" s="2">
        <v>10.77</v>
      </c>
      <c r="K73" s="2">
        <v>229.4</v>
      </c>
      <c r="L73" s="2">
        <v>125.17</v>
      </c>
      <c r="M73" s="2">
        <v>211.99</v>
      </c>
      <c r="N73" s="72">
        <f t="shared" si="16"/>
        <v>-1.0235414534288667E-2</v>
      </c>
      <c r="O73" s="73">
        <f t="shared" si="17"/>
        <v>-3.6702428006776255E-3</v>
      </c>
      <c r="P73" s="73">
        <f t="shared" si="18"/>
        <v>-9.9457504520796824E-3</v>
      </c>
      <c r="Q73" s="73">
        <f t="shared" si="19"/>
        <v>1.3114913948612861E-2</v>
      </c>
      <c r="R73" s="73">
        <f t="shared" si="20"/>
        <v>-4.0961709706144322E-2</v>
      </c>
      <c r="S73" s="73">
        <f t="shared" si="21"/>
        <v>-1.6379384272360853E-2</v>
      </c>
      <c r="T73" s="73">
        <f t="shared" si="22"/>
        <v>-2.9946675777876353E-2</v>
      </c>
      <c r="U73" s="74">
        <f t="shared" si="23"/>
        <v>-4.1623886557041634E-2</v>
      </c>
    </row>
    <row r="74" spans="1:21" x14ac:dyDescent="0.25">
      <c r="A74" s="54">
        <f t="shared" si="13"/>
        <v>70</v>
      </c>
      <c r="B74" s="1">
        <v>45218</v>
      </c>
      <c r="C74" s="7">
        <f t="shared" si="14"/>
        <v>2023</v>
      </c>
      <c r="D74" s="55">
        <f t="shared" si="15"/>
        <v>10</v>
      </c>
      <c r="E74" s="61">
        <v>18.312999999999999</v>
      </c>
      <c r="F74" s="2">
        <v>48.85</v>
      </c>
      <c r="G74" s="2">
        <v>35.42</v>
      </c>
      <c r="H74" s="2">
        <v>11.06</v>
      </c>
      <c r="I74" s="2">
        <v>205.11</v>
      </c>
      <c r="J74" s="2">
        <v>11.23</v>
      </c>
      <c r="K74" s="2">
        <v>233.22</v>
      </c>
      <c r="L74" s="2">
        <v>128.4</v>
      </c>
      <c r="M74" s="2">
        <v>220.11</v>
      </c>
      <c r="N74" s="72">
        <f t="shared" si="16"/>
        <v>-8.9267599918847473E-3</v>
      </c>
      <c r="O74" s="73">
        <f t="shared" si="17"/>
        <v>-4.2170368287882676E-3</v>
      </c>
      <c r="P74" s="73">
        <f t="shared" si="18"/>
        <v>-9.8478066248880447E-3</v>
      </c>
      <c r="Q74" s="73">
        <f t="shared" si="19"/>
        <v>-1.0564399421128745E-2</v>
      </c>
      <c r="R74" s="73">
        <f t="shared" si="20"/>
        <v>-7.9505300353356345E-3</v>
      </c>
      <c r="S74" s="73">
        <f t="shared" si="21"/>
        <v>-2.6749572257229848E-2</v>
      </c>
      <c r="T74" s="73">
        <f t="shared" si="22"/>
        <v>6.1178613825596528E-3</v>
      </c>
      <c r="U74" s="74">
        <f t="shared" si="23"/>
        <v>-8.9373155194624854E-2</v>
      </c>
    </row>
    <row r="75" spans="1:21" x14ac:dyDescent="0.25">
      <c r="A75" s="54">
        <f t="shared" si="13"/>
        <v>71</v>
      </c>
      <c r="B75" s="1">
        <v>45217</v>
      </c>
      <c r="C75" s="7">
        <f t="shared" si="14"/>
        <v>2023</v>
      </c>
      <c r="D75" s="55">
        <f t="shared" si="15"/>
        <v>10</v>
      </c>
      <c r="E75" s="61">
        <v>18.239999999999998</v>
      </c>
      <c r="F75" s="2">
        <v>49.29</v>
      </c>
      <c r="G75" s="2">
        <v>35.57</v>
      </c>
      <c r="H75" s="2">
        <v>11.17</v>
      </c>
      <c r="I75" s="2">
        <v>207.3</v>
      </c>
      <c r="J75" s="2">
        <v>11.32</v>
      </c>
      <c r="K75" s="2">
        <v>239.63</v>
      </c>
      <c r="L75" s="2">
        <v>128.13</v>
      </c>
      <c r="M75" s="2">
        <v>242.68</v>
      </c>
      <c r="N75" s="72">
        <f t="shared" si="16"/>
        <v>-7.4506645187273346E-3</v>
      </c>
      <c r="O75" s="73">
        <f t="shared" si="17"/>
        <v>-2.3070585004119626E-2</v>
      </c>
      <c r="P75" s="73">
        <f t="shared" si="18"/>
        <v>-3.038194444444442E-2</v>
      </c>
      <c r="Q75" s="73">
        <f t="shared" si="19"/>
        <v>-9.2716497801567099E-3</v>
      </c>
      <c r="R75" s="73">
        <f t="shared" si="20"/>
        <v>-6.4462809917355313E-2</v>
      </c>
      <c r="S75" s="73">
        <f t="shared" si="21"/>
        <v>8.3531721171103968E-4</v>
      </c>
      <c r="T75" s="73">
        <f t="shared" si="22"/>
        <v>-1.2903983848951861E-2</v>
      </c>
      <c r="U75" s="74">
        <f t="shared" si="23"/>
        <v>-3.553919201539768E-2</v>
      </c>
    </row>
    <row r="76" spans="1:21" x14ac:dyDescent="0.25">
      <c r="A76" s="54">
        <f t="shared" si="13"/>
        <v>72</v>
      </c>
      <c r="B76" s="1">
        <v>45216</v>
      </c>
      <c r="C76" s="7">
        <f t="shared" si="14"/>
        <v>2023</v>
      </c>
      <c r="D76" s="55">
        <f t="shared" si="15"/>
        <v>10</v>
      </c>
      <c r="E76" s="61">
        <v>18.009</v>
      </c>
      <c r="F76" s="2">
        <v>49.66</v>
      </c>
      <c r="G76" s="2">
        <v>36.409999999999997</v>
      </c>
      <c r="H76" s="2">
        <v>11.52</v>
      </c>
      <c r="I76" s="2">
        <v>209.24</v>
      </c>
      <c r="J76" s="2">
        <v>12.1</v>
      </c>
      <c r="K76" s="2">
        <v>239.43</v>
      </c>
      <c r="L76" s="2">
        <v>131.47</v>
      </c>
      <c r="M76" s="2">
        <v>254.85</v>
      </c>
      <c r="N76" s="72">
        <f t="shared" si="16"/>
        <v>-3.6115569823436111E-3</v>
      </c>
      <c r="O76" s="73">
        <f t="shared" si="17"/>
        <v>1.0998075336816626E-3</v>
      </c>
      <c r="P76" s="73">
        <f t="shared" si="18"/>
        <v>-5.1813471502590858E-3</v>
      </c>
      <c r="Q76" s="73">
        <f t="shared" si="19"/>
        <v>3.8248231019322176E-4</v>
      </c>
      <c r="R76" s="73">
        <f t="shared" si="20"/>
        <v>-2.1827000808407382E-2</v>
      </c>
      <c r="S76" s="73">
        <f t="shared" si="21"/>
        <v>-2.5677545373158583E-2</v>
      </c>
      <c r="T76" s="73">
        <f t="shared" si="22"/>
        <v>-5.4470500988301751E-4</v>
      </c>
      <c r="U76" s="74">
        <f t="shared" si="23"/>
        <v>1.1356268975516892E-2</v>
      </c>
    </row>
    <row r="77" spans="1:21" x14ac:dyDescent="0.25">
      <c r="A77" s="54">
        <f t="shared" si="13"/>
        <v>73</v>
      </c>
      <c r="B77" s="1">
        <v>45215</v>
      </c>
      <c r="C77" s="7">
        <f t="shared" si="14"/>
        <v>2023</v>
      </c>
      <c r="D77" s="55">
        <f t="shared" si="15"/>
        <v>10</v>
      </c>
      <c r="E77" s="61">
        <v>17.872</v>
      </c>
      <c r="F77" s="2">
        <v>49.84</v>
      </c>
      <c r="G77" s="2">
        <v>36.369999999999997</v>
      </c>
      <c r="H77" s="2">
        <v>11.58</v>
      </c>
      <c r="I77" s="2">
        <v>209.16</v>
      </c>
      <c r="J77" s="2">
        <v>12.37</v>
      </c>
      <c r="K77" s="2">
        <v>245.74</v>
      </c>
      <c r="L77" s="2">
        <v>132.55000000000001</v>
      </c>
      <c r="M77" s="2">
        <v>253.92</v>
      </c>
      <c r="N77" s="72">
        <f t="shared" si="16"/>
        <v>9.1111561044745493E-3</v>
      </c>
      <c r="O77" s="73">
        <f t="shared" si="17"/>
        <v>-8.2417582417582125E-4</v>
      </c>
      <c r="P77" s="73">
        <f t="shared" si="18"/>
        <v>3.8565022421524597E-2</v>
      </c>
      <c r="Q77" s="73">
        <f t="shared" si="19"/>
        <v>3.0649453040307417E-2</v>
      </c>
      <c r="R77" s="73">
        <f t="shared" si="20"/>
        <v>2.1469859620148579E-2</v>
      </c>
      <c r="S77" s="73">
        <f t="shared" si="21"/>
        <v>1.1608760085624947E-2</v>
      </c>
      <c r="T77" s="73">
        <f t="shared" si="22"/>
        <v>1.0522103587365494E-2</v>
      </c>
      <c r="U77" s="74">
        <f t="shared" si="23"/>
        <v>5.1343450503504862E-4</v>
      </c>
    </row>
    <row r="78" spans="1:21" x14ac:dyDescent="0.25">
      <c r="A78" s="54">
        <f t="shared" si="13"/>
        <v>74</v>
      </c>
      <c r="B78" s="1">
        <v>45212</v>
      </c>
      <c r="C78" s="7">
        <f t="shared" si="14"/>
        <v>2023</v>
      </c>
      <c r="D78" s="55">
        <f t="shared" si="15"/>
        <v>10</v>
      </c>
      <c r="E78" s="61">
        <v>18.062000000000001</v>
      </c>
      <c r="F78" s="2">
        <v>49.39</v>
      </c>
      <c r="G78" s="2">
        <v>36.4</v>
      </c>
      <c r="H78" s="2">
        <v>11.15</v>
      </c>
      <c r="I78" s="2">
        <v>202.94</v>
      </c>
      <c r="J78" s="2">
        <v>12.11</v>
      </c>
      <c r="K78" s="2">
        <v>242.92</v>
      </c>
      <c r="L78" s="2">
        <v>129.79</v>
      </c>
      <c r="M78" s="2">
        <v>251.12</v>
      </c>
      <c r="N78" s="72">
        <f t="shared" si="16"/>
        <v>-8.0337417152038793E-3</v>
      </c>
      <c r="O78" s="73">
        <f t="shared" si="17"/>
        <v>-8.7145969498910736E-3</v>
      </c>
      <c r="P78" s="73">
        <f t="shared" si="18"/>
        <v>8.9766606822250239E-4</v>
      </c>
      <c r="Q78" s="73">
        <f t="shared" si="19"/>
        <v>1.3281406031555809E-2</v>
      </c>
      <c r="R78" s="73">
        <f t="shared" si="20"/>
        <v>-1.1428571428571455E-2</v>
      </c>
      <c r="S78" s="73">
        <f t="shared" si="21"/>
        <v>-1.4763140817650955E-2</v>
      </c>
      <c r="T78" s="73">
        <f t="shared" si="22"/>
        <v>-1.400845671576445E-2</v>
      </c>
      <c r="U78" s="74">
        <f t="shared" si="23"/>
        <v>-2.4808630444148605E-2</v>
      </c>
    </row>
    <row r="79" spans="1:21" x14ac:dyDescent="0.25">
      <c r="A79" s="54">
        <f t="shared" si="13"/>
        <v>75</v>
      </c>
      <c r="B79" s="1">
        <v>45211</v>
      </c>
      <c r="C79" s="7">
        <f t="shared" si="14"/>
        <v>2023</v>
      </c>
      <c r="D79" s="55">
        <f t="shared" si="15"/>
        <v>10</v>
      </c>
      <c r="E79" s="61">
        <v>17.966999999999999</v>
      </c>
      <c r="F79" s="2">
        <v>49.79</v>
      </c>
      <c r="G79" s="2">
        <v>36.72</v>
      </c>
      <c r="H79" s="2">
        <v>11.14</v>
      </c>
      <c r="I79" s="2">
        <v>200.28</v>
      </c>
      <c r="J79" s="2">
        <v>12.25</v>
      </c>
      <c r="K79" s="2">
        <v>246.56</v>
      </c>
      <c r="L79" s="2">
        <v>132.33000000000001</v>
      </c>
      <c r="M79" s="2">
        <v>258.87</v>
      </c>
      <c r="N79" s="72">
        <f t="shared" si="16"/>
        <v>-7.7720207253886286E-3</v>
      </c>
      <c r="O79" s="73">
        <f t="shared" si="17"/>
        <v>-2.0538810349426617E-2</v>
      </c>
      <c r="P79" s="73">
        <f t="shared" si="18"/>
        <v>-2.707423580786017E-2</v>
      </c>
      <c r="Q79" s="73">
        <f t="shared" si="19"/>
        <v>-1.5952143569292199E-3</v>
      </c>
      <c r="R79" s="73">
        <f t="shared" si="20"/>
        <v>1.6353229762877675E-3</v>
      </c>
      <c r="S79" s="73">
        <f t="shared" si="21"/>
        <v>-2.9482385357213148E-2</v>
      </c>
      <c r="T79" s="73">
        <f t="shared" si="22"/>
        <v>1.1585013974237501E-2</v>
      </c>
      <c r="U79" s="74">
        <f t="shared" si="23"/>
        <v>-8.0247989440355161E-3</v>
      </c>
    </row>
    <row r="80" spans="1:21" x14ac:dyDescent="0.25">
      <c r="A80" s="54">
        <f t="shared" si="13"/>
        <v>76</v>
      </c>
      <c r="B80" s="1">
        <v>45210</v>
      </c>
      <c r="C80" s="7">
        <f t="shared" si="14"/>
        <v>2023</v>
      </c>
      <c r="D80" s="55">
        <f t="shared" si="15"/>
        <v>10</v>
      </c>
      <c r="E80" s="61">
        <v>17.828600000000002</v>
      </c>
      <c r="F80" s="2">
        <v>50.18</v>
      </c>
      <c r="G80" s="2">
        <v>37.49</v>
      </c>
      <c r="H80" s="2">
        <v>11.45</v>
      </c>
      <c r="I80" s="2">
        <v>200.6</v>
      </c>
      <c r="J80" s="2">
        <v>12.23</v>
      </c>
      <c r="K80" s="2">
        <v>254.05</v>
      </c>
      <c r="L80" s="2">
        <v>131.83000000000001</v>
      </c>
      <c r="M80" s="2">
        <v>262.99</v>
      </c>
      <c r="N80" s="72">
        <f t="shared" si="16"/>
        <v>1.396926761125572E-3</v>
      </c>
      <c r="O80" s="73">
        <f t="shared" si="17"/>
        <v>1.1057173678532983E-2</v>
      </c>
      <c r="P80" s="73">
        <f t="shared" si="18"/>
        <v>4.3755697356426593E-2</v>
      </c>
      <c r="Q80" s="73">
        <f t="shared" si="19"/>
        <v>5.1610963571679935E-3</v>
      </c>
      <c r="R80" s="73">
        <f t="shared" si="20"/>
        <v>-1.6326530612245094E-3</v>
      </c>
      <c r="S80" s="73">
        <f t="shared" si="21"/>
        <v>8.5751717019335594E-3</v>
      </c>
      <c r="T80" s="73">
        <f t="shared" si="22"/>
        <v>1.2357676429185949E-2</v>
      </c>
      <c r="U80" s="74">
        <f t="shared" si="23"/>
        <v>-8.0648082479138905E-3</v>
      </c>
    </row>
    <row r="81" spans="1:21" x14ac:dyDescent="0.25">
      <c r="A81" s="54">
        <f t="shared" si="13"/>
        <v>77</v>
      </c>
      <c r="B81" s="1">
        <v>45209</v>
      </c>
      <c r="C81" s="7">
        <f t="shared" si="14"/>
        <v>2023</v>
      </c>
      <c r="D81" s="55">
        <f t="shared" si="15"/>
        <v>10</v>
      </c>
      <c r="E81" s="61">
        <v>17.930599999999998</v>
      </c>
      <c r="F81" s="2">
        <v>50.11</v>
      </c>
      <c r="G81" s="2">
        <v>37.08</v>
      </c>
      <c r="H81" s="2">
        <v>10.97</v>
      </c>
      <c r="I81" s="2">
        <v>199.57</v>
      </c>
      <c r="J81" s="2">
        <v>12.25</v>
      </c>
      <c r="K81" s="2">
        <v>251.89</v>
      </c>
      <c r="L81" s="2">
        <v>129.47999999999999</v>
      </c>
      <c r="M81" s="2">
        <v>263.62</v>
      </c>
      <c r="N81" s="72">
        <f t="shared" si="16"/>
        <v>2.1194212349704422E-2</v>
      </c>
      <c r="O81" s="73">
        <f t="shared" si="17"/>
        <v>8.9795918367345795E-3</v>
      </c>
      <c r="P81" s="73">
        <f t="shared" si="18"/>
        <v>2.0465116279069884E-2</v>
      </c>
      <c r="Q81" s="73">
        <f t="shared" si="19"/>
        <v>1.7331905999897979E-2</v>
      </c>
      <c r="R81" s="73">
        <f t="shared" si="20"/>
        <v>4.4330775788576249E-2</v>
      </c>
      <c r="S81" s="73">
        <f t="shared" si="21"/>
        <v>4.5837658293543582E-2</v>
      </c>
      <c r="T81" s="73">
        <f t="shared" si="22"/>
        <v>-4.7365693514418439E-3</v>
      </c>
      <c r="U81" s="74">
        <f t="shared" si="23"/>
        <v>8.8266973597495024E-4</v>
      </c>
    </row>
    <row r="82" spans="1:21" x14ac:dyDescent="0.25">
      <c r="A82" s="54">
        <f t="shared" si="13"/>
        <v>78</v>
      </c>
      <c r="B82" s="1">
        <v>45208</v>
      </c>
      <c r="C82" s="7">
        <f t="shared" si="14"/>
        <v>2023</v>
      </c>
      <c r="D82" s="55">
        <f t="shared" si="15"/>
        <v>10</v>
      </c>
      <c r="E82" s="61">
        <v>18.1873</v>
      </c>
      <c r="F82" s="2">
        <v>49.07</v>
      </c>
      <c r="G82" s="2">
        <v>36.75</v>
      </c>
      <c r="H82" s="2">
        <v>10.75</v>
      </c>
      <c r="I82" s="2">
        <v>196.17</v>
      </c>
      <c r="J82" s="2">
        <v>11.73</v>
      </c>
      <c r="K82" s="2">
        <v>240.85</v>
      </c>
      <c r="L82" s="2">
        <v>128.26</v>
      </c>
      <c r="M82" s="2">
        <v>259.67</v>
      </c>
      <c r="N82" s="72">
        <f t="shared" si="16"/>
        <v>-8.0857085102081783E-3</v>
      </c>
      <c r="O82" s="73">
        <f t="shared" si="17"/>
        <v>-2.9842647856754834E-3</v>
      </c>
      <c r="P82" s="73">
        <f t="shared" si="18"/>
        <v>7.4976569821931793E-3</v>
      </c>
      <c r="Q82" s="73">
        <f t="shared" si="19"/>
        <v>-1.1202199704669624E-3</v>
      </c>
      <c r="R82" s="73">
        <f t="shared" si="20"/>
        <v>-5.7073954983922759E-2</v>
      </c>
      <c r="S82" s="73">
        <f t="shared" si="21"/>
        <v>7.0633205916559305E-4</v>
      </c>
      <c r="T82" s="73">
        <f t="shared" si="22"/>
        <v>3.641298038704166E-3</v>
      </c>
      <c r="U82" s="74">
        <f t="shared" si="23"/>
        <v>-2.0114520101325306E-3</v>
      </c>
    </row>
    <row r="83" spans="1:21" x14ac:dyDescent="0.25">
      <c r="A83" s="54">
        <f t="shared" si="13"/>
        <v>79</v>
      </c>
      <c r="B83" s="1">
        <v>45205</v>
      </c>
      <c r="C83" s="7">
        <f t="shared" si="14"/>
        <v>2023</v>
      </c>
      <c r="D83" s="55">
        <f t="shared" si="15"/>
        <v>10</v>
      </c>
      <c r="E83" s="61">
        <v>18.163799999999998</v>
      </c>
      <c r="F83" s="2">
        <v>49.47</v>
      </c>
      <c r="G83" s="2">
        <v>36.86</v>
      </c>
      <c r="H83" s="2">
        <v>10.67</v>
      </c>
      <c r="I83" s="2">
        <v>196.39</v>
      </c>
      <c r="J83" s="2">
        <v>12.44</v>
      </c>
      <c r="K83" s="2">
        <v>240.68</v>
      </c>
      <c r="L83" s="2">
        <v>127.96</v>
      </c>
      <c r="M83" s="2">
        <v>260.52999999999997</v>
      </c>
      <c r="N83" s="72">
        <f t="shared" si="16"/>
        <v>4.467005076142172E-3</v>
      </c>
      <c r="O83" s="73">
        <f t="shared" si="17"/>
        <v>9.0336709553791028E-3</v>
      </c>
      <c r="P83" s="73">
        <f t="shared" si="18"/>
        <v>-4.6641791044776948E-3</v>
      </c>
      <c r="Q83" s="73">
        <f t="shared" si="19"/>
        <v>1.6353568286497921E-2</v>
      </c>
      <c r="R83" s="73">
        <f t="shared" si="20"/>
        <v>7.3339085418464123E-2</v>
      </c>
      <c r="S83" s="73">
        <f t="shared" si="21"/>
        <v>5.3811462848636138E-2</v>
      </c>
      <c r="T83" s="73">
        <f t="shared" si="22"/>
        <v>1.1290342269886233E-2</v>
      </c>
      <c r="U83" s="74">
        <f t="shared" si="23"/>
        <v>-2.6785455719948725E-3</v>
      </c>
    </row>
    <row r="84" spans="1:21" x14ac:dyDescent="0.25">
      <c r="A84" s="54">
        <f t="shared" si="13"/>
        <v>80</v>
      </c>
      <c r="B84" s="1">
        <v>45204</v>
      </c>
      <c r="C84" s="7">
        <f t="shared" si="14"/>
        <v>2023</v>
      </c>
      <c r="D84" s="55">
        <f t="shared" si="15"/>
        <v>10</v>
      </c>
      <c r="E84" s="61">
        <v>18.246200000000002</v>
      </c>
      <c r="F84" s="2">
        <v>49.25</v>
      </c>
      <c r="G84" s="2">
        <v>36.53</v>
      </c>
      <c r="H84" s="2">
        <v>10.72</v>
      </c>
      <c r="I84" s="2">
        <v>193.23</v>
      </c>
      <c r="J84" s="2">
        <v>11.59</v>
      </c>
      <c r="K84" s="2">
        <v>228.39</v>
      </c>
      <c r="L84" s="2">
        <v>125.96</v>
      </c>
      <c r="M84" s="2">
        <v>260.05</v>
      </c>
      <c r="N84" s="72">
        <f t="shared" si="16"/>
        <v>-2.4559318676965813E-2</v>
      </c>
      <c r="O84" s="73">
        <f t="shared" si="17"/>
        <v>-5.445140212360311E-3</v>
      </c>
      <c r="P84" s="73">
        <f t="shared" si="18"/>
        <v>-4.6263345195729499E-2</v>
      </c>
      <c r="Q84" s="73">
        <f t="shared" si="19"/>
        <v>-4.1230737514817983E-3</v>
      </c>
      <c r="R84" s="73">
        <f t="shared" si="20"/>
        <v>-3.0125523012552224E-2</v>
      </c>
      <c r="S84" s="73">
        <f t="shared" si="21"/>
        <v>-0.22276671771311907</v>
      </c>
      <c r="T84" s="73">
        <f t="shared" si="22"/>
        <v>8.2334558589669538E-3</v>
      </c>
      <c r="U84" s="74">
        <f t="shared" si="23"/>
        <v>1.2237381435245442E-2</v>
      </c>
    </row>
    <row r="85" spans="1:21" x14ac:dyDescent="0.25">
      <c r="A85" s="54">
        <f t="shared" si="13"/>
        <v>81</v>
      </c>
      <c r="B85" s="1">
        <v>45203</v>
      </c>
      <c r="C85" s="7">
        <f t="shared" si="14"/>
        <v>2023</v>
      </c>
      <c r="D85" s="55">
        <f t="shared" si="15"/>
        <v>10</v>
      </c>
      <c r="E85" s="61">
        <v>17.949000000000002</v>
      </c>
      <c r="F85" s="2">
        <v>50.49</v>
      </c>
      <c r="G85" s="2">
        <v>36.729999999999997</v>
      </c>
      <c r="H85" s="2">
        <v>11.24</v>
      </c>
      <c r="I85" s="2">
        <v>194.03</v>
      </c>
      <c r="J85" s="2">
        <v>11.95</v>
      </c>
      <c r="K85" s="2">
        <v>293.85000000000002</v>
      </c>
      <c r="L85" s="2">
        <v>127</v>
      </c>
      <c r="M85" s="2">
        <v>261.16000000000003</v>
      </c>
      <c r="N85" s="72">
        <f t="shared" si="16"/>
        <v>6.5789473684212396E-3</v>
      </c>
      <c r="O85" s="73">
        <f t="shared" si="17"/>
        <v>3.8261820169442906E-3</v>
      </c>
      <c r="P85" s="73">
        <f t="shared" si="18"/>
        <v>1.7194570135746545E-2</v>
      </c>
      <c r="Q85" s="73">
        <f t="shared" si="19"/>
        <v>-6.044772296501244E-3</v>
      </c>
      <c r="R85" s="73">
        <f t="shared" si="20"/>
        <v>6.7917783735478077E-2</v>
      </c>
      <c r="S85" s="73">
        <f t="shared" si="21"/>
        <v>2.4795982423101215E-2</v>
      </c>
      <c r="T85" s="73">
        <f t="shared" si="22"/>
        <v>1.1725504667024156E-2</v>
      </c>
      <c r="U85" s="74">
        <f t="shared" si="23"/>
        <v>5.2523893840884295E-2</v>
      </c>
    </row>
    <row r="86" spans="1:21" x14ac:dyDescent="0.25">
      <c r="A86" s="54">
        <f t="shared" si="13"/>
        <v>82</v>
      </c>
      <c r="B86" s="1">
        <v>45202</v>
      </c>
      <c r="C86" s="7">
        <f t="shared" si="14"/>
        <v>2023</v>
      </c>
      <c r="D86" s="55">
        <f t="shared" si="15"/>
        <v>10</v>
      </c>
      <c r="E86" s="61">
        <v>18.065300000000001</v>
      </c>
      <c r="F86" s="2">
        <v>50.16</v>
      </c>
      <c r="G86" s="2">
        <v>36.590000000000003</v>
      </c>
      <c r="H86" s="2">
        <v>11.05</v>
      </c>
      <c r="I86" s="2">
        <v>195.21</v>
      </c>
      <c r="J86" s="2">
        <v>11.19</v>
      </c>
      <c r="K86" s="2">
        <v>286.74</v>
      </c>
      <c r="L86" s="2">
        <v>124.72</v>
      </c>
      <c r="M86" s="2">
        <v>246.53</v>
      </c>
      <c r="N86" s="72">
        <f t="shared" si="16"/>
        <v>-1.6856134849078885E-2</v>
      </c>
      <c r="O86" s="73">
        <f t="shared" si="17"/>
        <v>-7.0556309362278524E-3</v>
      </c>
      <c r="P86" s="73">
        <f t="shared" si="18"/>
        <v>-3.6617262423713992E-2</v>
      </c>
      <c r="Q86" s="73">
        <f t="shared" si="19"/>
        <v>-1.2279355333844055E-3</v>
      </c>
      <c r="R86" s="73">
        <f t="shared" si="20"/>
        <v>-6.2166962699822248E-3</v>
      </c>
      <c r="S86" s="73">
        <f t="shared" si="21"/>
        <v>-2.1164743633508509E-2</v>
      </c>
      <c r="T86" s="73">
        <f t="shared" si="22"/>
        <v>-1.4726909800352406E-2</v>
      </c>
      <c r="U86" s="74">
        <f t="shared" si="23"/>
        <v>2.1096884378384306E-3</v>
      </c>
    </row>
    <row r="87" spans="1:21" x14ac:dyDescent="0.25">
      <c r="A87" s="54">
        <f t="shared" si="13"/>
        <v>83</v>
      </c>
      <c r="B87" s="1">
        <v>45201</v>
      </c>
      <c r="C87" s="7">
        <f t="shared" si="14"/>
        <v>2023</v>
      </c>
      <c r="D87" s="55">
        <f t="shared" si="15"/>
        <v>10</v>
      </c>
      <c r="E87" s="61">
        <v>17.664000000000001</v>
      </c>
      <c r="F87" s="2">
        <v>51.02</v>
      </c>
      <c r="G87" s="2">
        <v>36.85</v>
      </c>
      <c r="H87" s="2">
        <v>11.47</v>
      </c>
      <c r="I87" s="2">
        <v>195.45</v>
      </c>
      <c r="J87" s="2">
        <v>11.26</v>
      </c>
      <c r="K87" s="2">
        <v>292.94</v>
      </c>
      <c r="L87" s="2">
        <v>129.46</v>
      </c>
      <c r="M87" s="2">
        <v>251.6</v>
      </c>
      <c r="N87" s="72">
        <f t="shared" si="16"/>
        <v>7.5039494470774404E-3</v>
      </c>
      <c r="O87" s="73">
        <f t="shared" si="17"/>
        <v>7.1057666028968569E-3</v>
      </c>
      <c r="P87" s="73">
        <f t="shared" si="18"/>
        <v>8.7950747581355682E-3</v>
      </c>
      <c r="Q87" s="73">
        <f t="shared" si="19"/>
        <v>-4.867364322219514E-2</v>
      </c>
      <c r="R87" s="73">
        <f t="shared" si="20"/>
        <v>-4.9789029535864948E-2</v>
      </c>
      <c r="S87" s="73">
        <f t="shared" si="21"/>
        <v>2.2692361402038896E-2</v>
      </c>
      <c r="T87" s="73">
        <f t="shared" si="22"/>
        <v>3.4037790634894982E-2</v>
      </c>
      <c r="U87" s="74">
        <f t="shared" si="23"/>
        <v>2.0947263941788918E-2</v>
      </c>
    </row>
    <row r="88" spans="1:21" x14ac:dyDescent="0.25">
      <c r="A88" s="54">
        <f t="shared" si="13"/>
        <v>84</v>
      </c>
      <c r="B88" s="1">
        <v>45198</v>
      </c>
      <c r="C88" s="7">
        <f t="shared" si="14"/>
        <v>2023</v>
      </c>
      <c r="D88" s="55">
        <f t="shared" si="15"/>
        <v>9</v>
      </c>
      <c r="E88" s="61">
        <v>17.396999999999998</v>
      </c>
      <c r="F88" s="2">
        <v>50.64</v>
      </c>
      <c r="G88" s="2">
        <v>36.590000000000003</v>
      </c>
      <c r="H88" s="2">
        <v>11.37</v>
      </c>
      <c r="I88" s="2">
        <v>205.45</v>
      </c>
      <c r="J88" s="2">
        <v>11.85</v>
      </c>
      <c r="K88" s="2">
        <v>286.44</v>
      </c>
      <c r="L88" s="2">
        <v>127.12</v>
      </c>
      <c r="M88" s="2">
        <v>250.22</v>
      </c>
      <c r="N88" s="72">
        <f t="shared" si="16"/>
        <v>-1.3442431326709525E-2</v>
      </c>
      <c r="O88" s="73">
        <f t="shared" si="17"/>
        <v>-2.2963951935914495E-2</v>
      </c>
      <c r="P88" s="73">
        <f t="shared" si="18"/>
        <v>-2.487135506003435E-2</v>
      </c>
      <c r="Q88" s="73">
        <f t="shared" si="19"/>
        <v>-1.5714080390935692E-2</v>
      </c>
      <c r="R88" s="73">
        <f t="shared" si="20"/>
        <v>-5.9523809523809534E-2</v>
      </c>
      <c r="S88" s="73">
        <f t="shared" si="21"/>
        <v>-6.2757672927164498E-2</v>
      </c>
      <c r="T88" s="73">
        <f t="shared" si="22"/>
        <v>8.2248670989581996E-4</v>
      </c>
      <c r="U88" s="74">
        <f t="shared" si="23"/>
        <v>7.3058202035716224E-3</v>
      </c>
    </row>
    <row r="89" spans="1:21" x14ac:dyDescent="0.25">
      <c r="A89" s="54">
        <f t="shared" si="13"/>
        <v>85</v>
      </c>
      <c r="B89" s="1">
        <v>45197</v>
      </c>
      <c r="C89" s="7">
        <f t="shared" si="14"/>
        <v>2023</v>
      </c>
      <c r="D89" s="55">
        <f t="shared" si="15"/>
        <v>9</v>
      </c>
      <c r="E89" s="61">
        <v>17.54</v>
      </c>
      <c r="F89" s="2">
        <v>51.33</v>
      </c>
      <c r="G89" s="2">
        <v>37.450000000000003</v>
      </c>
      <c r="H89" s="2">
        <v>11.66</v>
      </c>
      <c r="I89" s="2">
        <v>208.73</v>
      </c>
      <c r="J89" s="2">
        <v>12.6</v>
      </c>
      <c r="K89" s="2">
        <v>305.62</v>
      </c>
      <c r="L89" s="2">
        <v>125.98</v>
      </c>
      <c r="M89" s="2">
        <v>246.38</v>
      </c>
      <c r="N89" s="72">
        <f t="shared" si="16"/>
        <v>2.3432923257176164E-3</v>
      </c>
      <c r="O89" s="73">
        <f t="shared" si="17"/>
        <v>-1.0669511869831894E-3</v>
      </c>
      <c r="P89" s="73">
        <f t="shared" si="18"/>
        <v>4.3066322136089408E-3</v>
      </c>
      <c r="Q89" s="73">
        <f t="shared" si="19"/>
        <v>-5.4319340544146666E-3</v>
      </c>
      <c r="R89" s="73">
        <f t="shared" si="20"/>
        <v>-1.945525291828798E-2</v>
      </c>
      <c r="S89" s="73">
        <f t="shared" si="21"/>
        <v>1.8028649162487032E-3</v>
      </c>
      <c r="T89" s="73">
        <f t="shared" si="22"/>
        <v>-7.1492049834996907E-3</v>
      </c>
      <c r="U89" s="74">
        <f t="shared" si="23"/>
        <v>1.712506809216352E-2</v>
      </c>
    </row>
    <row r="90" spans="1:21" x14ac:dyDescent="0.25">
      <c r="A90" s="54">
        <f t="shared" si="13"/>
        <v>86</v>
      </c>
      <c r="B90" s="1">
        <v>45196</v>
      </c>
      <c r="C90" s="7">
        <f t="shared" si="14"/>
        <v>2023</v>
      </c>
      <c r="D90" s="55">
        <f t="shared" si="15"/>
        <v>9</v>
      </c>
      <c r="E90" s="61">
        <v>17.6663</v>
      </c>
      <c r="F90" s="2">
        <v>51.21</v>
      </c>
      <c r="G90" s="2">
        <v>37.49</v>
      </c>
      <c r="H90" s="2">
        <v>11.61</v>
      </c>
      <c r="I90" s="2">
        <v>209.87</v>
      </c>
      <c r="J90" s="2">
        <v>12.85</v>
      </c>
      <c r="K90" s="2">
        <v>305.07</v>
      </c>
      <c r="L90" s="2">
        <v>125.98</v>
      </c>
      <c r="M90" s="2">
        <v>240.5</v>
      </c>
      <c r="N90" s="72">
        <f t="shared" si="16"/>
        <v>5.6952081696779455E-3</v>
      </c>
      <c r="O90" s="73">
        <f t="shared" si="17"/>
        <v>1.9581180310035418E-2</v>
      </c>
      <c r="P90" s="73">
        <f t="shared" si="18"/>
        <v>9.565217391304337E-3</v>
      </c>
      <c r="Q90" s="73">
        <f t="shared" si="19"/>
        <v>-1.8381665107577216E-2</v>
      </c>
      <c r="R90" s="73">
        <f t="shared" si="20"/>
        <v>4.5565500406834936E-2</v>
      </c>
      <c r="S90" s="73">
        <f t="shared" si="21"/>
        <v>2.5303976339139389E-3</v>
      </c>
      <c r="T90" s="73">
        <f t="shared" si="22"/>
        <v>8.1202921707370646E-3</v>
      </c>
      <c r="U90" s="74">
        <f t="shared" si="23"/>
        <v>-6.8288945311227867E-3</v>
      </c>
    </row>
    <row r="91" spans="1:21" x14ac:dyDescent="0.25">
      <c r="A91" s="54">
        <f t="shared" si="13"/>
        <v>87</v>
      </c>
      <c r="B91" s="1">
        <v>45195</v>
      </c>
      <c r="C91" s="7">
        <f t="shared" si="14"/>
        <v>2023</v>
      </c>
      <c r="D91" s="55">
        <f t="shared" si="15"/>
        <v>9</v>
      </c>
      <c r="E91" s="61">
        <v>17.524000000000001</v>
      </c>
      <c r="F91" s="2">
        <v>50.92</v>
      </c>
      <c r="G91" s="2">
        <v>36.770000000000003</v>
      </c>
      <c r="H91" s="2">
        <v>11.5</v>
      </c>
      <c r="I91" s="2">
        <v>213.8</v>
      </c>
      <c r="J91" s="2">
        <v>12.29</v>
      </c>
      <c r="K91" s="2">
        <v>304.3</v>
      </c>
      <c r="L91" s="2">
        <v>125.98</v>
      </c>
      <c r="M91" s="2">
        <v>244.12</v>
      </c>
      <c r="N91" s="72">
        <f t="shared" si="16"/>
        <v>-5.2744676694665982E-3</v>
      </c>
      <c r="O91" s="73">
        <f t="shared" si="17"/>
        <v>4.0961223375206579E-3</v>
      </c>
      <c r="P91" s="73">
        <f t="shared" si="18"/>
        <v>-8.6206896551723755E-3</v>
      </c>
      <c r="Q91" s="73">
        <f t="shared" si="19"/>
        <v>2.2971262481834565E-3</v>
      </c>
      <c r="R91" s="73">
        <f t="shared" si="20"/>
        <v>-5.1697530864197705E-2</v>
      </c>
      <c r="S91" s="73">
        <f t="shared" si="21"/>
        <v>-1.230160018176496E-2</v>
      </c>
      <c r="T91" s="73">
        <f t="shared" si="22"/>
        <v>-3.2864637291407095E-2</v>
      </c>
      <c r="U91" s="74">
        <f t="shared" si="23"/>
        <v>-3.9637703291257598E-3</v>
      </c>
    </row>
    <row r="92" spans="1:21" x14ac:dyDescent="0.25">
      <c r="A92" s="54">
        <f t="shared" si="13"/>
        <v>88</v>
      </c>
      <c r="B92" s="1">
        <v>45194</v>
      </c>
      <c r="C92" s="7">
        <f t="shared" si="14"/>
        <v>2023</v>
      </c>
      <c r="D92" s="55">
        <f t="shared" si="15"/>
        <v>9</v>
      </c>
      <c r="E92" s="61">
        <v>17.389299999999999</v>
      </c>
      <c r="F92" s="2">
        <v>51.19</v>
      </c>
      <c r="G92" s="2">
        <v>36.619999999999997</v>
      </c>
      <c r="H92" s="2">
        <v>11.6</v>
      </c>
      <c r="I92" s="2">
        <v>213.31</v>
      </c>
      <c r="J92" s="2">
        <v>12.96</v>
      </c>
      <c r="K92" s="2">
        <v>308.08999999999997</v>
      </c>
      <c r="L92" s="2">
        <v>131.27000000000001</v>
      </c>
      <c r="M92" s="2">
        <v>246.99</v>
      </c>
      <c r="N92" s="72">
        <f t="shared" si="16"/>
        <v>-6.019417475728206E-3</v>
      </c>
      <c r="O92" s="73">
        <f t="shared" si="17"/>
        <v>-2.1798365122617236E-3</v>
      </c>
      <c r="P92" s="73">
        <f t="shared" si="18"/>
        <v>6.9444444444444198E-3</v>
      </c>
      <c r="Q92" s="73">
        <f t="shared" si="19"/>
        <v>-2.1334189759588895E-2</v>
      </c>
      <c r="R92" s="73">
        <f t="shared" si="20"/>
        <v>-5.1938551572787039E-2</v>
      </c>
      <c r="S92" s="73">
        <f t="shared" si="21"/>
        <v>1.1324842436974736E-2</v>
      </c>
      <c r="T92" s="73">
        <f t="shared" si="22"/>
        <v>2.7905989085077687E-2</v>
      </c>
      <c r="U92" s="74">
        <f t="shared" si="23"/>
        <v>1.978232901126753E-2</v>
      </c>
    </row>
    <row r="93" spans="1:21" x14ac:dyDescent="0.25">
      <c r="A93" s="54">
        <f t="shared" si="13"/>
        <v>89</v>
      </c>
      <c r="B93" s="1">
        <v>45191</v>
      </c>
      <c r="C93" s="7">
        <f t="shared" si="14"/>
        <v>2023</v>
      </c>
      <c r="D93" s="55">
        <f t="shared" si="15"/>
        <v>9</v>
      </c>
      <c r="E93" s="61">
        <v>17.198899999999998</v>
      </c>
      <c r="F93" s="2">
        <v>51.5</v>
      </c>
      <c r="G93" s="2">
        <v>36.700000000000003</v>
      </c>
      <c r="H93" s="2">
        <v>11.52</v>
      </c>
      <c r="I93" s="2">
        <v>217.96</v>
      </c>
      <c r="J93" s="2">
        <v>13.67</v>
      </c>
      <c r="K93" s="2">
        <v>304.64</v>
      </c>
      <c r="L93" s="2">
        <v>129.12</v>
      </c>
      <c r="M93" s="2">
        <v>244.88</v>
      </c>
      <c r="N93" s="72">
        <f t="shared" si="16"/>
        <v>-4.2536736272235087E-3</v>
      </c>
      <c r="O93" s="73">
        <f t="shared" si="17"/>
        <v>7.4114740598407725E-3</v>
      </c>
      <c r="P93" s="73">
        <f t="shared" si="18"/>
        <v>-2.0408163265306145E-2</v>
      </c>
      <c r="Q93" s="73">
        <f t="shared" si="19"/>
        <v>-1.3934129569308618E-2</v>
      </c>
      <c r="R93" s="73">
        <f t="shared" si="20"/>
        <v>-5.0034746351633075E-2</v>
      </c>
      <c r="S93" s="73">
        <f t="shared" si="21"/>
        <v>-8.1396106010288571E-3</v>
      </c>
      <c r="T93" s="73">
        <f t="shared" si="22"/>
        <v>-3.0786558715254486E-3</v>
      </c>
      <c r="U93" s="74">
        <f t="shared" si="23"/>
        <v>-4.3710817422225379E-2</v>
      </c>
    </row>
    <row r="94" spans="1:21" x14ac:dyDescent="0.25">
      <c r="A94" s="54">
        <f t="shared" si="13"/>
        <v>90</v>
      </c>
      <c r="B94" s="1">
        <v>45190</v>
      </c>
      <c r="C94" s="7">
        <f t="shared" si="14"/>
        <v>2023</v>
      </c>
      <c r="D94" s="55">
        <f t="shared" si="15"/>
        <v>9</v>
      </c>
      <c r="E94" s="61">
        <v>17.224</v>
      </c>
      <c r="F94" s="2">
        <v>51.72</v>
      </c>
      <c r="G94" s="2">
        <v>36.43</v>
      </c>
      <c r="H94" s="2">
        <v>11.76</v>
      </c>
      <c r="I94" s="2">
        <v>221.04</v>
      </c>
      <c r="J94" s="2">
        <v>14.39</v>
      </c>
      <c r="K94" s="2">
        <v>307.14</v>
      </c>
      <c r="L94" s="2">
        <v>129.33000000000001</v>
      </c>
      <c r="M94" s="2">
        <v>255.7</v>
      </c>
      <c r="N94" s="72">
        <f t="shared" si="16"/>
        <v>-1.0522288119380274E-2</v>
      </c>
      <c r="O94" s="73">
        <f t="shared" si="17"/>
        <v>-1.9116855142703337E-2</v>
      </c>
      <c r="P94" s="73">
        <f t="shared" si="18"/>
        <v>-3.6855036855036993E-2</v>
      </c>
      <c r="Q94" s="73">
        <f t="shared" si="19"/>
        <v>-7.8103959062753026E-3</v>
      </c>
      <c r="R94" s="73">
        <f t="shared" si="20"/>
        <v>-3.4875922199865794E-2</v>
      </c>
      <c r="S94" s="73">
        <f t="shared" si="21"/>
        <v>-3.2452781203349268E-3</v>
      </c>
      <c r="T94" s="73">
        <f t="shared" si="22"/>
        <v>-3.6439687539939203E-2</v>
      </c>
      <c r="U94" s="74">
        <f t="shared" si="23"/>
        <v>-1.8482905544970785E-2</v>
      </c>
    </row>
    <row r="95" spans="1:21" x14ac:dyDescent="0.25">
      <c r="A95" s="54">
        <f t="shared" si="13"/>
        <v>91</v>
      </c>
      <c r="B95" s="1">
        <v>45189</v>
      </c>
      <c r="C95" s="7">
        <f t="shared" si="14"/>
        <v>2023</v>
      </c>
      <c r="D95" s="55">
        <f t="shared" si="15"/>
        <v>9</v>
      </c>
      <c r="E95" s="61">
        <v>17.087900000000001</v>
      </c>
      <c r="F95" s="2">
        <v>52.27</v>
      </c>
      <c r="G95" s="2">
        <v>37.14</v>
      </c>
      <c r="H95" s="2">
        <v>12.21</v>
      </c>
      <c r="I95" s="2">
        <v>222.78</v>
      </c>
      <c r="J95" s="2">
        <v>14.91</v>
      </c>
      <c r="K95" s="2">
        <v>308.14</v>
      </c>
      <c r="L95" s="2">
        <v>135.29</v>
      </c>
      <c r="M95" s="2">
        <v>262.58999999999997</v>
      </c>
      <c r="N95" s="72">
        <f t="shared" si="16"/>
        <v>5.1923076923077183E-3</v>
      </c>
      <c r="O95" s="73">
        <f t="shared" si="17"/>
        <v>4.0627626786214677E-2</v>
      </c>
      <c r="P95" s="73">
        <f t="shared" si="18"/>
        <v>-3.2653061224489077E-3</v>
      </c>
      <c r="Q95" s="73">
        <f t="shared" si="19"/>
        <v>8.985533291401282E-4</v>
      </c>
      <c r="R95" s="73">
        <f t="shared" si="20"/>
        <v>2.0533880903490731E-2</v>
      </c>
      <c r="S95" s="73">
        <f t="shared" si="21"/>
        <v>-2.8154428659267206E-3</v>
      </c>
      <c r="T95" s="73">
        <f t="shared" si="22"/>
        <v>-1.6397713111633516E-2</v>
      </c>
      <c r="U95" s="74">
        <f t="shared" si="23"/>
        <v>-1.4065842942509899E-2</v>
      </c>
    </row>
    <row r="96" spans="1:21" x14ac:dyDescent="0.25">
      <c r="A96" s="54">
        <f t="shared" si="13"/>
        <v>92</v>
      </c>
      <c r="B96" s="1">
        <v>45188</v>
      </c>
      <c r="C96" s="7">
        <f t="shared" si="14"/>
        <v>2023</v>
      </c>
      <c r="D96" s="55">
        <f t="shared" si="15"/>
        <v>9</v>
      </c>
      <c r="E96" s="61">
        <v>17.077400000000001</v>
      </c>
      <c r="F96" s="2">
        <v>52</v>
      </c>
      <c r="G96" s="2">
        <v>35.69</v>
      </c>
      <c r="H96" s="2">
        <v>12.25</v>
      </c>
      <c r="I96" s="2">
        <v>222.58</v>
      </c>
      <c r="J96" s="2">
        <v>14.61</v>
      </c>
      <c r="K96" s="2">
        <v>309.01</v>
      </c>
      <c r="L96" s="2">
        <v>137.63</v>
      </c>
      <c r="M96" s="2">
        <v>266.5</v>
      </c>
      <c r="N96" s="72">
        <f t="shared" si="16"/>
        <v>1.0493587252234704E-2</v>
      </c>
      <c r="O96" s="73">
        <f t="shared" si="17"/>
        <v>-8.060033351862117E-3</v>
      </c>
      <c r="P96" s="73">
        <f t="shared" si="18"/>
        <v>2.7684563758389347E-2</v>
      </c>
      <c r="Q96" s="73">
        <f t="shared" si="19"/>
        <v>1.6200162001620555E-3</v>
      </c>
      <c r="R96" s="73">
        <f t="shared" si="20"/>
        <v>-4.0899795501022629E-3</v>
      </c>
      <c r="S96" s="73">
        <f t="shared" si="21"/>
        <v>1.718101659750948E-3</v>
      </c>
      <c r="T96" s="73">
        <f t="shared" si="22"/>
        <v>-1.9864416198819845E-2</v>
      </c>
      <c r="U96" s="74">
        <f t="shared" si="23"/>
        <v>1.4556943552626045E-3</v>
      </c>
    </row>
    <row r="97" spans="1:21" x14ac:dyDescent="0.25">
      <c r="A97" s="54">
        <f t="shared" si="13"/>
        <v>93</v>
      </c>
      <c r="B97" s="1">
        <v>45187</v>
      </c>
      <c r="C97" s="7">
        <f t="shared" si="14"/>
        <v>2023</v>
      </c>
      <c r="D97" s="55">
        <f t="shared" si="15"/>
        <v>9</v>
      </c>
      <c r="E97" s="61">
        <v>17.131</v>
      </c>
      <c r="F97" s="2">
        <v>51.46</v>
      </c>
      <c r="G97" s="2">
        <v>35.979999999999997</v>
      </c>
      <c r="H97" s="2">
        <v>11.92</v>
      </c>
      <c r="I97" s="2">
        <v>222.22</v>
      </c>
      <c r="J97" s="2">
        <v>14.67</v>
      </c>
      <c r="K97" s="2">
        <v>308.48</v>
      </c>
      <c r="L97" s="2">
        <v>139.97999999999999</v>
      </c>
      <c r="M97" s="2">
        <v>265.27999999999997</v>
      </c>
      <c r="N97" s="72">
        <f t="shared" si="16"/>
        <v>5.8639562157936087E-3</v>
      </c>
      <c r="O97" s="73">
        <f t="shared" si="17"/>
        <v>5.3087454596254524E-3</v>
      </c>
      <c r="P97" s="73">
        <f t="shared" si="18"/>
        <v>1.8803418803418959E-2</v>
      </c>
      <c r="Q97" s="73">
        <f t="shared" si="19"/>
        <v>2.255096518130939E-3</v>
      </c>
      <c r="R97" s="73">
        <f t="shared" si="20"/>
        <v>-5.1712992889463516E-2</v>
      </c>
      <c r="S97" s="73">
        <f t="shared" si="21"/>
        <v>-1.4031386837983773E-2</v>
      </c>
      <c r="T97" s="73">
        <f t="shared" si="22"/>
        <v>9.9449203639956352E-4</v>
      </c>
      <c r="U97" s="74">
        <f t="shared" si="23"/>
        <v>-2.9404883563313722E-2</v>
      </c>
    </row>
    <row r="98" spans="1:21" x14ac:dyDescent="0.25">
      <c r="A98" s="54">
        <f t="shared" si="13"/>
        <v>94</v>
      </c>
      <c r="B98" s="1">
        <v>45184</v>
      </c>
      <c r="C98" s="7">
        <f t="shared" si="14"/>
        <v>2023</v>
      </c>
      <c r="D98" s="55">
        <f t="shared" si="15"/>
        <v>9</v>
      </c>
      <c r="E98" s="61">
        <v>17.064</v>
      </c>
      <c r="F98" s="2">
        <v>51.16</v>
      </c>
      <c r="G98" s="2">
        <v>35.79</v>
      </c>
      <c r="H98" s="2">
        <v>11.7</v>
      </c>
      <c r="I98" s="2">
        <v>221.72</v>
      </c>
      <c r="J98" s="2">
        <v>15.47</v>
      </c>
      <c r="K98" s="2">
        <v>312.87</v>
      </c>
      <c r="L98" s="2">
        <v>140.38999999999999</v>
      </c>
      <c r="M98" s="2">
        <v>274.39</v>
      </c>
      <c r="N98" s="72">
        <f t="shared" si="16"/>
        <v>-5.2498541707175495E-3</v>
      </c>
      <c r="O98" s="73">
        <f t="shared" si="17"/>
        <v>1.9596864501680855E-3</v>
      </c>
      <c r="P98" s="73">
        <f t="shared" si="18"/>
        <v>-3.4071550255537764E-3</v>
      </c>
      <c r="Q98" s="73">
        <f t="shared" si="19"/>
        <v>1.6597890875745147E-2</v>
      </c>
      <c r="R98" s="73">
        <f t="shared" si="20"/>
        <v>-4.9754299754299791E-2</v>
      </c>
      <c r="S98" s="73">
        <f t="shared" si="21"/>
        <v>7.2111515307600182E-3</v>
      </c>
      <c r="T98" s="73">
        <f t="shared" si="22"/>
        <v>-3.218850788154648E-2</v>
      </c>
      <c r="U98" s="74">
        <f t="shared" si="23"/>
        <v>-8.3020498784832641E-3</v>
      </c>
    </row>
    <row r="99" spans="1:21" x14ac:dyDescent="0.25">
      <c r="A99" s="54">
        <f t="shared" si="13"/>
        <v>95</v>
      </c>
      <c r="B99" s="1">
        <v>45183</v>
      </c>
      <c r="C99" s="7">
        <f t="shared" si="14"/>
        <v>2023</v>
      </c>
      <c r="D99" s="55">
        <f t="shared" si="15"/>
        <v>9</v>
      </c>
      <c r="E99" s="61">
        <v>17.103999999999999</v>
      </c>
      <c r="F99" s="2">
        <v>51.43</v>
      </c>
      <c r="G99" s="2">
        <v>35.72</v>
      </c>
      <c r="H99" s="2">
        <v>11.74</v>
      </c>
      <c r="I99" s="2">
        <v>218.1</v>
      </c>
      <c r="J99" s="2">
        <v>16.28</v>
      </c>
      <c r="K99" s="2">
        <v>310.63</v>
      </c>
      <c r="L99" s="2">
        <v>144.72</v>
      </c>
      <c r="M99" s="2">
        <v>276.04000000000002</v>
      </c>
      <c r="N99" s="72">
        <f t="shared" si="16"/>
        <v>2.1434138737335129E-3</v>
      </c>
      <c r="O99" s="73">
        <f t="shared" si="17"/>
        <v>-1.3259668508287414E-2</v>
      </c>
      <c r="P99" s="73">
        <f t="shared" si="18"/>
        <v>-9.2827004219409037E-3</v>
      </c>
      <c r="Q99" s="73">
        <f t="shared" si="19"/>
        <v>3.5071899767452841E-2</v>
      </c>
      <c r="R99" s="73">
        <f t="shared" si="20"/>
        <v>5.5589870290302379E-3</v>
      </c>
      <c r="S99" s="73">
        <f t="shared" si="21"/>
        <v>6.1542448093803159E-3</v>
      </c>
      <c r="T99" s="73">
        <f t="shared" si="22"/>
        <v>-3.402956815639846E-3</v>
      </c>
      <c r="U99" s="74">
        <f t="shared" si="23"/>
        <v>1.4919892946254842E-2</v>
      </c>
    </row>
    <row r="100" spans="1:21" x14ac:dyDescent="0.25">
      <c r="A100" s="54">
        <f t="shared" si="13"/>
        <v>96</v>
      </c>
      <c r="B100" s="1">
        <v>45182</v>
      </c>
      <c r="C100" s="7">
        <f t="shared" si="14"/>
        <v>2023</v>
      </c>
      <c r="D100" s="55">
        <f t="shared" si="15"/>
        <v>9</v>
      </c>
      <c r="E100" s="61">
        <v>17.146999999999998</v>
      </c>
      <c r="F100" s="2">
        <v>51.32</v>
      </c>
      <c r="G100" s="2">
        <v>36.200000000000003</v>
      </c>
      <c r="H100" s="2">
        <v>11.85</v>
      </c>
      <c r="I100" s="2">
        <v>210.71</v>
      </c>
      <c r="J100" s="2">
        <v>16.190000000000001</v>
      </c>
      <c r="K100" s="2">
        <v>308.73</v>
      </c>
      <c r="L100" s="2">
        <v>144.85</v>
      </c>
      <c r="M100" s="2">
        <v>271.3</v>
      </c>
      <c r="N100" s="72">
        <f t="shared" si="16"/>
        <v>-6.5814943863723441E-3</v>
      </c>
      <c r="O100" s="73">
        <f t="shared" si="17"/>
        <v>-3.3039647577092213E-3</v>
      </c>
      <c r="P100" s="73">
        <f t="shared" si="18"/>
        <v>-9.1973244147157684E-3</v>
      </c>
      <c r="Q100" s="73">
        <f t="shared" si="19"/>
        <v>-2.6788600988406963E-2</v>
      </c>
      <c r="R100" s="73">
        <f t="shared" si="20"/>
        <v>-5.8173356602675974E-2</v>
      </c>
      <c r="S100" s="73">
        <f t="shared" si="21"/>
        <v>-9.3845058572250561E-4</v>
      </c>
      <c r="T100" s="73">
        <f t="shared" si="22"/>
        <v>2.2531019850488443E-2</v>
      </c>
      <c r="U100" s="74">
        <f t="shared" si="23"/>
        <v>1.1214831046487239E-2</v>
      </c>
    </row>
    <row r="101" spans="1:21" x14ac:dyDescent="0.25">
      <c r="A101" s="54">
        <f t="shared" si="13"/>
        <v>97</v>
      </c>
      <c r="B101" s="1">
        <v>45181</v>
      </c>
      <c r="C101" s="7">
        <f t="shared" si="14"/>
        <v>2023</v>
      </c>
      <c r="D101" s="55">
        <f t="shared" si="15"/>
        <v>9</v>
      </c>
      <c r="E101" s="61">
        <v>17.199000000000002</v>
      </c>
      <c r="F101" s="2">
        <v>51.66</v>
      </c>
      <c r="G101" s="2">
        <v>36.32</v>
      </c>
      <c r="H101" s="2">
        <v>11.96</v>
      </c>
      <c r="I101" s="2">
        <v>216.51</v>
      </c>
      <c r="J101" s="2">
        <v>17.190000000000001</v>
      </c>
      <c r="K101" s="2">
        <v>309.02</v>
      </c>
      <c r="L101" s="2">
        <v>141.22999999999999</v>
      </c>
      <c r="M101" s="2">
        <v>267.48</v>
      </c>
      <c r="N101" s="72">
        <f t="shared" si="16"/>
        <v>-7.1112819527197058E-3</v>
      </c>
      <c r="O101" s="73">
        <f t="shared" si="17"/>
        <v>-8.1922446750408717E-3</v>
      </c>
      <c r="P101" s="73">
        <f t="shared" si="18"/>
        <v>-2.1276595744680882E-2</v>
      </c>
      <c r="Q101" s="73">
        <f t="shared" si="19"/>
        <v>-2.9842720795805855E-2</v>
      </c>
      <c r="R101" s="73">
        <f t="shared" si="20"/>
        <v>-9.7926267281105428E-3</v>
      </c>
      <c r="S101" s="73">
        <f t="shared" si="21"/>
        <v>6.1522520480528087E-4</v>
      </c>
      <c r="T101" s="73">
        <f t="shared" si="22"/>
        <v>-1.68405925391647E-2</v>
      </c>
      <c r="U101" s="74">
        <f t="shared" si="23"/>
        <v>-2.6034478389286742E-2</v>
      </c>
    </row>
    <row r="102" spans="1:21" x14ac:dyDescent="0.25">
      <c r="A102" s="54">
        <f t="shared" si="13"/>
        <v>98</v>
      </c>
      <c r="B102" s="1">
        <v>45180</v>
      </c>
      <c r="C102" s="7">
        <f t="shared" si="14"/>
        <v>2023</v>
      </c>
      <c r="D102" s="55">
        <f t="shared" si="15"/>
        <v>9</v>
      </c>
      <c r="E102" s="61">
        <v>17.265000000000001</v>
      </c>
      <c r="F102" s="2">
        <v>52.03</v>
      </c>
      <c r="G102" s="2">
        <v>36.619999999999997</v>
      </c>
      <c r="H102" s="2">
        <v>12.22</v>
      </c>
      <c r="I102" s="2">
        <v>223.17</v>
      </c>
      <c r="J102" s="2">
        <v>17.36</v>
      </c>
      <c r="K102" s="2">
        <v>308.83</v>
      </c>
      <c r="L102" s="2">
        <v>143.1</v>
      </c>
      <c r="M102" s="2">
        <v>273.58</v>
      </c>
      <c r="N102" s="72">
        <f t="shared" si="16"/>
        <v>-4.9722700325109948E-3</v>
      </c>
      <c r="O102" s="73">
        <f t="shared" si="17"/>
        <v>-1.0002703433360516E-2</v>
      </c>
      <c r="P102" s="73">
        <f t="shared" si="18"/>
        <v>-3.9308176100628978E-2</v>
      </c>
      <c r="Q102" s="73">
        <f t="shared" si="19"/>
        <v>-1.8946720590821142E-2</v>
      </c>
      <c r="R102" s="73">
        <f t="shared" si="20"/>
        <v>-4.0883977900552648E-2</v>
      </c>
      <c r="S102" s="73">
        <f t="shared" si="21"/>
        <v>1.4267648107915143E-3</v>
      </c>
      <c r="T102" s="73">
        <f t="shared" si="22"/>
        <v>1.6855297938952463E-2</v>
      </c>
      <c r="U102" s="74">
        <f t="shared" si="23"/>
        <v>8.1383608014360176E-2</v>
      </c>
    </row>
    <row r="103" spans="1:21" x14ac:dyDescent="0.25">
      <c r="A103" s="54">
        <f t="shared" si="13"/>
        <v>99</v>
      </c>
      <c r="B103" s="1">
        <v>45177</v>
      </c>
      <c r="C103" s="7">
        <f t="shared" si="14"/>
        <v>2023</v>
      </c>
      <c r="D103" s="55">
        <f t="shared" si="15"/>
        <v>9</v>
      </c>
      <c r="E103" s="61">
        <v>17.577000000000002</v>
      </c>
      <c r="F103" s="2">
        <v>52.29</v>
      </c>
      <c r="G103" s="2">
        <v>36.99</v>
      </c>
      <c r="H103" s="2">
        <v>12.72</v>
      </c>
      <c r="I103" s="2">
        <v>227.48</v>
      </c>
      <c r="J103" s="2">
        <v>18.100000000000001</v>
      </c>
      <c r="K103" s="2">
        <v>308.39</v>
      </c>
      <c r="L103" s="2">
        <v>138.22999999999999</v>
      </c>
      <c r="M103" s="2">
        <v>248.5</v>
      </c>
      <c r="N103" s="72">
        <f t="shared" si="16"/>
        <v>1.9127773527150005E-4</v>
      </c>
      <c r="O103" s="73">
        <f t="shared" si="17"/>
        <v>9.5524017467250033E-3</v>
      </c>
      <c r="P103" s="73">
        <f t="shared" si="18"/>
        <v>-2.304147465437778E-2</v>
      </c>
      <c r="Q103" s="73">
        <f t="shared" si="19"/>
        <v>8.7927547700594744E-5</v>
      </c>
      <c r="R103" s="73">
        <f t="shared" si="20"/>
        <v>0.12282878411910669</v>
      </c>
      <c r="S103" s="73">
        <f t="shared" si="21"/>
        <v>1.879748926329694E-2</v>
      </c>
      <c r="T103" s="73">
        <f t="shared" si="22"/>
        <v>2.9277968133010202E-3</v>
      </c>
      <c r="U103" s="74">
        <f t="shared" si="23"/>
        <v>-1.1720463551741722E-2</v>
      </c>
    </row>
    <row r="104" spans="1:21" x14ac:dyDescent="0.25">
      <c r="A104" s="54">
        <f t="shared" si="13"/>
        <v>100</v>
      </c>
      <c r="B104" s="1">
        <v>45176</v>
      </c>
      <c r="C104" s="7">
        <f t="shared" si="14"/>
        <v>2023</v>
      </c>
      <c r="D104" s="55">
        <f t="shared" si="15"/>
        <v>9</v>
      </c>
      <c r="E104" s="61">
        <v>17.574000000000002</v>
      </c>
      <c r="F104" s="2">
        <v>52.28</v>
      </c>
      <c r="G104" s="2">
        <v>36.64</v>
      </c>
      <c r="H104" s="2">
        <v>13.02</v>
      </c>
      <c r="I104" s="2">
        <v>227.46</v>
      </c>
      <c r="J104" s="2">
        <v>16.12</v>
      </c>
      <c r="K104" s="2">
        <v>302.7</v>
      </c>
      <c r="L104" s="2">
        <v>137.85</v>
      </c>
      <c r="M104" s="2">
        <v>251.49</v>
      </c>
      <c r="N104" s="72">
        <f t="shared" si="16"/>
        <v>-9.4732853353542978E-3</v>
      </c>
      <c r="O104" s="73">
        <f t="shared" si="17"/>
        <v>-7.3150907613112048E-3</v>
      </c>
      <c r="P104" s="73">
        <f t="shared" si="18"/>
        <v>-2.1788129226145814E-2</v>
      </c>
      <c r="Q104" s="73">
        <f t="shared" si="19"/>
        <v>4.3965706748805289E-5</v>
      </c>
      <c r="R104" s="73">
        <f t="shared" si="20"/>
        <v>-6.7775723967959944E-3</v>
      </c>
      <c r="S104" s="73">
        <f t="shared" si="21"/>
        <v>1.2238282671253042E-3</v>
      </c>
      <c r="T104" s="73">
        <f t="shared" si="22"/>
        <v>1.9613774574510412E-2</v>
      </c>
      <c r="U104" s="74">
        <f t="shared" si="23"/>
        <v>-5.1255647347892008E-4</v>
      </c>
    </row>
    <row r="105" spans="1:21" x14ac:dyDescent="0.25">
      <c r="A105" s="54">
        <f t="shared" si="13"/>
        <v>101</v>
      </c>
      <c r="B105" s="1">
        <v>45175</v>
      </c>
      <c r="C105" s="7">
        <f t="shared" si="14"/>
        <v>2023</v>
      </c>
      <c r="D105" s="55">
        <f t="shared" si="15"/>
        <v>9</v>
      </c>
      <c r="E105" s="61">
        <v>17.553000000000001</v>
      </c>
      <c r="F105" s="2">
        <v>52.78</v>
      </c>
      <c r="G105" s="2">
        <v>36.909999999999997</v>
      </c>
      <c r="H105" s="2">
        <v>13.31</v>
      </c>
      <c r="I105" s="2">
        <v>227.45</v>
      </c>
      <c r="J105" s="2">
        <v>16.23</v>
      </c>
      <c r="K105" s="2">
        <v>302.33</v>
      </c>
      <c r="L105" s="2">
        <v>135.36000000000001</v>
      </c>
      <c r="M105" s="2">
        <v>251.92</v>
      </c>
      <c r="N105" s="72">
        <f t="shared" si="16"/>
        <v>1.5180265654648473E-3</v>
      </c>
      <c r="O105" s="73">
        <f t="shared" si="17"/>
        <v>9.5733041575489786E-3</v>
      </c>
      <c r="P105" s="73">
        <f t="shared" si="18"/>
        <v>-1.2611275964391711E-2</v>
      </c>
      <c r="Q105" s="73">
        <f t="shared" si="19"/>
        <v>-1.2589537660082528E-2</v>
      </c>
      <c r="R105" s="73">
        <f t="shared" si="20"/>
        <v>2.4706609017912662E-3</v>
      </c>
      <c r="S105" s="73">
        <f t="shared" si="21"/>
        <v>-1.630116483373456E-2</v>
      </c>
      <c r="T105" s="73">
        <f t="shared" si="22"/>
        <v>-5.5863303995046243E-3</v>
      </c>
      <c r="U105" s="74">
        <f t="shared" si="23"/>
        <v>-9.5225700215713083E-3</v>
      </c>
    </row>
    <row r="106" spans="1:21" x14ac:dyDescent="0.25">
      <c r="A106" s="54">
        <f t="shared" si="13"/>
        <v>102</v>
      </c>
      <c r="B106" s="1">
        <v>45174</v>
      </c>
      <c r="C106" s="7">
        <f t="shared" si="14"/>
        <v>2023</v>
      </c>
      <c r="D106" s="55">
        <f t="shared" si="15"/>
        <v>9</v>
      </c>
      <c r="E106" s="61">
        <v>17.405999999999999</v>
      </c>
      <c r="F106" s="2">
        <v>52.7</v>
      </c>
      <c r="G106" s="2">
        <v>36.56</v>
      </c>
      <c r="H106" s="2">
        <v>13.48</v>
      </c>
      <c r="I106" s="2">
        <v>230.35</v>
      </c>
      <c r="J106" s="2">
        <v>16.190000000000001</v>
      </c>
      <c r="K106" s="2">
        <v>307.33999999999997</v>
      </c>
      <c r="L106" s="2">
        <v>137.27000000000001</v>
      </c>
      <c r="M106" s="2">
        <v>256.49</v>
      </c>
      <c r="N106" s="72">
        <f t="shared" si="16"/>
        <v>-2.0829388373414526E-3</v>
      </c>
      <c r="O106" s="73">
        <f t="shared" si="17"/>
        <v>-2.0364415862808127E-2</v>
      </c>
      <c r="P106" s="73">
        <f t="shared" si="18"/>
        <v>-2.0348837209302251E-2</v>
      </c>
      <c r="Q106" s="73">
        <f t="shared" si="19"/>
        <v>-2.522110786678522E-2</v>
      </c>
      <c r="R106" s="73">
        <f t="shared" si="20"/>
        <v>-2.5285972305839732E-2</v>
      </c>
      <c r="S106" s="73">
        <f t="shared" si="21"/>
        <v>4.3462631940132113E-3</v>
      </c>
      <c r="T106" s="73">
        <f t="shared" si="22"/>
        <v>7.6236181431439398E-3</v>
      </c>
      <c r="U106" s="74">
        <f t="shared" si="23"/>
        <v>6.136778543341137E-2</v>
      </c>
    </row>
    <row r="107" spans="1:21" x14ac:dyDescent="0.25">
      <c r="A107" s="54">
        <f t="shared" si="13"/>
        <v>103</v>
      </c>
      <c r="B107" s="1">
        <v>45173</v>
      </c>
      <c r="C107" s="7">
        <f t="shared" si="14"/>
        <v>2023</v>
      </c>
      <c r="D107" s="55">
        <f t="shared" si="15"/>
        <v>9</v>
      </c>
      <c r="E107" s="61">
        <v>17.167999999999999</v>
      </c>
      <c r="F107" s="2">
        <v>52.81</v>
      </c>
      <c r="G107" s="2">
        <v>37.32</v>
      </c>
      <c r="H107" s="2">
        <v>13.76</v>
      </c>
      <c r="I107" s="2">
        <v>236.31</v>
      </c>
      <c r="J107" s="2">
        <v>16.61</v>
      </c>
      <c r="K107" s="2">
        <v>306.01</v>
      </c>
      <c r="L107" s="2">
        <v>138.12</v>
      </c>
      <c r="M107" s="2">
        <v>245.01</v>
      </c>
      <c r="N107" s="72">
        <f t="shared" si="16"/>
        <v>-1.7013232514176968E-3</v>
      </c>
      <c r="O107" s="73">
        <f t="shared" si="17"/>
        <v>1.0560519902518273E-2</v>
      </c>
      <c r="P107" s="73">
        <f t="shared" si="18"/>
        <v>0</v>
      </c>
      <c r="Q107" s="73">
        <f t="shared" si="19"/>
        <v>-5.9209135123694523E-4</v>
      </c>
      <c r="R107" s="73">
        <f t="shared" si="20"/>
        <v>-2.4024024024023038E-3</v>
      </c>
      <c r="S107" s="73">
        <f t="shared" si="21"/>
        <v>7.0756269334562027E-3</v>
      </c>
      <c r="T107" s="73">
        <f t="shared" si="22"/>
        <v>5.3876786132585064E-3</v>
      </c>
      <c r="U107" s="74">
        <f t="shared" si="23"/>
        <v>5.3876786132582843E-3</v>
      </c>
    </row>
    <row r="108" spans="1:21" x14ac:dyDescent="0.25">
      <c r="A108" s="54">
        <f t="shared" si="13"/>
        <v>104</v>
      </c>
      <c r="B108" s="1">
        <v>45170</v>
      </c>
      <c r="C108" s="7">
        <f t="shared" si="14"/>
        <v>2023</v>
      </c>
      <c r="D108" s="55">
        <f t="shared" si="15"/>
        <v>9</v>
      </c>
      <c r="E108" s="61">
        <v>17.076000000000001</v>
      </c>
      <c r="F108" s="2">
        <v>52.9</v>
      </c>
      <c r="G108" s="2">
        <v>36.93</v>
      </c>
      <c r="H108" s="2">
        <v>13.76</v>
      </c>
      <c r="I108" s="2">
        <v>236.45</v>
      </c>
      <c r="J108" s="2">
        <v>16.649999999999999</v>
      </c>
      <c r="K108" s="2">
        <v>303.86</v>
      </c>
      <c r="L108" s="2">
        <v>138.12</v>
      </c>
      <c r="M108" s="2">
        <v>245.01</v>
      </c>
      <c r="N108" s="72">
        <f t="shared" si="16"/>
        <v>1.135503406510141E-3</v>
      </c>
      <c r="O108" s="73">
        <f t="shared" si="17"/>
        <v>-1.8918918918918726E-3</v>
      </c>
      <c r="P108" s="73">
        <f t="shared" si="18"/>
        <v>2.3048327137546565E-2</v>
      </c>
      <c r="Q108" s="73">
        <f t="shared" si="19"/>
        <v>-1.9530602089898874E-2</v>
      </c>
      <c r="R108" s="73">
        <f t="shared" si="20"/>
        <v>-2.0588235294117685E-2</v>
      </c>
      <c r="S108" s="73">
        <f t="shared" si="21"/>
        <v>-3.0007022920257809E-2</v>
      </c>
      <c r="T108" s="73">
        <f t="shared" si="22"/>
        <v>3.67711975643914E-3</v>
      </c>
      <c r="U108" s="74">
        <f t="shared" si="23"/>
        <v>-4.7911169201346193E-2</v>
      </c>
    </row>
    <row r="109" spans="1:21" x14ac:dyDescent="0.25">
      <c r="A109" s="54">
        <f t="shared" si="13"/>
        <v>105</v>
      </c>
      <c r="B109" s="1">
        <v>45169</v>
      </c>
      <c r="C109" s="7">
        <f t="shared" si="14"/>
        <v>2023</v>
      </c>
      <c r="D109" s="55">
        <f t="shared" si="15"/>
        <v>8</v>
      </c>
      <c r="E109" s="61">
        <v>17.027000000000001</v>
      </c>
      <c r="F109" s="2">
        <v>52.84</v>
      </c>
      <c r="G109" s="2">
        <v>37</v>
      </c>
      <c r="H109" s="2">
        <v>13.45</v>
      </c>
      <c r="I109" s="2">
        <v>241.16</v>
      </c>
      <c r="J109" s="2">
        <v>17</v>
      </c>
      <c r="K109" s="2">
        <v>313.26</v>
      </c>
      <c r="L109" s="2">
        <v>138.01</v>
      </c>
      <c r="M109" s="2">
        <v>258.08</v>
      </c>
      <c r="N109" s="72">
        <f t="shared" si="16"/>
        <v>-2.4192059095106133E-2</v>
      </c>
      <c r="O109" s="73">
        <f t="shared" si="17"/>
        <v>-2.8106120304701832E-2</v>
      </c>
      <c r="P109" s="73">
        <f t="shared" si="18"/>
        <v>-3.6532951289398374E-2</v>
      </c>
      <c r="Q109" s="73">
        <f t="shared" si="19"/>
        <v>-2.0471161657189207E-2</v>
      </c>
      <c r="R109" s="73">
        <f t="shared" si="20"/>
        <v>2.3584905660376521E-3</v>
      </c>
      <c r="S109" s="73">
        <f t="shared" si="21"/>
        <v>-2.8440281611512575E-2</v>
      </c>
      <c r="T109" s="73">
        <f t="shared" si="22"/>
        <v>4.0029773427788795E-2</v>
      </c>
      <c r="U109" s="74">
        <f t="shared" si="23"/>
        <v>2.2549550158336817E-2</v>
      </c>
    </row>
    <row r="110" spans="1:21" x14ac:dyDescent="0.25">
      <c r="A110" s="54">
        <f t="shared" si="13"/>
        <v>106</v>
      </c>
      <c r="B110" s="1">
        <v>45168</v>
      </c>
      <c r="C110" s="7">
        <f t="shared" si="14"/>
        <v>2023</v>
      </c>
      <c r="D110" s="55">
        <f t="shared" si="15"/>
        <v>8</v>
      </c>
      <c r="E110" s="61">
        <v>16.728000000000002</v>
      </c>
      <c r="F110" s="2">
        <v>54.15</v>
      </c>
      <c r="G110" s="2">
        <v>38.07</v>
      </c>
      <c r="H110" s="2">
        <v>13.96</v>
      </c>
      <c r="I110" s="2">
        <v>246.2</v>
      </c>
      <c r="J110" s="2">
        <v>16.96</v>
      </c>
      <c r="K110" s="2">
        <v>322.43</v>
      </c>
      <c r="L110" s="2">
        <v>135.07</v>
      </c>
      <c r="M110" s="2">
        <v>256.89999999999998</v>
      </c>
      <c r="N110" s="72">
        <f t="shared" si="16"/>
        <v>2.5921125717460747E-3</v>
      </c>
      <c r="O110" s="73">
        <f t="shared" si="17"/>
        <v>-5.7456254896839365E-3</v>
      </c>
      <c r="P110" s="73">
        <f t="shared" si="18"/>
        <v>-3.5688793718771095E-3</v>
      </c>
      <c r="Q110" s="73">
        <f t="shared" si="19"/>
        <v>1.0175611357295278E-2</v>
      </c>
      <c r="R110" s="73">
        <f t="shared" si="20"/>
        <v>1.3747758517633102E-2</v>
      </c>
      <c r="S110" s="73">
        <f t="shared" si="21"/>
        <v>2.1867968180521835E-2</v>
      </c>
      <c r="T110" s="73">
        <f t="shared" si="22"/>
        <v>-2.5110777974807208E-3</v>
      </c>
      <c r="U110" s="74">
        <f t="shared" si="23"/>
        <v>-4.7773855072895666E-3</v>
      </c>
    </row>
    <row r="111" spans="1:21" x14ac:dyDescent="0.25">
      <c r="A111" s="54">
        <f t="shared" si="13"/>
        <v>107</v>
      </c>
      <c r="B111" s="1">
        <v>45167</v>
      </c>
      <c r="C111" s="7">
        <f t="shared" si="14"/>
        <v>2023</v>
      </c>
      <c r="D111" s="55">
        <f t="shared" si="15"/>
        <v>8</v>
      </c>
      <c r="E111" s="61">
        <v>16.79</v>
      </c>
      <c r="F111" s="2">
        <v>54.01</v>
      </c>
      <c r="G111" s="2">
        <v>38.29</v>
      </c>
      <c r="H111" s="2">
        <v>14.01</v>
      </c>
      <c r="I111" s="2">
        <v>243.72</v>
      </c>
      <c r="J111" s="2">
        <v>16.73</v>
      </c>
      <c r="K111" s="2">
        <v>315.52999999999997</v>
      </c>
      <c r="L111" s="2">
        <v>134.91</v>
      </c>
      <c r="M111" s="2">
        <v>257.18</v>
      </c>
      <c r="N111" s="72">
        <f t="shared" si="16"/>
        <v>1.4844043592634248E-2</v>
      </c>
      <c r="O111" s="73">
        <f t="shared" si="17"/>
        <v>-1.2889920082495454E-2</v>
      </c>
      <c r="P111" s="73">
        <f t="shared" si="18"/>
        <v>1.2283236994219626E-2</v>
      </c>
      <c r="Q111" s="73">
        <f t="shared" si="19"/>
        <v>2.7184220508281731E-2</v>
      </c>
      <c r="R111" s="73">
        <f t="shared" si="20"/>
        <v>3.2078963602714339E-2</v>
      </c>
      <c r="S111" s="73">
        <f t="shared" si="21"/>
        <v>2.090141391917677E-2</v>
      </c>
      <c r="T111" s="73">
        <f t="shared" si="22"/>
        <v>1.4019007379510784E-2</v>
      </c>
      <c r="U111" s="74">
        <f t="shared" si="23"/>
        <v>7.7648190582678689E-2</v>
      </c>
    </row>
    <row r="112" spans="1:21" x14ac:dyDescent="0.25">
      <c r="A112" s="54">
        <f t="shared" si="13"/>
        <v>108</v>
      </c>
      <c r="B112" s="1">
        <v>45166</v>
      </c>
      <c r="C112" s="7">
        <f t="shared" si="14"/>
        <v>2023</v>
      </c>
      <c r="D112" s="55">
        <f t="shared" si="15"/>
        <v>8</v>
      </c>
      <c r="E112" s="61">
        <v>16.777999999999999</v>
      </c>
      <c r="F112" s="2">
        <v>53.22</v>
      </c>
      <c r="G112" s="2">
        <v>38.79</v>
      </c>
      <c r="H112" s="2">
        <v>13.84</v>
      </c>
      <c r="I112" s="2">
        <v>237.27</v>
      </c>
      <c r="J112" s="2">
        <v>16.21</v>
      </c>
      <c r="K112" s="2">
        <v>309.07</v>
      </c>
      <c r="L112" s="2">
        <v>133.13999999999999</v>
      </c>
      <c r="M112" s="2">
        <v>238.82</v>
      </c>
      <c r="N112" s="72">
        <f t="shared" si="16"/>
        <v>4.1509433962263476E-3</v>
      </c>
      <c r="O112" s="73">
        <f t="shared" si="17"/>
        <v>2.1058173203474473E-2</v>
      </c>
      <c r="P112" s="73">
        <f t="shared" si="18"/>
        <v>1.6899338721528379E-2</v>
      </c>
      <c r="Q112" s="73">
        <f t="shared" si="19"/>
        <v>1.7147511467398235E-2</v>
      </c>
      <c r="R112" s="73">
        <f t="shared" si="20"/>
        <v>4.0436456996149062E-2</v>
      </c>
      <c r="S112" s="73">
        <f t="shared" si="21"/>
        <v>7.9246021393164501E-3</v>
      </c>
      <c r="T112" s="73">
        <f t="shared" si="22"/>
        <v>2.3854266770122479E-3</v>
      </c>
      <c r="U112" s="74">
        <f t="shared" si="23"/>
        <v>4.256050861429328E-3</v>
      </c>
    </row>
    <row r="113" spans="1:21" x14ac:dyDescent="0.25">
      <c r="A113" s="54">
        <f t="shared" si="13"/>
        <v>109</v>
      </c>
      <c r="B113" s="1">
        <v>45163</v>
      </c>
      <c r="C113" s="7">
        <f t="shared" si="14"/>
        <v>2023</v>
      </c>
      <c r="D113" s="55">
        <f t="shared" si="15"/>
        <v>8</v>
      </c>
      <c r="E113" s="61">
        <v>16.722999999999999</v>
      </c>
      <c r="F113" s="2">
        <v>53</v>
      </c>
      <c r="G113" s="2">
        <v>37.99</v>
      </c>
      <c r="H113" s="2">
        <v>13.61</v>
      </c>
      <c r="I113" s="2">
        <v>233.27</v>
      </c>
      <c r="J113" s="2">
        <v>15.58</v>
      </c>
      <c r="K113" s="2">
        <v>306.64</v>
      </c>
      <c r="L113" s="2">
        <v>133.26</v>
      </c>
      <c r="M113" s="2">
        <v>238.59</v>
      </c>
      <c r="N113" s="72">
        <f t="shared" si="16"/>
        <v>2.8382213812676582E-3</v>
      </c>
      <c r="O113" s="73">
        <f t="shared" si="17"/>
        <v>-1.7330574236937291E-2</v>
      </c>
      <c r="P113" s="73">
        <f t="shared" si="18"/>
        <v>8.8954781319494636E-3</v>
      </c>
      <c r="Q113" s="73">
        <f t="shared" si="19"/>
        <v>-1.3532371971074486E-2</v>
      </c>
      <c r="R113" s="73">
        <f t="shared" si="20"/>
        <v>-1.5792798483891368E-2</v>
      </c>
      <c r="S113" s="73">
        <f t="shared" si="21"/>
        <v>8.1867499589018955E-3</v>
      </c>
      <c r="T113" s="73">
        <f t="shared" si="22"/>
        <v>5.3001821904075097E-3</v>
      </c>
      <c r="U113" s="74">
        <f t="shared" si="23"/>
        <v>3.1554136550266509E-2</v>
      </c>
    </row>
    <row r="114" spans="1:21" x14ac:dyDescent="0.25">
      <c r="A114" s="54">
        <f t="shared" si="13"/>
        <v>110</v>
      </c>
      <c r="B114" s="1">
        <v>45162</v>
      </c>
      <c r="C114" s="7">
        <f t="shared" si="14"/>
        <v>2023</v>
      </c>
      <c r="D114" s="55">
        <f t="shared" si="15"/>
        <v>8</v>
      </c>
      <c r="E114" s="61">
        <v>16.814</v>
      </c>
      <c r="F114" s="2">
        <v>52.85</v>
      </c>
      <c r="G114" s="2">
        <v>38.659999999999997</v>
      </c>
      <c r="H114" s="2">
        <v>13.49</v>
      </c>
      <c r="I114" s="2">
        <v>236.47</v>
      </c>
      <c r="J114" s="2">
        <v>15.83</v>
      </c>
      <c r="K114" s="2">
        <v>304.14999999999998</v>
      </c>
      <c r="L114" s="2">
        <v>131.84</v>
      </c>
      <c r="M114" s="2">
        <v>230.04</v>
      </c>
      <c r="N114" s="72">
        <f t="shared" si="16"/>
        <v>-9.1863517060367661E-3</v>
      </c>
      <c r="O114" s="73">
        <f t="shared" si="17"/>
        <v>1.3633980073413543E-2</v>
      </c>
      <c r="P114" s="73">
        <f t="shared" si="18"/>
        <v>-1.2445095168374776E-2</v>
      </c>
      <c r="Q114" s="73">
        <f t="shared" si="19"/>
        <v>5.5005500550042719E-4</v>
      </c>
      <c r="R114" s="73">
        <f t="shared" si="20"/>
        <v>-2.404438964241673E-2</v>
      </c>
      <c r="S114" s="73">
        <f t="shared" si="21"/>
        <v>2.6372177352891324E-3</v>
      </c>
      <c r="T114" s="73">
        <f t="shared" si="22"/>
        <v>-2.5764056724043694E-2</v>
      </c>
      <c r="U114" s="74">
        <f t="shared" si="23"/>
        <v>-2.7405115679394298E-2</v>
      </c>
    </row>
    <row r="115" spans="1:21" x14ac:dyDescent="0.25">
      <c r="A115" s="54">
        <f t="shared" si="13"/>
        <v>111</v>
      </c>
      <c r="B115" s="1">
        <v>45161</v>
      </c>
      <c r="C115" s="7">
        <f t="shared" si="14"/>
        <v>2023</v>
      </c>
      <c r="D115" s="55">
        <f t="shared" si="15"/>
        <v>8</v>
      </c>
      <c r="E115" s="61">
        <v>16.79</v>
      </c>
      <c r="F115" s="2">
        <v>53.34</v>
      </c>
      <c r="G115" s="2">
        <v>38.14</v>
      </c>
      <c r="H115" s="2">
        <v>13.66</v>
      </c>
      <c r="I115" s="2">
        <v>236.34</v>
      </c>
      <c r="J115" s="2">
        <v>16.22</v>
      </c>
      <c r="K115" s="2">
        <v>303.35000000000002</v>
      </c>
      <c r="L115" s="2">
        <v>135.52000000000001</v>
      </c>
      <c r="M115" s="2">
        <v>236.86</v>
      </c>
      <c r="N115" s="72">
        <f t="shared" si="16"/>
        <v>8.6989409984872257E-3</v>
      </c>
      <c r="O115" s="73">
        <f t="shared" si="17"/>
        <v>1.1134676564156898E-2</v>
      </c>
      <c r="P115" s="73">
        <f t="shared" si="18"/>
        <v>2.2010271460013442E-3</v>
      </c>
      <c r="Q115" s="73">
        <f t="shared" si="19"/>
        <v>3.3044846577497955E-2</v>
      </c>
      <c r="R115" s="73">
        <f t="shared" si="20"/>
        <v>-7.9510703363916413E-3</v>
      </c>
      <c r="S115" s="73">
        <f t="shared" si="21"/>
        <v>6.597394029359549E-4</v>
      </c>
      <c r="T115" s="73">
        <f t="shared" si="22"/>
        <v>2.7708421887417956E-3</v>
      </c>
      <c r="U115" s="74">
        <f t="shared" si="23"/>
        <v>9.0075160476004168E-3</v>
      </c>
    </row>
    <row r="116" spans="1:21" x14ac:dyDescent="0.25">
      <c r="A116" s="54">
        <f t="shared" si="13"/>
        <v>112</v>
      </c>
      <c r="B116" s="1">
        <v>45160</v>
      </c>
      <c r="C116" s="7">
        <f t="shared" si="14"/>
        <v>2023</v>
      </c>
      <c r="D116" s="55">
        <f t="shared" si="15"/>
        <v>8</v>
      </c>
      <c r="E116" s="61">
        <v>16.902000000000001</v>
      </c>
      <c r="F116" s="2">
        <v>52.88</v>
      </c>
      <c r="G116" s="2">
        <v>37.72</v>
      </c>
      <c r="H116" s="2">
        <v>13.63</v>
      </c>
      <c r="I116" s="2">
        <v>228.78</v>
      </c>
      <c r="J116" s="2">
        <v>16.350000000000001</v>
      </c>
      <c r="K116" s="2">
        <v>303.14999999999998</v>
      </c>
      <c r="L116" s="2">
        <v>134.25</v>
      </c>
      <c r="M116" s="2">
        <v>233.19</v>
      </c>
      <c r="N116" s="72">
        <f t="shared" si="16"/>
        <v>7.570022710068347E-4</v>
      </c>
      <c r="O116" s="73">
        <f t="shared" si="17"/>
        <v>-4.3852978453739033E-2</v>
      </c>
      <c r="P116" s="73">
        <f t="shared" si="18"/>
        <v>8.8823094004442105E-3</v>
      </c>
      <c r="Q116" s="73">
        <f t="shared" si="19"/>
        <v>4.5947058016732933E-2</v>
      </c>
      <c r="R116" s="73">
        <f t="shared" si="20"/>
        <v>-7.8883495145630755E-3</v>
      </c>
      <c r="S116" s="73">
        <f t="shared" si="21"/>
        <v>4.606309650053042E-3</v>
      </c>
      <c r="T116" s="73">
        <f t="shared" si="22"/>
        <v>-1.0103637747586047E-2</v>
      </c>
      <c r="U116" s="74">
        <f t="shared" si="23"/>
        <v>1.2681125548270611E-3</v>
      </c>
    </row>
    <row r="117" spans="1:21" x14ac:dyDescent="0.25">
      <c r="A117" s="54">
        <f t="shared" si="13"/>
        <v>113</v>
      </c>
      <c r="B117" s="1">
        <v>45159</v>
      </c>
      <c r="C117" s="7">
        <f t="shared" si="14"/>
        <v>2023</v>
      </c>
      <c r="D117" s="55">
        <f t="shared" si="15"/>
        <v>8</v>
      </c>
      <c r="E117" s="61">
        <v>17.02</v>
      </c>
      <c r="F117" s="2">
        <v>52.84</v>
      </c>
      <c r="G117" s="2">
        <v>39.450000000000003</v>
      </c>
      <c r="H117" s="2">
        <v>13.51</v>
      </c>
      <c r="I117" s="2">
        <v>218.73</v>
      </c>
      <c r="J117" s="2">
        <v>16.48</v>
      </c>
      <c r="K117" s="2">
        <v>301.76</v>
      </c>
      <c r="L117" s="2">
        <v>134.68</v>
      </c>
      <c r="M117" s="2">
        <v>231.28</v>
      </c>
      <c r="N117" s="72">
        <f t="shared" si="16"/>
        <v>-1.5117157974300355E-3</v>
      </c>
      <c r="O117" s="73">
        <f t="shared" si="17"/>
        <v>2.3877498053464841E-2</v>
      </c>
      <c r="P117" s="73">
        <f t="shared" si="18"/>
        <v>1.8853695324283493E-2</v>
      </c>
      <c r="Q117" s="73">
        <f t="shared" si="19"/>
        <v>3.6709035011242008E-3</v>
      </c>
      <c r="R117" s="73">
        <f t="shared" si="20"/>
        <v>-2.485207100591702E-2</v>
      </c>
      <c r="S117" s="73">
        <f t="shared" si="21"/>
        <v>-4.1581413768068121E-3</v>
      </c>
      <c r="T117" s="73">
        <f t="shared" si="22"/>
        <v>1.0069125237226473E-2</v>
      </c>
      <c r="U117" s="74">
        <f t="shared" si="23"/>
        <v>7.2329800426310209E-2</v>
      </c>
    </row>
    <row r="118" spans="1:21" x14ac:dyDescent="0.25">
      <c r="A118" s="54">
        <f t="shared" si="13"/>
        <v>114</v>
      </c>
      <c r="B118" s="1">
        <v>45156</v>
      </c>
      <c r="C118" s="7">
        <f t="shared" si="14"/>
        <v>2023</v>
      </c>
      <c r="D118" s="55">
        <f t="shared" si="15"/>
        <v>8</v>
      </c>
      <c r="E118" s="61">
        <v>17.035</v>
      </c>
      <c r="F118" s="2">
        <v>52.92</v>
      </c>
      <c r="G118" s="2">
        <v>38.53</v>
      </c>
      <c r="H118" s="2">
        <v>13.26</v>
      </c>
      <c r="I118" s="2">
        <v>217.93</v>
      </c>
      <c r="J118" s="2">
        <v>16.899999999999999</v>
      </c>
      <c r="K118" s="2">
        <v>303.02</v>
      </c>
      <c r="L118" s="2">
        <v>133.22</v>
      </c>
      <c r="M118" s="2">
        <v>215.49</v>
      </c>
      <c r="N118" s="72">
        <f t="shared" si="16"/>
        <v>-5.6657223796041656E-4</v>
      </c>
      <c r="O118" s="73">
        <f t="shared" si="17"/>
        <v>-2.594706798131341E-4</v>
      </c>
      <c r="P118" s="73">
        <f t="shared" si="18"/>
        <v>3.0257186081694698E-3</v>
      </c>
      <c r="Q118" s="73">
        <f t="shared" si="19"/>
        <v>1.2215513237343156E-2</v>
      </c>
      <c r="R118" s="73">
        <f t="shared" si="20"/>
        <v>-1.1820330969268822E-3</v>
      </c>
      <c r="S118" s="73">
        <f t="shared" si="21"/>
        <v>-1.0219892526291963E-3</v>
      </c>
      <c r="T118" s="73">
        <f t="shared" si="22"/>
        <v>-9.3362288234847268E-3</v>
      </c>
      <c r="U118" s="74">
        <f t="shared" si="23"/>
        <v>-2.0636818685382696E-2</v>
      </c>
    </row>
    <row r="119" spans="1:21" x14ac:dyDescent="0.25">
      <c r="A119" s="54">
        <f t="shared" si="13"/>
        <v>115</v>
      </c>
      <c r="B119" s="1">
        <v>45155</v>
      </c>
      <c r="C119" s="7">
        <f t="shared" si="14"/>
        <v>2023</v>
      </c>
      <c r="D119" s="55">
        <f t="shared" si="15"/>
        <v>8</v>
      </c>
      <c r="E119" s="61">
        <v>17.097999999999999</v>
      </c>
      <c r="F119" s="2">
        <v>52.95</v>
      </c>
      <c r="G119" s="2">
        <v>38.54</v>
      </c>
      <c r="H119" s="2">
        <v>13.22</v>
      </c>
      <c r="I119" s="2">
        <v>215.3</v>
      </c>
      <c r="J119" s="2">
        <v>16.920000000000002</v>
      </c>
      <c r="K119" s="2">
        <v>303.33</v>
      </c>
      <c r="L119" s="2">
        <v>133.97999999999999</v>
      </c>
      <c r="M119" s="2">
        <v>219.22</v>
      </c>
      <c r="N119" s="72">
        <f t="shared" si="16"/>
        <v>-1.1204481792716936E-2</v>
      </c>
      <c r="O119" s="73">
        <f t="shared" si="17"/>
        <v>1.5011851461680381E-2</v>
      </c>
      <c r="P119" s="73">
        <f t="shared" si="18"/>
        <v>-4.202898550724643E-2</v>
      </c>
      <c r="Q119" s="73">
        <f t="shared" si="19"/>
        <v>-4.0381529684435757E-2</v>
      </c>
      <c r="R119" s="73">
        <f t="shared" si="20"/>
        <v>-2.9259896729776136E-2</v>
      </c>
      <c r="S119" s="73">
        <f t="shared" si="21"/>
        <v>-3.42884431709648E-2</v>
      </c>
      <c r="T119" s="73">
        <f t="shared" si="22"/>
        <v>-1.0038464503000499E-2</v>
      </c>
      <c r="U119" s="74">
        <f t="shared" si="23"/>
        <v>-3.0208607590954228E-2</v>
      </c>
    </row>
    <row r="120" spans="1:21" x14ac:dyDescent="0.25">
      <c r="A120" s="54">
        <f t="shared" si="13"/>
        <v>116</v>
      </c>
      <c r="B120" s="1">
        <v>45154</v>
      </c>
      <c r="C120" s="7">
        <f t="shared" si="14"/>
        <v>2023</v>
      </c>
      <c r="D120" s="55">
        <f t="shared" si="15"/>
        <v>8</v>
      </c>
      <c r="E120" s="61">
        <v>17.132000000000001</v>
      </c>
      <c r="F120" s="2">
        <v>53.55</v>
      </c>
      <c r="G120" s="2">
        <v>37.97</v>
      </c>
      <c r="H120" s="2">
        <v>13.8</v>
      </c>
      <c r="I120" s="2">
        <v>224.36</v>
      </c>
      <c r="J120" s="2">
        <v>17.43</v>
      </c>
      <c r="K120" s="2">
        <v>314.10000000000002</v>
      </c>
      <c r="L120" s="2">
        <v>135.07</v>
      </c>
      <c r="M120" s="2">
        <v>225.6</v>
      </c>
      <c r="N120" s="72">
        <f t="shared" si="16"/>
        <v>4.5019696117050145E-3</v>
      </c>
      <c r="O120" s="73">
        <f t="shared" si="17"/>
        <v>-2.541067761806981E-2</v>
      </c>
      <c r="P120" s="73">
        <f t="shared" si="18"/>
        <v>8.0350620891163071E-3</v>
      </c>
      <c r="Q120" s="73">
        <f t="shared" si="19"/>
        <v>-2.7558005156013143E-3</v>
      </c>
      <c r="R120" s="73">
        <f t="shared" si="20"/>
        <v>-1.3023782559456465E-2</v>
      </c>
      <c r="S120" s="73">
        <f t="shared" si="21"/>
        <v>-1.8748609742921252E-3</v>
      </c>
      <c r="T120" s="73">
        <f t="shared" si="22"/>
        <v>-1.9343670907694399E-2</v>
      </c>
      <c r="U120" s="74">
        <f t="shared" si="23"/>
        <v>-3.204540500339792E-2</v>
      </c>
    </row>
    <row r="121" spans="1:21" x14ac:dyDescent="0.25">
      <c r="A121" s="54">
        <f t="shared" si="13"/>
        <v>117</v>
      </c>
      <c r="B121" s="1">
        <v>45153</v>
      </c>
      <c r="C121" s="7">
        <f t="shared" si="14"/>
        <v>2023</v>
      </c>
      <c r="D121" s="55">
        <f t="shared" si="15"/>
        <v>8</v>
      </c>
      <c r="E121" s="61">
        <v>17.14</v>
      </c>
      <c r="F121" s="2">
        <v>53.31</v>
      </c>
      <c r="G121" s="2">
        <v>38.96</v>
      </c>
      <c r="H121" s="2">
        <v>13.69</v>
      </c>
      <c r="I121" s="2">
        <v>224.98</v>
      </c>
      <c r="J121" s="2">
        <v>17.66</v>
      </c>
      <c r="K121" s="2">
        <v>314.69</v>
      </c>
      <c r="L121" s="2">
        <v>137.66999999999999</v>
      </c>
      <c r="M121" s="2">
        <v>232.96</v>
      </c>
      <c r="N121" s="72">
        <f t="shared" si="16"/>
        <v>4.711647191858237E-3</v>
      </c>
      <c r="O121" s="73">
        <f t="shared" si="17"/>
        <v>-2.2579026593075757E-2</v>
      </c>
      <c r="P121" s="73">
        <f t="shared" si="18"/>
        <v>7.3583517292126199E-3</v>
      </c>
      <c r="Q121" s="73">
        <f t="shared" si="19"/>
        <v>5.18273612724518E-3</v>
      </c>
      <c r="R121" s="73">
        <f t="shared" si="20"/>
        <v>-1.285634432643934E-2</v>
      </c>
      <c r="S121" s="73">
        <f t="shared" si="21"/>
        <v>1.6407738768127622E-2</v>
      </c>
      <c r="T121" s="73">
        <f t="shared" si="22"/>
        <v>-1.4767178484814014E-2</v>
      </c>
      <c r="U121" s="74">
        <f t="shared" si="23"/>
        <v>-2.2544867518847211E-2</v>
      </c>
    </row>
    <row r="122" spans="1:21" x14ac:dyDescent="0.25">
      <c r="A122" s="54">
        <f t="shared" si="13"/>
        <v>118</v>
      </c>
      <c r="B122" s="1">
        <v>45152</v>
      </c>
      <c r="C122" s="7">
        <f t="shared" si="14"/>
        <v>2023</v>
      </c>
      <c r="D122" s="55">
        <f t="shared" si="15"/>
        <v>8</v>
      </c>
      <c r="E122" s="61">
        <v>17.038</v>
      </c>
      <c r="F122" s="2">
        <v>53.06</v>
      </c>
      <c r="G122" s="2">
        <v>39.86</v>
      </c>
      <c r="H122" s="2">
        <v>13.59</v>
      </c>
      <c r="I122" s="2">
        <v>223.82</v>
      </c>
      <c r="J122" s="2">
        <v>17.89</v>
      </c>
      <c r="K122" s="2">
        <v>309.61</v>
      </c>
      <c r="L122" s="2">
        <v>140.57</v>
      </c>
      <c r="M122" s="2">
        <v>239.76</v>
      </c>
      <c r="N122" s="72">
        <f t="shared" si="16"/>
        <v>5.6571751838574436E-4</v>
      </c>
      <c r="O122" s="73">
        <f t="shared" si="17"/>
        <v>1.2559658377291338E-3</v>
      </c>
      <c r="P122" s="73">
        <f t="shared" si="18"/>
        <v>2.9545454545454541E-2</v>
      </c>
      <c r="Q122" s="73">
        <f t="shared" si="19"/>
        <v>-2.584670231729147E-3</v>
      </c>
      <c r="R122" s="73">
        <f t="shared" si="20"/>
        <v>-2.2404371584699434E-2</v>
      </c>
      <c r="S122" s="73">
        <f t="shared" si="21"/>
        <v>1.0377573997323974E-2</v>
      </c>
      <c r="T122" s="73">
        <f t="shared" si="22"/>
        <v>1.859499475075399E-2</v>
      </c>
      <c r="U122" s="74">
        <f t="shared" si="23"/>
        <v>-9.0019592259183989E-3</v>
      </c>
    </row>
    <row r="123" spans="1:21" x14ac:dyDescent="0.25">
      <c r="A123" s="54">
        <f t="shared" si="13"/>
        <v>119</v>
      </c>
      <c r="B123" s="1">
        <v>45149</v>
      </c>
      <c r="C123" s="7">
        <f t="shared" si="14"/>
        <v>2023</v>
      </c>
      <c r="D123" s="55">
        <f t="shared" si="15"/>
        <v>8</v>
      </c>
      <c r="E123" s="61">
        <v>16.988</v>
      </c>
      <c r="F123" s="2">
        <v>53.03</v>
      </c>
      <c r="G123" s="2">
        <v>39.81</v>
      </c>
      <c r="H123" s="2">
        <v>13.2</v>
      </c>
      <c r="I123" s="2">
        <v>224.4</v>
      </c>
      <c r="J123" s="2">
        <v>18.3</v>
      </c>
      <c r="K123" s="2">
        <v>306.43</v>
      </c>
      <c r="L123" s="2">
        <v>138.41</v>
      </c>
      <c r="M123" s="2">
        <v>242.65</v>
      </c>
      <c r="N123" s="72">
        <f t="shared" si="16"/>
        <v>-1.0449710766934128E-2</v>
      </c>
      <c r="O123" s="73">
        <f t="shared" si="17"/>
        <v>6.8285280728377362E-3</v>
      </c>
      <c r="P123" s="73">
        <f t="shared" si="18"/>
        <v>-7.5187969924812581E-3</v>
      </c>
      <c r="Q123" s="73">
        <f t="shared" si="19"/>
        <v>-1.093088857545832E-2</v>
      </c>
      <c r="R123" s="73">
        <f t="shared" si="20"/>
        <v>-4.3387349712493362E-2</v>
      </c>
      <c r="S123" s="73">
        <f t="shared" si="21"/>
        <v>-1.390185036202729E-2</v>
      </c>
      <c r="T123" s="73">
        <f t="shared" si="22"/>
        <v>-9.363140041713347E-3</v>
      </c>
      <c r="U123" s="74">
        <f t="shared" si="23"/>
        <v>-1.9163036716003168E-2</v>
      </c>
    </row>
    <row r="124" spans="1:21" x14ac:dyDescent="0.25">
      <c r="A124" s="54">
        <f t="shared" si="13"/>
        <v>120</v>
      </c>
      <c r="B124" s="1">
        <v>45148</v>
      </c>
      <c r="C124" s="7">
        <f t="shared" si="14"/>
        <v>2023</v>
      </c>
      <c r="D124" s="55">
        <f t="shared" si="15"/>
        <v>8</v>
      </c>
      <c r="E124" s="61">
        <v>17.13</v>
      </c>
      <c r="F124" s="2">
        <v>53.59</v>
      </c>
      <c r="G124" s="2">
        <v>39.54</v>
      </c>
      <c r="H124" s="2">
        <v>13.3</v>
      </c>
      <c r="I124" s="2">
        <v>226.88</v>
      </c>
      <c r="J124" s="2">
        <v>19.13</v>
      </c>
      <c r="K124" s="2">
        <v>310.75</v>
      </c>
      <c r="L124" s="2">
        <v>138.56</v>
      </c>
      <c r="M124" s="2">
        <v>245.34</v>
      </c>
      <c r="N124" s="72">
        <f t="shared" si="16"/>
        <v>-6.1201780415429674E-3</v>
      </c>
      <c r="O124" s="73">
        <f t="shared" si="17"/>
        <v>-1.1994002998500841E-2</v>
      </c>
      <c r="P124" s="73">
        <f t="shared" si="18"/>
        <v>-1.8450184501844991E-2</v>
      </c>
      <c r="Q124" s="73">
        <f t="shared" si="19"/>
        <v>1.5892636411796168E-3</v>
      </c>
      <c r="R124" s="73">
        <f t="shared" si="20"/>
        <v>-1.136950904392775E-2</v>
      </c>
      <c r="S124" s="73">
        <f t="shared" si="21"/>
        <v>-3.2169856844144196E-4</v>
      </c>
      <c r="T124" s="73">
        <f t="shared" si="22"/>
        <v>9.6713544738662449E-3</v>
      </c>
      <c r="U124" s="74">
        <f t="shared" si="23"/>
        <v>1.7562478598070586E-2</v>
      </c>
    </row>
    <row r="125" spans="1:21" x14ac:dyDescent="0.25">
      <c r="A125" s="54">
        <f t="shared" si="13"/>
        <v>121</v>
      </c>
      <c r="B125" s="1">
        <v>45147</v>
      </c>
      <c r="C125" s="7">
        <f t="shared" si="14"/>
        <v>2023</v>
      </c>
      <c r="D125" s="55">
        <f t="shared" si="15"/>
        <v>8</v>
      </c>
      <c r="E125" s="61">
        <v>17.0533</v>
      </c>
      <c r="F125" s="2">
        <v>53.92</v>
      </c>
      <c r="G125" s="2">
        <v>40.020000000000003</v>
      </c>
      <c r="H125" s="2">
        <v>13.55</v>
      </c>
      <c r="I125" s="2">
        <v>226.52</v>
      </c>
      <c r="J125" s="2">
        <v>19.350000000000001</v>
      </c>
      <c r="K125" s="2">
        <v>310.85000000000002</v>
      </c>
      <c r="L125" s="2">
        <v>137.85</v>
      </c>
      <c r="M125" s="2">
        <v>242.19</v>
      </c>
      <c r="N125" s="72">
        <f t="shared" si="16"/>
        <v>9.7378277153559178E-3</v>
      </c>
      <c r="O125" s="73">
        <f t="shared" si="17"/>
        <v>-3.4860557768923162E-3</v>
      </c>
      <c r="P125" s="73">
        <f t="shared" si="18"/>
        <v>2.9607698001481442E-3</v>
      </c>
      <c r="Q125" s="73">
        <f t="shared" si="19"/>
        <v>2.8234226055378953E-2</v>
      </c>
      <c r="R125" s="73">
        <f t="shared" si="20"/>
        <v>-1.1746680286006006E-2</v>
      </c>
      <c r="S125" s="73">
        <f t="shared" si="21"/>
        <v>2.5478939560086289E-3</v>
      </c>
      <c r="T125" s="73">
        <f t="shared" si="22"/>
        <v>-1.8050116337964939E-2</v>
      </c>
      <c r="U125" s="74">
        <f t="shared" si="23"/>
        <v>-3.3143353632317796E-2</v>
      </c>
    </row>
    <row r="126" spans="1:21" x14ac:dyDescent="0.25">
      <c r="A126" s="54">
        <f t="shared" si="13"/>
        <v>122</v>
      </c>
      <c r="B126" s="1">
        <v>45146</v>
      </c>
      <c r="C126" s="7">
        <f t="shared" si="14"/>
        <v>2023</v>
      </c>
      <c r="D126" s="55">
        <f t="shared" si="15"/>
        <v>8</v>
      </c>
      <c r="E126" s="61">
        <v>17.107399999999998</v>
      </c>
      <c r="F126" s="2">
        <v>53.4</v>
      </c>
      <c r="G126" s="2">
        <v>40.159999999999997</v>
      </c>
      <c r="H126" s="2">
        <v>13.51</v>
      </c>
      <c r="I126" s="2">
        <v>220.3</v>
      </c>
      <c r="J126" s="2">
        <v>19.579999999999998</v>
      </c>
      <c r="K126" s="2">
        <v>310.06</v>
      </c>
      <c r="L126" s="2">
        <v>139.94</v>
      </c>
      <c r="M126" s="2">
        <v>249.7</v>
      </c>
      <c r="N126" s="72">
        <f t="shared" si="16"/>
        <v>-6.8811604984192476E-3</v>
      </c>
      <c r="O126" s="73">
        <f t="shared" si="17"/>
        <v>-1.5686274509803977E-2</v>
      </c>
      <c r="P126" s="73">
        <f t="shared" si="18"/>
        <v>1.0471204188481797E-2</v>
      </c>
      <c r="Q126" s="73">
        <f t="shared" si="19"/>
        <v>-1.2638938687701606E-2</v>
      </c>
      <c r="R126" s="73">
        <f t="shared" si="20"/>
        <v>-2.2954091816367317E-2</v>
      </c>
      <c r="S126" s="73">
        <f t="shared" si="21"/>
        <v>6.4507805444424804E-5</v>
      </c>
      <c r="T126" s="73">
        <f t="shared" si="22"/>
        <v>-1.2429292550318771E-2</v>
      </c>
      <c r="U126" s="74">
        <f t="shared" si="23"/>
        <v>-3.324215006176523E-3</v>
      </c>
    </row>
    <row r="127" spans="1:21" x14ac:dyDescent="0.25">
      <c r="A127" s="54">
        <f t="shared" si="13"/>
        <v>123</v>
      </c>
      <c r="B127" s="1">
        <v>45145</v>
      </c>
      <c r="C127" s="7">
        <f t="shared" si="14"/>
        <v>2023</v>
      </c>
      <c r="D127" s="55">
        <f t="shared" si="15"/>
        <v>8</v>
      </c>
      <c r="E127" s="61">
        <v>17.045000000000002</v>
      </c>
      <c r="F127" s="2">
        <v>53.77</v>
      </c>
      <c r="G127" s="2">
        <v>40.799999999999997</v>
      </c>
      <c r="H127" s="2">
        <v>13.37</v>
      </c>
      <c r="I127" s="2">
        <v>223.12</v>
      </c>
      <c r="J127" s="2">
        <v>20.04</v>
      </c>
      <c r="K127" s="2">
        <v>310.04000000000002</v>
      </c>
      <c r="L127" s="2">
        <v>142.22</v>
      </c>
      <c r="M127" s="2">
        <v>251.45</v>
      </c>
      <c r="N127" s="72">
        <f t="shared" si="16"/>
        <v>7.4446305602093865E-4</v>
      </c>
      <c r="O127" s="73">
        <f t="shared" si="17"/>
        <v>1.4925373134328179E-2</v>
      </c>
      <c r="P127" s="73">
        <f t="shared" si="18"/>
        <v>2.2171253822629966E-2</v>
      </c>
      <c r="Q127" s="73">
        <f t="shared" si="19"/>
        <v>-1.7895490336435893E-3</v>
      </c>
      <c r="R127" s="73">
        <f t="shared" si="20"/>
        <v>2.0366598778003953E-2</v>
      </c>
      <c r="S127" s="73">
        <f t="shared" si="21"/>
        <v>-1.3528312826127653E-3</v>
      </c>
      <c r="T127" s="73">
        <f t="shared" si="22"/>
        <v>1.8628321568806339E-2</v>
      </c>
      <c r="U127" s="74">
        <f t="shared" si="23"/>
        <v>-9.8419664932701822E-3</v>
      </c>
    </row>
    <row r="128" spans="1:21" x14ac:dyDescent="0.25">
      <c r="A128" s="54">
        <f t="shared" si="13"/>
        <v>124</v>
      </c>
      <c r="B128" s="1">
        <v>45142</v>
      </c>
      <c r="C128" s="7">
        <f t="shared" si="14"/>
        <v>2023</v>
      </c>
      <c r="D128" s="55">
        <f t="shared" si="15"/>
        <v>8</v>
      </c>
      <c r="E128" s="61">
        <v>17.050999999999998</v>
      </c>
      <c r="F128" s="2">
        <v>53.73</v>
      </c>
      <c r="G128" s="2">
        <v>40.200000000000003</v>
      </c>
      <c r="H128" s="2">
        <v>13.08</v>
      </c>
      <c r="I128" s="2">
        <v>223.52</v>
      </c>
      <c r="J128" s="2">
        <v>19.64</v>
      </c>
      <c r="K128" s="2">
        <v>310.45999999999998</v>
      </c>
      <c r="L128" s="2">
        <v>139.57</v>
      </c>
      <c r="M128" s="2">
        <v>253.86</v>
      </c>
      <c r="N128" s="72">
        <f t="shared" si="16"/>
        <v>1.0152284263959421E-2</v>
      </c>
      <c r="O128" s="73">
        <f t="shared" si="17"/>
        <v>3.5281998454803176E-2</v>
      </c>
      <c r="P128" s="73">
        <f t="shared" si="18"/>
        <v>7.7041602465330872E-3</v>
      </c>
      <c r="Q128" s="73">
        <f t="shared" si="19"/>
        <v>1.5907644759567408E-2</v>
      </c>
      <c r="R128" s="73">
        <f t="shared" si="20"/>
        <v>1.8672199170124415E-2</v>
      </c>
      <c r="S128" s="73">
        <f t="shared" si="21"/>
        <v>5.6361751749156586E-3</v>
      </c>
      <c r="T128" s="73">
        <f t="shared" si="22"/>
        <v>6.5693260065580183E-2</v>
      </c>
      <c r="U128" s="74">
        <f t="shared" si="23"/>
        <v>-3.6426135721159159E-2</v>
      </c>
    </row>
    <row r="129" spans="1:21" x14ac:dyDescent="0.25">
      <c r="A129" s="54">
        <f t="shared" si="13"/>
        <v>125</v>
      </c>
      <c r="B129" s="1">
        <v>45141</v>
      </c>
      <c r="C129" s="7">
        <f t="shared" si="14"/>
        <v>2023</v>
      </c>
      <c r="D129" s="55">
        <f t="shared" si="15"/>
        <v>8</v>
      </c>
      <c r="E129" s="61">
        <v>17.323</v>
      </c>
      <c r="F129" s="2">
        <v>53.19</v>
      </c>
      <c r="G129" s="2">
        <v>38.83</v>
      </c>
      <c r="H129" s="2">
        <v>12.98</v>
      </c>
      <c r="I129" s="2">
        <v>220.02</v>
      </c>
      <c r="J129" s="2">
        <v>19.28</v>
      </c>
      <c r="K129" s="2">
        <v>308.72000000000003</v>
      </c>
      <c r="L129" s="2">
        <v>128.91</v>
      </c>
      <c r="M129" s="2">
        <v>259.32</v>
      </c>
      <c r="N129" s="72">
        <f t="shared" si="16"/>
        <v>2.4500565397662655E-3</v>
      </c>
      <c r="O129" s="73">
        <f t="shared" si="17"/>
        <v>-1.7708069820389638E-2</v>
      </c>
      <c r="P129" s="73">
        <f t="shared" si="18"/>
        <v>7.763975155279379E-3</v>
      </c>
      <c r="Q129" s="73">
        <f t="shared" si="19"/>
        <v>-1.3163269937814803E-3</v>
      </c>
      <c r="R129" s="73">
        <f t="shared" si="20"/>
        <v>-4.1322314049585529E-3</v>
      </c>
      <c r="S129" s="73">
        <f t="shared" si="21"/>
        <v>2.891206185232198E-3</v>
      </c>
      <c r="T129" s="73">
        <f t="shared" si="22"/>
        <v>2.4081607829288254E-2</v>
      </c>
      <c r="U129" s="74">
        <f t="shared" si="23"/>
        <v>3.940335651411031E-2</v>
      </c>
    </row>
    <row r="130" spans="1:21" x14ac:dyDescent="0.25">
      <c r="A130" s="54">
        <f t="shared" si="13"/>
        <v>126</v>
      </c>
      <c r="B130" s="1">
        <v>45140</v>
      </c>
      <c r="C130" s="7">
        <f t="shared" si="14"/>
        <v>2023</v>
      </c>
      <c r="D130" s="55">
        <f t="shared" si="15"/>
        <v>8</v>
      </c>
      <c r="E130" s="61">
        <v>17.007999999999999</v>
      </c>
      <c r="F130" s="2">
        <v>53.06</v>
      </c>
      <c r="G130" s="2">
        <v>39.53</v>
      </c>
      <c r="H130" s="2">
        <v>12.88</v>
      </c>
      <c r="I130" s="2">
        <v>220.31</v>
      </c>
      <c r="J130" s="2">
        <v>19.36</v>
      </c>
      <c r="K130" s="2">
        <v>307.83</v>
      </c>
      <c r="L130" s="2">
        <v>128.21</v>
      </c>
      <c r="M130" s="2">
        <v>254.11</v>
      </c>
      <c r="N130" s="72">
        <f t="shared" si="16"/>
        <v>-1.6679021497405411E-2</v>
      </c>
      <c r="O130" s="73">
        <f t="shared" si="17"/>
        <v>-3.4912109375E-2</v>
      </c>
      <c r="P130" s="73">
        <f t="shared" si="18"/>
        <v>-1.5503875968991832E-3</v>
      </c>
      <c r="Q130" s="73">
        <f t="shared" si="19"/>
        <v>-5.369185172458224E-2</v>
      </c>
      <c r="R130" s="73">
        <f t="shared" si="20"/>
        <v>-1.8753167764825163E-2</v>
      </c>
      <c r="S130" s="73">
        <f t="shared" si="21"/>
        <v>-1.8336628611518635E-2</v>
      </c>
      <c r="T130" s="73">
        <f t="shared" si="22"/>
        <v>-1.8752488869764439E-2</v>
      </c>
      <c r="U130" s="74">
        <f t="shared" si="23"/>
        <v>-1.8988151609686033E-2</v>
      </c>
    </row>
    <row r="131" spans="1:21" x14ac:dyDescent="0.25">
      <c r="A131" s="54">
        <f t="shared" si="13"/>
        <v>127</v>
      </c>
      <c r="B131" s="1">
        <v>45139</v>
      </c>
      <c r="C131" s="7">
        <f t="shared" si="14"/>
        <v>2023</v>
      </c>
      <c r="D131" s="55">
        <f t="shared" si="15"/>
        <v>8</v>
      </c>
      <c r="E131" s="61">
        <v>16.875</v>
      </c>
      <c r="F131" s="2">
        <v>53.96</v>
      </c>
      <c r="G131" s="2">
        <v>40.96</v>
      </c>
      <c r="H131" s="2">
        <v>12.9</v>
      </c>
      <c r="I131" s="2">
        <v>232.81</v>
      </c>
      <c r="J131" s="2">
        <v>19.73</v>
      </c>
      <c r="K131" s="2">
        <v>313.58</v>
      </c>
      <c r="L131" s="2">
        <v>131.69</v>
      </c>
      <c r="M131" s="2">
        <v>261.07</v>
      </c>
      <c r="N131" s="72">
        <f t="shared" si="16"/>
        <v>-1.1178303096939679E-2</v>
      </c>
      <c r="O131" s="73">
        <f t="shared" si="17"/>
        <v>-1.6094162863319772E-2</v>
      </c>
      <c r="P131" s="73">
        <f t="shared" si="18"/>
        <v>1.4150943396226356E-2</v>
      </c>
      <c r="Q131" s="73">
        <f t="shared" si="19"/>
        <v>-2.764899970763901E-2</v>
      </c>
      <c r="R131" s="73">
        <f t="shared" si="20"/>
        <v>-2.0357497517378365E-2</v>
      </c>
      <c r="S131" s="73">
        <f t="shared" si="21"/>
        <v>-1.7144648174267418E-2</v>
      </c>
      <c r="T131" s="73">
        <f t="shared" si="22"/>
        <v>-6.2294499509311096E-3</v>
      </c>
      <c r="U131" s="74">
        <f t="shared" si="23"/>
        <v>-1.5203250333653218E-2</v>
      </c>
    </row>
    <row r="132" spans="1:21" x14ac:dyDescent="0.25">
      <c r="A132" s="54">
        <f t="shared" si="13"/>
        <v>128</v>
      </c>
      <c r="B132" s="1">
        <v>45138</v>
      </c>
      <c r="C132" s="7">
        <f t="shared" si="14"/>
        <v>2023</v>
      </c>
      <c r="D132" s="55">
        <f t="shared" si="15"/>
        <v>7</v>
      </c>
      <c r="E132" s="61">
        <v>16.728000000000002</v>
      </c>
      <c r="F132" s="2">
        <v>54.57</v>
      </c>
      <c r="G132" s="2">
        <v>41.63</v>
      </c>
      <c r="H132" s="2">
        <v>12.72</v>
      </c>
      <c r="I132" s="2">
        <v>239.43</v>
      </c>
      <c r="J132" s="2">
        <v>20.14</v>
      </c>
      <c r="K132" s="2">
        <v>319.05</v>
      </c>
      <c r="L132" s="2">
        <v>133.68</v>
      </c>
      <c r="M132" s="2">
        <v>267.43</v>
      </c>
      <c r="N132" s="72">
        <f t="shared" si="16"/>
        <v>-1.0982976386600951E-3</v>
      </c>
      <c r="O132" s="73">
        <f t="shared" si="17"/>
        <v>2.5622074402562145E-2</v>
      </c>
      <c r="P132" s="73">
        <f t="shared" si="18"/>
        <v>-7.0257611241217877E-3</v>
      </c>
      <c r="Q132" s="73">
        <f t="shared" si="19"/>
        <v>2.6715265866209315E-2</v>
      </c>
      <c r="R132" s="73">
        <f t="shared" si="20"/>
        <v>-2.9865125240847834E-2</v>
      </c>
      <c r="S132" s="73">
        <f t="shared" si="21"/>
        <v>9.7158047977718986E-3</v>
      </c>
      <c r="T132" s="73">
        <f t="shared" si="22"/>
        <v>1.4454099001263376E-2</v>
      </c>
      <c r="U132" s="74">
        <f t="shared" si="23"/>
        <v>7.0266618006582515E-3</v>
      </c>
    </row>
    <row r="133" spans="1:21" x14ac:dyDescent="0.25">
      <c r="A133" s="54">
        <f t="shared" ref="A133:A196" si="24">+A134-1</f>
        <v>129</v>
      </c>
      <c r="B133" s="1">
        <v>45135</v>
      </c>
      <c r="C133" s="7">
        <f t="shared" ref="C133:C196" si="25">+YEAR(B133)</f>
        <v>2023</v>
      </c>
      <c r="D133" s="55">
        <f t="shared" ref="D133:D196" si="26">+MONTH(B133)</f>
        <v>7</v>
      </c>
      <c r="E133" s="61">
        <v>16.672999999999998</v>
      </c>
      <c r="F133" s="2">
        <v>54.63</v>
      </c>
      <c r="G133" s="2">
        <v>40.590000000000003</v>
      </c>
      <c r="H133" s="2">
        <v>12.81</v>
      </c>
      <c r="I133" s="2">
        <v>233.2</v>
      </c>
      <c r="J133" s="2">
        <v>20.76</v>
      </c>
      <c r="K133" s="2">
        <v>315.98</v>
      </c>
      <c r="L133" s="2">
        <v>132.21</v>
      </c>
      <c r="M133" s="2">
        <v>266.44</v>
      </c>
      <c r="N133" s="72">
        <f t="shared" si="16"/>
        <v>3.1215571061329328E-3</v>
      </c>
      <c r="O133" s="73">
        <f t="shared" si="17"/>
        <v>-6.6079295154184425E-3</v>
      </c>
      <c r="P133" s="73">
        <f t="shared" si="18"/>
        <v>2.3474178403757318E-3</v>
      </c>
      <c r="Q133" s="73">
        <f t="shared" si="19"/>
        <v>4.5229377557611805E-3</v>
      </c>
      <c r="R133" s="73">
        <f t="shared" si="20"/>
        <v>-3.8387715930900956E-3</v>
      </c>
      <c r="S133" s="73">
        <f t="shared" si="21"/>
        <v>5.1213538187486751E-3</v>
      </c>
      <c r="T133" s="73">
        <f t="shared" si="22"/>
        <v>1.944338307215232E-2</v>
      </c>
      <c r="U133" s="74">
        <f t="shared" si="23"/>
        <v>3.0404846311433031E-2</v>
      </c>
    </row>
    <row r="134" spans="1:21" x14ac:dyDescent="0.25">
      <c r="A134" s="54">
        <f t="shared" si="24"/>
        <v>130</v>
      </c>
      <c r="B134" s="1">
        <v>45134</v>
      </c>
      <c r="C134" s="7">
        <f t="shared" si="25"/>
        <v>2023</v>
      </c>
      <c r="D134" s="55">
        <f t="shared" si="26"/>
        <v>7</v>
      </c>
      <c r="E134" s="61">
        <v>16.86</v>
      </c>
      <c r="F134" s="2">
        <v>54.46</v>
      </c>
      <c r="G134" s="2">
        <v>40.86</v>
      </c>
      <c r="H134" s="2">
        <v>12.78</v>
      </c>
      <c r="I134" s="2">
        <v>232.15</v>
      </c>
      <c r="J134" s="2">
        <v>20.84</v>
      </c>
      <c r="K134" s="2">
        <v>314.37</v>
      </c>
      <c r="L134" s="2">
        <v>128.25</v>
      </c>
      <c r="M134" s="2">
        <v>255.71</v>
      </c>
      <c r="N134" s="72">
        <f t="shared" ref="N134:N197" si="27" xml:space="preserve"> (F134/F135) - 1</f>
        <v>1.8395879323032105E-3</v>
      </c>
      <c r="O134" s="73">
        <f t="shared" ref="O134:O197" si="28" xml:space="preserve"> (G134/G135) - 1</f>
        <v>8.1421169504070079E-3</v>
      </c>
      <c r="P134" s="73">
        <f t="shared" ref="P134:P197" si="29" xml:space="preserve"> (H134/H135) - 1</f>
        <v>-3.1201248049922414E-3</v>
      </c>
      <c r="Q134" s="73">
        <f t="shared" ref="Q134:Q197" si="30" xml:space="preserve"> (I134/I135) - 1</f>
        <v>1.6395564568321142E-3</v>
      </c>
      <c r="R134" s="73">
        <f t="shared" ref="R134:R197" si="31" xml:space="preserve"> (J134/J135) - 1</f>
        <v>-4.6224256292906274E-2</v>
      </c>
      <c r="S134" s="73">
        <f t="shared" ref="S134:S197" si="32" xml:space="preserve"> (K134/K135) - 1</f>
        <v>1.1258725512272028E-2</v>
      </c>
      <c r="T134" s="73">
        <f t="shared" ref="T134:T197" si="33" xml:space="preserve"> (E134*L134) / (E135*L135) - 1</f>
        <v>2.3260340546886749E-3</v>
      </c>
      <c r="U134" s="74">
        <f t="shared" ref="U134:U197" si="34" xml:space="preserve"> (E134*M134) / (E135*M135) - 1</f>
        <v>-3.1189928585134696E-2</v>
      </c>
    </row>
    <row r="135" spans="1:21" x14ac:dyDescent="0.25">
      <c r="A135" s="54">
        <f t="shared" si="24"/>
        <v>131</v>
      </c>
      <c r="B135" s="1">
        <v>45133</v>
      </c>
      <c r="C135" s="7">
        <f t="shared" si="25"/>
        <v>2023</v>
      </c>
      <c r="D135" s="55">
        <f t="shared" si="26"/>
        <v>7</v>
      </c>
      <c r="E135" s="61">
        <v>16.834</v>
      </c>
      <c r="F135" s="2">
        <v>54.36</v>
      </c>
      <c r="G135" s="2">
        <v>40.53</v>
      </c>
      <c r="H135" s="2">
        <v>12.82</v>
      </c>
      <c r="I135" s="2">
        <v>231.77</v>
      </c>
      <c r="J135" s="2">
        <v>21.85</v>
      </c>
      <c r="K135" s="2">
        <v>310.87</v>
      </c>
      <c r="L135" s="2">
        <v>128.15</v>
      </c>
      <c r="M135" s="2">
        <v>264.35000000000002</v>
      </c>
      <c r="N135" s="72">
        <f t="shared" si="27"/>
        <v>8.7214696604194231E-3</v>
      </c>
      <c r="O135" s="73">
        <f t="shared" si="28"/>
        <v>-8.3190604355272146E-3</v>
      </c>
      <c r="P135" s="73">
        <f t="shared" si="29"/>
        <v>1.3438735177865535E-2</v>
      </c>
      <c r="Q135" s="73">
        <f t="shared" si="30"/>
        <v>-2.9398216005695255E-2</v>
      </c>
      <c r="R135" s="73">
        <f t="shared" si="31"/>
        <v>4.1360294117647189E-3</v>
      </c>
      <c r="S135" s="73">
        <f t="shared" si="32"/>
        <v>4.8253304558942611E-2</v>
      </c>
      <c r="T135" s="73">
        <f t="shared" si="33"/>
        <v>-1.2633419251111166E-2</v>
      </c>
      <c r="U135" s="74">
        <f t="shared" si="34"/>
        <v>-8.5706533905385296E-3</v>
      </c>
    </row>
    <row r="136" spans="1:21" x14ac:dyDescent="0.25">
      <c r="A136" s="54">
        <f t="shared" si="24"/>
        <v>132</v>
      </c>
      <c r="B136" s="1">
        <v>45132</v>
      </c>
      <c r="C136" s="7">
        <f t="shared" si="25"/>
        <v>2023</v>
      </c>
      <c r="D136" s="55">
        <f t="shared" si="26"/>
        <v>7</v>
      </c>
      <c r="E136" s="61">
        <v>16.920000000000002</v>
      </c>
      <c r="F136" s="2">
        <v>53.89</v>
      </c>
      <c r="G136" s="2">
        <v>40.869999999999997</v>
      </c>
      <c r="H136" s="2">
        <v>12.65</v>
      </c>
      <c r="I136" s="2">
        <v>238.79</v>
      </c>
      <c r="J136" s="2">
        <v>21.76</v>
      </c>
      <c r="K136" s="2">
        <v>296.56</v>
      </c>
      <c r="L136" s="2">
        <v>129.13</v>
      </c>
      <c r="M136" s="2">
        <v>265.27999999999997</v>
      </c>
      <c r="N136" s="72">
        <f t="shared" si="27"/>
        <v>8.0433969322857291E-3</v>
      </c>
      <c r="O136" s="73">
        <f t="shared" si="28"/>
        <v>2.4054121773991577E-2</v>
      </c>
      <c r="P136" s="73">
        <f t="shared" si="29"/>
        <v>1.688102893890675E-2</v>
      </c>
      <c r="Q136" s="73">
        <f t="shared" si="30"/>
        <v>2.3619684499314175E-2</v>
      </c>
      <c r="R136" s="73">
        <f t="shared" si="31"/>
        <v>-5.6783701777199824E-2</v>
      </c>
      <c r="S136" s="73">
        <f t="shared" si="32"/>
        <v>-8.6578639478521735E-3</v>
      </c>
      <c r="T136" s="73">
        <f t="shared" si="33"/>
        <v>8.522647543223405E-3</v>
      </c>
      <c r="U136" s="74">
        <f t="shared" si="34"/>
        <v>-8.1871328489118156E-3</v>
      </c>
    </row>
    <row r="137" spans="1:21" x14ac:dyDescent="0.25">
      <c r="A137" s="54">
        <f t="shared" si="24"/>
        <v>133</v>
      </c>
      <c r="B137" s="1">
        <v>45131</v>
      </c>
      <c r="C137" s="7">
        <f t="shared" si="25"/>
        <v>2023</v>
      </c>
      <c r="D137" s="55">
        <f t="shared" si="26"/>
        <v>7</v>
      </c>
      <c r="E137" s="61">
        <v>16.82</v>
      </c>
      <c r="F137" s="2">
        <v>53.46</v>
      </c>
      <c r="G137" s="2">
        <v>39.909999999999997</v>
      </c>
      <c r="H137" s="2">
        <v>12.44</v>
      </c>
      <c r="I137" s="2">
        <v>233.28</v>
      </c>
      <c r="J137" s="2">
        <v>23.07</v>
      </c>
      <c r="K137" s="2">
        <v>299.14999999999998</v>
      </c>
      <c r="L137" s="2">
        <v>128.80000000000001</v>
      </c>
      <c r="M137" s="2">
        <v>269.06</v>
      </c>
      <c r="N137" s="72">
        <f t="shared" si="27"/>
        <v>-2.4258257137526051E-3</v>
      </c>
      <c r="O137" s="73">
        <f t="shared" si="28"/>
        <v>-1.7962598425196985E-2</v>
      </c>
      <c r="P137" s="73">
        <f t="shared" si="29"/>
        <v>-1.1128775834658211E-2</v>
      </c>
      <c r="Q137" s="73">
        <f t="shared" si="30"/>
        <v>-3.9707954399897938E-3</v>
      </c>
      <c r="R137" s="73">
        <f t="shared" si="31"/>
        <v>-1.6624040920716121E-2</v>
      </c>
      <c r="S137" s="73">
        <f t="shared" si="32"/>
        <v>-2.560177192925317E-2</v>
      </c>
      <c r="T137" s="73">
        <f t="shared" si="33"/>
        <v>-1.833538751540631E-2</v>
      </c>
      <c r="U137" s="74">
        <f t="shared" si="34"/>
        <v>2.5257627177377451E-2</v>
      </c>
    </row>
    <row r="138" spans="1:21" x14ac:dyDescent="0.25">
      <c r="A138" s="54">
        <f t="shared" si="24"/>
        <v>134</v>
      </c>
      <c r="B138" s="1">
        <v>45128</v>
      </c>
      <c r="C138" s="7">
        <f t="shared" si="25"/>
        <v>2023</v>
      </c>
      <c r="D138" s="55">
        <f t="shared" si="26"/>
        <v>7</v>
      </c>
      <c r="E138" s="61">
        <v>16.975999999999999</v>
      </c>
      <c r="F138" s="2">
        <v>53.59</v>
      </c>
      <c r="G138" s="2">
        <v>40.64</v>
      </c>
      <c r="H138" s="2">
        <v>12.58</v>
      </c>
      <c r="I138" s="2">
        <v>234.21</v>
      </c>
      <c r="J138" s="2">
        <v>23.46</v>
      </c>
      <c r="K138" s="2">
        <v>307.01</v>
      </c>
      <c r="L138" s="2">
        <v>130</v>
      </c>
      <c r="M138" s="2">
        <v>260.02</v>
      </c>
      <c r="N138" s="72">
        <f t="shared" si="27"/>
        <v>2.0568436798804601E-3</v>
      </c>
      <c r="O138" s="73">
        <f t="shared" si="28"/>
        <v>2.7819929185634917E-2</v>
      </c>
      <c r="P138" s="73">
        <f t="shared" si="29"/>
        <v>-1.5873015873015817E-3</v>
      </c>
      <c r="Q138" s="73">
        <f t="shared" si="30"/>
        <v>6.9217540842649861E-3</v>
      </c>
      <c r="R138" s="73">
        <f t="shared" si="31"/>
        <v>1.6464471403812908E-2</v>
      </c>
      <c r="S138" s="73">
        <f t="shared" si="32"/>
        <v>-2.6050994822357509E-4</v>
      </c>
      <c r="T138" s="73">
        <f t="shared" si="33"/>
        <v>6.4140930661602535E-3</v>
      </c>
      <c r="U138" s="74">
        <f t="shared" si="34"/>
        <v>-4.9171808356780478E-3</v>
      </c>
    </row>
    <row r="139" spans="1:21" x14ac:dyDescent="0.25">
      <c r="A139" s="54">
        <f t="shared" si="24"/>
        <v>135</v>
      </c>
      <c r="B139" s="1">
        <v>45127</v>
      </c>
      <c r="C139" s="7">
        <f t="shared" si="25"/>
        <v>2023</v>
      </c>
      <c r="D139" s="55">
        <f t="shared" si="26"/>
        <v>7</v>
      </c>
      <c r="E139" s="61">
        <v>16.873000000000001</v>
      </c>
      <c r="F139" s="2">
        <v>53.48</v>
      </c>
      <c r="G139" s="2">
        <v>39.54</v>
      </c>
      <c r="H139" s="2">
        <v>12.6</v>
      </c>
      <c r="I139" s="2">
        <v>232.6</v>
      </c>
      <c r="J139" s="2">
        <v>23.08</v>
      </c>
      <c r="K139" s="2">
        <v>307.08999999999997</v>
      </c>
      <c r="L139" s="2">
        <v>129.96</v>
      </c>
      <c r="M139" s="2">
        <v>262.89999999999998</v>
      </c>
      <c r="N139" s="72">
        <f t="shared" si="27"/>
        <v>-3.3544539694372322E-3</v>
      </c>
      <c r="O139" s="73">
        <f t="shared" si="28"/>
        <v>-2.0559821649739907E-2</v>
      </c>
      <c r="P139" s="73">
        <f t="shared" si="29"/>
        <v>9.6153846153845812E-3</v>
      </c>
      <c r="Q139" s="73">
        <f t="shared" si="30"/>
        <v>-2.3468659473529496E-2</v>
      </c>
      <c r="R139" s="73">
        <f t="shared" si="31"/>
        <v>7.8602620087335762E-3</v>
      </c>
      <c r="S139" s="73">
        <f t="shared" si="32"/>
        <v>-2.0821376187743268E-2</v>
      </c>
      <c r="T139" s="73">
        <f t="shared" si="33"/>
        <v>-3.0330827337698985E-2</v>
      </c>
      <c r="U139" s="74">
        <f t="shared" si="34"/>
        <v>-8.8379730732082273E-2</v>
      </c>
    </row>
    <row r="140" spans="1:21" x14ac:dyDescent="0.25">
      <c r="A140" s="54">
        <f t="shared" si="24"/>
        <v>136</v>
      </c>
      <c r="B140" s="1">
        <v>45126</v>
      </c>
      <c r="C140" s="7">
        <f t="shared" si="25"/>
        <v>2023</v>
      </c>
      <c r="D140" s="55">
        <f t="shared" si="26"/>
        <v>7</v>
      </c>
      <c r="E140" s="61">
        <v>16.706600000000002</v>
      </c>
      <c r="F140" s="2">
        <v>53.66</v>
      </c>
      <c r="G140" s="2">
        <v>40.369999999999997</v>
      </c>
      <c r="H140" s="2">
        <v>12.48</v>
      </c>
      <c r="I140" s="2">
        <v>238.19</v>
      </c>
      <c r="J140" s="2">
        <v>22.9</v>
      </c>
      <c r="K140" s="2">
        <v>313.62</v>
      </c>
      <c r="L140" s="2">
        <v>135.36000000000001</v>
      </c>
      <c r="M140" s="2">
        <v>291.26</v>
      </c>
      <c r="N140" s="72">
        <f t="shared" si="27"/>
        <v>-5.5596738324685813E-3</v>
      </c>
      <c r="O140" s="73">
        <f t="shared" si="28"/>
        <v>-1.7309594460930278E-3</v>
      </c>
      <c r="P140" s="73">
        <f t="shared" si="29"/>
        <v>-3.1948881789136685E-3</v>
      </c>
      <c r="Q140" s="73">
        <f t="shared" si="30"/>
        <v>-8.5744016649323962E-3</v>
      </c>
      <c r="R140" s="73">
        <f t="shared" si="31"/>
        <v>4.8266783677051173E-3</v>
      </c>
      <c r="S140" s="73">
        <f t="shared" si="32"/>
        <v>-1.401006177163544E-3</v>
      </c>
      <c r="T140" s="73">
        <f t="shared" si="33"/>
        <v>1.7013678248290809E-2</v>
      </c>
      <c r="U140" s="74">
        <f t="shared" si="34"/>
        <v>-9.0718213556401084E-3</v>
      </c>
    </row>
    <row r="141" spans="1:21" x14ac:dyDescent="0.25">
      <c r="A141" s="54">
        <f t="shared" si="24"/>
        <v>137</v>
      </c>
      <c r="B141" s="1">
        <v>45125</v>
      </c>
      <c r="C141" s="7">
        <f t="shared" si="25"/>
        <v>2023</v>
      </c>
      <c r="D141" s="55">
        <f t="shared" si="26"/>
        <v>7</v>
      </c>
      <c r="E141" s="61">
        <v>16.739999999999998</v>
      </c>
      <c r="F141" s="2">
        <v>53.96</v>
      </c>
      <c r="G141" s="2">
        <v>40.44</v>
      </c>
      <c r="H141" s="2">
        <v>12.52</v>
      </c>
      <c r="I141" s="2">
        <v>240.25</v>
      </c>
      <c r="J141" s="2">
        <v>22.79</v>
      </c>
      <c r="K141" s="2">
        <v>314.06</v>
      </c>
      <c r="L141" s="2">
        <v>132.83000000000001</v>
      </c>
      <c r="M141" s="2">
        <v>293.33999999999997</v>
      </c>
      <c r="N141" s="72">
        <f t="shared" si="27"/>
        <v>8.2212257100149344E-3</v>
      </c>
      <c r="O141" s="73">
        <f t="shared" si="28"/>
        <v>-1.1246943765281237E-2</v>
      </c>
      <c r="P141" s="73">
        <f t="shared" si="29"/>
        <v>1.3765182186234792E-2</v>
      </c>
      <c r="Q141" s="73">
        <f t="shared" si="30"/>
        <v>4.5806612809196068E-4</v>
      </c>
      <c r="R141" s="73">
        <f t="shared" si="31"/>
        <v>1.0195035460992985E-2</v>
      </c>
      <c r="S141" s="73">
        <f t="shared" si="32"/>
        <v>1.5947983049202641E-2</v>
      </c>
      <c r="T141" s="73">
        <f t="shared" si="33"/>
        <v>-4.276073975676753E-3</v>
      </c>
      <c r="U141" s="74">
        <f t="shared" si="34"/>
        <v>1.1401904977836219E-2</v>
      </c>
    </row>
    <row r="142" spans="1:21" x14ac:dyDescent="0.25">
      <c r="A142" s="54">
        <f t="shared" si="24"/>
        <v>138</v>
      </c>
      <c r="B142" s="1">
        <v>45124</v>
      </c>
      <c r="C142" s="7">
        <f t="shared" si="25"/>
        <v>2023</v>
      </c>
      <c r="D142" s="55">
        <f t="shared" si="26"/>
        <v>7</v>
      </c>
      <c r="E142" s="61">
        <v>16.72</v>
      </c>
      <c r="F142" s="2">
        <v>53.52</v>
      </c>
      <c r="G142" s="2">
        <v>40.9</v>
      </c>
      <c r="H142" s="2">
        <v>12.35</v>
      </c>
      <c r="I142" s="2">
        <v>240.14</v>
      </c>
      <c r="J142" s="2">
        <v>22.56</v>
      </c>
      <c r="K142" s="2">
        <v>309.13</v>
      </c>
      <c r="L142" s="2">
        <v>133.56</v>
      </c>
      <c r="M142" s="2">
        <v>290.38</v>
      </c>
      <c r="N142" s="72">
        <f t="shared" si="27"/>
        <v>-2.0510908073839706E-3</v>
      </c>
      <c r="O142" s="73">
        <f t="shared" si="28"/>
        <v>1.5140233308513329E-2</v>
      </c>
      <c r="P142" s="73">
        <f t="shared" si="29"/>
        <v>1.0638297872340274E-2</v>
      </c>
      <c r="Q142" s="73">
        <f t="shared" si="30"/>
        <v>-4.931007334355586E-3</v>
      </c>
      <c r="R142" s="73">
        <f t="shared" si="31"/>
        <v>-6.6050198150595651E-3</v>
      </c>
      <c r="S142" s="73">
        <f t="shared" si="32"/>
        <v>2.6921829386961083E-3</v>
      </c>
      <c r="T142" s="73">
        <f t="shared" si="33"/>
        <v>-9.2640809658017798E-3</v>
      </c>
      <c r="U142" s="74">
        <f t="shared" si="34"/>
        <v>3.0998614177842443E-2</v>
      </c>
    </row>
    <row r="143" spans="1:21" x14ac:dyDescent="0.25">
      <c r="A143" s="54">
        <f t="shared" si="24"/>
        <v>139</v>
      </c>
      <c r="B143" s="1">
        <v>45121</v>
      </c>
      <c r="C143" s="7">
        <f t="shared" si="25"/>
        <v>2023</v>
      </c>
      <c r="D143" s="55">
        <f t="shared" si="26"/>
        <v>7</v>
      </c>
      <c r="E143" s="61">
        <v>16.736000000000001</v>
      </c>
      <c r="F143" s="2">
        <v>53.63</v>
      </c>
      <c r="G143" s="2">
        <v>40.29</v>
      </c>
      <c r="H143" s="2">
        <v>12.22</v>
      </c>
      <c r="I143" s="2">
        <v>241.33</v>
      </c>
      <c r="J143" s="2">
        <v>22.71</v>
      </c>
      <c r="K143" s="2">
        <v>308.3</v>
      </c>
      <c r="L143" s="2">
        <v>134.68</v>
      </c>
      <c r="M143" s="2">
        <v>281.38</v>
      </c>
      <c r="N143" s="72">
        <f t="shared" si="27"/>
        <v>-9.0539541759052655E-3</v>
      </c>
      <c r="O143" s="73">
        <f t="shared" si="28"/>
        <v>1.7938352703385618E-2</v>
      </c>
      <c r="P143" s="73">
        <f t="shared" si="29"/>
        <v>-1.3720742534301889E-2</v>
      </c>
      <c r="Q143" s="73">
        <f t="shared" si="30"/>
        <v>-1.2238048461034601E-2</v>
      </c>
      <c r="R143" s="73">
        <f t="shared" si="31"/>
        <v>-3.811944091486652E-2</v>
      </c>
      <c r="S143" s="73">
        <f t="shared" si="32"/>
        <v>-1.952677776364331E-2</v>
      </c>
      <c r="T143" s="73">
        <f t="shared" si="33"/>
        <v>-3.192100690771027E-3</v>
      </c>
      <c r="U143" s="74">
        <f t="shared" si="34"/>
        <v>6.4427006067835357E-3</v>
      </c>
    </row>
    <row r="144" spans="1:21" x14ac:dyDescent="0.25">
      <c r="A144" s="54">
        <f t="shared" si="24"/>
        <v>140</v>
      </c>
      <c r="B144" s="1">
        <v>45120</v>
      </c>
      <c r="C144" s="7">
        <f t="shared" si="25"/>
        <v>2023</v>
      </c>
      <c r="D144" s="55">
        <f t="shared" si="26"/>
        <v>7</v>
      </c>
      <c r="E144" s="61">
        <v>16.8371</v>
      </c>
      <c r="F144" s="2">
        <v>54.12</v>
      </c>
      <c r="G144" s="2">
        <v>39.58</v>
      </c>
      <c r="H144" s="2">
        <v>12.39</v>
      </c>
      <c r="I144" s="2">
        <v>244.32</v>
      </c>
      <c r="J144" s="2">
        <v>23.61</v>
      </c>
      <c r="K144" s="2">
        <v>314.44</v>
      </c>
      <c r="L144" s="2">
        <v>134.30000000000001</v>
      </c>
      <c r="M144" s="2">
        <v>277.89999999999998</v>
      </c>
      <c r="N144" s="72">
        <f t="shared" si="27"/>
        <v>7.2585147962032082E-3</v>
      </c>
      <c r="O144" s="73">
        <f t="shared" si="28"/>
        <v>1.0209290454313402E-2</v>
      </c>
      <c r="P144" s="73">
        <f t="shared" si="29"/>
        <v>4.2929292929292817E-2</v>
      </c>
      <c r="Q144" s="73">
        <f t="shared" si="30"/>
        <v>1.0798063795457225E-2</v>
      </c>
      <c r="R144" s="73">
        <f t="shared" si="31"/>
        <v>1.3304721030042765E-2</v>
      </c>
      <c r="S144" s="73">
        <f t="shared" si="32"/>
        <v>3.6066515591586246E-3</v>
      </c>
      <c r="T144" s="73">
        <f t="shared" si="33"/>
        <v>2.390630309208297E-2</v>
      </c>
      <c r="U144" s="74">
        <f t="shared" si="34"/>
        <v>1.8890604638242214E-2</v>
      </c>
    </row>
    <row r="145" spans="1:21" x14ac:dyDescent="0.25">
      <c r="A145" s="54">
        <f t="shared" si="24"/>
        <v>141</v>
      </c>
      <c r="B145" s="1">
        <v>45119</v>
      </c>
      <c r="C145" s="7">
        <f t="shared" si="25"/>
        <v>2023</v>
      </c>
      <c r="D145" s="55">
        <f t="shared" si="26"/>
        <v>7</v>
      </c>
      <c r="E145" s="61">
        <v>16.884</v>
      </c>
      <c r="F145" s="2">
        <v>53.73</v>
      </c>
      <c r="G145" s="2">
        <v>39.18</v>
      </c>
      <c r="H145" s="2">
        <v>11.88</v>
      </c>
      <c r="I145" s="2">
        <v>241.71</v>
      </c>
      <c r="J145" s="2">
        <v>23.3</v>
      </c>
      <c r="K145" s="2">
        <v>313.31</v>
      </c>
      <c r="L145" s="2">
        <v>130.80000000000001</v>
      </c>
      <c r="M145" s="2">
        <v>271.99</v>
      </c>
      <c r="N145" s="72">
        <f t="shared" si="27"/>
        <v>-3.8932146829810943E-3</v>
      </c>
      <c r="O145" s="73">
        <f t="shared" si="28"/>
        <v>1.0575187000257946E-2</v>
      </c>
      <c r="P145" s="73">
        <f t="shared" si="29"/>
        <v>-1.6806722689075571E-3</v>
      </c>
      <c r="Q145" s="73">
        <f t="shared" si="30"/>
        <v>1.8626996502170368E-2</v>
      </c>
      <c r="R145" s="73">
        <f t="shared" si="31"/>
        <v>-7.6660988074956915E-3</v>
      </c>
      <c r="S145" s="73">
        <f t="shared" si="32"/>
        <v>-8.6695143173548539E-3</v>
      </c>
      <c r="T145" s="73">
        <f t="shared" si="33"/>
        <v>6.5111766060887977E-3</v>
      </c>
      <c r="U145" s="74">
        <f t="shared" si="34"/>
        <v>-9.5197071804820066E-4</v>
      </c>
    </row>
    <row r="146" spans="1:21" x14ac:dyDescent="0.25">
      <c r="A146" s="54">
        <f t="shared" si="24"/>
        <v>142</v>
      </c>
      <c r="B146" s="1">
        <v>45118</v>
      </c>
      <c r="C146" s="7">
        <f t="shared" si="25"/>
        <v>2023</v>
      </c>
      <c r="D146" s="55">
        <f t="shared" si="26"/>
        <v>7</v>
      </c>
      <c r="E146" s="61">
        <v>17.0379</v>
      </c>
      <c r="F146" s="2">
        <v>53.94</v>
      </c>
      <c r="G146" s="2">
        <v>38.770000000000003</v>
      </c>
      <c r="H146" s="2">
        <v>11.9</v>
      </c>
      <c r="I146" s="2">
        <v>237.29</v>
      </c>
      <c r="J146" s="2">
        <v>23.48</v>
      </c>
      <c r="K146" s="2">
        <v>316.05</v>
      </c>
      <c r="L146" s="2">
        <v>128.78</v>
      </c>
      <c r="M146" s="2">
        <v>269.79000000000002</v>
      </c>
      <c r="N146" s="72">
        <f t="shared" si="27"/>
        <v>1.0301554598239226E-2</v>
      </c>
      <c r="O146" s="73">
        <f t="shared" si="28"/>
        <v>-7.6785257230610471E-3</v>
      </c>
      <c r="P146" s="73">
        <f t="shared" si="29"/>
        <v>1.7094017094017255E-2</v>
      </c>
      <c r="Q146" s="73">
        <f t="shared" si="30"/>
        <v>1.662310954971935E-2</v>
      </c>
      <c r="R146" s="73">
        <f t="shared" si="31"/>
        <v>2.4879965080750743E-2</v>
      </c>
      <c r="S146" s="73">
        <f t="shared" si="32"/>
        <v>-3.7825059101654901E-3</v>
      </c>
      <c r="T146" s="73">
        <f t="shared" si="33"/>
        <v>1.2854001615292265E-2</v>
      </c>
      <c r="U146" s="74">
        <f t="shared" si="34"/>
        <v>5.4430930749749251E-4</v>
      </c>
    </row>
    <row r="147" spans="1:21" x14ac:dyDescent="0.25">
      <c r="A147" s="54">
        <f t="shared" si="24"/>
        <v>143</v>
      </c>
      <c r="B147" s="1">
        <v>45117</v>
      </c>
      <c r="C147" s="7">
        <f t="shared" si="25"/>
        <v>2023</v>
      </c>
      <c r="D147" s="55">
        <f t="shared" si="26"/>
        <v>7</v>
      </c>
      <c r="E147" s="61">
        <v>17.04</v>
      </c>
      <c r="F147" s="2">
        <v>53.39</v>
      </c>
      <c r="G147" s="2">
        <v>39.07</v>
      </c>
      <c r="H147" s="2">
        <v>11.7</v>
      </c>
      <c r="I147" s="2">
        <v>233.41</v>
      </c>
      <c r="J147" s="2">
        <v>22.91</v>
      </c>
      <c r="K147" s="2">
        <v>317.25</v>
      </c>
      <c r="L147" s="2">
        <v>127.13</v>
      </c>
      <c r="M147" s="2">
        <v>269.61</v>
      </c>
      <c r="N147" s="72">
        <f t="shared" si="27"/>
        <v>-6.1429635145197059E-3</v>
      </c>
      <c r="O147" s="73">
        <f t="shared" si="28"/>
        <v>-5.0929462694169203E-3</v>
      </c>
      <c r="P147" s="73">
        <f t="shared" si="29"/>
        <v>1.3864818024263537E-2</v>
      </c>
      <c r="Q147" s="73">
        <f t="shared" si="30"/>
        <v>2.10372660140834E-3</v>
      </c>
      <c r="R147" s="73">
        <f t="shared" si="31"/>
        <v>-1.7160017160017138E-2</v>
      </c>
      <c r="S147" s="73">
        <f t="shared" si="32"/>
        <v>-7.2908192002002492E-3</v>
      </c>
      <c r="T147" s="73">
        <f t="shared" si="33"/>
        <v>-2.5907018686654903E-2</v>
      </c>
      <c r="U147" s="74">
        <f t="shared" si="34"/>
        <v>-2.3067522384823902E-2</v>
      </c>
    </row>
    <row r="148" spans="1:21" x14ac:dyDescent="0.25">
      <c r="A148" s="54">
        <f t="shared" si="24"/>
        <v>144</v>
      </c>
      <c r="B148" s="1">
        <v>45114</v>
      </c>
      <c r="C148" s="7">
        <f t="shared" si="25"/>
        <v>2023</v>
      </c>
      <c r="D148" s="55">
        <f t="shared" si="26"/>
        <v>7</v>
      </c>
      <c r="E148" s="61">
        <v>17.135999999999999</v>
      </c>
      <c r="F148" s="2">
        <v>53.72</v>
      </c>
      <c r="G148" s="2">
        <v>39.270000000000003</v>
      </c>
      <c r="H148" s="2">
        <v>11.54</v>
      </c>
      <c r="I148" s="2">
        <v>232.92</v>
      </c>
      <c r="J148" s="2">
        <v>23.31</v>
      </c>
      <c r="K148" s="2">
        <v>319.58</v>
      </c>
      <c r="L148" s="2">
        <v>129.78</v>
      </c>
      <c r="M148" s="2">
        <v>274.43</v>
      </c>
      <c r="N148" s="72">
        <f t="shared" si="27"/>
        <v>9.205335337215903E-3</v>
      </c>
      <c r="O148" s="73">
        <f t="shared" si="28"/>
        <v>3.7790697674418672E-2</v>
      </c>
      <c r="P148" s="73">
        <f t="shared" si="29"/>
        <v>1.6740088105726914E-2</v>
      </c>
      <c r="Q148" s="73">
        <f t="shared" si="30"/>
        <v>-1.1150184406897301E-3</v>
      </c>
      <c r="R148" s="73">
        <f t="shared" si="31"/>
        <v>9.9653379549393684E-3</v>
      </c>
      <c r="S148" s="73">
        <f t="shared" si="32"/>
        <v>1.9816829945431769E-2</v>
      </c>
      <c r="T148" s="73">
        <f t="shared" si="33"/>
        <v>5.721793477786008E-3</v>
      </c>
      <c r="U148" s="74">
        <f t="shared" si="34"/>
        <v>-1.2872100052641611E-2</v>
      </c>
    </row>
    <row r="149" spans="1:21" x14ac:dyDescent="0.25">
      <c r="A149" s="54">
        <f t="shared" si="24"/>
        <v>145</v>
      </c>
      <c r="B149" s="1">
        <v>45113</v>
      </c>
      <c r="C149" s="7">
        <f t="shared" si="25"/>
        <v>2023</v>
      </c>
      <c r="D149" s="55">
        <f t="shared" si="26"/>
        <v>7</v>
      </c>
      <c r="E149" s="61">
        <v>17.227</v>
      </c>
      <c r="F149" s="2">
        <v>53.23</v>
      </c>
      <c r="G149" s="2">
        <v>37.840000000000003</v>
      </c>
      <c r="H149" s="2">
        <v>11.35</v>
      </c>
      <c r="I149" s="2">
        <v>233.18</v>
      </c>
      <c r="J149" s="2">
        <v>23.08</v>
      </c>
      <c r="K149" s="2">
        <v>313.37</v>
      </c>
      <c r="L149" s="2">
        <v>128.36000000000001</v>
      </c>
      <c r="M149" s="2">
        <v>276.54000000000002</v>
      </c>
      <c r="N149" s="72">
        <f t="shared" si="27"/>
        <v>-1.0410857036623922E-2</v>
      </c>
      <c r="O149" s="73">
        <f t="shared" si="28"/>
        <v>-1.3041210224308819E-2</v>
      </c>
      <c r="P149" s="73">
        <f t="shared" si="29"/>
        <v>-4.6218487394958041E-2</v>
      </c>
      <c r="Q149" s="73">
        <f t="shared" si="30"/>
        <v>-3.5050693151251755E-2</v>
      </c>
      <c r="R149" s="73">
        <f t="shared" si="31"/>
        <v>-2.9436501261564496E-2</v>
      </c>
      <c r="S149" s="73">
        <f t="shared" si="32"/>
        <v>-1.2385754806177096E-2</v>
      </c>
      <c r="T149" s="73">
        <f t="shared" si="33"/>
        <v>-2.4996709354325741E-3</v>
      </c>
      <c r="U149" s="74">
        <f t="shared" si="34"/>
        <v>-8.1075835460460155E-3</v>
      </c>
    </row>
    <row r="150" spans="1:21" x14ac:dyDescent="0.25">
      <c r="A150" s="54">
        <f t="shared" si="24"/>
        <v>146</v>
      </c>
      <c r="B150" s="1">
        <v>45112</v>
      </c>
      <c r="C150" s="7">
        <f t="shared" si="25"/>
        <v>2023</v>
      </c>
      <c r="D150" s="55">
        <f t="shared" si="26"/>
        <v>7</v>
      </c>
      <c r="E150" s="61">
        <v>17.002600000000001</v>
      </c>
      <c r="F150" s="2">
        <v>53.79</v>
      </c>
      <c r="G150" s="2">
        <v>38.340000000000003</v>
      </c>
      <c r="H150" s="2">
        <v>11.9</v>
      </c>
      <c r="I150" s="2">
        <v>241.65</v>
      </c>
      <c r="J150" s="2">
        <v>23.78</v>
      </c>
      <c r="K150" s="2">
        <v>317.3</v>
      </c>
      <c r="L150" s="2">
        <v>130.38</v>
      </c>
      <c r="M150" s="2">
        <v>282.48</v>
      </c>
      <c r="N150" s="72">
        <f t="shared" si="27"/>
        <v>1.6759776536312554E-3</v>
      </c>
      <c r="O150" s="73">
        <f t="shared" si="28"/>
        <v>3.4022507197069007E-3</v>
      </c>
      <c r="P150" s="73">
        <f t="shared" si="29"/>
        <v>-1.7341040462427681E-2</v>
      </c>
      <c r="Q150" s="73">
        <f t="shared" si="30"/>
        <v>2.2812111157197723E-3</v>
      </c>
      <c r="R150" s="73">
        <f t="shared" si="31"/>
        <v>-8.340283569641338E-3</v>
      </c>
      <c r="S150" s="73">
        <f t="shared" si="32"/>
        <v>8.0376147663374642E-3</v>
      </c>
      <c r="T150" s="73">
        <f t="shared" si="33"/>
        <v>-2.1868304503134262E-3</v>
      </c>
      <c r="U150" s="74">
        <f t="shared" si="34"/>
        <v>6.0623537057253873E-3</v>
      </c>
    </row>
    <row r="151" spans="1:21" x14ac:dyDescent="0.25">
      <c r="A151" s="54">
        <f t="shared" si="24"/>
        <v>147</v>
      </c>
      <c r="B151" s="1">
        <v>45111</v>
      </c>
      <c r="C151" s="7">
        <f t="shared" si="25"/>
        <v>2023</v>
      </c>
      <c r="D151" s="55">
        <f t="shared" si="26"/>
        <v>7</v>
      </c>
      <c r="E151" s="61">
        <v>17.0608</v>
      </c>
      <c r="F151" s="2">
        <v>53.7</v>
      </c>
      <c r="G151" s="2">
        <v>38.21</v>
      </c>
      <c r="H151" s="2">
        <v>12.11</v>
      </c>
      <c r="I151" s="2">
        <v>241.1</v>
      </c>
      <c r="J151" s="2">
        <v>23.98</v>
      </c>
      <c r="K151" s="2">
        <v>314.77</v>
      </c>
      <c r="L151" s="2">
        <v>130.22</v>
      </c>
      <c r="M151" s="2">
        <v>279.82</v>
      </c>
      <c r="N151" s="72">
        <f t="shared" si="27"/>
        <v>-8.8593576965669829E-3</v>
      </c>
      <c r="O151" s="73">
        <f t="shared" si="28"/>
        <v>-5.2314935914188343E-4</v>
      </c>
      <c r="P151" s="73">
        <f t="shared" si="29"/>
        <v>-2.4711696869852418E-3</v>
      </c>
      <c r="Q151" s="73">
        <f t="shared" si="30"/>
        <v>3.6215293676893356E-3</v>
      </c>
      <c r="R151" s="73">
        <f t="shared" si="31"/>
        <v>-4.1684035014577514E-4</v>
      </c>
      <c r="S151" s="73">
        <f t="shared" si="32"/>
        <v>-3.4003375786404888E-2</v>
      </c>
      <c r="T151" s="73">
        <f t="shared" si="33"/>
        <v>1.1031569064663405E-3</v>
      </c>
      <c r="U151" s="74">
        <f t="shared" si="34"/>
        <v>1.1031569064663405E-3</v>
      </c>
    </row>
    <row r="152" spans="1:21" x14ac:dyDescent="0.25">
      <c r="A152" s="54">
        <f t="shared" si="24"/>
        <v>148</v>
      </c>
      <c r="B152" s="1">
        <v>45110</v>
      </c>
      <c r="C152" s="7">
        <f t="shared" si="25"/>
        <v>2023</v>
      </c>
      <c r="D152" s="55">
        <f t="shared" si="26"/>
        <v>7</v>
      </c>
      <c r="E152" s="61">
        <v>17.042000000000002</v>
      </c>
      <c r="F152" s="2">
        <v>54.18</v>
      </c>
      <c r="G152" s="2">
        <v>38.229999999999997</v>
      </c>
      <c r="H152" s="2">
        <v>12.14</v>
      </c>
      <c r="I152" s="2">
        <v>240.23</v>
      </c>
      <c r="J152" s="2">
        <v>23.99</v>
      </c>
      <c r="K152" s="2">
        <v>325.85000000000002</v>
      </c>
      <c r="L152" s="2">
        <v>130.22</v>
      </c>
      <c r="M152" s="2">
        <v>279.82</v>
      </c>
      <c r="N152" s="72">
        <f t="shared" si="27"/>
        <v>1.593849615600984E-2</v>
      </c>
      <c r="O152" s="73">
        <f t="shared" si="28"/>
        <v>1.5944724953494305E-2</v>
      </c>
      <c r="P152" s="73">
        <f t="shared" si="29"/>
        <v>3.3057851239670644E-3</v>
      </c>
      <c r="Q152" s="73">
        <f t="shared" si="30"/>
        <v>-8.3184294805149772E-4</v>
      </c>
      <c r="R152" s="73">
        <f t="shared" si="31"/>
        <v>8.343763037128582E-4</v>
      </c>
      <c r="S152" s="73">
        <f t="shared" si="32"/>
        <v>6.0606060606060552E-2</v>
      </c>
      <c r="T152" s="73">
        <f t="shared" si="33"/>
        <v>-5.2474502556989489E-3</v>
      </c>
      <c r="U152" s="74">
        <f t="shared" si="34"/>
        <v>6.4487585893033605E-2</v>
      </c>
    </row>
    <row r="153" spans="1:21" x14ac:dyDescent="0.25">
      <c r="A153" s="54">
        <f t="shared" si="24"/>
        <v>149</v>
      </c>
      <c r="B153" s="1">
        <v>45107</v>
      </c>
      <c r="C153" s="7">
        <f t="shared" si="25"/>
        <v>2023</v>
      </c>
      <c r="D153" s="55">
        <f t="shared" si="26"/>
        <v>6</v>
      </c>
      <c r="E153" s="61">
        <v>17.113499999999998</v>
      </c>
      <c r="F153" s="2">
        <v>53.33</v>
      </c>
      <c r="G153" s="2">
        <v>37.630000000000003</v>
      </c>
      <c r="H153" s="2">
        <v>12.1</v>
      </c>
      <c r="I153" s="2">
        <v>240.43</v>
      </c>
      <c r="J153" s="2">
        <v>23.97</v>
      </c>
      <c r="K153" s="2">
        <v>307.23</v>
      </c>
      <c r="L153" s="2">
        <v>130.36000000000001</v>
      </c>
      <c r="M153" s="2">
        <v>261.77</v>
      </c>
      <c r="N153" s="72">
        <f t="shared" si="27"/>
        <v>-1.1238059561715641E-3</v>
      </c>
      <c r="O153" s="73">
        <f t="shared" si="28"/>
        <v>-3.5128205128205026E-2</v>
      </c>
      <c r="P153" s="73">
        <f t="shared" si="29"/>
        <v>1.0860484544694904E-2</v>
      </c>
      <c r="Q153" s="73">
        <f t="shared" si="30"/>
        <v>1.8751562630219265E-3</v>
      </c>
      <c r="R153" s="73">
        <f t="shared" si="31"/>
        <v>-6.6307501036054761E-3</v>
      </c>
      <c r="S153" s="73">
        <f t="shared" si="32"/>
        <v>9.9937539038101875E-3</v>
      </c>
      <c r="T153" s="73">
        <f t="shared" si="33"/>
        <v>1.8662346900541582E-2</v>
      </c>
      <c r="U153" s="74">
        <f t="shared" si="34"/>
        <v>1.6012581198860509E-2</v>
      </c>
    </row>
    <row r="154" spans="1:21" x14ac:dyDescent="0.25">
      <c r="A154" s="54">
        <f t="shared" si="24"/>
        <v>150</v>
      </c>
      <c r="B154" s="1">
        <v>45106</v>
      </c>
      <c r="C154" s="7">
        <f t="shared" si="25"/>
        <v>2023</v>
      </c>
      <c r="D154" s="55">
        <f t="shared" si="26"/>
        <v>6</v>
      </c>
      <c r="E154" s="61">
        <v>17.123100000000001</v>
      </c>
      <c r="F154" s="2">
        <v>53.39</v>
      </c>
      <c r="G154" s="2">
        <v>39</v>
      </c>
      <c r="H154" s="2">
        <v>11.97</v>
      </c>
      <c r="I154" s="2">
        <v>239.98</v>
      </c>
      <c r="J154" s="2">
        <v>24.13</v>
      </c>
      <c r="K154" s="2">
        <v>304.19</v>
      </c>
      <c r="L154" s="2">
        <v>127.9</v>
      </c>
      <c r="M154" s="2">
        <v>257.5</v>
      </c>
      <c r="N154" s="72">
        <f t="shared" si="27"/>
        <v>2.4408561772437665E-3</v>
      </c>
      <c r="O154" s="73">
        <f t="shared" si="28"/>
        <v>0</v>
      </c>
      <c r="P154" s="73">
        <f t="shared" si="29"/>
        <v>7.575757575757569E-3</v>
      </c>
      <c r="Q154" s="73">
        <f t="shared" si="30"/>
        <v>-6.9930069930069783E-3</v>
      </c>
      <c r="R154" s="73">
        <f t="shared" si="31"/>
        <v>-4.9484536082474717E-3</v>
      </c>
      <c r="S154" s="73">
        <f t="shared" si="32"/>
        <v>-3.8641647837049931E-3</v>
      </c>
      <c r="T154" s="73">
        <f t="shared" si="33"/>
        <v>-5.7512309366883896E-3</v>
      </c>
      <c r="U154" s="74">
        <f t="shared" si="34"/>
        <v>8.0432818639379899E-3</v>
      </c>
    </row>
    <row r="155" spans="1:21" x14ac:dyDescent="0.25">
      <c r="A155" s="54">
        <f t="shared" si="24"/>
        <v>151</v>
      </c>
      <c r="B155" s="1">
        <v>45105</v>
      </c>
      <c r="C155" s="7">
        <f t="shared" si="25"/>
        <v>2023</v>
      </c>
      <c r="D155" s="55">
        <f t="shared" si="26"/>
        <v>6</v>
      </c>
      <c r="E155" s="61">
        <v>17.07</v>
      </c>
      <c r="F155" s="2">
        <v>53.26</v>
      </c>
      <c r="G155" s="2">
        <v>39</v>
      </c>
      <c r="H155" s="2">
        <v>11.88</v>
      </c>
      <c r="I155" s="2">
        <v>241.67</v>
      </c>
      <c r="J155" s="2">
        <v>24.25</v>
      </c>
      <c r="K155" s="2">
        <v>305.37</v>
      </c>
      <c r="L155" s="2">
        <v>129.04</v>
      </c>
      <c r="M155" s="2">
        <v>256.24</v>
      </c>
      <c r="N155" s="72">
        <f t="shared" si="27"/>
        <v>-1.6980435585086773E-2</v>
      </c>
      <c r="O155" s="73">
        <f t="shared" si="28"/>
        <v>-8.1383519837232576E-3</v>
      </c>
      <c r="P155" s="73">
        <f t="shared" si="29"/>
        <v>-1.7369727047146344E-2</v>
      </c>
      <c r="Q155" s="73">
        <f t="shared" si="30"/>
        <v>-8.8992782152231831E-3</v>
      </c>
      <c r="R155" s="73">
        <f t="shared" si="31"/>
        <v>1.652209830648399E-3</v>
      </c>
      <c r="S155" s="73">
        <f t="shared" si="32"/>
        <v>-8.957258300068105E-3</v>
      </c>
      <c r="T155" s="73">
        <f t="shared" si="33"/>
        <v>-1.6510692673705751E-3</v>
      </c>
      <c r="U155" s="74">
        <f t="shared" si="34"/>
        <v>2.3518143668549873E-2</v>
      </c>
    </row>
    <row r="156" spans="1:21" x14ac:dyDescent="0.25">
      <c r="A156" s="54">
        <f t="shared" si="24"/>
        <v>152</v>
      </c>
      <c r="B156" s="1">
        <v>45104</v>
      </c>
      <c r="C156" s="7">
        <f t="shared" si="25"/>
        <v>2023</v>
      </c>
      <c r="D156" s="55">
        <f t="shared" si="26"/>
        <v>6</v>
      </c>
      <c r="E156" s="61">
        <v>17.079699999999999</v>
      </c>
      <c r="F156" s="2">
        <v>54.18</v>
      </c>
      <c r="G156" s="2">
        <v>39.32</v>
      </c>
      <c r="H156" s="2">
        <v>12.09</v>
      </c>
      <c r="I156" s="2">
        <v>243.84</v>
      </c>
      <c r="J156" s="2">
        <v>24.21</v>
      </c>
      <c r="K156" s="2">
        <v>308.13</v>
      </c>
      <c r="L156" s="2">
        <v>129.18</v>
      </c>
      <c r="M156" s="2">
        <v>250.21</v>
      </c>
      <c r="N156" s="72">
        <f t="shared" si="27"/>
        <v>1.100951670087702E-2</v>
      </c>
      <c r="O156" s="73">
        <f t="shared" si="28"/>
        <v>2.4225058609012695E-2</v>
      </c>
      <c r="P156" s="73">
        <f t="shared" si="29"/>
        <v>2.1114864864864913E-2</v>
      </c>
      <c r="Q156" s="73">
        <f t="shared" si="30"/>
        <v>-1.0269107440029179E-2</v>
      </c>
      <c r="R156" s="73">
        <f t="shared" si="31"/>
        <v>1.0012515644555853E-2</v>
      </c>
      <c r="S156" s="73">
        <f t="shared" si="32"/>
        <v>6.5331721817527555E-3</v>
      </c>
      <c r="T156" s="73">
        <f t="shared" si="33"/>
        <v>1.1373021070403055E-2</v>
      </c>
      <c r="U156" s="74">
        <f t="shared" si="34"/>
        <v>3.4771241787335594E-2</v>
      </c>
    </row>
    <row r="157" spans="1:21" x14ac:dyDescent="0.25">
      <c r="A157" s="54">
        <f t="shared" si="24"/>
        <v>153</v>
      </c>
      <c r="B157" s="1">
        <v>45103</v>
      </c>
      <c r="C157" s="7">
        <f t="shared" si="25"/>
        <v>2023</v>
      </c>
      <c r="D157" s="55">
        <f t="shared" si="26"/>
        <v>6</v>
      </c>
      <c r="E157" s="61">
        <v>17.132999999999999</v>
      </c>
      <c r="F157" s="2">
        <v>53.59</v>
      </c>
      <c r="G157" s="2">
        <v>38.39</v>
      </c>
      <c r="H157" s="2">
        <v>11.84</v>
      </c>
      <c r="I157" s="2">
        <v>246.37</v>
      </c>
      <c r="J157" s="2">
        <v>23.97</v>
      </c>
      <c r="K157" s="2">
        <v>306.13</v>
      </c>
      <c r="L157" s="2">
        <v>127.33</v>
      </c>
      <c r="M157" s="2">
        <v>241.05</v>
      </c>
      <c r="N157" s="72">
        <f t="shared" si="27"/>
        <v>5.6011949215828416E-4</v>
      </c>
      <c r="O157" s="73">
        <f t="shared" si="28"/>
        <v>4.7108086888250078E-3</v>
      </c>
      <c r="P157" s="73">
        <f t="shared" si="29"/>
        <v>-4.205214465937801E-3</v>
      </c>
      <c r="Q157" s="73">
        <f t="shared" si="30"/>
        <v>-2.6717402744605989E-3</v>
      </c>
      <c r="R157" s="73">
        <f t="shared" si="31"/>
        <v>-4.1701417848216682E-4</v>
      </c>
      <c r="S157" s="73">
        <f t="shared" si="32"/>
        <v>-5.0053628888094837E-3</v>
      </c>
      <c r="T157" s="73">
        <f t="shared" si="33"/>
        <v>-1.6841529846745473E-2</v>
      </c>
      <c r="U157" s="74">
        <f t="shared" si="34"/>
        <v>-6.1914231553979793E-2</v>
      </c>
    </row>
    <row r="158" spans="1:21" x14ac:dyDescent="0.25">
      <c r="A158" s="54">
        <f t="shared" si="24"/>
        <v>154</v>
      </c>
      <c r="B158" s="1">
        <v>45100</v>
      </c>
      <c r="C158" s="7">
        <f t="shared" si="25"/>
        <v>2023</v>
      </c>
      <c r="D158" s="55">
        <f t="shared" si="26"/>
        <v>6</v>
      </c>
      <c r="E158" s="61">
        <v>17.157</v>
      </c>
      <c r="F158" s="2">
        <v>53.56</v>
      </c>
      <c r="G158" s="2">
        <v>38.21</v>
      </c>
      <c r="H158" s="2">
        <v>11.89</v>
      </c>
      <c r="I158" s="2">
        <v>247.03</v>
      </c>
      <c r="J158" s="2">
        <v>23.98</v>
      </c>
      <c r="K158" s="2">
        <v>307.67</v>
      </c>
      <c r="L158" s="2">
        <v>129.33000000000001</v>
      </c>
      <c r="M158" s="2">
        <v>256.60000000000002</v>
      </c>
      <c r="N158" s="72">
        <f t="shared" si="27"/>
        <v>-4.8309178743960457E-3</v>
      </c>
      <c r="O158" s="73">
        <f t="shared" si="28"/>
        <v>-2.0256410256410229E-2</v>
      </c>
      <c r="P158" s="73">
        <f t="shared" si="29"/>
        <v>2.5295109612142319E-3</v>
      </c>
      <c r="Q158" s="73">
        <f t="shared" si="30"/>
        <v>-2.9061553985872957E-3</v>
      </c>
      <c r="R158" s="73">
        <f t="shared" si="31"/>
        <v>-7.8609846917666593E-3</v>
      </c>
      <c r="S158" s="73">
        <f t="shared" si="32"/>
        <v>-2.1436977195381846E-2</v>
      </c>
      <c r="T158" s="73">
        <f t="shared" si="33"/>
        <v>-6.7635508514396481E-3</v>
      </c>
      <c r="U158" s="74">
        <f t="shared" si="34"/>
        <v>-3.0722921255496027E-2</v>
      </c>
    </row>
    <row r="159" spans="1:21" x14ac:dyDescent="0.25">
      <c r="A159" s="54">
        <f t="shared" si="24"/>
        <v>155</v>
      </c>
      <c r="B159" s="1">
        <v>45099</v>
      </c>
      <c r="C159" s="7">
        <f t="shared" si="25"/>
        <v>2023</v>
      </c>
      <c r="D159" s="55">
        <f t="shared" si="26"/>
        <v>6</v>
      </c>
      <c r="E159" s="61">
        <v>17.164999999999999</v>
      </c>
      <c r="F159" s="2">
        <v>53.82</v>
      </c>
      <c r="G159" s="2">
        <v>39</v>
      </c>
      <c r="H159" s="2">
        <v>11.86</v>
      </c>
      <c r="I159" s="2">
        <v>247.75</v>
      </c>
      <c r="J159" s="2">
        <v>24.17</v>
      </c>
      <c r="K159" s="2">
        <v>314.41000000000003</v>
      </c>
      <c r="L159" s="2">
        <v>130.15</v>
      </c>
      <c r="M159" s="2">
        <v>264.61</v>
      </c>
      <c r="N159" s="72">
        <f t="shared" si="27"/>
        <v>-8.6572112727942852E-3</v>
      </c>
      <c r="O159" s="73">
        <f t="shared" si="28"/>
        <v>-1.2658227848101222E-2</v>
      </c>
      <c r="P159" s="73">
        <f t="shared" si="29"/>
        <v>-1.6583747927031545E-2</v>
      </c>
      <c r="Q159" s="73">
        <f t="shared" si="30"/>
        <v>-4.1474832669168626E-2</v>
      </c>
      <c r="R159" s="73">
        <f t="shared" si="31"/>
        <v>-8.267879288962332E-4</v>
      </c>
      <c r="S159" s="73">
        <f t="shared" si="32"/>
        <v>-7.4502004609020567E-3</v>
      </c>
      <c r="T159" s="73">
        <f t="shared" si="33"/>
        <v>4.5602786323637234E-2</v>
      </c>
      <c r="U159" s="74">
        <f t="shared" si="34"/>
        <v>2.276855924200305E-2</v>
      </c>
    </row>
    <row r="160" spans="1:21" x14ac:dyDescent="0.25">
      <c r="A160" s="54">
        <f t="shared" si="24"/>
        <v>156</v>
      </c>
      <c r="B160" s="1">
        <v>45098</v>
      </c>
      <c r="C160" s="7">
        <f t="shared" si="25"/>
        <v>2023</v>
      </c>
      <c r="D160" s="55">
        <f t="shared" si="26"/>
        <v>6</v>
      </c>
      <c r="E160" s="61">
        <v>17.116</v>
      </c>
      <c r="F160" s="2">
        <v>54.29</v>
      </c>
      <c r="G160" s="2">
        <v>39.5</v>
      </c>
      <c r="H160" s="2">
        <v>12.06</v>
      </c>
      <c r="I160" s="2">
        <v>258.47000000000003</v>
      </c>
      <c r="J160" s="2">
        <v>24.19</v>
      </c>
      <c r="K160" s="2">
        <v>316.77</v>
      </c>
      <c r="L160" s="2">
        <v>124.83</v>
      </c>
      <c r="M160" s="2">
        <v>259.45999999999998</v>
      </c>
      <c r="N160" s="72">
        <f t="shared" si="27"/>
        <v>-4.9486803519062095E-3</v>
      </c>
      <c r="O160" s="73">
        <f t="shared" si="28"/>
        <v>-7.0387129210658372E-3</v>
      </c>
      <c r="P160" s="73">
        <f t="shared" si="29"/>
        <v>-1.6556291390728006E-3</v>
      </c>
      <c r="Q160" s="73">
        <f t="shared" si="30"/>
        <v>-2.7796584668622559E-2</v>
      </c>
      <c r="R160" s="73">
        <f t="shared" si="31"/>
        <v>-1.1846405228758128E-2</v>
      </c>
      <c r="S160" s="73">
        <f t="shared" si="32"/>
        <v>-2.7389497544390018E-3</v>
      </c>
      <c r="T160" s="73">
        <f t="shared" si="33"/>
        <v>-1.2571930737156345E-2</v>
      </c>
      <c r="U160" s="74">
        <f t="shared" si="34"/>
        <v>-5.9399366075055471E-2</v>
      </c>
    </row>
    <row r="161" spans="1:21" x14ac:dyDescent="0.25">
      <c r="A161" s="54">
        <f t="shared" si="24"/>
        <v>157</v>
      </c>
      <c r="B161" s="1">
        <v>45097</v>
      </c>
      <c r="C161" s="7">
        <f t="shared" si="25"/>
        <v>2023</v>
      </c>
      <c r="D161" s="55">
        <f t="shared" si="26"/>
        <v>6</v>
      </c>
      <c r="E161" s="61">
        <v>17.202999999999999</v>
      </c>
      <c r="F161" s="2">
        <v>54.56</v>
      </c>
      <c r="G161" s="2">
        <v>39.78</v>
      </c>
      <c r="H161" s="2">
        <v>12.08</v>
      </c>
      <c r="I161" s="2">
        <v>265.86</v>
      </c>
      <c r="J161" s="2">
        <v>24.48</v>
      </c>
      <c r="K161" s="2">
        <v>317.64</v>
      </c>
      <c r="L161" s="2">
        <v>125.78</v>
      </c>
      <c r="M161" s="2">
        <v>274.45</v>
      </c>
      <c r="N161" s="72">
        <f t="shared" si="27"/>
        <v>-1.087744742567065E-2</v>
      </c>
      <c r="O161" s="73">
        <f t="shared" si="28"/>
        <v>2.01511335012583E-3</v>
      </c>
      <c r="P161" s="73">
        <f t="shared" si="29"/>
        <v>-2.1069692058346856E-2</v>
      </c>
      <c r="Q161" s="73">
        <f t="shared" si="30"/>
        <v>1.4313695946963634E-3</v>
      </c>
      <c r="R161" s="73">
        <f t="shared" si="31"/>
        <v>-1.7656500802568309E-2</v>
      </c>
      <c r="S161" s="73">
        <f t="shared" si="32"/>
        <v>-2.1049711837766383E-2</v>
      </c>
      <c r="T161" s="73">
        <f t="shared" si="33"/>
        <v>1.0120393669002858E-2</v>
      </c>
      <c r="U161" s="74">
        <f t="shared" si="34"/>
        <v>6.1596540356518625E-2</v>
      </c>
    </row>
    <row r="162" spans="1:21" x14ac:dyDescent="0.25">
      <c r="A162" s="54">
        <f t="shared" si="24"/>
        <v>158</v>
      </c>
      <c r="B162" s="1">
        <v>45096</v>
      </c>
      <c r="C162" s="7">
        <f t="shared" si="25"/>
        <v>2023</v>
      </c>
      <c r="D162" s="55">
        <f t="shared" si="26"/>
        <v>6</v>
      </c>
      <c r="E162" s="61">
        <v>17.07</v>
      </c>
      <c r="F162" s="2">
        <v>55.16</v>
      </c>
      <c r="G162" s="2">
        <v>39.700000000000003</v>
      </c>
      <c r="H162" s="2">
        <v>12.34</v>
      </c>
      <c r="I162" s="2">
        <v>265.48</v>
      </c>
      <c r="J162" s="2">
        <v>24.92</v>
      </c>
      <c r="K162" s="2">
        <v>324.47000000000003</v>
      </c>
      <c r="L162" s="2">
        <v>125.49</v>
      </c>
      <c r="M162" s="2">
        <v>260.54000000000002</v>
      </c>
      <c r="N162" s="72">
        <f t="shared" si="27"/>
        <v>5.4416832940318294E-4</v>
      </c>
      <c r="O162" s="73">
        <f t="shared" si="28"/>
        <v>7.5623897151499975E-4</v>
      </c>
      <c r="P162" s="73">
        <f t="shared" si="29"/>
        <v>-4.8387096774193949E-3</v>
      </c>
      <c r="Q162" s="73">
        <f t="shared" si="30"/>
        <v>-4.275748255944789E-3</v>
      </c>
      <c r="R162" s="73">
        <f t="shared" si="31"/>
        <v>-2.4019215372297342E-3</v>
      </c>
      <c r="S162" s="73">
        <f t="shared" si="32"/>
        <v>-2.0408779398001342E-2</v>
      </c>
      <c r="T162" s="73">
        <f t="shared" si="33"/>
        <v>4.688782088850818E-4</v>
      </c>
      <c r="U162" s="74">
        <f t="shared" si="34"/>
        <v>4.6887820888530385E-4</v>
      </c>
    </row>
    <row r="163" spans="1:21" x14ac:dyDescent="0.25">
      <c r="A163" s="54">
        <f t="shared" si="24"/>
        <v>159</v>
      </c>
      <c r="B163" s="1">
        <v>45093</v>
      </c>
      <c r="C163" s="7">
        <f t="shared" si="25"/>
        <v>2023</v>
      </c>
      <c r="D163" s="55">
        <f t="shared" si="26"/>
        <v>6</v>
      </c>
      <c r="E163" s="61">
        <v>17.062000000000001</v>
      </c>
      <c r="F163" s="2">
        <v>55.13</v>
      </c>
      <c r="G163" s="2">
        <v>39.67</v>
      </c>
      <c r="H163" s="2">
        <v>12.4</v>
      </c>
      <c r="I163" s="2">
        <v>266.62</v>
      </c>
      <c r="J163" s="2">
        <v>24.98</v>
      </c>
      <c r="K163" s="2">
        <v>331.23</v>
      </c>
      <c r="L163" s="2">
        <v>125.49</v>
      </c>
      <c r="M163" s="2">
        <v>260.54000000000002</v>
      </c>
      <c r="N163" s="72">
        <f t="shared" si="27"/>
        <v>-7.2033135242210999E-3</v>
      </c>
      <c r="O163" s="73">
        <f t="shared" si="28"/>
        <v>-1.0073029463610883E-3</v>
      </c>
      <c r="P163" s="73">
        <f t="shared" si="29"/>
        <v>-1.1164274322168932E-2</v>
      </c>
      <c r="Q163" s="73">
        <f t="shared" si="30"/>
        <v>-1.2920661952537937E-2</v>
      </c>
      <c r="R163" s="73">
        <f t="shared" si="31"/>
        <v>-4.7808764940239223E-3</v>
      </c>
      <c r="S163" s="73">
        <f t="shared" si="32"/>
        <v>1.0587014888943314E-2</v>
      </c>
      <c r="T163" s="73">
        <f t="shared" si="33"/>
        <v>-1.522671235300832E-2</v>
      </c>
      <c r="U163" s="74">
        <f t="shared" si="34"/>
        <v>1.5572616047882182E-2</v>
      </c>
    </row>
    <row r="164" spans="1:21" x14ac:dyDescent="0.25">
      <c r="A164" s="54">
        <f t="shared" si="24"/>
        <v>160</v>
      </c>
      <c r="B164" s="1">
        <v>45092</v>
      </c>
      <c r="C164" s="7">
        <f t="shared" si="25"/>
        <v>2023</v>
      </c>
      <c r="D164" s="55">
        <f t="shared" si="26"/>
        <v>6</v>
      </c>
      <c r="E164" s="61">
        <v>17.105</v>
      </c>
      <c r="F164" s="2">
        <v>55.53</v>
      </c>
      <c r="G164" s="2">
        <v>39.71</v>
      </c>
      <c r="H164" s="2">
        <v>12.54</v>
      </c>
      <c r="I164" s="2">
        <v>270.11</v>
      </c>
      <c r="J164" s="2">
        <v>25.1</v>
      </c>
      <c r="K164" s="2">
        <v>327.76</v>
      </c>
      <c r="L164" s="2">
        <v>127.11</v>
      </c>
      <c r="M164" s="2">
        <v>255.9</v>
      </c>
      <c r="N164" s="72">
        <f t="shared" si="27"/>
        <v>3.9775809076116886E-3</v>
      </c>
      <c r="O164" s="73">
        <f t="shared" si="28"/>
        <v>-2.7624309392264568E-3</v>
      </c>
      <c r="P164" s="73">
        <f t="shared" si="29"/>
        <v>3.1999999999998696E-3</v>
      </c>
      <c r="Q164" s="73">
        <f t="shared" si="30"/>
        <v>-2.2532505910165535E-3</v>
      </c>
      <c r="R164" s="73">
        <f t="shared" si="31"/>
        <v>-1.5300117693212933E-2</v>
      </c>
      <c r="S164" s="73">
        <f t="shared" si="32"/>
        <v>4.7823421213979422E-3</v>
      </c>
      <c r="T164" s="73">
        <f t="shared" si="33"/>
        <v>5.6343726634857649E-3</v>
      </c>
      <c r="U164" s="74">
        <f t="shared" si="34"/>
        <v>-3.291056946883697E-3</v>
      </c>
    </row>
    <row r="165" spans="1:21" x14ac:dyDescent="0.25">
      <c r="A165" s="54">
        <f t="shared" si="24"/>
        <v>161</v>
      </c>
      <c r="B165" s="1">
        <v>45091</v>
      </c>
      <c r="C165" s="7">
        <f t="shared" si="25"/>
        <v>2023</v>
      </c>
      <c r="D165" s="55">
        <f t="shared" si="26"/>
        <v>6</v>
      </c>
      <c r="E165" s="61">
        <v>17.102</v>
      </c>
      <c r="F165" s="2">
        <v>55.31</v>
      </c>
      <c r="G165" s="2">
        <v>39.82</v>
      </c>
      <c r="H165" s="2">
        <v>12.5</v>
      </c>
      <c r="I165" s="2">
        <v>270.72000000000003</v>
      </c>
      <c r="J165" s="2">
        <v>25.49</v>
      </c>
      <c r="K165" s="2">
        <v>326.2</v>
      </c>
      <c r="L165" s="2">
        <v>126.42</v>
      </c>
      <c r="M165" s="2">
        <v>256.79000000000002</v>
      </c>
      <c r="N165" s="72">
        <f t="shared" si="27"/>
        <v>1.0412860796492618E-2</v>
      </c>
      <c r="O165" s="73">
        <f t="shared" si="28"/>
        <v>1.0659898477157315E-2</v>
      </c>
      <c r="P165" s="73">
        <f t="shared" si="29"/>
        <v>1.5434606011372809E-2</v>
      </c>
      <c r="Q165" s="73">
        <f t="shared" si="30"/>
        <v>-1.6672115070284321E-2</v>
      </c>
      <c r="R165" s="73">
        <f t="shared" si="31"/>
        <v>1.5537848605577498E-2</v>
      </c>
      <c r="S165" s="73">
        <f t="shared" si="32"/>
        <v>2.0076302457939788E-2</v>
      </c>
      <c r="T165" s="73">
        <f t="shared" si="33"/>
        <v>-7.6394102102234074E-3</v>
      </c>
      <c r="U165" s="74">
        <f t="shared" si="34"/>
        <v>-1.3134202534952455E-2</v>
      </c>
    </row>
    <row r="166" spans="1:21" x14ac:dyDescent="0.25">
      <c r="A166" s="54">
        <f t="shared" si="24"/>
        <v>162</v>
      </c>
      <c r="B166" s="1">
        <v>45090</v>
      </c>
      <c r="C166" s="7">
        <f t="shared" si="25"/>
        <v>2023</v>
      </c>
      <c r="D166" s="55">
        <f t="shared" si="26"/>
        <v>6</v>
      </c>
      <c r="E166" s="61">
        <v>17.201000000000001</v>
      </c>
      <c r="F166" s="2">
        <v>54.74</v>
      </c>
      <c r="G166" s="2">
        <v>39.4</v>
      </c>
      <c r="H166" s="2">
        <v>12.31</v>
      </c>
      <c r="I166" s="2">
        <v>275.31</v>
      </c>
      <c r="J166" s="2">
        <v>25.1</v>
      </c>
      <c r="K166" s="2">
        <v>319.77999999999997</v>
      </c>
      <c r="L166" s="2">
        <v>126.66</v>
      </c>
      <c r="M166" s="2">
        <v>258.70999999999998</v>
      </c>
      <c r="N166" s="72">
        <f t="shared" si="27"/>
        <v>4.9568569854967492E-3</v>
      </c>
      <c r="O166" s="73">
        <f t="shared" si="28"/>
        <v>1.0162601626015899E-3</v>
      </c>
      <c r="P166" s="73">
        <f t="shared" si="29"/>
        <v>2.6688907422852459E-2</v>
      </c>
      <c r="Q166" s="73">
        <f t="shared" si="30"/>
        <v>-1.1418722395777237E-2</v>
      </c>
      <c r="R166" s="73">
        <f t="shared" si="31"/>
        <v>2.3961661341853624E-3</v>
      </c>
      <c r="S166" s="73">
        <f t="shared" si="32"/>
        <v>1.1962025316455627E-2</v>
      </c>
      <c r="T166" s="73">
        <f t="shared" si="33"/>
        <v>-3.28713969794725E-3</v>
      </c>
      <c r="U166" s="74">
        <f t="shared" si="34"/>
        <v>3.1406790317473732E-2</v>
      </c>
    </row>
    <row r="167" spans="1:21" x14ac:dyDescent="0.25">
      <c r="A167" s="54">
        <f t="shared" si="24"/>
        <v>163</v>
      </c>
      <c r="B167" s="1">
        <v>45089</v>
      </c>
      <c r="C167" s="7">
        <f t="shared" si="25"/>
        <v>2023</v>
      </c>
      <c r="D167" s="55">
        <f t="shared" si="26"/>
        <v>6</v>
      </c>
      <c r="E167" s="61">
        <v>17.27</v>
      </c>
      <c r="F167" s="2">
        <v>54.47</v>
      </c>
      <c r="G167" s="2">
        <v>39.36</v>
      </c>
      <c r="H167" s="2">
        <v>11.99</v>
      </c>
      <c r="I167" s="2">
        <v>278.49</v>
      </c>
      <c r="J167" s="2">
        <v>25.04</v>
      </c>
      <c r="K167" s="2">
        <v>316</v>
      </c>
      <c r="L167" s="2">
        <v>126.57</v>
      </c>
      <c r="M167" s="2">
        <v>249.83</v>
      </c>
      <c r="N167" s="72">
        <f t="shared" si="27"/>
        <v>-4.0226732492228967E-3</v>
      </c>
      <c r="O167" s="73">
        <f t="shared" si="28"/>
        <v>-5.3070507960576441E-3</v>
      </c>
      <c r="P167" s="73">
        <f t="shared" si="29"/>
        <v>-5.8043117744610573E-3</v>
      </c>
      <c r="Q167" s="73">
        <f t="shared" si="30"/>
        <v>-4.6789430449069025E-2</v>
      </c>
      <c r="R167" s="73">
        <f t="shared" si="31"/>
        <v>-1.1838989739542227E-2</v>
      </c>
      <c r="S167" s="73">
        <f t="shared" si="32"/>
        <v>2.8578868563244431E-2</v>
      </c>
      <c r="T167" s="73">
        <f t="shared" si="33"/>
        <v>2.4964724904049218E-2</v>
      </c>
      <c r="U167" s="74">
        <f t="shared" si="34"/>
        <v>2.1744372236512266E-2</v>
      </c>
    </row>
    <row r="168" spans="1:21" x14ac:dyDescent="0.25">
      <c r="A168" s="54">
        <f t="shared" si="24"/>
        <v>164</v>
      </c>
      <c r="B168" s="1">
        <v>45086</v>
      </c>
      <c r="C168" s="7">
        <f t="shared" si="25"/>
        <v>2023</v>
      </c>
      <c r="D168" s="55">
        <f t="shared" si="26"/>
        <v>6</v>
      </c>
      <c r="E168" s="61">
        <v>17.277999999999999</v>
      </c>
      <c r="F168" s="2">
        <v>54.69</v>
      </c>
      <c r="G168" s="2">
        <v>39.57</v>
      </c>
      <c r="H168" s="2">
        <v>12.06</v>
      </c>
      <c r="I168" s="2">
        <v>292.16000000000003</v>
      </c>
      <c r="J168" s="2">
        <v>25.34</v>
      </c>
      <c r="K168" s="2">
        <v>307.22000000000003</v>
      </c>
      <c r="L168" s="2">
        <v>123.43</v>
      </c>
      <c r="M168" s="2">
        <v>244.4</v>
      </c>
      <c r="N168" s="72">
        <f t="shared" si="27"/>
        <v>1.8318373328447546E-3</v>
      </c>
      <c r="O168" s="73">
        <f t="shared" si="28"/>
        <v>1.3575819672131173E-2</v>
      </c>
      <c r="P168" s="73">
        <f t="shared" si="29"/>
        <v>5.0000000000001155E-3</v>
      </c>
      <c r="Q168" s="73">
        <f t="shared" si="30"/>
        <v>8.0391953904013214E-3</v>
      </c>
      <c r="R168" s="73">
        <f t="shared" si="31"/>
        <v>7.898894154818592E-4</v>
      </c>
      <c r="S168" s="73">
        <f t="shared" si="32"/>
        <v>-1.205904106505451E-2</v>
      </c>
      <c r="T168" s="73">
        <f t="shared" si="33"/>
        <v>-1.1576610831125378E-2</v>
      </c>
      <c r="U168" s="74">
        <f t="shared" si="34"/>
        <v>3.5406356977399689E-2</v>
      </c>
    </row>
    <row r="169" spans="1:21" x14ac:dyDescent="0.25">
      <c r="A169" s="54">
        <f t="shared" si="24"/>
        <v>165</v>
      </c>
      <c r="B169" s="1">
        <v>45085</v>
      </c>
      <c r="C169" s="7">
        <f t="shared" si="25"/>
        <v>2023</v>
      </c>
      <c r="D169" s="55">
        <f t="shared" si="26"/>
        <v>6</v>
      </c>
      <c r="E169" s="61">
        <v>17.364999999999998</v>
      </c>
      <c r="F169" s="2">
        <v>54.59</v>
      </c>
      <c r="G169" s="2">
        <v>39.04</v>
      </c>
      <c r="H169" s="2">
        <v>12</v>
      </c>
      <c r="I169" s="2">
        <v>289.83</v>
      </c>
      <c r="J169" s="2">
        <v>25.32</v>
      </c>
      <c r="K169" s="2">
        <v>310.97000000000003</v>
      </c>
      <c r="L169" s="2">
        <v>124.25</v>
      </c>
      <c r="M169" s="2">
        <v>234.86</v>
      </c>
      <c r="N169" s="72">
        <f t="shared" si="27"/>
        <v>8.3117842630218153E-3</v>
      </c>
      <c r="O169" s="73">
        <f t="shared" si="28"/>
        <v>1.2823800974608446E-3</v>
      </c>
      <c r="P169" s="73">
        <f t="shared" si="29"/>
        <v>7.5566750629723067E-3</v>
      </c>
      <c r="Q169" s="73">
        <f t="shared" si="30"/>
        <v>5.4886260236578721E-2</v>
      </c>
      <c r="R169" s="73">
        <f t="shared" si="31"/>
        <v>5.5599682287530428E-3</v>
      </c>
      <c r="S169" s="73">
        <f t="shared" si="32"/>
        <v>-1.1161282116509796E-2</v>
      </c>
      <c r="T169" s="73">
        <f t="shared" si="33"/>
        <v>2.5383716580493099E-2</v>
      </c>
      <c r="U169" s="74">
        <f t="shared" si="34"/>
        <v>4.6302930584637192E-2</v>
      </c>
    </row>
    <row r="170" spans="1:21" x14ac:dyDescent="0.25">
      <c r="A170" s="54">
        <f t="shared" si="24"/>
        <v>166</v>
      </c>
      <c r="B170" s="1">
        <v>45084</v>
      </c>
      <c r="C170" s="7">
        <f t="shared" si="25"/>
        <v>2023</v>
      </c>
      <c r="D170" s="55">
        <f t="shared" si="26"/>
        <v>6</v>
      </c>
      <c r="E170" s="61">
        <v>17.356999999999999</v>
      </c>
      <c r="F170" s="2">
        <v>54.14</v>
      </c>
      <c r="G170" s="2">
        <v>38.99</v>
      </c>
      <c r="H170" s="2">
        <v>11.91</v>
      </c>
      <c r="I170" s="2">
        <v>274.75</v>
      </c>
      <c r="J170" s="2">
        <v>25.18</v>
      </c>
      <c r="K170" s="2">
        <v>314.48</v>
      </c>
      <c r="L170" s="2">
        <v>121.23</v>
      </c>
      <c r="M170" s="2">
        <v>224.57</v>
      </c>
      <c r="N170" s="72">
        <f t="shared" si="27"/>
        <v>-2.5792188651436732E-3</v>
      </c>
      <c r="O170" s="73">
        <f t="shared" si="28"/>
        <v>-6.3710499490315931E-3</v>
      </c>
      <c r="P170" s="73">
        <f t="shared" si="29"/>
        <v>2.1440823327615766E-2</v>
      </c>
      <c r="Q170" s="73">
        <f t="shared" si="30"/>
        <v>-1.0872304424523804E-2</v>
      </c>
      <c r="R170" s="73">
        <f t="shared" si="31"/>
        <v>7.9491255961849916E-4</v>
      </c>
      <c r="S170" s="73">
        <f t="shared" si="32"/>
        <v>-8.2623777988016789E-3</v>
      </c>
      <c r="T170" s="73">
        <f t="shared" si="33"/>
        <v>-4.3484644114737625E-2</v>
      </c>
      <c r="U170" s="74">
        <f t="shared" si="34"/>
        <v>1.3679237008928702E-2</v>
      </c>
    </row>
    <row r="171" spans="1:21" x14ac:dyDescent="0.25">
      <c r="A171" s="54">
        <f t="shared" si="24"/>
        <v>167</v>
      </c>
      <c r="B171" s="1">
        <v>45083</v>
      </c>
      <c r="C171" s="7">
        <f t="shared" si="25"/>
        <v>2023</v>
      </c>
      <c r="D171" s="55">
        <f t="shared" si="26"/>
        <v>6</v>
      </c>
      <c r="E171" s="61">
        <v>17.375</v>
      </c>
      <c r="F171" s="2">
        <v>54.28</v>
      </c>
      <c r="G171" s="2">
        <v>39.24</v>
      </c>
      <c r="H171" s="2">
        <v>11.66</v>
      </c>
      <c r="I171" s="2">
        <v>277.77</v>
      </c>
      <c r="J171" s="2">
        <v>25.16</v>
      </c>
      <c r="K171" s="2">
        <v>317.10000000000002</v>
      </c>
      <c r="L171" s="2">
        <v>126.61</v>
      </c>
      <c r="M171" s="2">
        <v>221.31</v>
      </c>
      <c r="N171" s="72">
        <f t="shared" si="27"/>
        <v>1.6098839385997765E-2</v>
      </c>
      <c r="O171" s="73">
        <f t="shared" si="28"/>
        <v>4.0941658137154668E-3</v>
      </c>
      <c r="P171" s="73">
        <f t="shared" si="29"/>
        <v>4.3867502238137845E-2</v>
      </c>
      <c r="Q171" s="73">
        <f t="shared" si="30"/>
        <v>2.4830283353010518E-2</v>
      </c>
      <c r="R171" s="73">
        <f t="shared" si="31"/>
        <v>4.7923322683707248E-3</v>
      </c>
      <c r="S171" s="73">
        <f t="shared" si="32"/>
        <v>4.0490878067988012E-2</v>
      </c>
      <c r="T171" s="73">
        <f t="shared" si="33"/>
        <v>5.7085427236762687E-3</v>
      </c>
      <c r="U171" s="74">
        <f t="shared" si="34"/>
        <v>1.2225772019593295E-2</v>
      </c>
    </row>
    <row r="172" spans="1:21" x14ac:dyDescent="0.25">
      <c r="A172" s="54">
        <f t="shared" si="24"/>
        <v>168</v>
      </c>
      <c r="B172" s="1">
        <v>45082</v>
      </c>
      <c r="C172" s="7">
        <f t="shared" si="25"/>
        <v>2023</v>
      </c>
      <c r="D172" s="55">
        <f t="shared" si="26"/>
        <v>6</v>
      </c>
      <c r="E172" s="61">
        <v>17.457000000000001</v>
      </c>
      <c r="F172" s="2">
        <v>53.42</v>
      </c>
      <c r="G172" s="2">
        <v>39.08</v>
      </c>
      <c r="H172" s="2">
        <v>11.17</v>
      </c>
      <c r="I172" s="2">
        <v>271.04000000000002</v>
      </c>
      <c r="J172" s="2">
        <v>25.04</v>
      </c>
      <c r="K172" s="2">
        <v>304.76</v>
      </c>
      <c r="L172" s="2">
        <v>125.3</v>
      </c>
      <c r="M172" s="2">
        <v>217.61</v>
      </c>
      <c r="N172" s="72">
        <f t="shared" si="27"/>
        <v>5.6475903614459089E-3</v>
      </c>
      <c r="O172" s="73">
        <f t="shared" si="28"/>
        <v>-6.1037639877925542E-3</v>
      </c>
      <c r="P172" s="73">
        <f t="shared" si="29"/>
        <v>2.6929982046677292E-3</v>
      </c>
      <c r="Q172" s="73">
        <f t="shared" si="30"/>
        <v>-6.4880319636376749E-3</v>
      </c>
      <c r="R172" s="73">
        <f t="shared" si="31"/>
        <v>1.6000000000000458E-3</v>
      </c>
      <c r="S172" s="73">
        <f t="shared" si="32"/>
        <v>-2.0757020757020905E-2</v>
      </c>
      <c r="T172" s="73">
        <f t="shared" si="33"/>
        <v>3.6214550859112737E-3</v>
      </c>
      <c r="U172" s="74">
        <f t="shared" si="34"/>
        <v>1.2141484600149521E-2</v>
      </c>
    </row>
    <row r="173" spans="1:21" x14ac:dyDescent="0.25">
      <c r="A173" s="54">
        <f t="shared" si="24"/>
        <v>169</v>
      </c>
      <c r="B173" s="1">
        <v>45079</v>
      </c>
      <c r="C173" s="7">
        <f t="shared" si="25"/>
        <v>2023</v>
      </c>
      <c r="D173" s="55">
        <f t="shared" si="26"/>
        <v>6</v>
      </c>
      <c r="E173" s="61">
        <v>17.541</v>
      </c>
      <c r="F173" s="2">
        <v>53.12</v>
      </c>
      <c r="G173" s="2">
        <v>39.32</v>
      </c>
      <c r="H173" s="2">
        <v>11.14</v>
      </c>
      <c r="I173" s="2">
        <v>272.81</v>
      </c>
      <c r="J173" s="2">
        <v>25</v>
      </c>
      <c r="K173" s="2">
        <v>311.22000000000003</v>
      </c>
      <c r="L173" s="2">
        <v>124.25</v>
      </c>
      <c r="M173" s="2">
        <v>213.97</v>
      </c>
      <c r="N173" s="72">
        <f t="shared" si="27"/>
        <v>9.1185410334346795E-3</v>
      </c>
      <c r="O173" s="73">
        <f t="shared" si="28"/>
        <v>2.1829521829521914E-2</v>
      </c>
      <c r="P173" s="73">
        <f t="shared" si="29"/>
        <v>4.7977422389463786E-2</v>
      </c>
      <c r="Q173" s="73">
        <f t="shared" si="30"/>
        <v>9.8837639742357375E-3</v>
      </c>
      <c r="R173" s="73">
        <f t="shared" si="31"/>
        <v>5.6315366049879412E-3</v>
      </c>
      <c r="S173" s="73">
        <f t="shared" si="32"/>
        <v>3.2615547961113656E-2</v>
      </c>
      <c r="T173" s="73">
        <f t="shared" si="33"/>
        <v>1.1685939113969868E-2</v>
      </c>
      <c r="U173" s="74">
        <f t="shared" si="34"/>
        <v>3.0705278973469641E-2</v>
      </c>
    </row>
    <row r="174" spans="1:21" x14ac:dyDescent="0.25">
      <c r="A174" s="54">
        <f t="shared" si="24"/>
        <v>170</v>
      </c>
      <c r="B174" s="1">
        <v>45078</v>
      </c>
      <c r="C174" s="7">
        <f t="shared" si="25"/>
        <v>2023</v>
      </c>
      <c r="D174" s="55">
        <f t="shared" si="26"/>
        <v>6</v>
      </c>
      <c r="E174" s="61">
        <v>17.5474</v>
      </c>
      <c r="F174" s="2">
        <v>52.64</v>
      </c>
      <c r="G174" s="2">
        <v>38.479999999999997</v>
      </c>
      <c r="H174" s="2">
        <v>10.63</v>
      </c>
      <c r="I174" s="2">
        <v>270.14</v>
      </c>
      <c r="J174" s="2">
        <v>24.86</v>
      </c>
      <c r="K174" s="2">
        <v>301.39</v>
      </c>
      <c r="L174" s="2">
        <v>122.77</v>
      </c>
      <c r="M174" s="2">
        <v>207.52</v>
      </c>
      <c r="N174" s="72">
        <f t="shared" si="27"/>
        <v>-7.5930144267277733E-4</v>
      </c>
      <c r="O174" s="73">
        <f t="shared" si="28"/>
        <v>5.2246603970740324E-3</v>
      </c>
      <c r="P174" s="73">
        <f t="shared" si="29"/>
        <v>-9.3984962406012951E-4</v>
      </c>
      <c r="Q174" s="73">
        <f t="shared" si="30"/>
        <v>-1.9949756169647115E-3</v>
      </c>
      <c r="R174" s="73">
        <f t="shared" si="31"/>
        <v>1.885245901639343E-2</v>
      </c>
      <c r="S174" s="73">
        <f t="shared" si="32"/>
        <v>-3.7000351471387138E-2</v>
      </c>
      <c r="T174" s="73">
        <f t="shared" si="33"/>
        <v>1.0417413754745031E-2</v>
      </c>
      <c r="U174" s="74">
        <f t="shared" si="34"/>
        <v>9.8635231752250974E-3</v>
      </c>
    </row>
    <row r="175" spans="1:21" x14ac:dyDescent="0.25">
      <c r="A175" s="54">
        <f t="shared" si="24"/>
        <v>171</v>
      </c>
      <c r="B175" s="1">
        <v>45077</v>
      </c>
      <c r="C175" s="7">
        <f t="shared" si="25"/>
        <v>2023</v>
      </c>
      <c r="D175" s="55">
        <f t="shared" si="26"/>
        <v>5</v>
      </c>
      <c r="E175" s="61">
        <v>17.681899999999999</v>
      </c>
      <c r="F175" s="2">
        <v>52.68</v>
      </c>
      <c r="G175" s="2">
        <v>38.28</v>
      </c>
      <c r="H175" s="2">
        <v>10.64</v>
      </c>
      <c r="I175" s="2">
        <v>270.68</v>
      </c>
      <c r="J175" s="2">
        <v>24.4</v>
      </c>
      <c r="K175" s="2">
        <v>312.97000000000003</v>
      </c>
      <c r="L175" s="2">
        <v>120.58</v>
      </c>
      <c r="M175" s="2">
        <v>203.93</v>
      </c>
      <c r="N175" s="72">
        <f t="shared" si="27"/>
        <v>-1.0704225352112684E-2</v>
      </c>
      <c r="O175" s="73">
        <f t="shared" si="28"/>
        <v>6.8385060494475791E-3</v>
      </c>
      <c r="P175" s="73">
        <f t="shared" si="29"/>
        <v>7.575757575757569E-3</v>
      </c>
      <c r="Q175" s="73">
        <f t="shared" si="30"/>
        <v>-6.992406281139385E-2</v>
      </c>
      <c r="R175" s="73">
        <f t="shared" si="31"/>
        <v>1.7939090529828894E-2</v>
      </c>
      <c r="S175" s="73">
        <f t="shared" si="32"/>
        <v>3.9455956887151089E-3</v>
      </c>
      <c r="T175" s="73">
        <f t="shared" si="33"/>
        <v>-6.6919311108386559E-3</v>
      </c>
      <c r="U175" s="74">
        <f t="shared" si="34"/>
        <v>1.6005334620612821E-2</v>
      </c>
    </row>
    <row r="176" spans="1:21" x14ac:dyDescent="0.25">
      <c r="A176" s="54">
        <f t="shared" si="24"/>
        <v>172</v>
      </c>
      <c r="B176" s="1">
        <v>45076</v>
      </c>
      <c r="C176" s="7">
        <f t="shared" si="25"/>
        <v>2023</v>
      </c>
      <c r="D176" s="55">
        <f t="shared" si="26"/>
        <v>5</v>
      </c>
      <c r="E176" s="61">
        <v>17.643000000000001</v>
      </c>
      <c r="F176" s="2">
        <v>53.25</v>
      </c>
      <c r="G176" s="2">
        <v>38.020000000000003</v>
      </c>
      <c r="H176" s="2">
        <v>10.56</v>
      </c>
      <c r="I176" s="2">
        <v>291.02999999999997</v>
      </c>
      <c r="J176" s="2">
        <v>23.97</v>
      </c>
      <c r="K176" s="2">
        <v>311.74</v>
      </c>
      <c r="L176" s="2">
        <v>121.66</v>
      </c>
      <c r="M176" s="2">
        <v>201.16</v>
      </c>
      <c r="N176" s="72">
        <f t="shared" si="27"/>
        <v>-1.6802067946824151E-2</v>
      </c>
      <c r="O176" s="73">
        <f t="shared" si="28"/>
        <v>-2.2370789406016889E-2</v>
      </c>
      <c r="P176" s="73">
        <f t="shared" si="29"/>
        <v>-3.208065994500453E-2</v>
      </c>
      <c r="Q176" s="73">
        <f t="shared" si="30"/>
        <v>4.8076923076922906E-2</v>
      </c>
      <c r="R176" s="73">
        <f t="shared" si="31"/>
        <v>-8.3368070029177233E-4</v>
      </c>
      <c r="S176" s="73">
        <f t="shared" si="32"/>
        <v>-5.2173913043478182E-2</v>
      </c>
      <c r="T176" s="73">
        <f t="shared" si="33"/>
        <v>1.6823900045157769E-2</v>
      </c>
      <c r="U176" s="74">
        <f t="shared" si="34"/>
        <v>4.539169980583746E-2</v>
      </c>
    </row>
    <row r="177" spans="1:21" x14ac:dyDescent="0.25">
      <c r="A177" s="54">
        <f t="shared" si="24"/>
        <v>173</v>
      </c>
      <c r="B177" s="1">
        <v>45075</v>
      </c>
      <c r="C177" s="7">
        <f t="shared" si="25"/>
        <v>2023</v>
      </c>
      <c r="D177" s="55">
        <f t="shared" si="26"/>
        <v>5</v>
      </c>
      <c r="E177" s="61">
        <v>17.574999999999999</v>
      </c>
      <c r="F177" s="2">
        <v>54.16</v>
      </c>
      <c r="G177" s="2">
        <v>38.89</v>
      </c>
      <c r="H177" s="2">
        <v>10.91</v>
      </c>
      <c r="I177" s="2">
        <v>277.68</v>
      </c>
      <c r="J177" s="2">
        <v>23.99</v>
      </c>
      <c r="K177" s="2">
        <v>328.9</v>
      </c>
      <c r="L177" s="2">
        <v>120.11</v>
      </c>
      <c r="M177" s="2">
        <v>193.17</v>
      </c>
      <c r="N177" s="72">
        <f t="shared" si="27"/>
        <v>1.1090573012937366E-3</v>
      </c>
      <c r="O177" s="73">
        <f t="shared" si="28"/>
        <v>-4.0973111395645745E-3</v>
      </c>
      <c r="P177" s="73">
        <f t="shared" si="29"/>
        <v>-1.534296028880866E-2</v>
      </c>
      <c r="Q177" s="73">
        <f t="shared" si="30"/>
        <v>3.6738351254480328E-2</v>
      </c>
      <c r="R177" s="73">
        <f t="shared" si="31"/>
        <v>-5.3897180762852992E-3</v>
      </c>
      <c r="S177" s="73">
        <f t="shared" si="32"/>
        <v>3.2750337551417541E-2</v>
      </c>
      <c r="T177" s="73">
        <f t="shared" si="33"/>
        <v>-1.9875070982395826E-3</v>
      </c>
      <c r="U177" s="74">
        <f t="shared" si="34"/>
        <v>-1.9875070982395826E-3</v>
      </c>
    </row>
    <row r="178" spans="1:21" x14ac:dyDescent="0.25">
      <c r="A178" s="54">
        <f t="shared" si="24"/>
        <v>174</v>
      </c>
      <c r="B178" s="1">
        <v>45072</v>
      </c>
      <c r="C178" s="7">
        <f t="shared" si="25"/>
        <v>2023</v>
      </c>
      <c r="D178" s="55">
        <f t="shared" si="26"/>
        <v>5</v>
      </c>
      <c r="E178" s="61">
        <v>17.61</v>
      </c>
      <c r="F178" s="2">
        <v>54.1</v>
      </c>
      <c r="G178" s="2">
        <v>39.049999999999997</v>
      </c>
      <c r="H178" s="2">
        <v>11.08</v>
      </c>
      <c r="I178" s="2">
        <v>267.83999999999997</v>
      </c>
      <c r="J178" s="2">
        <v>24.12</v>
      </c>
      <c r="K178" s="2">
        <v>318.47000000000003</v>
      </c>
      <c r="L178" s="2">
        <v>120.11</v>
      </c>
      <c r="M178" s="2">
        <v>193.17</v>
      </c>
      <c r="N178" s="72">
        <f t="shared" si="27"/>
        <v>5.3893328377625505E-3</v>
      </c>
      <c r="O178" s="73">
        <f t="shared" si="28"/>
        <v>2.8248587570620654E-3</v>
      </c>
      <c r="P178" s="73">
        <f t="shared" si="29"/>
        <v>-1.8018018018017834E-3</v>
      </c>
      <c r="Q178" s="73">
        <f t="shared" si="30"/>
        <v>2.2875692190184926E-2</v>
      </c>
      <c r="R178" s="73">
        <f t="shared" si="31"/>
        <v>4.5513654096228873E-2</v>
      </c>
      <c r="S178" s="73">
        <f t="shared" si="32"/>
        <v>1.9397586504913411E-2</v>
      </c>
      <c r="T178" s="73">
        <f t="shared" si="33"/>
        <v>3.0507425019000944E-2</v>
      </c>
      <c r="U178" s="74">
        <f t="shared" si="34"/>
        <v>3.3198413753071643E-2</v>
      </c>
    </row>
    <row r="179" spans="1:21" x14ac:dyDescent="0.25">
      <c r="A179" s="54">
        <f t="shared" si="24"/>
        <v>175</v>
      </c>
      <c r="B179" s="1">
        <v>45071</v>
      </c>
      <c r="C179" s="7">
        <f t="shared" si="25"/>
        <v>2023</v>
      </c>
      <c r="D179" s="55">
        <f t="shared" si="26"/>
        <v>5</v>
      </c>
      <c r="E179" s="61">
        <v>17.847999999999999</v>
      </c>
      <c r="F179" s="2">
        <v>53.81</v>
      </c>
      <c r="G179" s="2">
        <v>38.94</v>
      </c>
      <c r="H179" s="2">
        <v>11.1</v>
      </c>
      <c r="I179" s="2">
        <v>261.85000000000002</v>
      </c>
      <c r="J179" s="2">
        <v>23.07</v>
      </c>
      <c r="K179" s="2">
        <v>312.41000000000003</v>
      </c>
      <c r="L179" s="2">
        <v>115</v>
      </c>
      <c r="M179" s="2">
        <v>184.47</v>
      </c>
      <c r="N179" s="72">
        <f t="shared" si="27"/>
        <v>8.4332833583209421E-3</v>
      </c>
      <c r="O179" s="73">
        <f t="shared" si="28"/>
        <v>-1.6169782718544745E-2</v>
      </c>
      <c r="P179" s="73">
        <f t="shared" si="29"/>
        <v>1.0928961748633892E-2</v>
      </c>
      <c r="Q179" s="73">
        <f t="shared" si="30"/>
        <v>1.5709852598913887E-2</v>
      </c>
      <c r="R179" s="73">
        <f t="shared" si="31"/>
        <v>2.1700620017714778E-2</v>
      </c>
      <c r="S179" s="73">
        <f t="shared" si="32"/>
        <v>-1.3745045390612942E-3</v>
      </c>
      <c r="T179" s="73">
        <f t="shared" si="33"/>
        <v>-1.2055572235061263E-2</v>
      </c>
      <c r="U179" s="74">
        <f t="shared" si="34"/>
        <v>1.1587856412814901E-2</v>
      </c>
    </row>
    <row r="180" spans="1:21" x14ac:dyDescent="0.25">
      <c r="A180" s="54">
        <f t="shared" si="24"/>
        <v>176</v>
      </c>
      <c r="B180" s="1">
        <v>45070</v>
      </c>
      <c r="C180" s="7">
        <f t="shared" si="25"/>
        <v>2023</v>
      </c>
      <c r="D180" s="55">
        <f t="shared" si="26"/>
        <v>5</v>
      </c>
      <c r="E180" s="61">
        <v>17.795000000000002</v>
      </c>
      <c r="F180" s="2">
        <v>53.36</v>
      </c>
      <c r="G180" s="2">
        <v>39.58</v>
      </c>
      <c r="H180" s="2">
        <v>10.98</v>
      </c>
      <c r="I180" s="2">
        <v>257.8</v>
      </c>
      <c r="J180" s="2">
        <v>22.58</v>
      </c>
      <c r="K180" s="2">
        <v>312.83999999999997</v>
      </c>
      <c r="L180" s="2">
        <v>116.75</v>
      </c>
      <c r="M180" s="2">
        <v>182.9</v>
      </c>
      <c r="N180" s="72">
        <f t="shared" si="27"/>
        <v>3.762227238525151E-3</v>
      </c>
      <c r="O180" s="73">
        <f t="shared" si="28"/>
        <v>-6.0271220492215116E-3</v>
      </c>
      <c r="P180" s="73">
        <f t="shared" si="29"/>
        <v>-6.3348416289592535E-3</v>
      </c>
      <c r="Q180" s="73">
        <f t="shared" si="30"/>
        <v>2.4845955078513171E-2</v>
      </c>
      <c r="R180" s="73">
        <f t="shared" si="31"/>
        <v>-3.530450132391949E-3</v>
      </c>
      <c r="S180" s="73">
        <f t="shared" si="32"/>
        <v>4.3984974475870242E-3</v>
      </c>
      <c r="T180" s="73">
        <f t="shared" si="33"/>
        <v>6.7627634815241588E-3</v>
      </c>
      <c r="U180" s="74">
        <f t="shared" si="34"/>
        <v>-2.3733350980312262E-2</v>
      </c>
    </row>
    <row r="181" spans="1:21" x14ac:dyDescent="0.25">
      <c r="A181" s="54">
        <f t="shared" si="24"/>
        <v>177</v>
      </c>
      <c r="B181" s="1">
        <v>45069</v>
      </c>
      <c r="C181" s="7">
        <f t="shared" si="25"/>
        <v>2023</v>
      </c>
      <c r="D181" s="55">
        <f t="shared" si="26"/>
        <v>5</v>
      </c>
      <c r="E181" s="61">
        <v>17.946000000000002</v>
      </c>
      <c r="F181" s="2">
        <v>53.16</v>
      </c>
      <c r="G181" s="2">
        <v>39.82</v>
      </c>
      <c r="H181" s="2">
        <v>11.05</v>
      </c>
      <c r="I181" s="2">
        <v>251.55</v>
      </c>
      <c r="J181" s="2">
        <v>22.66</v>
      </c>
      <c r="K181" s="2">
        <v>311.47000000000003</v>
      </c>
      <c r="L181" s="2">
        <v>114.99</v>
      </c>
      <c r="M181" s="2">
        <v>185.77</v>
      </c>
      <c r="N181" s="72">
        <f t="shared" si="27"/>
        <v>-4.3079228319911067E-3</v>
      </c>
      <c r="O181" s="73">
        <f t="shared" si="28"/>
        <v>-3.746676335508814E-2</v>
      </c>
      <c r="P181" s="73">
        <f t="shared" si="29"/>
        <v>-2.3851590106007015E-2</v>
      </c>
      <c r="Q181" s="73">
        <f t="shared" si="30"/>
        <v>-5.0073637702503615E-2</v>
      </c>
      <c r="R181" s="73">
        <f t="shared" si="31"/>
        <v>-7.8809106830122211E-3</v>
      </c>
      <c r="S181" s="73">
        <f t="shared" si="32"/>
        <v>-2.504147494287412E-2</v>
      </c>
      <c r="T181" s="73">
        <f t="shared" si="33"/>
        <v>3.572863577002261E-3</v>
      </c>
      <c r="U181" s="74">
        <f t="shared" si="34"/>
        <v>-1.2727500694124649E-2</v>
      </c>
    </row>
    <row r="182" spans="1:21" x14ac:dyDescent="0.25">
      <c r="A182" s="54">
        <f t="shared" si="24"/>
        <v>178</v>
      </c>
      <c r="B182" s="1">
        <v>45068</v>
      </c>
      <c r="C182" s="7">
        <f t="shared" si="25"/>
        <v>2023</v>
      </c>
      <c r="D182" s="55">
        <f t="shared" si="26"/>
        <v>5</v>
      </c>
      <c r="E182" s="61">
        <v>17.879000000000001</v>
      </c>
      <c r="F182" s="2">
        <v>53.39</v>
      </c>
      <c r="G182" s="2">
        <v>41.37</v>
      </c>
      <c r="H182" s="2">
        <v>11.32</v>
      </c>
      <c r="I182" s="2">
        <v>264.81</v>
      </c>
      <c r="J182" s="2">
        <v>22.84</v>
      </c>
      <c r="K182" s="2">
        <v>319.47000000000003</v>
      </c>
      <c r="L182" s="2">
        <v>115.01</v>
      </c>
      <c r="M182" s="2">
        <v>188.87</v>
      </c>
      <c r="N182" s="72">
        <f t="shared" si="27"/>
        <v>-1.6939790093905338E-2</v>
      </c>
      <c r="O182" s="73">
        <f t="shared" si="28"/>
        <v>3.8664323374340892E-2</v>
      </c>
      <c r="P182" s="73">
        <f t="shared" si="29"/>
        <v>-1.565217391304341E-2</v>
      </c>
      <c r="Q182" s="73">
        <f t="shared" si="30"/>
        <v>-4.2970726418503746E-2</v>
      </c>
      <c r="R182" s="73">
        <f t="shared" si="31"/>
        <v>-1.7634408602150597E-2</v>
      </c>
      <c r="S182" s="73">
        <f t="shared" si="32"/>
        <v>2.2588235294118686E-3</v>
      </c>
      <c r="T182" s="73">
        <f t="shared" si="33"/>
        <v>-4.598161695741565E-3</v>
      </c>
      <c r="U182" s="74">
        <f t="shared" si="34"/>
        <v>5.4893505264054454E-2</v>
      </c>
    </row>
    <row r="183" spans="1:21" x14ac:dyDescent="0.25">
      <c r="A183" s="54">
        <f t="shared" si="24"/>
        <v>179</v>
      </c>
      <c r="B183" s="1">
        <v>45065</v>
      </c>
      <c r="C183" s="7">
        <f t="shared" si="25"/>
        <v>2023</v>
      </c>
      <c r="D183" s="55">
        <f t="shared" si="26"/>
        <v>5</v>
      </c>
      <c r="E183" s="61">
        <v>17.77</v>
      </c>
      <c r="F183" s="2">
        <v>54.31</v>
      </c>
      <c r="G183" s="2">
        <v>39.83</v>
      </c>
      <c r="H183" s="2">
        <v>11.5</v>
      </c>
      <c r="I183" s="2">
        <v>276.7</v>
      </c>
      <c r="J183" s="2">
        <v>23.25</v>
      </c>
      <c r="K183" s="2">
        <v>318.75</v>
      </c>
      <c r="L183" s="2">
        <v>116.25</v>
      </c>
      <c r="M183" s="2">
        <v>180.14</v>
      </c>
      <c r="N183" s="72">
        <f t="shared" si="27"/>
        <v>-1.7191458559536632E-2</v>
      </c>
      <c r="O183" s="73">
        <f t="shared" si="28"/>
        <v>2.5113008538424353E-4</v>
      </c>
      <c r="P183" s="73">
        <f t="shared" si="29"/>
        <v>-1.2027491408934776E-2</v>
      </c>
      <c r="Q183" s="73">
        <f t="shared" si="30"/>
        <v>2.5362318840578268E-3</v>
      </c>
      <c r="R183" s="73">
        <f t="shared" si="31"/>
        <v>-6.8346860316104152E-3</v>
      </c>
      <c r="S183" s="73">
        <f t="shared" si="32"/>
        <v>-2.8023418918094789E-2</v>
      </c>
      <c r="T183" s="73">
        <f t="shared" si="33"/>
        <v>-1.2357445602476202E-2</v>
      </c>
      <c r="U183" s="74">
        <f t="shared" si="34"/>
        <v>2.222720516374288E-2</v>
      </c>
    </row>
    <row r="184" spans="1:21" x14ac:dyDescent="0.25">
      <c r="A184" s="54">
        <f t="shared" si="24"/>
        <v>180</v>
      </c>
      <c r="B184" s="1">
        <v>45064</v>
      </c>
      <c r="C184" s="7">
        <f t="shared" si="25"/>
        <v>2023</v>
      </c>
      <c r="D184" s="55">
        <f t="shared" si="26"/>
        <v>5</v>
      </c>
      <c r="E184" s="61">
        <v>17.702999999999999</v>
      </c>
      <c r="F184" s="2">
        <v>55.26</v>
      </c>
      <c r="G184" s="2">
        <v>39.82</v>
      </c>
      <c r="H184" s="2">
        <v>11.64</v>
      </c>
      <c r="I184" s="2">
        <v>276</v>
      </c>
      <c r="J184" s="2">
        <v>23.41</v>
      </c>
      <c r="K184" s="2">
        <v>327.94</v>
      </c>
      <c r="L184" s="2">
        <v>118.15</v>
      </c>
      <c r="M184" s="2">
        <v>176.89</v>
      </c>
      <c r="N184" s="72">
        <f t="shared" si="27"/>
        <v>4.362050163576825E-3</v>
      </c>
      <c r="O184" s="73">
        <f t="shared" si="28"/>
        <v>1.0055304172951196E-3</v>
      </c>
      <c r="P184" s="73">
        <f t="shared" si="29"/>
        <v>4.3140638481449223E-3</v>
      </c>
      <c r="Q184" s="73">
        <f t="shared" si="30"/>
        <v>-1.488382053753079E-2</v>
      </c>
      <c r="R184" s="73">
        <f t="shared" si="31"/>
        <v>1.3419913419913332E-2</v>
      </c>
      <c r="S184" s="73">
        <f t="shared" si="32"/>
        <v>6.1052308636293517E-3</v>
      </c>
      <c r="T184" s="73">
        <f t="shared" si="33"/>
        <v>2.969083568958486E-2</v>
      </c>
      <c r="U184" s="74">
        <f t="shared" si="34"/>
        <v>2.4138546512101788E-2</v>
      </c>
    </row>
    <row r="185" spans="1:21" x14ac:dyDescent="0.25">
      <c r="A185" s="54">
        <f t="shared" si="24"/>
        <v>181</v>
      </c>
      <c r="B185" s="1">
        <v>45063</v>
      </c>
      <c r="C185" s="7">
        <f t="shared" si="25"/>
        <v>2023</v>
      </c>
      <c r="D185" s="55">
        <f t="shared" si="26"/>
        <v>5</v>
      </c>
      <c r="E185" s="61">
        <v>17.587</v>
      </c>
      <c r="F185" s="2">
        <v>55.02</v>
      </c>
      <c r="G185" s="2">
        <v>39.78</v>
      </c>
      <c r="H185" s="2">
        <v>11.59</v>
      </c>
      <c r="I185" s="2">
        <v>280.17</v>
      </c>
      <c r="J185" s="2">
        <v>23.1</v>
      </c>
      <c r="K185" s="2">
        <v>325.95</v>
      </c>
      <c r="L185" s="2">
        <v>115.5</v>
      </c>
      <c r="M185" s="2">
        <v>173.86</v>
      </c>
      <c r="N185" s="72">
        <f t="shared" si="27"/>
        <v>-2.3572076155937705E-3</v>
      </c>
      <c r="O185" s="73">
        <f t="shared" si="28"/>
        <v>7.5471698113216412E-4</v>
      </c>
      <c r="P185" s="73">
        <f t="shared" si="29"/>
        <v>5.2038161318299636E-3</v>
      </c>
      <c r="Q185" s="73">
        <f t="shared" si="30"/>
        <v>6.5023710303204751E-3</v>
      </c>
      <c r="R185" s="73">
        <f t="shared" si="31"/>
        <v>2.1671826625387025E-2</v>
      </c>
      <c r="S185" s="73">
        <f t="shared" si="32"/>
        <v>1.0071273628757371E-2</v>
      </c>
      <c r="T185" s="73">
        <f t="shared" si="33"/>
        <v>2.4284377011961622E-2</v>
      </c>
      <c r="U185" s="74">
        <f t="shared" si="34"/>
        <v>4.9989345152554154E-2</v>
      </c>
    </row>
    <row r="186" spans="1:21" x14ac:dyDescent="0.25">
      <c r="A186" s="54">
        <f t="shared" si="24"/>
        <v>182</v>
      </c>
      <c r="B186" s="1">
        <v>45062</v>
      </c>
      <c r="C186" s="7">
        <f t="shared" si="25"/>
        <v>2023</v>
      </c>
      <c r="D186" s="55">
        <f t="shared" si="26"/>
        <v>5</v>
      </c>
      <c r="E186" s="61">
        <v>17.488</v>
      </c>
      <c r="F186" s="2">
        <v>55.15</v>
      </c>
      <c r="G186" s="2">
        <v>39.75</v>
      </c>
      <c r="H186" s="2">
        <v>11.53</v>
      </c>
      <c r="I186" s="2">
        <v>278.36</v>
      </c>
      <c r="J186" s="2">
        <v>22.61</v>
      </c>
      <c r="K186" s="2">
        <v>322.7</v>
      </c>
      <c r="L186" s="2">
        <v>113.4</v>
      </c>
      <c r="M186" s="2">
        <v>166.52</v>
      </c>
      <c r="N186" s="72">
        <f t="shared" si="27"/>
        <v>-1.0867596449919414E-3</v>
      </c>
      <c r="O186" s="73">
        <f t="shared" si="28"/>
        <v>-7.4906367041197575E-3</v>
      </c>
      <c r="P186" s="73">
        <f t="shared" si="29"/>
        <v>8.7489063867016714E-3</v>
      </c>
      <c r="Q186" s="73">
        <f t="shared" si="30"/>
        <v>-1.3397604026369803E-2</v>
      </c>
      <c r="R186" s="73">
        <f t="shared" si="31"/>
        <v>2.6793823796548599E-2</v>
      </c>
      <c r="S186" s="73">
        <f t="shared" si="32"/>
        <v>-6.3125481139337802E-3</v>
      </c>
      <c r="T186" s="73">
        <f t="shared" si="33"/>
        <v>2.294284797010393E-2</v>
      </c>
      <c r="U186" s="74">
        <f t="shared" si="34"/>
        <v>4.122502940283157E-3</v>
      </c>
    </row>
    <row r="187" spans="1:21" x14ac:dyDescent="0.25">
      <c r="A187" s="54">
        <f t="shared" si="24"/>
        <v>183</v>
      </c>
      <c r="B187" s="1">
        <v>45061</v>
      </c>
      <c r="C187" s="7">
        <f t="shared" si="25"/>
        <v>2023</v>
      </c>
      <c r="D187" s="55">
        <f t="shared" si="26"/>
        <v>5</v>
      </c>
      <c r="E187" s="61">
        <v>17.434000000000001</v>
      </c>
      <c r="F187" s="2">
        <v>55.21</v>
      </c>
      <c r="G187" s="2">
        <v>40.049999999999997</v>
      </c>
      <c r="H187" s="2">
        <v>11.43</v>
      </c>
      <c r="I187" s="2">
        <v>282.14</v>
      </c>
      <c r="J187" s="2">
        <v>22.02</v>
      </c>
      <c r="K187" s="2">
        <v>324.75</v>
      </c>
      <c r="L187" s="2">
        <v>111.2</v>
      </c>
      <c r="M187" s="2">
        <v>166.35</v>
      </c>
      <c r="N187" s="72">
        <f t="shared" si="27"/>
        <v>4.9144521295960697E-3</v>
      </c>
      <c r="O187" s="73">
        <f t="shared" si="28"/>
        <v>1.4694704839118167E-2</v>
      </c>
      <c r="P187" s="73">
        <f t="shared" si="29"/>
        <v>-1.380500431406384E-2</v>
      </c>
      <c r="Q187" s="73">
        <f t="shared" si="30"/>
        <v>4.8029419412354724E-2</v>
      </c>
      <c r="R187" s="73">
        <f t="shared" si="31"/>
        <v>4.1627246925260097E-2</v>
      </c>
      <c r="S187" s="73">
        <f t="shared" si="32"/>
        <v>1.3039273793555184E-2</v>
      </c>
      <c r="T187" s="73">
        <f t="shared" si="33"/>
        <v>9.2722082102758563E-5</v>
      </c>
      <c r="U187" s="74">
        <f t="shared" si="34"/>
        <v>-1.7983701096753402E-2</v>
      </c>
    </row>
    <row r="188" spans="1:21" x14ac:dyDescent="0.25">
      <c r="A188" s="54">
        <f t="shared" si="24"/>
        <v>184</v>
      </c>
      <c r="B188" s="1">
        <v>45058</v>
      </c>
      <c r="C188" s="7">
        <f t="shared" si="25"/>
        <v>2023</v>
      </c>
      <c r="D188" s="55">
        <f t="shared" si="26"/>
        <v>5</v>
      </c>
      <c r="E188" s="61">
        <v>17.581</v>
      </c>
      <c r="F188" s="2">
        <v>54.94</v>
      </c>
      <c r="G188" s="2">
        <v>39.47</v>
      </c>
      <c r="H188" s="2">
        <v>11.59</v>
      </c>
      <c r="I188" s="2">
        <v>269.20999999999998</v>
      </c>
      <c r="J188" s="2">
        <v>21.14</v>
      </c>
      <c r="K188" s="2">
        <v>320.57</v>
      </c>
      <c r="L188" s="2">
        <v>110.26</v>
      </c>
      <c r="M188" s="2">
        <v>167.98</v>
      </c>
      <c r="N188" s="72">
        <f t="shared" si="27"/>
        <v>-3.639010189229186E-4</v>
      </c>
      <c r="O188" s="73">
        <f t="shared" si="28"/>
        <v>-7.5949367088612441E-4</v>
      </c>
      <c r="P188" s="73">
        <f t="shared" si="29"/>
        <v>-4.2955326460482057E-3</v>
      </c>
      <c r="Q188" s="73">
        <f t="shared" si="30"/>
        <v>-2.6673582039788979E-3</v>
      </c>
      <c r="R188" s="73">
        <f t="shared" si="31"/>
        <v>-9.3720712277413076E-3</v>
      </c>
      <c r="S188" s="73">
        <f t="shared" si="32"/>
        <v>-2.9237037728220283E-3</v>
      </c>
      <c r="T188" s="73">
        <f t="shared" si="33"/>
        <v>-1.6667898147652127E-2</v>
      </c>
      <c r="U188" s="74">
        <f t="shared" si="34"/>
        <v>-2.3381730240352727E-2</v>
      </c>
    </row>
    <row r="189" spans="1:21" x14ac:dyDescent="0.25">
      <c r="A189" s="54">
        <f t="shared" si="24"/>
        <v>185</v>
      </c>
      <c r="B189" s="1">
        <v>45057</v>
      </c>
      <c r="C189" s="7">
        <f t="shared" si="25"/>
        <v>2023</v>
      </c>
      <c r="D189" s="55">
        <f t="shared" si="26"/>
        <v>5</v>
      </c>
      <c r="E189" s="61">
        <v>17.573</v>
      </c>
      <c r="F189" s="2">
        <v>54.96</v>
      </c>
      <c r="G189" s="2">
        <v>39.5</v>
      </c>
      <c r="H189" s="2">
        <v>11.64</v>
      </c>
      <c r="I189" s="2">
        <v>269.93</v>
      </c>
      <c r="J189" s="2">
        <v>21.34</v>
      </c>
      <c r="K189" s="2">
        <v>321.51</v>
      </c>
      <c r="L189" s="2">
        <v>112.18</v>
      </c>
      <c r="M189" s="2">
        <v>172.08</v>
      </c>
      <c r="N189" s="72">
        <f t="shared" si="27"/>
        <v>-8.3002526163840074E-3</v>
      </c>
      <c r="O189" s="73">
        <f t="shared" si="28"/>
        <v>-5.0377833753149082E-3</v>
      </c>
      <c r="P189" s="73">
        <f t="shared" si="29"/>
        <v>6.9204152249136008E-3</v>
      </c>
      <c r="Q189" s="73">
        <f t="shared" si="30"/>
        <v>-3.9531739254198728E-2</v>
      </c>
      <c r="R189" s="73">
        <f t="shared" si="31"/>
        <v>5.1813471502590858E-3</v>
      </c>
      <c r="S189" s="73">
        <f t="shared" si="32"/>
        <v>-6.9802637674892809E-3</v>
      </c>
      <c r="T189" s="73">
        <f t="shared" si="33"/>
        <v>1.9597262836283047E-2</v>
      </c>
      <c r="U189" s="74">
        <f t="shared" si="34"/>
        <v>2.2545910329281549E-2</v>
      </c>
    </row>
    <row r="190" spans="1:21" x14ac:dyDescent="0.25">
      <c r="A190" s="54">
        <f t="shared" si="24"/>
        <v>186</v>
      </c>
      <c r="B190" s="1">
        <v>45056</v>
      </c>
      <c r="C190" s="7">
        <f t="shared" si="25"/>
        <v>2023</v>
      </c>
      <c r="D190" s="55">
        <f t="shared" si="26"/>
        <v>5</v>
      </c>
      <c r="E190" s="61">
        <v>17.546500000000002</v>
      </c>
      <c r="F190" s="2">
        <v>55.42</v>
      </c>
      <c r="G190" s="2">
        <v>39.700000000000003</v>
      </c>
      <c r="H190" s="2">
        <v>11.56</v>
      </c>
      <c r="I190" s="2">
        <v>281.04000000000002</v>
      </c>
      <c r="J190" s="2">
        <v>21.23</v>
      </c>
      <c r="K190" s="2">
        <v>323.77</v>
      </c>
      <c r="L190" s="2">
        <v>110.19</v>
      </c>
      <c r="M190" s="2">
        <v>168.54</v>
      </c>
      <c r="N190" s="72">
        <f t="shared" si="27"/>
        <v>1.4456089627754576E-3</v>
      </c>
      <c r="O190" s="73">
        <f t="shared" si="28"/>
        <v>9.6642929806713962E-3</v>
      </c>
      <c r="P190" s="73">
        <f t="shared" si="29"/>
        <v>-3.2635983263598178E-2</v>
      </c>
      <c r="Q190" s="73">
        <f t="shared" si="30"/>
        <v>-1.3148075761344469E-3</v>
      </c>
      <c r="R190" s="73">
        <f t="shared" si="31"/>
        <v>1.4333492594362118E-2</v>
      </c>
      <c r="S190" s="73">
        <f t="shared" si="32"/>
        <v>4.2182314444338953E-3</v>
      </c>
      <c r="T190" s="73">
        <f t="shared" si="33"/>
        <v>2.1807430006558493E-2</v>
      </c>
      <c r="U190" s="74">
        <f t="shared" si="34"/>
        <v>-1.4863208281687634E-2</v>
      </c>
    </row>
    <row r="191" spans="1:21" x14ac:dyDescent="0.25">
      <c r="A191" s="54">
        <f t="shared" si="24"/>
        <v>187</v>
      </c>
      <c r="B191" s="1">
        <v>45055</v>
      </c>
      <c r="C191" s="7">
        <f t="shared" si="25"/>
        <v>2023</v>
      </c>
      <c r="D191" s="55">
        <f t="shared" si="26"/>
        <v>5</v>
      </c>
      <c r="E191" s="61">
        <v>17.747</v>
      </c>
      <c r="F191" s="2">
        <v>55.34</v>
      </c>
      <c r="G191" s="2">
        <v>39.32</v>
      </c>
      <c r="H191" s="2">
        <v>11.95</v>
      </c>
      <c r="I191" s="2">
        <v>281.41000000000003</v>
      </c>
      <c r="J191" s="2">
        <v>20.93</v>
      </c>
      <c r="K191" s="2">
        <v>322.41000000000003</v>
      </c>
      <c r="L191" s="2">
        <v>106.62</v>
      </c>
      <c r="M191" s="2">
        <v>169.15</v>
      </c>
      <c r="N191" s="72">
        <f t="shared" si="27"/>
        <v>7.4640451483707349E-3</v>
      </c>
      <c r="O191" s="73">
        <f t="shared" si="28"/>
        <v>7.4301819113502532E-3</v>
      </c>
      <c r="P191" s="73">
        <f t="shared" si="29"/>
        <v>2.7515047291487349E-2</v>
      </c>
      <c r="Q191" s="73">
        <f t="shared" si="30"/>
        <v>1.5993934580114111E-2</v>
      </c>
      <c r="R191" s="73">
        <f t="shared" si="31"/>
        <v>-1.2269938650306789E-2</v>
      </c>
      <c r="S191" s="73">
        <f t="shared" si="32"/>
        <v>9.0132381935970063E-3</v>
      </c>
      <c r="T191" s="73">
        <f t="shared" si="33"/>
        <v>5.0296707038668398E-3</v>
      </c>
      <c r="U191" s="74">
        <f t="shared" si="34"/>
        <v>-1.7747543383179853E-2</v>
      </c>
    </row>
    <row r="192" spans="1:21" x14ac:dyDescent="0.25">
      <c r="A192" s="54">
        <f t="shared" si="24"/>
        <v>188</v>
      </c>
      <c r="B192" s="1">
        <v>45054</v>
      </c>
      <c r="C192" s="7">
        <f t="shared" si="25"/>
        <v>2023</v>
      </c>
      <c r="D192" s="55">
        <f t="shared" si="26"/>
        <v>5</v>
      </c>
      <c r="E192" s="61">
        <v>17.79</v>
      </c>
      <c r="F192" s="2">
        <v>54.93</v>
      </c>
      <c r="G192" s="2">
        <v>39.03</v>
      </c>
      <c r="H192" s="2">
        <v>11.63</v>
      </c>
      <c r="I192" s="2">
        <v>276.98</v>
      </c>
      <c r="J192" s="2">
        <v>21.19</v>
      </c>
      <c r="K192" s="2">
        <v>319.52999999999997</v>
      </c>
      <c r="L192" s="2">
        <v>105.83</v>
      </c>
      <c r="M192" s="2">
        <v>171.79</v>
      </c>
      <c r="N192" s="72">
        <f t="shared" si="27"/>
        <v>2.3722627737225999E-3</v>
      </c>
      <c r="O192" s="73">
        <f t="shared" si="28"/>
        <v>-2.5555839509328049E-3</v>
      </c>
      <c r="P192" s="73">
        <f t="shared" si="29"/>
        <v>-3.4275921165380918E-3</v>
      </c>
      <c r="Q192" s="73">
        <f t="shared" si="30"/>
        <v>2.8594771241830186E-2</v>
      </c>
      <c r="R192" s="73">
        <f t="shared" si="31"/>
        <v>1.7282765242438991E-2</v>
      </c>
      <c r="S192" s="73">
        <f t="shared" si="32"/>
        <v>1.5832141154029422E-2</v>
      </c>
      <c r="T192" s="73">
        <f t="shared" si="33"/>
        <v>4.2439849276645347E-3</v>
      </c>
      <c r="U192" s="74">
        <f t="shared" si="34"/>
        <v>1.2734603440146097E-2</v>
      </c>
    </row>
    <row r="193" spans="1:21" x14ac:dyDescent="0.25">
      <c r="A193" s="54">
        <f t="shared" si="24"/>
        <v>189</v>
      </c>
      <c r="B193" s="1">
        <v>45051</v>
      </c>
      <c r="C193" s="7">
        <f t="shared" si="25"/>
        <v>2023</v>
      </c>
      <c r="D193" s="55">
        <f t="shared" si="26"/>
        <v>5</v>
      </c>
      <c r="E193" s="61">
        <v>17.745000000000001</v>
      </c>
      <c r="F193" s="2">
        <v>54.8</v>
      </c>
      <c r="G193" s="2">
        <v>39.130000000000003</v>
      </c>
      <c r="H193" s="2">
        <v>11.67</v>
      </c>
      <c r="I193" s="2">
        <v>269.27999999999997</v>
      </c>
      <c r="J193" s="2">
        <v>20.83</v>
      </c>
      <c r="K193" s="2">
        <v>314.55</v>
      </c>
      <c r="L193" s="2">
        <v>105.65</v>
      </c>
      <c r="M193" s="2">
        <v>170.06</v>
      </c>
      <c r="N193" s="72">
        <f t="shared" si="27"/>
        <v>4.5829514207149646E-3</v>
      </c>
      <c r="O193" s="73">
        <f t="shared" si="28"/>
        <v>3.0761343245322426E-3</v>
      </c>
      <c r="P193" s="73">
        <f t="shared" si="29"/>
        <v>3.1830238726790361E-2</v>
      </c>
      <c r="Q193" s="73">
        <f t="shared" si="30"/>
        <v>8.3882564409825111E-3</v>
      </c>
      <c r="R193" s="73">
        <f t="shared" si="31"/>
        <v>1.9579050416054677E-2</v>
      </c>
      <c r="S193" s="73">
        <f t="shared" si="32"/>
        <v>1.226105425757873E-2</v>
      </c>
      <c r="T193" s="73">
        <f t="shared" si="33"/>
        <v>6.9562758351022769E-3</v>
      </c>
      <c r="U193" s="74">
        <f t="shared" si="34"/>
        <v>4.5710787405263797E-2</v>
      </c>
    </row>
    <row r="194" spans="1:21" x14ac:dyDescent="0.25">
      <c r="A194" s="54">
        <f t="shared" si="24"/>
        <v>190</v>
      </c>
      <c r="B194" s="1">
        <v>45050</v>
      </c>
      <c r="C194" s="7">
        <f t="shared" si="25"/>
        <v>2023</v>
      </c>
      <c r="D194" s="55">
        <f t="shared" si="26"/>
        <v>5</v>
      </c>
      <c r="E194" s="61">
        <v>17.902000000000001</v>
      </c>
      <c r="F194" s="2">
        <v>54.55</v>
      </c>
      <c r="G194" s="2">
        <v>39.01</v>
      </c>
      <c r="H194" s="2">
        <v>11.31</v>
      </c>
      <c r="I194" s="2">
        <v>267.04000000000002</v>
      </c>
      <c r="J194" s="2">
        <v>20.43</v>
      </c>
      <c r="K194" s="2">
        <v>310.74</v>
      </c>
      <c r="L194" s="2">
        <v>104</v>
      </c>
      <c r="M194" s="2">
        <v>161.19999999999999</v>
      </c>
      <c r="N194" s="72">
        <f t="shared" si="27"/>
        <v>-3.2888726475425178E-3</v>
      </c>
      <c r="O194" s="73">
        <f t="shared" si="28"/>
        <v>-9.1440182880365706E-3</v>
      </c>
      <c r="P194" s="73">
        <f t="shared" si="29"/>
        <v>1.7714791851197731E-3</v>
      </c>
      <c r="Q194" s="73">
        <f t="shared" si="30"/>
        <v>-7.4338388343740958E-3</v>
      </c>
      <c r="R194" s="73">
        <f t="shared" si="31"/>
        <v>-4.9767441860465111E-2</v>
      </c>
      <c r="S194" s="73">
        <f t="shared" si="32"/>
        <v>-2.2245996035367033E-2</v>
      </c>
      <c r="T194" s="73">
        <f t="shared" si="33"/>
        <v>2.5926855744344834E-3</v>
      </c>
      <c r="U194" s="74">
        <f t="shared" si="34"/>
        <v>2.8891998174129796E-3</v>
      </c>
    </row>
    <row r="195" spans="1:21" x14ac:dyDescent="0.25">
      <c r="A195" s="54">
        <f t="shared" si="24"/>
        <v>191</v>
      </c>
      <c r="B195" s="1">
        <v>45049</v>
      </c>
      <c r="C195" s="7">
        <f t="shared" si="25"/>
        <v>2023</v>
      </c>
      <c r="D195" s="55">
        <f t="shared" si="26"/>
        <v>5</v>
      </c>
      <c r="E195" s="61">
        <v>17.916</v>
      </c>
      <c r="F195" s="2">
        <v>54.73</v>
      </c>
      <c r="G195" s="2">
        <v>39.369999999999997</v>
      </c>
      <c r="H195" s="2">
        <v>11.29</v>
      </c>
      <c r="I195" s="2">
        <v>269.04000000000002</v>
      </c>
      <c r="J195" s="2">
        <v>21.5</v>
      </c>
      <c r="K195" s="2">
        <v>317.81</v>
      </c>
      <c r="L195" s="2">
        <v>103.65</v>
      </c>
      <c r="M195" s="2">
        <v>160.61000000000001</v>
      </c>
      <c r="N195" s="72">
        <f t="shared" si="27"/>
        <v>-4.0036396724295598E-3</v>
      </c>
      <c r="O195" s="73">
        <f t="shared" si="28"/>
        <v>4.8494129657987717E-3</v>
      </c>
      <c r="P195" s="73">
        <f t="shared" si="29"/>
        <v>-1.5693112467306092E-2</v>
      </c>
      <c r="Q195" s="73">
        <f t="shared" si="30"/>
        <v>-1.070049641478199E-2</v>
      </c>
      <c r="R195" s="73">
        <f t="shared" si="31"/>
        <v>-8.3025830258302014E-3</v>
      </c>
      <c r="S195" s="73">
        <f t="shared" si="32"/>
        <v>-1.749775867932124E-2</v>
      </c>
      <c r="T195" s="73">
        <f t="shared" si="33"/>
        <v>-3.0345117392753806E-3</v>
      </c>
      <c r="U195" s="74">
        <f t="shared" si="34"/>
        <v>-1.3615477695284595E-3</v>
      </c>
    </row>
    <row r="196" spans="1:21" x14ac:dyDescent="0.25">
      <c r="A196" s="54">
        <f t="shared" si="24"/>
        <v>192</v>
      </c>
      <c r="B196" s="1">
        <v>45048</v>
      </c>
      <c r="C196" s="7">
        <f t="shared" si="25"/>
        <v>2023</v>
      </c>
      <c r="D196" s="55">
        <f t="shared" si="26"/>
        <v>5</v>
      </c>
      <c r="E196" s="61">
        <v>17.974</v>
      </c>
      <c r="F196" s="2">
        <v>54.95</v>
      </c>
      <c r="G196" s="2">
        <v>39.18</v>
      </c>
      <c r="H196" s="2">
        <v>11.47</v>
      </c>
      <c r="I196" s="2">
        <v>271.95</v>
      </c>
      <c r="J196" s="2">
        <v>21.68</v>
      </c>
      <c r="K196" s="2">
        <v>323.47000000000003</v>
      </c>
      <c r="L196" s="2">
        <v>103.63</v>
      </c>
      <c r="M196" s="2">
        <v>160.31</v>
      </c>
      <c r="N196" s="72">
        <f t="shared" si="27"/>
        <v>9.107468123863427E-4</v>
      </c>
      <c r="O196" s="73">
        <f t="shared" si="28"/>
        <v>0</v>
      </c>
      <c r="P196" s="73">
        <f t="shared" si="29"/>
        <v>6.2037037037037113E-2</v>
      </c>
      <c r="Q196" s="73">
        <f t="shared" si="30"/>
        <v>-1.570813275905758E-2</v>
      </c>
      <c r="R196" s="73">
        <f t="shared" si="31"/>
        <v>2.3607176581680767E-2</v>
      </c>
      <c r="S196" s="73">
        <f t="shared" si="32"/>
        <v>1.1191347025540255E-2</v>
      </c>
      <c r="T196" s="73">
        <f t="shared" si="33"/>
        <v>-1.7587309222459324E-2</v>
      </c>
      <c r="U196" s="74">
        <f t="shared" si="34"/>
        <v>-2.4669807721899528E-2</v>
      </c>
    </row>
    <row r="197" spans="1:21" x14ac:dyDescent="0.25">
      <c r="A197" s="54">
        <f t="shared" ref="A197:A255" si="35">+A198-1</f>
        <v>193</v>
      </c>
      <c r="B197" s="1">
        <v>45044</v>
      </c>
      <c r="C197" s="7">
        <f t="shared" ref="C197:C257" si="36">+YEAR(B197)</f>
        <v>2023</v>
      </c>
      <c r="D197" s="55">
        <f t="shared" ref="D197:D257" si="37">+MONTH(B197)</f>
        <v>4</v>
      </c>
      <c r="E197" s="61">
        <v>17.98</v>
      </c>
      <c r="F197" s="2">
        <v>54.9</v>
      </c>
      <c r="G197" s="2">
        <v>39.18</v>
      </c>
      <c r="H197" s="2">
        <v>10.8</v>
      </c>
      <c r="I197" s="2">
        <v>276.29000000000002</v>
      </c>
      <c r="J197" s="2">
        <v>21.18</v>
      </c>
      <c r="K197" s="2">
        <v>319.89</v>
      </c>
      <c r="L197" s="2">
        <v>105.45</v>
      </c>
      <c r="M197" s="2">
        <v>164.31</v>
      </c>
      <c r="N197" s="72">
        <f t="shared" si="27"/>
        <v>1.2915129151291449E-2</v>
      </c>
      <c r="O197" s="73">
        <f t="shared" si="28"/>
        <v>-1.6072325464590698E-2</v>
      </c>
      <c r="P197" s="73">
        <f t="shared" si="29"/>
        <v>1.6949152542373058E-2</v>
      </c>
      <c r="Q197" s="73">
        <f t="shared" si="30"/>
        <v>-1.5178345560332707E-3</v>
      </c>
      <c r="R197" s="73">
        <f t="shared" si="31"/>
        <v>3.2163742690058506E-2</v>
      </c>
      <c r="S197" s="73">
        <f t="shared" si="32"/>
        <v>1.9667219176335404E-2</v>
      </c>
      <c r="T197" s="73">
        <f t="shared" si="33"/>
        <v>-4.2242712084083034E-2</v>
      </c>
      <c r="U197" s="74">
        <f t="shared" si="34"/>
        <v>2.31019559202994E-2</v>
      </c>
    </row>
    <row r="198" spans="1:21" x14ac:dyDescent="0.25">
      <c r="A198" s="54">
        <f t="shared" si="35"/>
        <v>194</v>
      </c>
      <c r="B198" s="1">
        <v>45043</v>
      </c>
      <c r="C198" s="7">
        <f t="shared" si="36"/>
        <v>2023</v>
      </c>
      <c r="D198" s="55">
        <f t="shared" si="37"/>
        <v>4</v>
      </c>
      <c r="E198" s="61">
        <v>18.026</v>
      </c>
      <c r="F198" s="2">
        <v>54.2</v>
      </c>
      <c r="G198" s="2">
        <v>39.82</v>
      </c>
      <c r="H198" s="2">
        <v>10.62</v>
      </c>
      <c r="I198" s="2">
        <v>276.70999999999998</v>
      </c>
      <c r="J198" s="2">
        <v>20.52</v>
      </c>
      <c r="K198" s="2">
        <v>313.72000000000003</v>
      </c>
      <c r="L198" s="2">
        <v>109.82</v>
      </c>
      <c r="M198" s="2">
        <v>160.19</v>
      </c>
      <c r="N198" s="72">
        <f t="shared" ref="N198:N256" si="38" xml:space="preserve"> (F198/F199) - 1</f>
        <v>7.8095946448493159E-3</v>
      </c>
      <c r="O198" s="73">
        <f t="shared" ref="O198:O256" si="39" xml:space="preserve"> (G198/G199) - 1</f>
        <v>1.8153924827409851E-2</v>
      </c>
      <c r="P198" s="73">
        <f t="shared" ref="P198:P256" si="40" xml:space="preserve"> (H198/H199) - 1</f>
        <v>8.5470085470085166E-3</v>
      </c>
      <c r="Q198" s="73">
        <f t="shared" ref="Q198:Q256" si="41" xml:space="preserve"> (I198/I199) - 1</f>
        <v>-8.9893274120766975E-3</v>
      </c>
      <c r="R198" s="73">
        <f t="shared" ref="R198:R256" si="42" xml:space="preserve"> (J198/J199) - 1</f>
        <v>4.0040547389761816E-2</v>
      </c>
      <c r="S198" s="73">
        <f t="shared" ref="S198:S256" si="43" xml:space="preserve"> (K198/K199) - 1</f>
        <v>8.4865629420085575E-3</v>
      </c>
      <c r="T198" s="73">
        <f t="shared" ref="T198:T256" si="44" xml:space="preserve"> (E198*L198) / (E199*L199) - 1</f>
        <v>3.9701773234520843E-2</v>
      </c>
      <c r="U198" s="74">
        <f t="shared" ref="U198:U256" si="45" xml:space="preserve"> (E198*M198) / (E199*M199) - 1</f>
        <v>3.5509745832419837E-2</v>
      </c>
    </row>
    <row r="199" spans="1:21" x14ac:dyDescent="0.25">
      <c r="A199" s="54">
        <f t="shared" si="35"/>
        <v>195</v>
      </c>
      <c r="B199" s="1">
        <v>45042</v>
      </c>
      <c r="C199" s="7">
        <f t="shared" si="36"/>
        <v>2023</v>
      </c>
      <c r="D199" s="55">
        <f t="shared" si="37"/>
        <v>4</v>
      </c>
      <c r="E199" s="61">
        <v>18.137</v>
      </c>
      <c r="F199" s="2">
        <v>53.78</v>
      </c>
      <c r="G199" s="2">
        <v>39.11</v>
      </c>
      <c r="H199" s="2">
        <v>10.53</v>
      </c>
      <c r="I199" s="2">
        <v>279.22000000000003</v>
      </c>
      <c r="J199" s="2">
        <v>19.73</v>
      </c>
      <c r="K199" s="2">
        <v>311.08</v>
      </c>
      <c r="L199" s="2">
        <v>104.98</v>
      </c>
      <c r="M199" s="2">
        <v>153.75</v>
      </c>
      <c r="N199" s="72">
        <f t="shared" si="38"/>
        <v>-9.2114959469418167E-3</v>
      </c>
      <c r="O199" s="73">
        <f t="shared" si="39"/>
        <v>-1.5853044791142468E-2</v>
      </c>
      <c r="P199" s="73">
        <f t="shared" si="40"/>
        <v>1.9029495718363432E-3</v>
      </c>
      <c r="Q199" s="73">
        <f t="shared" si="41"/>
        <v>-2.0280701754385899E-2</v>
      </c>
      <c r="R199" s="73">
        <f t="shared" si="42"/>
        <v>-1.5182186234818928E-3</v>
      </c>
      <c r="S199" s="73">
        <f t="shared" si="43"/>
        <v>-5.4987212276215169E-3</v>
      </c>
      <c r="T199" s="73">
        <f t="shared" si="44"/>
        <v>2.7291071051184446E-2</v>
      </c>
      <c r="U199" s="74">
        <f t="shared" si="45"/>
        <v>-3.9521536631211718E-2</v>
      </c>
    </row>
    <row r="200" spans="1:21" x14ac:dyDescent="0.25">
      <c r="A200" s="54">
        <f t="shared" si="35"/>
        <v>196</v>
      </c>
      <c r="B200" s="1">
        <v>45041</v>
      </c>
      <c r="C200" s="7">
        <f t="shared" si="36"/>
        <v>2023</v>
      </c>
      <c r="D200" s="55">
        <f t="shared" si="37"/>
        <v>4</v>
      </c>
      <c r="E200" s="61">
        <v>18.07</v>
      </c>
      <c r="F200" s="2">
        <v>54.28</v>
      </c>
      <c r="G200" s="2">
        <v>39.74</v>
      </c>
      <c r="H200" s="2">
        <v>10.51</v>
      </c>
      <c r="I200" s="2">
        <v>285</v>
      </c>
      <c r="J200" s="2">
        <v>19.760000000000002</v>
      </c>
      <c r="K200" s="2">
        <v>312.8</v>
      </c>
      <c r="L200" s="2">
        <v>102.57</v>
      </c>
      <c r="M200" s="2">
        <v>160.66999999999999</v>
      </c>
      <c r="N200" s="72">
        <f t="shared" si="38"/>
        <v>-5.1319648093841597E-3</v>
      </c>
      <c r="O200" s="73">
        <f t="shared" si="39"/>
        <v>-4.0100250626565748E-3</v>
      </c>
      <c r="P200" s="73">
        <f t="shared" si="40"/>
        <v>1.0576923076923039E-2</v>
      </c>
      <c r="Q200" s="73">
        <f t="shared" si="41"/>
        <v>1.308118868192798E-2</v>
      </c>
      <c r="R200" s="73">
        <f t="shared" si="42"/>
        <v>-7.0117647058823507E-2</v>
      </c>
      <c r="S200" s="73">
        <f t="shared" si="43"/>
        <v>-1.1284255776464192E-2</v>
      </c>
      <c r="T200" s="73">
        <f t="shared" si="44"/>
        <v>-2.87354642221469E-2</v>
      </c>
      <c r="U200" s="74">
        <f t="shared" si="45"/>
        <v>-5.8992427708086659E-3</v>
      </c>
    </row>
    <row r="201" spans="1:21" x14ac:dyDescent="0.25">
      <c r="A201" s="54">
        <f t="shared" si="35"/>
        <v>197</v>
      </c>
      <c r="B201" s="1">
        <v>45040</v>
      </c>
      <c r="C201" s="7">
        <f t="shared" si="36"/>
        <v>2023</v>
      </c>
      <c r="D201" s="55">
        <f t="shared" si="37"/>
        <v>4</v>
      </c>
      <c r="E201" s="61">
        <v>17.966999999999999</v>
      </c>
      <c r="F201" s="2">
        <v>54.56</v>
      </c>
      <c r="G201" s="2">
        <v>39.9</v>
      </c>
      <c r="H201" s="2">
        <v>10.4</v>
      </c>
      <c r="I201" s="2">
        <v>281.32</v>
      </c>
      <c r="J201" s="2">
        <v>21.25</v>
      </c>
      <c r="K201" s="2">
        <v>316.37</v>
      </c>
      <c r="L201" s="2">
        <v>106.21</v>
      </c>
      <c r="M201" s="2">
        <v>162.55000000000001</v>
      </c>
      <c r="N201" s="72">
        <f t="shared" si="38"/>
        <v>9.0623266136489189E-3</v>
      </c>
      <c r="O201" s="73">
        <f t="shared" si="39"/>
        <v>7.575757575757569E-3</v>
      </c>
      <c r="P201" s="73">
        <f t="shared" si="40"/>
        <v>2.8929604628737948E-3</v>
      </c>
      <c r="Q201" s="73">
        <f t="shared" si="41"/>
        <v>1.6402919286075734E-2</v>
      </c>
      <c r="R201" s="73">
        <f t="shared" si="42"/>
        <v>5.2034058656575954E-3</v>
      </c>
      <c r="S201" s="73">
        <f t="shared" si="43"/>
        <v>9.0903291656034835E-3</v>
      </c>
      <c r="T201" s="73">
        <f t="shared" si="44"/>
        <v>-7.0672313398840725E-3</v>
      </c>
      <c r="U201" s="74">
        <f t="shared" si="45"/>
        <v>-1.53807041341677E-2</v>
      </c>
    </row>
    <row r="202" spans="1:21" x14ac:dyDescent="0.25">
      <c r="A202" s="54">
        <f t="shared" si="35"/>
        <v>198</v>
      </c>
      <c r="B202" s="1">
        <v>45037</v>
      </c>
      <c r="C202" s="7">
        <f t="shared" si="36"/>
        <v>2023</v>
      </c>
      <c r="D202" s="55">
        <f t="shared" si="37"/>
        <v>4</v>
      </c>
      <c r="E202" s="61">
        <v>17.968</v>
      </c>
      <c r="F202" s="2">
        <v>54.07</v>
      </c>
      <c r="G202" s="2">
        <v>39.6</v>
      </c>
      <c r="H202" s="2">
        <v>10.37</v>
      </c>
      <c r="I202" s="2">
        <v>276.77999999999997</v>
      </c>
      <c r="J202" s="2">
        <v>21.14</v>
      </c>
      <c r="K202" s="2">
        <v>313.52</v>
      </c>
      <c r="L202" s="2">
        <v>106.96</v>
      </c>
      <c r="M202" s="2">
        <v>165.08</v>
      </c>
      <c r="N202" s="72">
        <f t="shared" si="38"/>
        <v>-1.8460402436772938E-3</v>
      </c>
      <c r="O202" s="73">
        <f t="shared" si="39"/>
        <v>-2.7700831024930483E-3</v>
      </c>
      <c r="P202" s="73">
        <f t="shared" si="40"/>
        <v>-9.551098376313405E-3</v>
      </c>
      <c r="Q202" s="73">
        <f t="shared" si="41"/>
        <v>1.1253196930946174E-2</v>
      </c>
      <c r="R202" s="73">
        <f t="shared" si="42"/>
        <v>-1.1687704534829368E-2</v>
      </c>
      <c r="S202" s="73">
        <f t="shared" si="43"/>
        <v>-3.33302500539574E-2</v>
      </c>
      <c r="T202" s="73">
        <f t="shared" si="44"/>
        <v>2.9255526233995077E-2</v>
      </c>
      <c r="U202" s="74">
        <f t="shared" si="45"/>
        <v>1.1753009079749077E-2</v>
      </c>
    </row>
    <row r="203" spans="1:21" x14ac:dyDescent="0.25">
      <c r="A203" s="54">
        <f t="shared" si="35"/>
        <v>199</v>
      </c>
      <c r="B203" s="1">
        <v>45036</v>
      </c>
      <c r="C203" s="7">
        <f t="shared" si="36"/>
        <v>2023</v>
      </c>
      <c r="D203" s="55">
        <f t="shared" si="37"/>
        <v>4</v>
      </c>
      <c r="E203" s="61">
        <v>17.986999999999998</v>
      </c>
      <c r="F203" s="2">
        <v>54.17</v>
      </c>
      <c r="G203" s="2">
        <v>39.71</v>
      </c>
      <c r="H203" s="2">
        <v>10.47</v>
      </c>
      <c r="I203" s="2">
        <v>273.7</v>
      </c>
      <c r="J203" s="2">
        <v>21.39</v>
      </c>
      <c r="K203" s="2">
        <v>324.33</v>
      </c>
      <c r="L203" s="2">
        <v>103.81</v>
      </c>
      <c r="M203" s="2">
        <v>162.99</v>
      </c>
      <c r="N203" s="72">
        <f t="shared" si="38"/>
        <v>-9.2216894134999894E-4</v>
      </c>
      <c r="O203" s="73">
        <f t="shared" si="39"/>
        <v>2.5188916876572875E-4</v>
      </c>
      <c r="P203" s="73">
        <f t="shared" si="40"/>
        <v>-1.5051740357478804E-2</v>
      </c>
      <c r="Q203" s="73">
        <f t="shared" si="41"/>
        <v>-3.2411959648930289E-3</v>
      </c>
      <c r="R203" s="73">
        <f t="shared" si="42"/>
        <v>-1.4005602240897419E-3</v>
      </c>
      <c r="S203" s="73">
        <f t="shared" si="43"/>
        <v>-3.2947701115152994E-2</v>
      </c>
      <c r="T203" s="73">
        <f t="shared" si="44"/>
        <v>-7.2368815262995323E-3</v>
      </c>
      <c r="U203" s="74">
        <f t="shared" si="45"/>
        <v>-9.9760605565691995E-2</v>
      </c>
    </row>
    <row r="204" spans="1:21" x14ac:dyDescent="0.25">
      <c r="A204" s="54">
        <f t="shared" si="35"/>
        <v>200</v>
      </c>
      <c r="B204" s="1">
        <v>45035</v>
      </c>
      <c r="C204" s="7">
        <f t="shared" si="36"/>
        <v>2023</v>
      </c>
      <c r="D204" s="55">
        <f t="shared" si="37"/>
        <v>4</v>
      </c>
      <c r="E204" s="61">
        <v>18.033000000000001</v>
      </c>
      <c r="F204" s="2">
        <v>54.22</v>
      </c>
      <c r="G204" s="2">
        <v>39.700000000000003</v>
      </c>
      <c r="H204" s="2">
        <v>10.63</v>
      </c>
      <c r="I204" s="2">
        <v>274.58999999999997</v>
      </c>
      <c r="J204" s="2">
        <v>21.42</v>
      </c>
      <c r="K204" s="2">
        <v>335.38</v>
      </c>
      <c r="L204" s="2">
        <v>104.3</v>
      </c>
      <c r="M204" s="2">
        <v>180.59</v>
      </c>
      <c r="N204" s="72">
        <f t="shared" si="38"/>
        <v>1.8446781036707272E-4</v>
      </c>
      <c r="O204" s="73">
        <f t="shared" si="39"/>
        <v>5.040322580645018E-4</v>
      </c>
      <c r="P204" s="73">
        <f t="shared" si="40"/>
        <v>-1.87793427230043E-3</v>
      </c>
      <c r="Q204" s="73">
        <f t="shared" si="41"/>
        <v>-1.2905313106621685E-2</v>
      </c>
      <c r="R204" s="73">
        <f t="shared" si="42"/>
        <v>9.345794392525697E-4</v>
      </c>
      <c r="S204" s="73">
        <f t="shared" si="43"/>
        <v>3.7110193332137165E-3</v>
      </c>
      <c r="T204" s="73">
        <f t="shared" si="44"/>
        <v>1.8533672353226782E-2</v>
      </c>
      <c r="U204" s="74">
        <f t="shared" si="45"/>
        <v>-2.1160434995245669E-2</v>
      </c>
    </row>
    <row r="205" spans="1:21" x14ac:dyDescent="0.25">
      <c r="A205" s="54">
        <f t="shared" si="35"/>
        <v>201</v>
      </c>
      <c r="B205" s="1">
        <v>45034</v>
      </c>
      <c r="C205" s="7">
        <f t="shared" si="36"/>
        <v>2023</v>
      </c>
      <c r="D205" s="55">
        <f t="shared" si="37"/>
        <v>4</v>
      </c>
      <c r="E205" s="61">
        <v>18.050999999999998</v>
      </c>
      <c r="F205" s="2">
        <v>54.21</v>
      </c>
      <c r="G205" s="2">
        <v>39.68</v>
      </c>
      <c r="H205" s="2">
        <v>10.65</v>
      </c>
      <c r="I205" s="2">
        <v>278.18</v>
      </c>
      <c r="J205" s="2">
        <v>21.4</v>
      </c>
      <c r="K205" s="2">
        <v>334.14</v>
      </c>
      <c r="L205" s="2">
        <v>102.3</v>
      </c>
      <c r="M205" s="2">
        <v>184.31</v>
      </c>
      <c r="N205" s="72">
        <f t="shared" si="38"/>
        <v>-7.5064079091906599E-3</v>
      </c>
      <c r="O205" s="73">
        <f t="shared" si="39"/>
        <v>-1.2689723811893483E-2</v>
      </c>
      <c r="P205" s="73">
        <f t="shared" si="40"/>
        <v>-1.7527675276752697E-2</v>
      </c>
      <c r="Q205" s="73">
        <f t="shared" si="41"/>
        <v>8.2748695808598782E-4</v>
      </c>
      <c r="R205" s="73">
        <f t="shared" si="42"/>
        <v>-2.1490626428898096E-2</v>
      </c>
      <c r="S205" s="73">
        <f t="shared" si="43"/>
        <v>-5.1762302060275878E-2</v>
      </c>
      <c r="T205" s="73">
        <f t="shared" si="44"/>
        <v>-2.1267049661396475E-3</v>
      </c>
      <c r="U205" s="74">
        <f t="shared" si="45"/>
        <v>-1.2462188381398565E-2</v>
      </c>
    </row>
    <row r="206" spans="1:21" x14ac:dyDescent="0.25">
      <c r="A206" s="54">
        <f t="shared" si="35"/>
        <v>202</v>
      </c>
      <c r="B206" s="1">
        <v>45033</v>
      </c>
      <c r="C206" s="7">
        <f t="shared" si="36"/>
        <v>2023</v>
      </c>
      <c r="D206" s="55">
        <f t="shared" si="37"/>
        <v>4</v>
      </c>
      <c r="E206" s="61">
        <v>18.012</v>
      </c>
      <c r="F206" s="2">
        <v>54.62</v>
      </c>
      <c r="G206" s="2">
        <v>40.19</v>
      </c>
      <c r="H206" s="2">
        <v>10.84</v>
      </c>
      <c r="I206" s="2">
        <v>277.95</v>
      </c>
      <c r="J206" s="2">
        <v>21.87</v>
      </c>
      <c r="K206" s="2">
        <v>352.38</v>
      </c>
      <c r="L206" s="2">
        <v>102.74</v>
      </c>
      <c r="M206" s="2">
        <v>187.04</v>
      </c>
      <c r="N206" s="72">
        <f t="shared" si="38"/>
        <v>5.8931860036832706E-3</v>
      </c>
      <c r="O206" s="73">
        <f t="shared" si="39"/>
        <v>8.2789764174611147E-3</v>
      </c>
      <c r="P206" s="73">
        <f t="shared" si="40"/>
        <v>4.6339202965710591E-3</v>
      </c>
      <c r="Q206" s="73">
        <f t="shared" si="41"/>
        <v>-4.7978803394322922E-3</v>
      </c>
      <c r="R206" s="73">
        <f t="shared" si="42"/>
        <v>4.5934772622875375E-3</v>
      </c>
      <c r="S206" s="73">
        <f t="shared" si="43"/>
        <v>9.5112588093737571E-3</v>
      </c>
      <c r="T206" s="73">
        <f t="shared" si="44"/>
        <v>3.1347648353945434E-3</v>
      </c>
      <c r="U206" s="74">
        <f t="shared" si="45"/>
        <v>1.1925917471149905E-2</v>
      </c>
    </row>
    <row r="207" spans="1:21" x14ac:dyDescent="0.25">
      <c r="A207" s="54">
        <f t="shared" si="35"/>
        <v>203</v>
      </c>
      <c r="B207" s="1">
        <v>45030</v>
      </c>
      <c r="C207" s="7">
        <f t="shared" si="36"/>
        <v>2023</v>
      </c>
      <c r="D207" s="55">
        <f t="shared" si="37"/>
        <v>4</v>
      </c>
      <c r="E207" s="61">
        <v>17.995999999999999</v>
      </c>
      <c r="F207" s="2">
        <v>54.3</v>
      </c>
      <c r="G207" s="2">
        <v>39.86</v>
      </c>
      <c r="H207" s="2">
        <v>10.79</v>
      </c>
      <c r="I207" s="2">
        <v>279.29000000000002</v>
      </c>
      <c r="J207" s="2">
        <v>21.77</v>
      </c>
      <c r="K207" s="2">
        <v>349.06</v>
      </c>
      <c r="L207" s="2">
        <v>102.51</v>
      </c>
      <c r="M207" s="2">
        <v>185</v>
      </c>
      <c r="N207" s="72">
        <f t="shared" si="38"/>
        <v>-3.8525041276830096E-3</v>
      </c>
      <c r="O207" s="73">
        <f t="shared" si="39"/>
        <v>-2.3996082272282226E-2</v>
      </c>
      <c r="P207" s="73">
        <f t="shared" si="40"/>
        <v>4.6554934823090921E-3</v>
      </c>
      <c r="Q207" s="73">
        <f t="shared" si="41"/>
        <v>-1.4850088183421484E-2</v>
      </c>
      <c r="R207" s="73">
        <f t="shared" si="42"/>
        <v>-4.2234931808183052E-2</v>
      </c>
      <c r="S207" s="73">
        <f t="shared" si="43"/>
        <v>-2.4577046181984974E-3</v>
      </c>
      <c r="T207" s="73">
        <f t="shared" si="44"/>
        <v>9.6297592093552709E-4</v>
      </c>
      <c r="U207" s="74">
        <f t="shared" si="45"/>
        <v>-4.9518980083916864E-3</v>
      </c>
    </row>
    <row r="208" spans="1:21" x14ac:dyDescent="0.25">
      <c r="A208" s="54">
        <f t="shared" si="35"/>
        <v>204</v>
      </c>
      <c r="B208" s="1">
        <v>45029</v>
      </c>
      <c r="C208" s="7">
        <f t="shared" si="36"/>
        <v>2023</v>
      </c>
      <c r="D208" s="55">
        <f t="shared" si="37"/>
        <v>4</v>
      </c>
      <c r="E208" s="61">
        <v>17.998000000000001</v>
      </c>
      <c r="F208" s="2">
        <v>54.51</v>
      </c>
      <c r="G208" s="2">
        <v>40.840000000000003</v>
      </c>
      <c r="H208" s="2">
        <v>10.74</v>
      </c>
      <c r="I208" s="2">
        <v>283.5</v>
      </c>
      <c r="J208" s="2">
        <v>22.73</v>
      </c>
      <c r="K208" s="2">
        <v>349.92</v>
      </c>
      <c r="L208" s="2">
        <v>102.4</v>
      </c>
      <c r="M208" s="2">
        <v>185.9</v>
      </c>
      <c r="N208" s="72">
        <f t="shared" si="38"/>
        <v>7.3923489188689739E-3</v>
      </c>
      <c r="O208" s="73">
        <f t="shared" si="39"/>
        <v>4.9212598425196763E-3</v>
      </c>
      <c r="P208" s="73">
        <f t="shared" si="40"/>
        <v>5.3974484789008903E-2</v>
      </c>
      <c r="Q208" s="73">
        <f t="shared" si="41"/>
        <v>1.0262989095574104E-2</v>
      </c>
      <c r="R208" s="73">
        <f t="shared" si="42"/>
        <v>0.10932162030258663</v>
      </c>
      <c r="S208" s="73">
        <f t="shared" si="43"/>
        <v>-3.5027765912002407E-3</v>
      </c>
      <c r="T208" s="73">
        <f t="shared" si="44"/>
        <v>4.2947070739707938E-2</v>
      </c>
      <c r="U208" s="74">
        <f t="shared" si="45"/>
        <v>2.5983360025909619E-2</v>
      </c>
    </row>
    <row r="209" spans="1:21" x14ac:dyDescent="0.25">
      <c r="A209" s="54">
        <f t="shared" si="35"/>
        <v>205</v>
      </c>
      <c r="B209" s="1">
        <v>45028</v>
      </c>
      <c r="C209" s="7">
        <f t="shared" si="36"/>
        <v>2023</v>
      </c>
      <c r="D209" s="55">
        <f t="shared" si="37"/>
        <v>4</v>
      </c>
      <c r="E209" s="61">
        <v>18.062999999999999</v>
      </c>
      <c r="F209" s="2">
        <v>54.11</v>
      </c>
      <c r="G209" s="2">
        <v>40.64</v>
      </c>
      <c r="H209" s="2">
        <v>10.19</v>
      </c>
      <c r="I209" s="2">
        <v>280.62</v>
      </c>
      <c r="J209" s="2">
        <v>20.49</v>
      </c>
      <c r="K209" s="2">
        <v>351.15</v>
      </c>
      <c r="L209" s="2">
        <v>97.83</v>
      </c>
      <c r="M209" s="2">
        <v>180.54</v>
      </c>
      <c r="N209" s="72">
        <f t="shared" si="38"/>
        <v>-5.330882352941213E-3</v>
      </c>
      <c r="O209" s="73">
        <f t="shared" si="39"/>
        <v>-8.2967301122497394E-3</v>
      </c>
      <c r="P209" s="73">
        <f t="shared" si="40"/>
        <v>1.4940239043824688E-2</v>
      </c>
      <c r="Q209" s="73">
        <f t="shared" si="41"/>
        <v>-7.1265678449172754E-5</v>
      </c>
      <c r="R209" s="73">
        <f t="shared" si="42"/>
        <v>-7.7481840193704965E-3</v>
      </c>
      <c r="S209" s="73">
        <f t="shared" si="43"/>
        <v>-2.3297440122739266E-3</v>
      </c>
      <c r="T209" s="73">
        <f t="shared" si="44"/>
        <v>-2.5985512758943341E-2</v>
      </c>
      <c r="U209" s="74">
        <f t="shared" si="45"/>
        <v>-3.8463877195262564E-2</v>
      </c>
    </row>
    <row r="210" spans="1:21" x14ac:dyDescent="0.25">
      <c r="A210" s="54">
        <f t="shared" si="35"/>
        <v>206</v>
      </c>
      <c r="B210" s="1">
        <v>45027</v>
      </c>
      <c r="C210" s="7">
        <f t="shared" si="36"/>
        <v>2023</v>
      </c>
      <c r="D210" s="55">
        <f t="shared" si="37"/>
        <v>4</v>
      </c>
      <c r="E210" s="61">
        <v>18.157</v>
      </c>
      <c r="F210" s="2">
        <v>54.4</v>
      </c>
      <c r="G210" s="2">
        <v>40.98</v>
      </c>
      <c r="H210" s="2">
        <v>10.039999999999999</v>
      </c>
      <c r="I210" s="2">
        <v>280.64</v>
      </c>
      <c r="J210" s="2">
        <v>20.65</v>
      </c>
      <c r="K210" s="2">
        <v>351.97</v>
      </c>
      <c r="L210" s="2">
        <v>99.92</v>
      </c>
      <c r="M210" s="2">
        <v>186.79</v>
      </c>
      <c r="N210" s="72">
        <f t="shared" si="38"/>
        <v>8.1541882876203786E-3</v>
      </c>
      <c r="O210" s="73">
        <f t="shared" si="39"/>
        <v>-4.8567265662944337E-3</v>
      </c>
      <c r="P210" s="73">
        <f t="shared" si="40"/>
        <v>2.2403258655804281E-2</v>
      </c>
      <c r="Q210" s="73">
        <f t="shared" si="41"/>
        <v>3.4312460841042336E-2</v>
      </c>
      <c r="R210" s="73">
        <f t="shared" si="42"/>
        <v>1.5740285292670908E-2</v>
      </c>
      <c r="S210" s="73">
        <f t="shared" si="43"/>
        <v>-1.7255339941365189E-2</v>
      </c>
      <c r="T210" s="73">
        <f t="shared" si="44"/>
        <v>-2.2291357381836407E-2</v>
      </c>
      <c r="U210" s="74">
        <f t="shared" si="45"/>
        <v>1.2078351843268775E-2</v>
      </c>
    </row>
    <row r="211" spans="1:21" x14ac:dyDescent="0.25">
      <c r="A211" s="54">
        <f t="shared" si="35"/>
        <v>207</v>
      </c>
      <c r="B211" s="1">
        <v>45026</v>
      </c>
      <c r="C211" s="7">
        <f t="shared" si="36"/>
        <v>2023</v>
      </c>
      <c r="D211" s="55">
        <f t="shared" si="37"/>
        <v>4</v>
      </c>
      <c r="E211" s="61">
        <v>18.161999999999999</v>
      </c>
      <c r="F211" s="2">
        <v>53.96</v>
      </c>
      <c r="G211" s="2">
        <v>41.18</v>
      </c>
      <c r="H211" s="2">
        <v>9.82</v>
      </c>
      <c r="I211" s="2">
        <v>271.33</v>
      </c>
      <c r="J211" s="2">
        <v>20.329999999999998</v>
      </c>
      <c r="K211" s="2">
        <v>358.15</v>
      </c>
      <c r="L211" s="2">
        <v>102.17</v>
      </c>
      <c r="M211" s="2">
        <v>184.51</v>
      </c>
      <c r="N211" s="72">
        <f t="shared" si="38"/>
        <v>1.1244377811094441E-2</v>
      </c>
      <c r="O211" s="73">
        <f t="shared" si="39"/>
        <v>6.1079892499389388E-3</v>
      </c>
      <c r="P211" s="73">
        <f t="shared" si="40"/>
        <v>2.5052192066805867E-2</v>
      </c>
      <c r="Q211" s="73">
        <f t="shared" si="41"/>
        <v>1.0841218985172318E-2</v>
      </c>
      <c r="R211" s="73">
        <f t="shared" si="42"/>
        <v>4.9212598425185661E-4</v>
      </c>
      <c r="S211" s="73">
        <f t="shared" si="43"/>
        <v>2.3022651318232557E-2</v>
      </c>
      <c r="T211" s="73">
        <f t="shared" si="44"/>
        <v>3.7306677839834546E-3</v>
      </c>
      <c r="U211" s="74">
        <f t="shared" si="45"/>
        <v>-1.2188383396257496E-2</v>
      </c>
    </row>
    <row r="212" spans="1:21" x14ac:dyDescent="0.25">
      <c r="A212" s="54">
        <f t="shared" si="35"/>
        <v>208</v>
      </c>
      <c r="B212" s="1">
        <v>45021</v>
      </c>
      <c r="C212" s="7">
        <f t="shared" si="36"/>
        <v>2023</v>
      </c>
      <c r="D212" s="55">
        <f t="shared" si="37"/>
        <v>4</v>
      </c>
      <c r="E212" s="61">
        <v>18.286000000000001</v>
      </c>
      <c r="F212" s="2">
        <v>53.36</v>
      </c>
      <c r="G212" s="2">
        <v>40.93</v>
      </c>
      <c r="H212" s="2">
        <v>9.58</v>
      </c>
      <c r="I212" s="2">
        <v>268.42</v>
      </c>
      <c r="J212" s="2">
        <v>20.32</v>
      </c>
      <c r="K212" s="2">
        <v>350.09</v>
      </c>
      <c r="L212" s="2">
        <v>101.1</v>
      </c>
      <c r="M212" s="2">
        <v>185.52</v>
      </c>
      <c r="N212" s="72">
        <f t="shared" si="38"/>
        <v>-1.0385756676557945E-2</v>
      </c>
      <c r="O212" s="73">
        <f t="shared" si="39"/>
        <v>-4.6206225680933688E-3</v>
      </c>
      <c r="P212" s="73">
        <f t="shared" si="40"/>
        <v>-1.9447287615148356E-2</v>
      </c>
      <c r="Q212" s="73">
        <f t="shared" si="41"/>
        <v>-1.674053994651814E-2</v>
      </c>
      <c r="R212" s="73">
        <f t="shared" si="42"/>
        <v>-3.6053130929791233E-2</v>
      </c>
      <c r="S212" s="73">
        <f t="shared" si="43"/>
        <v>-1.6656367619796608E-2</v>
      </c>
      <c r="T212" s="73">
        <f t="shared" si="44"/>
        <v>-1.8344525216523966E-2</v>
      </c>
      <c r="U212" s="74">
        <f t="shared" si="45"/>
        <v>-2.7673808753504781E-2</v>
      </c>
    </row>
    <row r="213" spans="1:21" x14ac:dyDescent="0.25">
      <c r="A213" s="54">
        <f t="shared" si="35"/>
        <v>209</v>
      </c>
      <c r="B213" s="1">
        <v>45020</v>
      </c>
      <c r="C213" s="7">
        <f t="shared" si="36"/>
        <v>2023</v>
      </c>
      <c r="D213" s="55">
        <f t="shared" si="37"/>
        <v>4</v>
      </c>
      <c r="E213" s="61">
        <v>18.117000000000001</v>
      </c>
      <c r="F213" s="2">
        <v>53.92</v>
      </c>
      <c r="G213" s="2">
        <v>41.12</v>
      </c>
      <c r="H213" s="2">
        <v>9.77</v>
      </c>
      <c r="I213" s="2">
        <v>272.99</v>
      </c>
      <c r="J213" s="2">
        <v>21.08</v>
      </c>
      <c r="K213" s="2">
        <v>356.02</v>
      </c>
      <c r="L213" s="2">
        <v>103.95</v>
      </c>
      <c r="M213" s="2">
        <v>192.58</v>
      </c>
      <c r="N213" s="72">
        <f t="shared" si="38"/>
        <v>5.7825032643163965E-3</v>
      </c>
      <c r="O213" s="73">
        <f t="shared" si="39"/>
        <v>1.4612761811980679E-3</v>
      </c>
      <c r="P213" s="73">
        <f t="shared" si="40"/>
        <v>2.0512820512819108E-3</v>
      </c>
      <c r="Q213" s="73">
        <f t="shared" si="41"/>
        <v>4.2225021952430053E-2</v>
      </c>
      <c r="R213" s="73">
        <f t="shared" si="42"/>
        <v>1.4251781472682801E-3</v>
      </c>
      <c r="S213" s="73">
        <f t="shared" si="43"/>
        <v>9.8139323803039247E-3</v>
      </c>
      <c r="T213" s="73">
        <f t="shared" si="44"/>
        <v>1.8466775045722583E-2</v>
      </c>
      <c r="U213" s="74">
        <f t="shared" si="45"/>
        <v>-7.903639635939208E-3</v>
      </c>
    </row>
    <row r="214" spans="1:21" x14ac:dyDescent="0.25">
      <c r="A214" s="54">
        <f t="shared" si="35"/>
        <v>210</v>
      </c>
      <c r="B214" s="1">
        <v>45019</v>
      </c>
      <c r="C214" s="7">
        <f t="shared" si="36"/>
        <v>2023</v>
      </c>
      <c r="D214" s="55">
        <f t="shared" si="37"/>
        <v>4</v>
      </c>
      <c r="E214" s="61">
        <v>18.056000000000001</v>
      </c>
      <c r="F214" s="2">
        <v>53.61</v>
      </c>
      <c r="G214" s="2">
        <v>41.06</v>
      </c>
      <c r="H214" s="2">
        <v>9.75</v>
      </c>
      <c r="I214" s="2">
        <v>261.93</v>
      </c>
      <c r="J214" s="2">
        <v>21.05</v>
      </c>
      <c r="K214" s="2">
        <v>352.56</v>
      </c>
      <c r="L214" s="2">
        <v>102.41</v>
      </c>
      <c r="M214" s="2">
        <v>194.77</v>
      </c>
      <c r="N214" s="72">
        <f t="shared" si="38"/>
        <v>-5.5928411633110464E-4</v>
      </c>
      <c r="O214" s="73">
        <f t="shared" si="39"/>
        <v>-2.1682153919466152E-2</v>
      </c>
      <c r="P214" s="73">
        <f t="shared" si="40"/>
        <v>-1.4155712841253831E-2</v>
      </c>
      <c r="Q214" s="73">
        <f t="shared" si="41"/>
        <v>-1.455981941309259E-2</v>
      </c>
      <c r="R214" s="73">
        <f t="shared" si="42"/>
        <v>-5.1801801801801717E-2</v>
      </c>
      <c r="S214" s="73">
        <f t="shared" si="43"/>
        <v>5.5617352614014681E-3</v>
      </c>
      <c r="T214" s="73">
        <f t="shared" si="44"/>
        <v>-5.9818064447466623E-3</v>
      </c>
      <c r="U214" s="74">
        <f t="shared" si="45"/>
        <v>-5.8765287733840599E-2</v>
      </c>
    </row>
    <row r="215" spans="1:21" x14ac:dyDescent="0.25">
      <c r="A215" s="54">
        <f t="shared" si="35"/>
        <v>211</v>
      </c>
      <c r="B215" s="1">
        <v>45016</v>
      </c>
      <c r="C215" s="7">
        <f t="shared" si="36"/>
        <v>2023</v>
      </c>
      <c r="D215" s="55">
        <f t="shared" si="37"/>
        <v>3</v>
      </c>
      <c r="E215" s="61">
        <v>18.009899999999998</v>
      </c>
      <c r="F215" s="2">
        <v>53.64</v>
      </c>
      <c r="G215" s="2">
        <v>41.97</v>
      </c>
      <c r="H215" s="2">
        <v>9.89</v>
      </c>
      <c r="I215" s="2">
        <v>265.8</v>
      </c>
      <c r="J215" s="2">
        <v>22.2</v>
      </c>
      <c r="K215" s="2">
        <v>350.61</v>
      </c>
      <c r="L215" s="2">
        <v>103.29</v>
      </c>
      <c r="M215" s="2">
        <v>207.46</v>
      </c>
      <c r="N215" s="72">
        <f t="shared" si="38"/>
        <v>-5.7460611677480067E-3</v>
      </c>
      <c r="O215" s="73">
        <f t="shared" si="39"/>
        <v>-2.6140684410645987E-3</v>
      </c>
      <c r="P215" s="73">
        <f t="shared" si="40"/>
        <v>1.0214504596527174E-2</v>
      </c>
      <c r="Q215" s="73">
        <f t="shared" si="41"/>
        <v>-1.1712214166201829E-2</v>
      </c>
      <c r="R215" s="73">
        <f t="shared" si="42"/>
        <v>1.4625228519195677E-2</v>
      </c>
      <c r="S215" s="73">
        <f t="shared" si="43"/>
        <v>-5.1923731699011766E-3</v>
      </c>
      <c r="T215" s="73">
        <f t="shared" si="44"/>
        <v>8.9440288064772666E-3</v>
      </c>
      <c r="U215" s="74">
        <f t="shared" si="45"/>
        <v>5.8487115464687767E-2</v>
      </c>
    </row>
    <row r="216" spans="1:21" x14ac:dyDescent="0.25">
      <c r="A216" s="54">
        <f t="shared" si="35"/>
        <v>212</v>
      </c>
      <c r="B216" s="1">
        <v>45015</v>
      </c>
      <c r="C216" s="7">
        <f t="shared" si="36"/>
        <v>2023</v>
      </c>
      <c r="D216" s="55">
        <f t="shared" si="37"/>
        <v>3</v>
      </c>
      <c r="E216" s="61">
        <v>18.076000000000001</v>
      </c>
      <c r="F216" s="2">
        <v>53.95</v>
      </c>
      <c r="G216" s="2">
        <v>42.08</v>
      </c>
      <c r="H216" s="2">
        <v>9.7899999999999991</v>
      </c>
      <c r="I216" s="2">
        <v>268.95</v>
      </c>
      <c r="J216" s="2">
        <v>21.88</v>
      </c>
      <c r="K216" s="2">
        <v>352.44</v>
      </c>
      <c r="L216" s="2">
        <v>102</v>
      </c>
      <c r="M216" s="2">
        <v>195.28</v>
      </c>
      <c r="N216" s="72">
        <f t="shared" si="38"/>
        <v>6.9055617767823652E-3</v>
      </c>
      <c r="O216" s="73">
        <f t="shared" si="39"/>
        <v>3.3381020505485193E-3</v>
      </c>
      <c r="P216" s="73">
        <f t="shared" si="40"/>
        <v>9.2783505154638846E-3</v>
      </c>
      <c r="Q216" s="73">
        <f t="shared" si="41"/>
        <v>3.0144017159491332E-2</v>
      </c>
      <c r="R216" s="73">
        <f t="shared" si="42"/>
        <v>1.9571295433364222E-2</v>
      </c>
      <c r="S216" s="73">
        <f t="shared" si="43"/>
        <v>-5.3901509806688619E-3</v>
      </c>
      <c r="T216" s="73">
        <f t="shared" si="44"/>
        <v>1.7028752412803216E-2</v>
      </c>
      <c r="U216" s="74">
        <f t="shared" si="45"/>
        <v>6.7976563636500398E-3</v>
      </c>
    </row>
    <row r="217" spans="1:21" x14ac:dyDescent="0.25">
      <c r="A217" s="54">
        <f t="shared" si="35"/>
        <v>213</v>
      </c>
      <c r="B217" s="1">
        <v>45014</v>
      </c>
      <c r="C217" s="7">
        <f t="shared" si="36"/>
        <v>2023</v>
      </c>
      <c r="D217" s="55">
        <f t="shared" si="37"/>
        <v>3</v>
      </c>
      <c r="E217" s="61">
        <v>18.083600000000001</v>
      </c>
      <c r="F217" s="2">
        <v>53.58</v>
      </c>
      <c r="G217" s="2">
        <v>41.94</v>
      </c>
      <c r="H217" s="2">
        <v>9.6999999999999993</v>
      </c>
      <c r="I217" s="2">
        <v>261.08</v>
      </c>
      <c r="J217" s="2">
        <v>21.46</v>
      </c>
      <c r="K217" s="2">
        <v>354.35</v>
      </c>
      <c r="L217" s="2">
        <v>100.25</v>
      </c>
      <c r="M217" s="2">
        <v>193.88</v>
      </c>
      <c r="N217" s="72">
        <f t="shared" si="38"/>
        <v>9.2296100960631566E-3</v>
      </c>
      <c r="O217" s="73">
        <f t="shared" si="39"/>
        <v>-1.779859484777524E-2</v>
      </c>
      <c r="P217" s="73">
        <f t="shared" si="40"/>
        <v>3.7433155080213831E-2</v>
      </c>
      <c r="Q217" s="73">
        <f t="shared" si="41"/>
        <v>-3.4253162684027449E-2</v>
      </c>
      <c r="R217" s="73">
        <f t="shared" si="42"/>
        <v>2.0446980504041923E-2</v>
      </c>
      <c r="S217" s="73">
        <f t="shared" si="43"/>
        <v>4.4503656669880876E-3</v>
      </c>
      <c r="T217" s="73">
        <f t="shared" si="44"/>
        <v>2.2955604872816116E-2</v>
      </c>
      <c r="U217" s="74">
        <f t="shared" si="45"/>
        <v>1.6838986159391167E-2</v>
      </c>
    </row>
    <row r="218" spans="1:21" x14ac:dyDescent="0.25">
      <c r="A218" s="54">
        <f t="shared" si="35"/>
        <v>214</v>
      </c>
      <c r="B218" s="1">
        <v>45013</v>
      </c>
      <c r="C218" s="7">
        <f t="shared" si="36"/>
        <v>2023</v>
      </c>
      <c r="D218" s="55">
        <f t="shared" si="37"/>
        <v>3</v>
      </c>
      <c r="E218" s="61">
        <v>18.225000000000001</v>
      </c>
      <c r="F218" s="2">
        <v>53.09</v>
      </c>
      <c r="G218" s="2">
        <v>42.7</v>
      </c>
      <c r="H218" s="2">
        <v>9.35</v>
      </c>
      <c r="I218" s="2">
        <v>270.33999999999997</v>
      </c>
      <c r="J218" s="2">
        <v>21.03</v>
      </c>
      <c r="K218" s="2">
        <v>352.78</v>
      </c>
      <c r="L218" s="2">
        <v>97.24</v>
      </c>
      <c r="M218" s="2">
        <v>189.19</v>
      </c>
      <c r="N218" s="72">
        <f t="shared" si="38"/>
        <v>6.8272330741514509E-3</v>
      </c>
      <c r="O218" s="73">
        <f t="shared" si="39"/>
        <v>1.7635843660629202E-2</v>
      </c>
      <c r="P218" s="73">
        <f t="shared" si="40"/>
        <v>1.4099783080260275E-2</v>
      </c>
      <c r="Q218" s="73">
        <f t="shared" si="41"/>
        <v>5.0761815920397968E-2</v>
      </c>
      <c r="R218" s="73">
        <f t="shared" si="42"/>
        <v>1.0571840461316873E-2</v>
      </c>
      <c r="S218" s="73">
        <f t="shared" si="43"/>
        <v>2.9653843908703514E-2</v>
      </c>
      <c r="T218" s="73">
        <f t="shared" si="44"/>
        <v>-1.4029771199253749E-2</v>
      </c>
      <c r="U218" s="74">
        <f t="shared" si="45"/>
        <v>-1.9496640631560536E-2</v>
      </c>
    </row>
    <row r="219" spans="1:21" x14ac:dyDescent="0.25">
      <c r="A219" s="54">
        <f t="shared" si="35"/>
        <v>215</v>
      </c>
      <c r="B219" s="1">
        <v>45012</v>
      </c>
      <c r="C219" s="7">
        <f t="shared" si="36"/>
        <v>2023</v>
      </c>
      <c r="D219" s="55">
        <f t="shared" si="37"/>
        <v>3</v>
      </c>
      <c r="E219" s="61">
        <v>18.333500000000001</v>
      </c>
      <c r="F219" s="2">
        <v>52.73</v>
      </c>
      <c r="G219" s="2">
        <v>41.96</v>
      </c>
      <c r="H219" s="2">
        <v>9.2200000000000006</v>
      </c>
      <c r="I219" s="2">
        <v>257.27999999999997</v>
      </c>
      <c r="J219" s="2">
        <v>20.81</v>
      </c>
      <c r="K219" s="2">
        <v>342.62</v>
      </c>
      <c r="L219" s="2">
        <v>98.04</v>
      </c>
      <c r="M219" s="2">
        <v>191.81</v>
      </c>
      <c r="N219" s="72">
        <f t="shared" si="38"/>
        <v>1.7097264437688775E-3</v>
      </c>
      <c r="O219" s="73">
        <f t="shared" si="39"/>
        <v>2.717258261933897E-2</v>
      </c>
      <c r="P219" s="73">
        <f t="shared" si="40"/>
        <v>-2.1645021645021467E-3</v>
      </c>
      <c r="Q219" s="73">
        <f t="shared" si="41"/>
        <v>-3.8866648529034542E-5</v>
      </c>
      <c r="R219" s="73">
        <f t="shared" si="42"/>
        <v>6.7731011127236673E-3</v>
      </c>
      <c r="S219" s="73">
        <f t="shared" si="43"/>
        <v>1.7129286032358637E-2</v>
      </c>
      <c r="T219" s="73">
        <f t="shared" si="44"/>
        <v>-5.2848149612481077E-3</v>
      </c>
      <c r="U219" s="74">
        <f t="shared" si="45"/>
        <v>2.948738314781929E-3</v>
      </c>
    </row>
    <row r="220" spans="1:21" x14ac:dyDescent="0.25">
      <c r="A220" s="54">
        <f t="shared" si="35"/>
        <v>216</v>
      </c>
      <c r="B220" s="1">
        <v>45009</v>
      </c>
      <c r="C220" s="7">
        <f t="shared" si="36"/>
        <v>2023</v>
      </c>
      <c r="D220" s="55">
        <f t="shared" si="37"/>
        <v>3</v>
      </c>
      <c r="E220" s="61">
        <v>18.414000000000001</v>
      </c>
      <c r="F220" s="2">
        <v>52.64</v>
      </c>
      <c r="G220" s="2">
        <v>40.85</v>
      </c>
      <c r="H220" s="2">
        <v>9.24</v>
      </c>
      <c r="I220" s="2">
        <v>257.29000000000002</v>
      </c>
      <c r="J220" s="2">
        <v>20.67</v>
      </c>
      <c r="K220" s="2">
        <v>336.85</v>
      </c>
      <c r="L220" s="2">
        <v>98.13</v>
      </c>
      <c r="M220" s="2">
        <v>190.41</v>
      </c>
      <c r="N220" s="72">
        <f t="shared" si="38"/>
        <v>-1.7068082685377517E-3</v>
      </c>
      <c r="O220" s="73">
        <f t="shared" si="39"/>
        <v>-3.9014874420871815E-3</v>
      </c>
      <c r="P220" s="73">
        <f t="shared" si="40"/>
        <v>-2.0148462354188656E-2</v>
      </c>
      <c r="Q220" s="73">
        <f t="shared" si="41"/>
        <v>-3.1383184812088238E-3</v>
      </c>
      <c r="R220" s="73">
        <f t="shared" si="42"/>
        <v>-7.2046109510085499E-3</v>
      </c>
      <c r="S220" s="73">
        <f t="shared" si="43"/>
        <v>2.0525940028557343E-3</v>
      </c>
      <c r="T220" s="73">
        <f t="shared" si="44"/>
        <v>-1.335573368687859E-2</v>
      </c>
      <c r="U220" s="74">
        <f t="shared" si="45"/>
        <v>-1.6869590515337762E-2</v>
      </c>
    </row>
    <row r="221" spans="1:21" x14ac:dyDescent="0.25">
      <c r="A221" s="54">
        <f t="shared" si="35"/>
        <v>217</v>
      </c>
      <c r="B221" s="1">
        <v>45008</v>
      </c>
      <c r="C221" s="7">
        <f t="shared" si="36"/>
        <v>2023</v>
      </c>
      <c r="D221" s="55">
        <f t="shared" si="37"/>
        <v>3</v>
      </c>
      <c r="E221" s="61">
        <v>18.553599999999999</v>
      </c>
      <c r="F221" s="2">
        <v>52.73</v>
      </c>
      <c r="G221" s="2">
        <v>41.01</v>
      </c>
      <c r="H221" s="2">
        <v>9.43</v>
      </c>
      <c r="I221" s="2">
        <v>258.10000000000002</v>
      </c>
      <c r="J221" s="2">
        <v>20.82</v>
      </c>
      <c r="K221" s="2">
        <v>336.16</v>
      </c>
      <c r="L221" s="2">
        <v>98.71</v>
      </c>
      <c r="M221" s="2">
        <v>192.22</v>
      </c>
      <c r="N221" s="72">
        <f t="shared" si="38"/>
        <v>6.4897881275052249E-3</v>
      </c>
      <c r="O221" s="73">
        <f t="shared" si="39"/>
        <v>1.1843079200592133E-2</v>
      </c>
      <c r="P221" s="73">
        <f t="shared" si="40"/>
        <v>1.0718113612004254E-2</v>
      </c>
      <c r="Q221" s="73">
        <f t="shared" si="41"/>
        <v>-5.5099603128730967E-3</v>
      </c>
      <c r="R221" s="73">
        <f t="shared" si="42"/>
        <v>8.2324455205811109E-3</v>
      </c>
      <c r="S221" s="73">
        <f t="shared" si="43"/>
        <v>5.1729808928624443E-3</v>
      </c>
      <c r="T221" s="73">
        <f t="shared" si="44"/>
        <v>-2.7152640349483725E-3</v>
      </c>
      <c r="U221" s="74">
        <f t="shared" si="45"/>
        <v>2.765637550393274E-3</v>
      </c>
    </row>
    <row r="222" spans="1:21" x14ac:dyDescent="0.25">
      <c r="A222" s="54">
        <f t="shared" si="35"/>
        <v>218</v>
      </c>
      <c r="B222" s="1">
        <v>45007</v>
      </c>
      <c r="C222" s="7">
        <f t="shared" si="36"/>
        <v>2023</v>
      </c>
      <c r="D222" s="55">
        <f t="shared" si="37"/>
        <v>3</v>
      </c>
      <c r="E222" s="61">
        <v>18.606000000000002</v>
      </c>
      <c r="F222" s="2">
        <v>52.39</v>
      </c>
      <c r="G222" s="2">
        <v>40.53</v>
      </c>
      <c r="H222" s="2">
        <v>9.33</v>
      </c>
      <c r="I222" s="2">
        <v>259.52999999999997</v>
      </c>
      <c r="J222" s="2">
        <v>20.65</v>
      </c>
      <c r="K222" s="2">
        <v>334.43</v>
      </c>
      <c r="L222" s="2">
        <v>98.7</v>
      </c>
      <c r="M222" s="2">
        <v>191.15</v>
      </c>
      <c r="N222" s="72">
        <f t="shared" si="38"/>
        <v>-1.7149390243901275E-3</v>
      </c>
      <c r="O222" s="73">
        <f t="shared" si="39"/>
        <v>2.8680203045685415E-2</v>
      </c>
      <c r="P222" s="73">
        <f t="shared" si="40"/>
        <v>1.0729613733906351E-3</v>
      </c>
      <c r="Q222" s="73">
        <f t="shared" si="41"/>
        <v>8.1967213114753079E-3</v>
      </c>
      <c r="R222" s="73">
        <f t="shared" si="42"/>
        <v>1.9249753208292031E-2</v>
      </c>
      <c r="S222" s="73">
        <f t="shared" si="43"/>
        <v>8.5343787696019469E-3</v>
      </c>
      <c r="T222" s="73">
        <f t="shared" si="44"/>
        <v>-1.7981382592922257E-2</v>
      </c>
      <c r="U222" s="74">
        <f t="shared" si="45"/>
        <v>-3.1554826800748836E-2</v>
      </c>
    </row>
    <row r="223" spans="1:21" x14ac:dyDescent="0.25">
      <c r="A223" s="54">
        <f t="shared" si="35"/>
        <v>219</v>
      </c>
      <c r="B223" s="1">
        <v>45006</v>
      </c>
      <c r="C223" s="7">
        <f t="shared" si="36"/>
        <v>2023</v>
      </c>
      <c r="D223" s="55">
        <f t="shared" si="37"/>
        <v>3</v>
      </c>
      <c r="E223" s="61">
        <v>18.587</v>
      </c>
      <c r="F223" s="2">
        <v>52.48</v>
      </c>
      <c r="G223" s="2">
        <v>39.4</v>
      </c>
      <c r="H223" s="2">
        <v>9.32</v>
      </c>
      <c r="I223" s="2">
        <v>257.42</v>
      </c>
      <c r="J223" s="2">
        <v>20.260000000000002</v>
      </c>
      <c r="K223" s="2">
        <v>331.6</v>
      </c>
      <c r="L223" s="2">
        <v>100.61</v>
      </c>
      <c r="M223" s="2">
        <v>197.58</v>
      </c>
      <c r="N223" s="72">
        <f t="shared" si="38"/>
        <v>1.3714506470928978E-2</v>
      </c>
      <c r="O223" s="73">
        <f t="shared" si="39"/>
        <v>-1.228378039608935E-2</v>
      </c>
      <c r="P223" s="73">
        <f t="shared" si="40"/>
        <v>1.5250544662309462E-2</v>
      </c>
      <c r="Q223" s="73">
        <f t="shared" si="41"/>
        <v>-9.3896713615023719E-3</v>
      </c>
      <c r="R223" s="73">
        <f t="shared" si="42"/>
        <v>4.6487603305785274E-2</v>
      </c>
      <c r="S223" s="73">
        <f t="shared" si="43"/>
        <v>-1.0267430754536733E-2</v>
      </c>
      <c r="T223" s="73">
        <f t="shared" si="44"/>
        <v>8.3770015710959989E-4</v>
      </c>
      <c r="U223" s="74">
        <f t="shared" si="45"/>
        <v>7.9680450736505204E-2</v>
      </c>
    </row>
    <row r="224" spans="1:21" x14ac:dyDescent="0.25">
      <c r="A224" s="54">
        <f t="shared" si="35"/>
        <v>220</v>
      </c>
      <c r="B224" s="1">
        <v>45002</v>
      </c>
      <c r="C224" s="7">
        <f t="shared" si="36"/>
        <v>2023</v>
      </c>
      <c r="D224" s="55">
        <f t="shared" si="37"/>
        <v>3</v>
      </c>
      <c r="E224" s="61">
        <v>18.882999999999999</v>
      </c>
      <c r="F224" s="2">
        <v>51.77</v>
      </c>
      <c r="G224" s="2">
        <v>39.89</v>
      </c>
      <c r="H224" s="2">
        <v>9.18</v>
      </c>
      <c r="I224" s="2">
        <v>259.86</v>
      </c>
      <c r="J224" s="2">
        <v>19.36</v>
      </c>
      <c r="K224" s="2">
        <v>335.04</v>
      </c>
      <c r="L224" s="2">
        <v>98.95</v>
      </c>
      <c r="M224" s="2">
        <v>180.13</v>
      </c>
      <c r="N224" s="72">
        <f t="shared" si="38"/>
        <v>-1.2022900763358657E-2</v>
      </c>
      <c r="O224" s="73">
        <f t="shared" si="39"/>
        <v>-6.9703759024147827E-3</v>
      </c>
      <c r="P224" s="73">
        <f t="shared" si="40"/>
        <v>-1.2903225806451757E-2</v>
      </c>
      <c r="Q224" s="73">
        <f t="shared" si="41"/>
        <v>8.8555630026809773E-2</v>
      </c>
      <c r="R224" s="73">
        <f t="shared" si="42"/>
        <v>-3.8728897715988087E-2</v>
      </c>
      <c r="S224" s="73">
        <f t="shared" si="43"/>
        <v>-6.4940841562138862E-3</v>
      </c>
      <c r="T224" s="73">
        <f t="shared" si="44"/>
        <v>-1.3390012479100877E-3</v>
      </c>
      <c r="U224" s="74">
        <f t="shared" si="45"/>
        <v>-1.2271762167857525E-2</v>
      </c>
    </row>
    <row r="225" spans="1:21" x14ac:dyDescent="0.25">
      <c r="A225" s="54">
        <f t="shared" si="35"/>
        <v>221</v>
      </c>
      <c r="B225" s="1">
        <v>45001</v>
      </c>
      <c r="C225" s="7">
        <f t="shared" si="36"/>
        <v>2023</v>
      </c>
      <c r="D225" s="55">
        <f t="shared" si="37"/>
        <v>3</v>
      </c>
      <c r="E225" s="61">
        <v>18.702300000000001</v>
      </c>
      <c r="F225" s="2">
        <v>52.4</v>
      </c>
      <c r="G225" s="2">
        <v>40.17</v>
      </c>
      <c r="H225" s="2">
        <v>9.3000000000000007</v>
      </c>
      <c r="I225" s="2">
        <v>238.72</v>
      </c>
      <c r="J225" s="2">
        <v>20.14</v>
      </c>
      <c r="K225" s="2">
        <v>337.23</v>
      </c>
      <c r="L225" s="2">
        <v>100.04</v>
      </c>
      <c r="M225" s="2">
        <v>184.13</v>
      </c>
      <c r="N225" s="72">
        <f t="shared" si="38"/>
        <v>8.0800307810697802E-3</v>
      </c>
      <c r="O225" s="73">
        <f t="shared" si="39"/>
        <v>1.1583983883152849E-2</v>
      </c>
      <c r="P225" s="73">
        <f t="shared" si="40"/>
        <v>1.0869565217391353E-2</v>
      </c>
      <c r="Q225" s="73">
        <f t="shared" si="41"/>
        <v>-1.7087330670729206E-2</v>
      </c>
      <c r="R225" s="73">
        <f t="shared" si="42"/>
        <v>1.9746835443037902E-2</v>
      </c>
      <c r="S225" s="73">
        <f t="shared" si="43"/>
        <v>9.8823106639116531E-3</v>
      </c>
      <c r="T225" s="73">
        <f t="shared" si="44"/>
        <v>2.5896154910444835E-2</v>
      </c>
      <c r="U225" s="74">
        <f t="shared" si="45"/>
        <v>6.6359998617404603E-3</v>
      </c>
    </row>
    <row r="226" spans="1:21" x14ac:dyDescent="0.25">
      <c r="A226" s="54">
        <f t="shared" si="35"/>
        <v>222</v>
      </c>
      <c r="B226" s="1">
        <v>45000</v>
      </c>
      <c r="C226" s="7">
        <f t="shared" si="36"/>
        <v>2023</v>
      </c>
      <c r="D226" s="55">
        <f t="shared" si="37"/>
        <v>3</v>
      </c>
      <c r="E226" s="61">
        <v>18.957899999999999</v>
      </c>
      <c r="F226" s="2">
        <v>51.98</v>
      </c>
      <c r="G226" s="2">
        <v>39.71</v>
      </c>
      <c r="H226" s="2">
        <v>9.1999999999999993</v>
      </c>
      <c r="I226" s="2">
        <v>242.87</v>
      </c>
      <c r="J226" s="2">
        <v>19.75</v>
      </c>
      <c r="K226" s="2">
        <v>333.93</v>
      </c>
      <c r="L226" s="2">
        <v>96.2</v>
      </c>
      <c r="M226" s="2">
        <v>180.45</v>
      </c>
      <c r="N226" s="72">
        <f t="shared" si="38"/>
        <v>-1.1599163339037988E-2</v>
      </c>
      <c r="O226" s="73">
        <f t="shared" si="39"/>
        <v>-2.1680216802168029E-2</v>
      </c>
      <c r="P226" s="73">
        <f t="shared" si="40"/>
        <v>-1.8143009605122717E-2</v>
      </c>
      <c r="Q226" s="73">
        <f t="shared" si="41"/>
        <v>2.0590830776988645E-2</v>
      </c>
      <c r="R226" s="73">
        <f t="shared" si="42"/>
        <v>-1.5944195316392684E-2</v>
      </c>
      <c r="S226" s="73">
        <f t="shared" si="43"/>
        <v>-2.3110903080478584E-2</v>
      </c>
      <c r="T226" s="73">
        <f t="shared" si="44"/>
        <v>3.3983409657061703E-2</v>
      </c>
      <c r="U226" s="74">
        <f t="shared" si="45"/>
        <v>4.158753984255581E-3</v>
      </c>
    </row>
    <row r="227" spans="1:21" x14ac:dyDescent="0.25">
      <c r="A227" s="54">
        <f t="shared" si="35"/>
        <v>223</v>
      </c>
      <c r="B227" s="1">
        <v>44999</v>
      </c>
      <c r="C227" s="7">
        <f t="shared" si="36"/>
        <v>2023</v>
      </c>
      <c r="D227" s="55">
        <f t="shared" si="37"/>
        <v>3</v>
      </c>
      <c r="E227" s="61">
        <v>18.5899</v>
      </c>
      <c r="F227" s="2">
        <v>52.59</v>
      </c>
      <c r="G227" s="2">
        <v>40.590000000000003</v>
      </c>
      <c r="H227" s="2">
        <v>9.3699999999999992</v>
      </c>
      <c r="I227" s="2">
        <v>237.97</v>
      </c>
      <c r="J227" s="2">
        <v>20.07</v>
      </c>
      <c r="K227" s="2">
        <v>341.83</v>
      </c>
      <c r="L227" s="2">
        <v>94.88</v>
      </c>
      <c r="M227" s="2">
        <v>183.26</v>
      </c>
      <c r="N227" s="72">
        <f t="shared" si="38"/>
        <v>-6.0480060480059272E-3</v>
      </c>
      <c r="O227" s="73">
        <f t="shared" si="39"/>
        <v>-9.7584776774822801E-3</v>
      </c>
      <c r="P227" s="73">
        <f t="shared" si="40"/>
        <v>-7.4152542372881713E-3</v>
      </c>
      <c r="Q227" s="73">
        <f t="shared" si="41"/>
        <v>5.8328754385224002E-3</v>
      </c>
      <c r="R227" s="73">
        <f t="shared" si="42"/>
        <v>-7.4183976261127382E-3</v>
      </c>
      <c r="S227" s="73">
        <f t="shared" si="43"/>
        <v>-8.2685389346640603E-3</v>
      </c>
      <c r="T227" s="73">
        <f t="shared" si="44"/>
        <v>9.5039956661278069E-3</v>
      </c>
      <c r="U227" s="74">
        <f t="shared" si="45"/>
        <v>3.2923953712094223E-2</v>
      </c>
    </row>
    <row r="228" spans="1:21" x14ac:dyDescent="0.25">
      <c r="A228" s="54">
        <f t="shared" si="35"/>
        <v>224</v>
      </c>
      <c r="B228" s="1">
        <v>44998</v>
      </c>
      <c r="C228" s="7">
        <f t="shared" si="36"/>
        <v>2023</v>
      </c>
      <c r="D228" s="55">
        <f t="shared" si="37"/>
        <v>3</v>
      </c>
      <c r="E228" s="61">
        <v>18.902999999999999</v>
      </c>
      <c r="F228" s="2">
        <v>52.91</v>
      </c>
      <c r="G228" s="2">
        <v>40.99</v>
      </c>
      <c r="H228" s="2">
        <v>9.44</v>
      </c>
      <c r="I228" s="2">
        <v>236.59</v>
      </c>
      <c r="J228" s="2">
        <v>20.22</v>
      </c>
      <c r="K228" s="2">
        <v>344.68</v>
      </c>
      <c r="L228" s="2">
        <v>92.43</v>
      </c>
      <c r="M228" s="2">
        <v>174.48</v>
      </c>
      <c r="N228" s="72">
        <f t="shared" si="38"/>
        <v>4.747436384352488E-3</v>
      </c>
      <c r="O228" s="73">
        <f t="shared" si="39"/>
        <v>1.9555120997312159E-3</v>
      </c>
      <c r="P228" s="73">
        <f t="shared" si="40"/>
        <v>2.0540540540540553E-2</v>
      </c>
      <c r="Q228" s="73">
        <f t="shared" si="41"/>
        <v>5.6818689417965862E-2</v>
      </c>
      <c r="R228" s="73">
        <f t="shared" si="42"/>
        <v>-3.1145184475323551E-2</v>
      </c>
      <c r="S228" s="73">
        <f t="shared" si="43"/>
        <v>2.1819044230997342E-2</v>
      </c>
      <c r="T228" s="73">
        <f t="shared" si="44"/>
        <v>4.2055402714776591E-2</v>
      </c>
      <c r="U228" s="74">
        <f t="shared" si="45"/>
        <v>2.9023173551540493E-2</v>
      </c>
    </row>
    <row r="229" spans="1:21" x14ac:dyDescent="0.25">
      <c r="A229" s="54">
        <f t="shared" si="35"/>
        <v>225</v>
      </c>
      <c r="B229" s="1">
        <v>44995</v>
      </c>
      <c r="C229" s="7">
        <f t="shared" si="36"/>
        <v>2023</v>
      </c>
      <c r="D229" s="55">
        <f t="shared" si="37"/>
        <v>3</v>
      </c>
      <c r="E229" s="61">
        <v>18.48</v>
      </c>
      <c r="F229" s="2">
        <v>52.66</v>
      </c>
      <c r="G229" s="2">
        <v>40.909999999999997</v>
      </c>
      <c r="H229" s="2">
        <v>9.25</v>
      </c>
      <c r="I229" s="2">
        <v>223.87</v>
      </c>
      <c r="J229" s="2">
        <v>20.87</v>
      </c>
      <c r="K229" s="2">
        <v>337.32</v>
      </c>
      <c r="L229" s="2">
        <v>90.73</v>
      </c>
      <c r="M229" s="2">
        <v>173.44</v>
      </c>
      <c r="N229" s="72">
        <f t="shared" si="38"/>
        <v>-1.1265490048817162E-2</v>
      </c>
      <c r="O229" s="73">
        <f t="shared" si="39"/>
        <v>-1.6350084154845068E-2</v>
      </c>
      <c r="P229" s="73">
        <f t="shared" si="40"/>
        <v>-3.5453597497393075E-2</v>
      </c>
      <c r="Q229" s="73">
        <f t="shared" si="41"/>
        <v>6.7002428275924064E-3</v>
      </c>
      <c r="R229" s="73">
        <f t="shared" si="42"/>
        <v>-8.5451358457493409E-2</v>
      </c>
      <c r="S229" s="73">
        <f t="shared" si="43"/>
        <v>5.5446252906456994E-3</v>
      </c>
      <c r="T229" s="73">
        <f t="shared" si="44"/>
        <v>-9.1852545215377335E-3</v>
      </c>
      <c r="U229" s="74">
        <f t="shared" si="45"/>
        <v>1.0443334010246996E-2</v>
      </c>
    </row>
    <row r="230" spans="1:21" x14ac:dyDescent="0.25">
      <c r="A230" s="54">
        <f t="shared" si="35"/>
        <v>226</v>
      </c>
      <c r="B230" s="1">
        <v>44994</v>
      </c>
      <c r="C230" s="7">
        <f t="shared" si="36"/>
        <v>2023</v>
      </c>
      <c r="D230" s="55">
        <f t="shared" si="37"/>
        <v>3</v>
      </c>
      <c r="E230" s="61">
        <v>18.344000000000001</v>
      </c>
      <c r="F230" s="2">
        <v>53.26</v>
      </c>
      <c r="G230" s="2">
        <v>41.59</v>
      </c>
      <c r="H230" s="2">
        <v>9.59</v>
      </c>
      <c r="I230" s="2">
        <v>222.38</v>
      </c>
      <c r="J230" s="2">
        <v>22.82</v>
      </c>
      <c r="K230" s="2">
        <v>335.46</v>
      </c>
      <c r="L230" s="2">
        <v>92.25</v>
      </c>
      <c r="M230" s="2">
        <v>172.92</v>
      </c>
      <c r="N230" s="72">
        <f t="shared" si="38"/>
        <v>7.5159714393091548E-4</v>
      </c>
      <c r="O230" s="73">
        <f t="shared" si="39"/>
        <v>2.1867321867321987E-2</v>
      </c>
      <c r="P230" s="73">
        <f t="shared" si="40"/>
        <v>-7.2463768115942351E-3</v>
      </c>
      <c r="Q230" s="73">
        <f t="shared" si="41"/>
        <v>5.2890918132091347E-3</v>
      </c>
      <c r="R230" s="73">
        <f t="shared" si="42"/>
        <v>5.1612903225806583E-2</v>
      </c>
      <c r="S230" s="73">
        <f t="shared" si="43"/>
        <v>-5.2781401968925445E-3</v>
      </c>
      <c r="T230" s="73">
        <f t="shared" si="44"/>
        <v>2.7729118281070164E-3</v>
      </c>
      <c r="U230" s="74">
        <f t="shared" si="45"/>
        <v>-3.0008024032957215E-2</v>
      </c>
    </row>
    <row r="231" spans="1:21" x14ac:dyDescent="0.25">
      <c r="A231" s="54">
        <f t="shared" si="35"/>
        <v>227</v>
      </c>
      <c r="B231" s="1">
        <v>44993</v>
      </c>
      <c r="C231" s="7">
        <f t="shared" si="36"/>
        <v>2023</v>
      </c>
      <c r="D231" s="55">
        <f t="shared" si="37"/>
        <v>3</v>
      </c>
      <c r="E231" s="61">
        <v>17.968</v>
      </c>
      <c r="F231" s="2">
        <v>53.22</v>
      </c>
      <c r="G231" s="2">
        <v>40.700000000000003</v>
      </c>
      <c r="H231" s="2">
        <v>9.66</v>
      </c>
      <c r="I231" s="2">
        <v>221.21</v>
      </c>
      <c r="J231" s="2">
        <v>21.7</v>
      </c>
      <c r="K231" s="2">
        <v>337.24</v>
      </c>
      <c r="L231" s="2">
        <v>93.92</v>
      </c>
      <c r="M231" s="2">
        <v>182</v>
      </c>
      <c r="N231" s="72">
        <f t="shared" si="38"/>
        <v>5.8590058590060057E-3</v>
      </c>
      <c r="O231" s="73">
        <f t="shared" si="39"/>
        <v>7.4257425742574323E-3</v>
      </c>
      <c r="P231" s="73">
        <f t="shared" si="40"/>
        <v>4.1580041580042693E-3</v>
      </c>
      <c r="Q231" s="73">
        <f t="shared" si="41"/>
        <v>4.5411198401525965E-3</v>
      </c>
      <c r="R231" s="73">
        <f t="shared" si="42"/>
        <v>-7.3193046660566807E-3</v>
      </c>
      <c r="S231" s="73">
        <f t="shared" si="43"/>
        <v>-3.260708463020956E-4</v>
      </c>
      <c r="T231" s="73">
        <f t="shared" si="44"/>
        <v>-2.8156267182407602E-3</v>
      </c>
      <c r="U231" s="74">
        <f t="shared" si="45"/>
        <v>-3.6958171984653898E-2</v>
      </c>
    </row>
    <row r="232" spans="1:21" x14ac:dyDescent="0.25">
      <c r="A232" s="54">
        <f t="shared" si="35"/>
        <v>228</v>
      </c>
      <c r="B232" s="1">
        <v>44992</v>
      </c>
      <c r="C232" s="7">
        <f t="shared" si="36"/>
        <v>2023</v>
      </c>
      <c r="D232" s="55">
        <f t="shared" si="37"/>
        <v>3</v>
      </c>
      <c r="E232" s="61">
        <v>18.09</v>
      </c>
      <c r="F232" s="2">
        <v>52.91</v>
      </c>
      <c r="G232" s="2">
        <v>40.4</v>
      </c>
      <c r="H232" s="2">
        <v>9.6199999999999992</v>
      </c>
      <c r="I232" s="2">
        <v>220.21</v>
      </c>
      <c r="J232" s="2">
        <v>21.86</v>
      </c>
      <c r="K232" s="2">
        <v>337.35</v>
      </c>
      <c r="L232" s="2">
        <v>93.55</v>
      </c>
      <c r="M232" s="2">
        <v>187.71</v>
      </c>
      <c r="N232" s="72">
        <f t="shared" si="38"/>
        <v>-1.6359918200409052E-2</v>
      </c>
      <c r="O232" s="73">
        <f t="shared" si="39"/>
        <v>-1.5354618571776779E-2</v>
      </c>
      <c r="P232" s="73">
        <f t="shared" si="40"/>
        <v>-3.4136546184739158E-2</v>
      </c>
      <c r="Q232" s="73">
        <f t="shared" si="41"/>
        <v>-5.5014375831437978E-2</v>
      </c>
      <c r="R232" s="73">
        <f t="shared" si="42"/>
        <v>5.057471264367841E-3</v>
      </c>
      <c r="S232" s="73">
        <f t="shared" si="43"/>
        <v>-8.1150216106553597E-3</v>
      </c>
      <c r="T232" s="73">
        <f t="shared" si="44"/>
        <v>3.7482206405692331E-3</v>
      </c>
      <c r="U232" s="74">
        <f t="shared" si="45"/>
        <v>-2.5765508548288407E-2</v>
      </c>
    </row>
    <row r="233" spans="1:21" x14ac:dyDescent="0.25">
      <c r="A233" s="54">
        <f t="shared" si="35"/>
        <v>229</v>
      </c>
      <c r="B233" s="1">
        <v>44991</v>
      </c>
      <c r="C233" s="7">
        <f t="shared" si="36"/>
        <v>2023</v>
      </c>
      <c r="D233" s="55">
        <f t="shared" si="37"/>
        <v>3</v>
      </c>
      <c r="E233" s="61">
        <v>17.984000000000002</v>
      </c>
      <c r="F233" s="2">
        <v>53.79</v>
      </c>
      <c r="G233" s="2">
        <v>41.03</v>
      </c>
      <c r="H233" s="2">
        <v>9.9600000000000009</v>
      </c>
      <c r="I233" s="2">
        <v>233.03</v>
      </c>
      <c r="J233" s="2">
        <v>21.75</v>
      </c>
      <c r="K233" s="2">
        <v>340.11</v>
      </c>
      <c r="L233" s="2">
        <v>93.75</v>
      </c>
      <c r="M233" s="2">
        <v>193.81</v>
      </c>
      <c r="N233" s="72">
        <f t="shared" si="38"/>
        <v>-4.8103607770582091E-3</v>
      </c>
      <c r="O233" s="73">
        <f t="shared" si="39"/>
        <v>2.6881720430107503E-3</v>
      </c>
      <c r="P233" s="73">
        <f t="shared" si="40"/>
        <v>-1.6781836130306038E-2</v>
      </c>
      <c r="Q233" s="73">
        <f t="shared" si="41"/>
        <v>-2.2692241822229731E-3</v>
      </c>
      <c r="R233" s="73">
        <f t="shared" si="42"/>
        <v>1.021830004644686E-2</v>
      </c>
      <c r="S233" s="73">
        <f t="shared" si="43"/>
        <v>-1.7079937575862569E-2</v>
      </c>
      <c r="T233" s="73">
        <f t="shared" si="44"/>
        <v>-9.8606951517882235E-3</v>
      </c>
      <c r="U233" s="74">
        <f t="shared" si="45"/>
        <v>-1.7883318184187535E-2</v>
      </c>
    </row>
    <row r="234" spans="1:21" x14ac:dyDescent="0.25">
      <c r="A234" s="54">
        <f t="shared" si="35"/>
        <v>230</v>
      </c>
      <c r="B234" s="1">
        <v>44988</v>
      </c>
      <c r="C234" s="7">
        <f t="shared" si="36"/>
        <v>2023</v>
      </c>
      <c r="D234" s="55">
        <f t="shared" si="37"/>
        <v>3</v>
      </c>
      <c r="E234" s="61">
        <v>17.943000000000001</v>
      </c>
      <c r="F234" s="2">
        <v>54.05</v>
      </c>
      <c r="G234" s="2">
        <v>40.92</v>
      </c>
      <c r="H234" s="2">
        <v>10.130000000000001</v>
      </c>
      <c r="I234" s="2">
        <v>233.56</v>
      </c>
      <c r="J234" s="2">
        <v>21.53</v>
      </c>
      <c r="K234" s="2">
        <v>346.02</v>
      </c>
      <c r="L234" s="2">
        <v>94.9</v>
      </c>
      <c r="M234" s="2">
        <v>197.79</v>
      </c>
      <c r="N234" s="72">
        <f t="shared" si="38"/>
        <v>1.5786506295808911E-2</v>
      </c>
      <c r="O234" s="73">
        <f t="shared" si="39"/>
        <v>2.5563909774436233E-2</v>
      </c>
      <c r="P234" s="73">
        <f t="shared" si="40"/>
        <v>3.3673469387755173E-2</v>
      </c>
      <c r="Q234" s="73">
        <f t="shared" si="41"/>
        <v>2.799295774647903E-2</v>
      </c>
      <c r="R234" s="73">
        <f t="shared" si="42"/>
        <v>1.6045304388862647E-2</v>
      </c>
      <c r="S234" s="73">
        <f t="shared" si="43"/>
        <v>4.7913581322414078E-3</v>
      </c>
      <c r="T234" s="73">
        <f t="shared" si="44"/>
        <v>2.0342167394770128E-2</v>
      </c>
      <c r="U234" s="74">
        <f t="shared" si="45"/>
        <v>2.6311264904947285E-2</v>
      </c>
    </row>
    <row r="235" spans="1:21" x14ac:dyDescent="0.25">
      <c r="A235" s="54">
        <f t="shared" si="35"/>
        <v>231</v>
      </c>
      <c r="B235" s="1">
        <v>44987</v>
      </c>
      <c r="C235" s="7">
        <f t="shared" si="36"/>
        <v>2023</v>
      </c>
      <c r="D235" s="55">
        <f t="shared" si="37"/>
        <v>3</v>
      </c>
      <c r="E235" s="61">
        <v>18.114000000000001</v>
      </c>
      <c r="F235" s="63">
        <v>53.21</v>
      </c>
      <c r="G235" s="64">
        <v>39.9</v>
      </c>
      <c r="H235" s="64">
        <v>9.8000000000000007</v>
      </c>
      <c r="I235" s="64">
        <v>227.2</v>
      </c>
      <c r="J235" s="64">
        <v>21.19</v>
      </c>
      <c r="K235" s="64">
        <v>344.37</v>
      </c>
      <c r="L235" s="64">
        <v>92.13</v>
      </c>
      <c r="M235" s="64">
        <v>190.9</v>
      </c>
      <c r="N235" s="72">
        <f t="shared" si="38"/>
        <v>-1.6885553470918913E-3</v>
      </c>
      <c r="O235" s="73">
        <f t="shared" si="39"/>
        <v>-6.721433905899965E-3</v>
      </c>
      <c r="P235" s="73">
        <f t="shared" si="40"/>
        <v>4.4776119402984982E-2</v>
      </c>
      <c r="Q235" s="73">
        <f t="shared" si="41"/>
        <v>-2.6480418202073919E-2</v>
      </c>
      <c r="R235" s="73">
        <f t="shared" si="42"/>
        <v>-2.5747126436781564E-2</v>
      </c>
      <c r="S235" s="73">
        <f t="shared" si="43"/>
        <v>1.1046832756766989E-3</v>
      </c>
      <c r="T235" s="73">
        <f t="shared" si="44"/>
        <v>8.3681796584578194E-4</v>
      </c>
      <c r="U235" s="74">
        <f t="shared" si="45"/>
        <v>-5.7342305121821369E-2</v>
      </c>
    </row>
    <row r="236" spans="1:21" x14ac:dyDescent="0.25">
      <c r="A236" s="54">
        <f t="shared" si="35"/>
        <v>232</v>
      </c>
      <c r="B236" s="1">
        <v>44986</v>
      </c>
      <c r="C236" s="7">
        <f t="shared" si="36"/>
        <v>2023</v>
      </c>
      <c r="D236" s="55">
        <f t="shared" si="37"/>
        <v>3</v>
      </c>
      <c r="E236" s="61">
        <v>18.091000000000001</v>
      </c>
      <c r="F236" s="65">
        <v>53.3</v>
      </c>
      <c r="G236" s="2">
        <v>40.17</v>
      </c>
      <c r="H236" s="2">
        <v>9.3800000000000008</v>
      </c>
      <c r="I236" s="2">
        <v>233.38</v>
      </c>
      <c r="J236" s="2">
        <v>21.75</v>
      </c>
      <c r="K236" s="2">
        <v>343.99</v>
      </c>
      <c r="L236" s="2">
        <v>92.17</v>
      </c>
      <c r="M236" s="2">
        <v>202.77</v>
      </c>
      <c r="N236" s="72">
        <f t="shared" si="38"/>
        <v>1.2345679012345734E-2</v>
      </c>
      <c r="O236" s="73">
        <f t="shared" si="39"/>
        <v>1.9955101022699484E-3</v>
      </c>
      <c r="P236" s="73">
        <f t="shared" si="40"/>
        <v>2.4017467248908408E-2</v>
      </c>
      <c r="Q236" s="73">
        <f t="shared" si="41"/>
        <v>6.6100223836279781E-2</v>
      </c>
      <c r="R236" s="73">
        <f t="shared" si="42"/>
        <v>1.8424689083371693E-3</v>
      </c>
      <c r="S236" s="73">
        <f t="shared" si="43"/>
        <v>-1.1437767623645789E-2</v>
      </c>
      <c r="T236" s="73">
        <f t="shared" si="44"/>
        <v>-3.3085330898452447E-2</v>
      </c>
      <c r="U236" s="74">
        <f t="shared" si="45"/>
        <v>-2.5602750027238996E-2</v>
      </c>
    </row>
    <row r="237" spans="1:21" x14ac:dyDescent="0.25">
      <c r="A237" s="54">
        <f t="shared" si="35"/>
        <v>233</v>
      </c>
      <c r="B237" s="1">
        <v>44985</v>
      </c>
      <c r="C237" s="7">
        <f t="shared" si="36"/>
        <v>2023</v>
      </c>
      <c r="D237" s="55">
        <f t="shared" si="37"/>
        <v>2</v>
      </c>
      <c r="E237" s="61">
        <v>18.300999999999998</v>
      </c>
      <c r="F237" s="65">
        <v>52.65</v>
      </c>
      <c r="G237" s="2">
        <v>40.090000000000003</v>
      </c>
      <c r="H237" s="2">
        <v>9.16</v>
      </c>
      <c r="I237" s="2">
        <v>218.91</v>
      </c>
      <c r="J237" s="2">
        <v>21.71</v>
      </c>
      <c r="K237" s="2">
        <v>347.97</v>
      </c>
      <c r="L237" s="2">
        <v>94.23</v>
      </c>
      <c r="M237" s="2">
        <v>205.71</v>
      </c>
      <c r="N237" s="72">
        <f t="shared" si="38"/>
        <v>-3.0297292179511937E-3</v>
      </c>
      <c r="O237" s="73">
        <f t="shared" si="39"/>
        <v>3.7556334501753774E-3</v>
      </c>
      <c r="P237" s="73">
        <f t="shared" si="40"/>
        <v>2.1181716833890585E-2</v>
      </c>
      <c r="Q237" s="73">
        <f t="shared" si="41"/>
        <v>-3.978419159575397E-2</v>
      </c>
      <c r="R237" s="73">
        <f t="shared" si="42"/>
        <v>3.2347504621073053E-3</v>
      </c>
      <c r="S237" s="73">
        <f t="shared" si="43"/>
        <v>1.0365853658536706E-2</v>
      </c>
      <c r="T237" s="73">
        <f t="shared" si="44"/>
        <v>2.3291132324629871E-3</v>
      </c>
      <c r="U237" s="74">
        <f t="shared" si="45"/>
        <v>-1.1892825492213377E-2</v>
      </c>
    </row>
    <row r="238" spans="1:21" x14ac:dyDescent="0.25">
      <c r="A238" s="54">
        <f t="shared" si="35"/>
        <v>234</v>
      </c>
      <c r="B238" s="1">
        <v>44984</v>
      </c>
      <c r="C238" s="7">
        <f t="shared" si="36"/>
        <v>2023</v>
      </c>
      <c r="D238" s="55">
        <f t="shared" si="37"/>
        <v>2</v>
      </c>
      <c r="E238" s="61">
        <v>18.350000000000001</v>
      </c>
      <c r="F238" s="65">
        <v>52.81</v>
      </c>
      <c r="G238" s="2">
        <v>39.94</v>
      </c>
      <c r="H238" s="2">
        <v>8.9700000000000006</v>
      </c>
      <c r="I238" s="2">
        <v>227.98</v>
      </c>
      <c r="J238" s="2">
        <v>21.64</v>
      </c>
      <c r="K238" s="2">
        <v>344.4</v>
      </c>
      <c r="L238" s="2">
        <v>93.76</v>
      </c>
      <c r="M238" s="2">
        <v>207.63</v>
      </c>
      <c r="N238" s="72">
        <f t="shared" si="38"/>
        <v>5.9047619047618571E-3</v>
      </c>
      <c r="O238" s="73">
        <f t="shared" si="39"/>
        <v>1.3191273465245956E-2</v>
      </c>
      <c r="P238" s="73">
        <f t="shared" si="40"/>
        <v>8.9988751406073764E-3</v>
      </c>
      <c r="Q238" s="73">
        <f t="shared" si="41"/>
        <v>-1.5885349218682565E-2</v>
      </c>
      <c r="R238" s="73">
        <f t="shared" si="42"/>
        <v>1.9792648444863392E-2</v>
      </c>
      <c r="S238" s="73">
        <f t="shared" si="43"/>
        <v>-5.199306759098854E-3</v>
      </c>
      <c r="T238" s="73">
        <f t="shared" si="44"/>
        <v>5.4519808427588856E-4</v>
      </c>
      <c r="U238" s="74">
        <f t="shared" si="45"/>
        <v>5.225071001042414E-2</v>
      </c>
    </row>
    <row r="239" spans="1:21" x14ac:dyDescent="0.25">
      <c r="A239" s="54">
        <f t="shared" si="35"/>
        <v>235</v>
      </c>
      <c r="B239" s="1">
        <v>44981</v>
      </c>
      <c r="C239" s="7">
        <f t="shared" si="36"/>
        <v>2023</v>
      </c>
      <c r="D239" s="55">
        <f t="shared" si="37"/>
        <v>2</v>
      </c>
      <c r="E239" s="61">
        <v>18.390999999999998</v>
      </c>
      <c r="F239" s="65">
        <v>52.5</v>
      </c>
      <c r="G239" s="2">
        <v>39.42</v>
      </c>
      <c r="H239" s="2">
        <v>8.89</v>
      </c>
      <c r="I239" s="2">
        <v>231.66</v>
      </c>
      <c r="J239" s="2">
        <v>21.22</v>
      </c>
      <c r="K239" s="2">
        <v>346.2</v>
      </c>
      <c r="L239" s="2">
        <v>93.5</v>
      </c>
      <c r="M239" s="2">
        <v>196.88</v>
      </c>
      <c r="N239" s="72">
        <f t="shared" si="38"/>
        <v>-7.7490077490076636E-3</v>
      </c>
      <c r="O239" s="73">
        <f t="shared" si="39"/>
        <v>2.0186335403726829E-2</v>
      </c>
      <c r="P239" s="73">
        <f t="shared" si="40"/>
        <v>-2.2002200220021972E-2</v>
      </c>
      <c r="Q239" s="73">
        <f t="shared" si="41"/>
        <v>-5.5803571428572063E-3</v>
      </c>
      <c r="R239" s="73">
        <f t="shared" si="42"/>
        <v>1.4157621519583774E-3</v>
      </c>
      <c r="S239" s="73">
        <f t="shared" si="43"/>
        <v>-2.7365692063948677E-3</v>
      </c>
      <c r="T239" s="73">
        <f t="shared" si="44"/>
        <v>-2.2564492064596431E-2</v>
      </c>
      <c r="U239" s="74">
        <f t="shared" si="45"/>
        <v>-2.4039082209372675E-2</v>
      </c>
    </row>
    <row r="240" spans="1:21" x14ac:dyDescent="0.25">
      <c r="A240" s="54">
        <f t="shared" si="35"/>
        <v>236</v>
      </c>
      <c r="B240" s="1">
        <v>44980</v>
      </c>
      <c r="C240" s="7">
        <f t="shared" si="36"/>
        <v>2023</v>
      </c>
      <c r="D240" s="55">
        <f t="shared" si="37"/>
        <v>2</v>
      </c>
      <c r="E240" s="61">
        <v>18.36</v>
      </c>
      <c r="F240" s="65">
        <v>52.91</v>
      </c>
      <c r="G240" s="2">
        <v>38.64</v>
      </c>
      <c r="H240" s="2">
        <v>9.09</v>
      </c>
      <c r="I240" s="2">
        <v>232.96</v>
      </c>
      <c r="J240" s="2">
        <v>21.19</v>
      </c>
      <c r="K240" s="2">
        <v>347.15</v>
      </c>
      <c r="L240" s="2">
        <v>95.82</v>
      </c>
      <c r="M240" s="2">
        <v>202.07</v>
      </c>
      <c r="N240" s="72">
        <f t="shared" si="38"/>
        <v>-1.6981132075472027E-3</v>
      </c>
      <c r="O240" s="73">
        <f t="shared" si="39"/>
        <v>-1.5503875968992942E-3</v>
      </c>
      <c r="P240" s="73">
        <f t="shared" si="40"/>
        <v>4.4198895027622864E-3</v>
      </c>
      <c r="Q240" s="73">
        <f t="shared" si="41"/>
        <v>-4.9122207509291194E-3</v>
      </c>
      <c r="R240" s="73">
        <f t="shared" si="42"/>
        <v>1.4846743295019227E-2</v>
      </c>
      <c r="S240" s="73">
        <f t="shared" si="43"/>
        <v>3.555735430157192E-3</v>
      </c>
      <c r="T240" s="73">
        <f t="shared" si="44"/>
        <v>1.1311026599221119E-3</v>
      </c>
      <c r="U240" s="74">
        <f t="shared" si="45"/>
        <v>6.8466835453013797E-3</v>
      </c>
    </row>
    <row r="241" spans="1:21" x14ac:dyDescent="0.25">
      <c r="A241" s="54">
        <f t="shared" si="35"/>
        <v>237</v>
      </c>
      <c r="B241" s="1">
        <v>44979</v>
      </c>
      <c r="C241" s="7">
        <f t="shared" si="36"/>
        <v>2023</v>
      </c>
      <c r="D241" s="55">
        <f t="shared" si="37"/>
        <v>2</v>
      </c>
      <c r="E241" s="61">
        <v>18.344999999999999</v>
      </c>
      <c r="F241" s="65">
        <v>53</v>
      </c>
      <c r="G241" s="2">
        <v>38.700000000000003</v>
      </c>
      <c r="H241" s="2">
        <v>9.0500000000000007</v>
      </c>
      <c r="I241" s="2">
        <v>234.11</v>
      </c>
      <c r="J241" s="2">
        <v>20.88</v>
      </c>
      <c r="K241" s="2">
        <v>345.92</v>
      </c>
      <c r="L241" s="2">
        <v>95.79</v>
      </c>
      <c r="M241" s="2">
        <v>200.86</v>
      </c>
      <c r="N241" s="72">
        <f t="shared" si="38"/>
        <v>-1.8864365214110723E-4</v>
      </c>
      <c r="O241" s="73">
        <f t="shared" si="39"/>
        <v>-1.5479876160989781E-3</v>
      </c>
      <c r="P241" s="73">
        <f t="shared" si="40"/>
        <v>-1.0928961748633892E-2</v>
      </c>
      <c r="Q241" s="73">
        <f t="shared" si="41"/>
        <v>-1.5103071098022558E-2</v>
      </c>
      <c r="R241" s="73">
        <f t="shared" si="42"/>
        <v>2.4533856722276814E-2</v>
      </c>
      <c r="S241" s="73">
        <f t="shared" si="43"/>
        <v>4.3381438528511396E-4</v>
      </c>
      <c r="T241" s="73">
        <f t="shared" si="44"/>
        <v>7.411753360272888E-3</v>
      </c>
      <c r="U241" s="74">
        <f t="shared" si="45"/>
        <v>1.2274896975144944E-2</v>
      </c>
    </row>
    <row r="242" spans="1:21" x14ac:dyDescent="0.25">
      <c r="A242" s="54">
        <f t="shared" si="35"/>
        <v>238</v>
      </c>
      <c r="B242" s="1">
        <v>44978</v>
      </c>
      <c r="C242" s="7">
        <f t="shared" si="36"/>
        <v>2023</v>
      </c>
      <c r="D242" s="55">
        <f t="shared" si="37"/>
        <v>2</v>
      </c>
      <c r="E242" s="61">
        <v>18.443000000000001</v>
      </c>
      <c r="F242" s="65">
        <v>53.01</v>
      </c>
      <c r="G242" s="2">
        <v>38.76</v>
      </c>
      <c r="H242" s="2">
        <v>9.15</v>
      </c>
      <c r="I242" s="2">
        <v>237.7</v>
      </c>
      <c r="J242" s="2">
        <v>20.38</v>
      </c>
      <c r="K242" s="2">
        <v>345.77</v>
      </c>
      <c r="L242" s="2">
        <v>94.58</v>
      </c>
      <c r="M242" s="2">
        <v>197.37</v>
      </c>
      <c r="N242" s="72">
        <f t="shared" si="38"/>
        <v>-1.4500836586726185E-2</v>
      </c>
      <c r="O242" s="73">
        <f t="shared" si="39"/>
        <v>-1.8982536066818545E-2</v>
      </c>
      <c r="P242" s="73">
        <f t="shared" si="40"/>
        <v>-3.1746031746031633E-2</v>
      </c>
      <c r="Q242" s="73">
        <f t="shared" si="41"/>
        <v>-9.8721206314824617E-3</v>
      </c>
      <c r="R242" s="73">
        <f t="shared" si="42"/>
        <v>-3.6406619385342731E-2</v>
      </c>
      <c r="S242" s="73">
        <f t="shared" si="43"/>
        <v>-6.9460143172398903E-2</v>
      </c>
      <c r="T242" s="73">
        <f t="shared" si="44"/>
        <v>-2.3087976684117772E-2</v>
      </c>
      <c r="U242" s="74">
        <f t="shared" si="45"/>
        <v>-4.8752710820759382E-2</v>
      </c>
    </row>
    <row r="243" spans="1:21" x14ac:dyDescent="0.25">
      <c r="A243" s="54">
        <f t="shared" si="35"/>
        <v>239</v>
      </c>
      <c r="B243" s="1">
        <v>44977</v>
      </c>
      <c r="C243" s="7">
        <f t="shared" si="36"/>
        <v>2023</v>
      </c>
      <c r="D243" s="55">
        <f t="shared" si="37"/>
        <v>2</v>
      </c>
      <c r="E243" s="61">
        <v>18.37</v>
      </c>
      <c r="F243" s="65">
        <v>53.79</v>
      </c>
      <c r="G243" s="2">
        <v>39.51</v>
      </c>
      <c r="H243" s="2">
        <v>9.4499999999999993</v>
      </c>
      <c r="I243" s="2">
        <v>240.07</v>
      </c>
      <c r="J243" s="2">
        <v>21.15</v>
      </c>
      <c r="K243" s="2">
        <v>371.58</v>
      </c>
      <c r="L243" s="2">
        <v>97.2</v>
      </c>
      <c r="M243" s="2">
        <v>208.31</v>
      </c>
      <c r="N243" s="72">
        <f t="shared" si="38"/>
        <v>3.3575825405707249E-3</v>
      </c>
      <c r="O243" s="73">
        <f t="shared" si="39"/>
        <v>-1.2639029322548678E-3</v>
      </c>
      <c r="P243" s="73">
        <f t="shared" si="40"/>
        <v>3.1847133757960666E-3</v>
      </c>
      <c r="Q243" s="73">
        <f t="shared" si="41"/>
        <v>4.0148885450210781E-3</v>
      </c>
      <c r="R243" s="73">
        <f t="shared" si="42"/>
        <v>1.4875239923224592E-2</v>
      </c>
      <c r="S243" s="73">
        <f t="shared" si="43"/>
        <v>4.2475591964987069E-2</v>
      </c>
      <c r="T243" s="73">
        <f t="shared" si="44"/>
        <v>1.0353659201134402E-3</v>
      </c>
      <c r="U243" s="74">
        <f t="shared" si="45"/>
        <v>1.0353659201134402E-3</v>
      </c>
    </row>
    <row r="244" spans="1:21" x14ac:dyDescent="0.25">
      <c r="A244" s="54">
        <f t="shared" si="35"/>
        <v>240</v>
      </c>
      <c r="B244" s="1">
        <v>44974</v>
      </c>
      <c r="C244" s="7">
        <f t="shared" si="36"/>
        <v>2023</v>
      </c>
      <c r="D244" s="55">
        <f t="shared" si="37"/>
        <v>2</v>
      </c>
      <c r="E244" s="61">
        <v>18.350999999999999</v>
      </c>
      <c r="F244" s="65">
        <v>53.61</v>
      </c>
      <c r="G244" s="2">
        <v>39.56</v>
      </c>
      <c r="H244" s="2">
        <v>9.42</v>
      </c>
      <c r="I244" s="2">
        <v>239.11</v>
      </c>
      <c r="J244" s="2">
        <v>20.84</v>
      </c>
      <c r="K244" s="2">
        <v>356.44</v>
      </c>
      <c r="L244" s="2">
        <v>97.2</v>
      </c>
      <c r="M244" s="2">
        <v>208.31</v>
      </c>
      <c r="N244" s="72">
        <f t="shared" si="38"/>
        <v>-3.1610264038676172E-3</v>
      </c>
      <c r="O244" s="73">
        <f t="shared" si="39"/>
        <v>-1.9335647000495837E-2</v>
      </c>
      <c r="P244" s="73">
        <f t="shared" si="40"/>
        <v>-1.9771071800208095E-2</v>
      </c>
      <c r="Q244" s="73">
        <f t="shared" si="41"/>
        <v>1.4209365456396394E-2</v>
      </c>
      <c r="R244" s="73">
        <f t="shared" si="42"/>
        <v>-1.5588096362777581E-2</v>
      </c>
      <c r="S244" s="73">
        <f t="shared" si="43"/>
        <v>-4.30191630817367E-3</v>
      </c>
      <c r="T244" s="73">
        <f t="shared" si="44"/>
        <v>-1.8238910856187562E-2</v>
      </c>
      <c r="U244" s="74">
        <f t="shared" si="45"/>
        <v>2.2121711468310989E-2</v>
      </c>
    </row>
    <row r="245" spans="1:21" x14ac:dyDescent="0.25">
      <c r="A245" s="54">
        <f t="shared" si="35"/>
        <v>241</v>
      </c>
      <c r="B245" s="1">
        <v>44973</v>
      </c>
      <c r="C245" s="7">
        <f t="shared" si="36"/>
        <v>2023</v>
      </c>
      <c r="D245" s="55">
        <f t="shared" si="37"/>
        <v>2</v>
      </c>
      <c r="E245" s="61">
        <v>18.510999999999999</v>
      </c>
      <c r="F245" s="65">
        <v>53.78</v>
      </c>
      <c r="G245" s="2">
        <v>40.340000000000003</v>
      </c>
      <c r="H245" s="2">
        <v>9.61</v>
      </c>
      <c r="I245" s="2">
        <v>235.76</v>
      </c>
      <c r="J245" s="2">
        <v>21.17</v>
      </c>
      <c r="K245" s="2">
        <v>357.98</v>
      </c>
      <c r="L245" s="2">
        <v>98.15</v>
      </c>
      <c r="M245" s="2">
        <v>202.04</v>
      </c>
      <c r="N245" s="72">
        <f t="shared" si="38"/>
        <v>1.1092310584696508E-2</v>
      </c>
      <c r="O245" s="73">
        <f t="shared" si="39"/>
        <v>9.7622027534418621E-3</v>
      </c>
      <c r="P245" s="73">
        <f t="shared" si="40"/>
        <v>-2.0387359836901209E-2</v>
      </c>
      <c r="Q245" s="73">
        <f t="shared" si="41"/>
        <v>-9.8278034439310824E-3</v>
      </c>
      <c r="R245" s="73">
        <f t="shared" si="42"/>
        <v>-1.885902876001877E-3</v>
      </c>
      <c r="S245" s="73">
        <f t="shared" si="43"/>
        <v>-6.9627451524313377E-3</v>
      </c>
      <c r="T245" s="73">
        <f t="shared" si="44"/>
        <v>-3.3097815009416887E-2</v>
      </c>
      <c r="U245" s="74">
        <f t="shared" si="45"/>
        <v>-6.0194767795415882E-2</v>
      </c>
    </row>
    <row r="246" spans="1:21" x14ac:dyDescent="0.25">
      <c r="A246" s="54">
        <f t="shared" si="35"/>
        <v>242</v>
      </c>
      <c r="B246" s="1">
        <v>44972</v>
      </c>
      <c r="C246" s="7">
        <f t="shared" si="36"/>
        <v>2023</v>
      </c>
      <c r="D246" s="55">
        <f t="shared" si="37"/>
        <v>2</v>
      </c>
      <c r="E246" s="61">
        <v>18.574999999999999</v>
      </c>
      <c r="F246" s="65">
        <v>53.19</v>
      </c>
      <c r="G246" s="2">
        <v>39.950000000000003</v>
      </c>
      <c r="H246" s="2">
        <v>9.81</v>
      </c>
      <c r="I246" s="2">
        <v>238.1</v>
      </c>
      <c r="J246" s="2">
        <v>21.21</v>
      </c>
      <c r="K246" s="2">
        <v>360.49</v>
      </c>
      <c r="L246" s="2">
        <v>101.16</v>
      </c>
      <c r="M246" s="2">
        <v>214.24</v>
      </c>
      <c r="N246" s="72">
        <f t="shared" si="38"/>
        <v>1.4108674928503318E-2</v>
      </c>
      <c r="O246" s="73">
        <f t="shared" si="39"/>
        <v>-2.9947591714498678E-3</v>
      </c>
      <c r="P246" s="73">
        <f t="shared" si="40"/>
        <v>1.6580310880829119E-2</v>
      </c>
      <c r="Q246" s="73">
        <f t="shared" si="41"/>
        <v>2.5263157894737098E-3</v>
      </c>
      <c r="R246" s="73">
        <f t="shared" si="42"/>
        <v>1.1444921316166035E-2</v>
      </c>
      <c r="S246" s="73">
        <f t="shared" si="43"/>
        <v>7.546326057184416E-3</v>
      </c>
      <c r="T246" s="73">
        <f t="shared" si="44"/>
        <v>1.8151965485349031E-2</v>
      </c>
      <c r="U246" s="74">
        <f t="shared" si="45"/>
        <v>2.7386925543383622E-2</v>
      </c>
    </row>
    <row r="247" spans="1:21" x14ac:dyDescent="0.25">
      <c r="A247" s="54">
        <f t="shared" si="35"/>
        <v>243</v>
      </c>
      <c r="B247" s="1">
        <v>44971</v>
      </c>
      <c r="C247" s="7">
        <f t="shared" si="36"/>
        <v>2023</v>
      </c>
      <c r="D247" s="55">
        <f t="shared" si="37"/>
        <v>2</v>
      </c>
      <c r="E247" s="61">
        <v>18.510999999999999</v>
      </c>
      <c r="F247" s="65">
        <v>52.45</v>
      </c>
      <c r="G247" s="2">
        <v>40.07</v>
      </c>
      <c r="H247" s="2">
        <v>9.65</v>
      </c>
      <c r="I247" s="2">
        <v>237.5</v>
      </c>
      <c r="J247" s="2">
        <v>20.97</v>
      </c>
      <c r="K247" s="2">
        <v>357.79</v>
      </c>
      <c r="L247" s="2">
        <v>99.7</v>
      </c>
      <c r="M247" s="2">
        <v>209.25</v>
      </c>
      <c r="N247" s="72">
        <f t="shared" si="38"/>
        <v>-6.8168907403900469E-3</v>
      </c>
      <c r="O247" s="73">
        <f t="shared" si="39"/>
        <v>-2.2410358565736477E-3</v>
      </c>
      <c r="P247" s="73">
        <f t="shared" si="40"/>
        <v>-1.1270491803278659E-2</v>
      </c>
      <c r="Q247" s="73">
        <f t="shared" si="41"/>
        <v>-2.3035787741670033E-2</v>
      </c>
      <c r="R247" s="73">
        <f t="shared" si="42"/>
        <v>-9.5283468318241304E-4</v>
      </c>
      <c r="S247" s="73">
        <f t="shared" si="43"/>
        <v>1.8200145601166007E-3</v>
      </c>
      <c r="T247" s="73">
        <f t="shared" si="44"/>
        <v>-7.138907747873402E-4</v>
      </c>
      <c r="U247" s="74">
        <f t="shared" si="45"/>
        <v>7.2570132875718452E-2</v>
      </c>
    </row>
    <row r="248" spans="1:21" x14ac:dyDescent="0.25">
      <c r="A248" s="54">
        <f t="shared" si="35"/>
        <v>244</v>
      </c>
      <c r="B248" s="1">
        <v>44970</v>
      </c>
      <c r="C248" s="7">
        <f t="shared" si="36"/>
        <v>2023</v>
      </c>
      <c r="D248" s="55">
        <f t="shared" si="37"/>
        <v>2</v>
      </c>
      <c r="E248" s="61">
        <v>18.553999999999998</v>
      </c>
      <c r="F248" s="65">
        <v>52.81</v>
      </c>
      <c r="G248" s="2">
        <v>40.159999999999997</v>
      </c>
      <c r="H248" s="2">
        <v>9.76</v>
      </c>
      <c r="I248" s="2">
        <v>243.1</v>
      </c>
      <c r="J248" s="2">
        <v>20.99</v>
      </c>
      <c r="K248" s="2">
        <v>357.14</v>
      </c>
      <c r="L248" s="2">
        <v>99.54</v>
      </c>
      <c r="M248" s="2">
        <v>194.64</v>
      </c>
      <c r="N248" s="72">
        <f t="shared" si="38"/>
        <v>1.1492051331162711E-2</v>
      </c>
      <c r="O248" s="73">
        <f t="shared" si="39"/>
        <v>7.0210631895686326E-3</v>
      </c>
      <c r="P248" s="73">
        <f t="shared" si="40"/>
        <v>9.3071354705274167E-3</v>
      </c>
      <c r="Q248" s="73">
        <f t="shared" si="41"/>
        <v>-2.1754299552599887E-3</v>
      </c>
      <c r="R248" s="73">
        <f t="shared" si="42"/>
        <v>5.7498802108288949E-3</v>
      </c>
      <c r="S248" s="73">
        <f t="shared" si="43"/>
        <v>2.162595114136967E-2</v>
      </c>
      <c r="T248" s="73">
        <f t="shared" si="44"/>
        <v>1.4795395965176761E-2</v>
      </c>
      <c r="U248" s="74">
        <f t="shared" si="45"/>
        <v>-1.6252591024542795E-2</v>
      </c>
    </row>
    <row r="249" spans="1:21" x14ac:dyDescent="0.25">
      <c r="A249" s="54">
        <f t="shared" si="35"/>
        <v>245</v>
      </c>
      <c r="B249" s="1">
        <v>44967</v>
      </c>
      <c r="C249" s="7">
        <f t="shared" si="36"/>
        <v>2023</v>
      </c>
      <c r="D249" s="55">
        <f t="shared" si="37"/>
        <v>2</v>
      </c>
      <c r="E249" s="61">
        <v>18.645</v>
      </c>
      <c r="F249" s="65">
        <v>52.21</v>
      </c>
      <c r="G249" s="2">
        <v>39.880000000000003</v>
      </c>
      <c r="H249" s="2">
        <v>9.67</v>
      </c>
      <c r="I249" s="2">
        <v>243.63</v>
      </c>
      <c r="J249" s="2">
        <v>20.87</v>
      </c>
      <c r="K249" s="2">
        <v>349.58</v>
      </c>
      <c r="L249" s="2">
        <v>97.61</v>
      </c>
      <c r="M249" s="2">
        <v>196.89</v>
      </c>
      <c r="N249" s="72">
        <f t="shared" si="38"/>
        <v>-7.6031172780839373E-3</v>
      </c>
      <c r="O249" s="73">
        <f t="shared" si="39"/>
        <v>3.5575175279148441E-2</v>
      </c>
      <c r="P249" s="73">
        <f t="shared" si="40"/>
        <v>-1.8274111675126825E-2</v>
      </c>
      <c r="Q249" s="73">
        <f t="shared" si="41"/>
        <v>-1.8728854519091342E-2</v>
      </c>
      <c r="R249" s="73">
        <f t="shared" si="42"/>
        <v>-2.4766355140186769E-2</v>
      </c>
      <c r="S249" s="73">
        <f t="shared" si="43"/>
        <v>1.2315623657455088E-3</v>
      </c>
      <c r="T249" s="73">
        <f t="shared" si="44"/>
        <v>-1.3045497139158035E-2</v>
      </c>
      <c r="U249" s="74">
        <f t="shared" si="45"/>
        <v>-5.6648308227304045E-2</v>
      </c>
    </row>
    <row r="250" spans="1:21" x14ac:dyDescent="0.25">
      <c r="A250" s="54">
        <f t="shared" si="35"/>
        <v>246</v>
      </c>
      <c r="B250" s="1">
        <v>44966</v>
      </c>
      <c r="C250" s="7">
        <f t="shared" si="36"/>
        <v>2023</v>
      </c>
      <c r="D250" s="55">
        <f t="shared" si="37"/>
        <v>2</v>
      </c>
      <c r="E250" s="61">
        <v>18.770299999999999</v>
      </c>
      <c r="F250" s="65">
        <v>52.61</v>
      </c>
      <c r="G250" s="2">
        <v>38.51</v>
      </c>
      <c r="H250" s="2">
        <v>9.85</v>
      </c>
      <c r="I250" s="2">
        <v>248.28</v>
      </c>
      <c r="J250" s="2">
        <v>21.4</v>
      </c>
      <c r="K250" s="2">
        <v>349.15</v>
      </c>
      <c r="L250" s="2">
        <v>98.24</v>
      </c>
      <c r="M250" s="2">
        <v>207.32</v>
      </c>
      <c r="N250" s="72">
        <f t="shared" si="38"/>
        <v>-5.4820415879016648E-3</v>
      </c>
      <c r="O250" s="73">
        <f t="shared" si="39"/>
        <v>-2.1844043688087345E-2</v>
      </c>
      <c r="P250" s="73">
        <f t="shared" si="40"/>
        <v>-1.005025125628134E-2</v>
      </c>
      <c r="Q250" s="73">
        <f t="shared" si="41"/>
        <v>-3.6329762459245352E-2</v>
      </c>
      <c r="R250" s="73">
        <f t="shared" si="42"/>
        <v>-3.035795197100144E-2</v>
      </c>
      <c r="S250" s="73">
        <f t="shared" si="43"/>
        <v>3.9681398625528441E-3</v>
      </c>
      <c r="T250" s="73">
        <f t="shared" si="44"/>
        <v>-2.6374677426210469E-2</v>
      </c>
      <c r="U250" s="74">
        <f t="shared" si="45"/>
        <v>2.126770864637284E-2</v>
      </c>
    </row>
    <row r="251" spans="1:21" x14ac:dyDescent="0.25">
      <c r="A251" s="54">
        <f t="shared" si="35"/>
        <v>247</v>
      </c>
      <c r="B251" s="1">
        <v>44965</v>
      </c>
      <c r="C251" s="7">
        <f t="shared" si="36"/>
        <v>2023</v>
      </c>
      <c r="D251" s="55">
        <f t="shared" si="37"/>
        <v>2</v>
      </c>
      <c r="E251" s="61">
        <v>18.93</v>
      </c>
      <c r="F251" s="65">
        <v>52.9</v>
      </c>
      <c r="G251" s="2">
        <v>39.369999999999997</v>
      </c>
      <c r="H251" s="2">
        <v>9.9499999999999993</v>
      </c>
      <c r="I251" s="2">
        <v>257.64</v>
      </c>
      <c r="J251" s="2">
        <v>22.07</v>
      </c>
      <c r="K251" s="2">
        <v>347.77</v>
      </c>
      <c r="L251" s="2">
        <v>100.05</v>
      </c>
      <c r="M251" s="2">
        <v>201.29</v>
      </c>
      <c r="N251" s="72">
        <f t="shared" si="38"/>
        <v>-4.141566265060237E-3</v>
      </c>
      <c r="O251" s="73">
        <f t="shared" si="39"/>
        <v>-1.5216839969567353E-3</v>
      </c>
      <c r="P251" s="73">
        <f t="shared" si="40"/>
        <v>3.0241935483870108E-3</v>
      </c>
      <c r="Q251" s="73">
        <f t="shared" si="41"/>
        <v>2.2015946685707499E-2</v>
      </c>
      <c r="R251" s="73">
        <f t="shared" si="42"/>
        <v>2.5557620817843851E-2</v>
      </c>
      <c r="S251" s="73">
        <f t="shared" si="43"/>
        <v>7.0657052674254484E-3</v>
      </c>
      <c r="T251" s="73">
        <f t="shared" si="44"/>
        <v>-1.7308788006217823E-2</v>
      </c>
      <c r="U251" s="74">
        <f t="shared" si="45"/>
        <v>2.5754176663720596E-2</v>
      </c>
    </row>
    <row r="252" spans="1:21" x14ac:dyDescent="0.25">
      <c r="A252" s="54">
        <f t="shared" si="35"/>
        <v>248</v>
      </c>
      <c r="B252" s="1">
        <v>44964</v>
      </c>
      <c r="C252" s="7">
        <f t="shared" si="36"/>
        <v>2023</v>
      </c>
      <c r="D252" s="55">
        <f t="shared" si="37"/>
        <v>2</v>
      </c>
      <c r="E252" s="61">
        <v>18.8748</v>
      </c>
      <c r="F252" s="65">
        <v>53.12</v>
      </c>
      <c r="G252" s="2">
        <v>39.43</v>
      </c>
      <c r="H252" s="2">
        <v>9.92</v>
      </c>
      <c r="I252" s="2">
        <v>252.09</v>
      </c>
      <c r="J252" s="2">
        <v>21.52</v>
      </c>
      <c r="K252" s="2">
        <v>345.33</v>
      </c>
      <c r="L252" s="2">
        <v>102.11</v>
      </c>
      <c r="M252" s="2">
        <v>196.81</v>
      </c>
      <c r="N252" s="72">
        <f t="shared" si="38"/>
        <v>-1.3189671187070373E-2</v>
      </c>
      <c r="O252" s="73">
        <f t="shared" si="39"/>
        <v>-3.9230019493177393E-2</v>
      </c>
      <c r="P252" s="73">
        <f t="shared" si="40"/>
        <v>-3.5019455252918275E-2</v>
      </c>
      <c r="Q252" s="73">
        <f t="shared" si="41"/>
        <v>-4.4136048231145586E-2</v>
      </c>
      <c r="R252" s="73">
        <f t="shared" si="42"/>
        <v>1.3959981386693077E-3</v>
      </c>
      <c r="S252" s="73">
        <f t="shared" si="43"/>
        <v>9.1466978375218666E-3</v>
      </c>
      <c r="T252" s="73">
        <f t="shared" si="44"/>
        <v>-1.6558999176148004E-2</v>
      </c>
      <c r="U252" s="74">
        <f t="shared" si="45"/>
        <v>3.1567967184428669E-2</v>
      </c>
    </row>
    <row r="253" spans="1:21" x14ac:dyDescent="0.25">
      <c r="A253" s="54">
        <f t="shared" si="35"/>
        <v>249</v>
      </c>
      <c r="B253" s="1">
        <v>44960</v>
      </c>
      <c r="C253" s="7">
        <f t="shared" si="36"/>
        <v>2023</v>
      </c>
      <c r="D253" s="55">
        <f t="shared" si="37"/>
        <v>2</v>
      </c>
      <c r="E253" s="61">
        <v>18.954999999999998</v>
      </c>
      <c r="F253" s="65">
        <v>53.83</v>
      </c>
      <c r="G253" s="2">
        <v>41.04</v>
      </c>
      <c r="H253" s="2">
        <v>10.28</v>
      </c>
      <c r="I253" s="2">
        <v>263.73</v>
      </c>
      <c r="J253" s="2">
        <v>21.49</v>
      </c>
      <c r="K253" s="2">
        <v>342.2</v>
      </c>
      <c r="L253" s="2">
        <v>103.39</v>
      </c>
      <c r="M253" s="2">
        <v>189.98</v>
      </c>
      <c r="N253" s="72">
        <f t="shared" si="38"/>
        <v>1.6747301823594185E-3</v>
      </c>
      <c r="O253" s="73">
        <f t="shared" si="39"/>
        <v>-7.2568940493469292E-3</v>
      </c>
      <c r="P253" s="73">
        <f t="shared" si="40"/>
        <v>1.9493177387914784E-3</v>
      </c>
      <c r="Q253" s="73">
        <f t="shared" si="41"/>
        <v>-1.6409950397195283E-2</v>
      </c>
      <c r="R253" s="73">
        <f t="shared" si="42"/>
        <v>-9.2980009298015975E-4</v>
      </c>
      <c r="S253" s="73">
        <f t="shared" si="43"/>
        <v>1.7453096661017575E-2</v>
      </c>
      <c r="T253" s="73">
        <f t="shared" si="44"/>
        <v>-6.9090357126172286E-2</v>
      </c>
      <c r="U253" s="74">
        <f t="shared" si="45"/>
        <v>2.5860154767941346E-2</v>
      </c>
    </row>
    <row r="254" spans="1:21" x14ac:dyDescent="0.25">
      <c r="A254" s="54">
        <f t="shared" si="35"/>
        <v>250</v>
      </c>
      <c r="B254" s="1">
        <v>44959</v>
      </c>
      <c r="C254" s="7">
        <f t="shared" si="36"/>
        <v>2023</v>
      </c>
      <c r="D254" s="55">
        <f t="shared" si="37"/>
        <v>2</v>
      </c>
      <c r="E254" s="61">
        <v>18.645</v>
      </c>
      <c r="F254" s="65">
        <v>53.74</v>
      </c>
      <c r="G254" s="2">
        <v>41.34</v>
      </c>
      <c r="H254" s="2">
        <v>10.26</v>
      </c>
      <c r="I254" s="2">
        <v>268.13</v>
      </c>
      <c r="J254" s="2">
        <v>21.51</v>
      </c>
      <c r="K254" s="2">
        <v>336.33</v>
      </c>
      <c r="L254" s="2">
        <v>112.91</v>
      </c>
      <c r="M254" s="2">
        <v>188.27</v>
      </c>
      <c r="N254" s="72">
        <f t="shared" si="38"/>
        <v>-1.9164081036685432E-2</v>
      </c>
      <c r="O254" s="73">
        <f t="shared" si="39"/>
        <v>3.6416605972324767E-3</v>
      </c>
      <c r="P254" s="73">
        <f t="shared" si="40"/>
        <v>9.7560975609756184E-4</v>
      </c>
      <c r="Q254" s="73">
        <f t="shared" si="41"/>
        <v>-1.2994183906353651E-2</v>
      </c>
      <c r="R254" s="73">
        <f t="shared" si="42"/>
        <v>2.2824536376604865E-2</v>
      </c>
      <c r="S254" s="73">
        <f t="shared" si="43"/>
        <v>2.5038004113384638E-3</v>
      </c>
      <c r="T254" s="73">
        <f t="shared" si="44"/>
        <v>7.6403023012586502E-2</v>
      </c>
      <c r="U254" s="74">
        <f t="shared" si="45"/>
        <v>4.0331330103751117E-2</v>
      </c>
    </row>
    <row r="255" spans="1:21" x14ac:dyDescent="0.25">
      <c r="A255" s="54">
        <f t="shared" si="35"/>
        <v>251</v>
      </c>
      <c r="B255" s="1">
        <v>44958</v>
      </c>
      <c r="C255" s="7">
        <f t="shared" si="36"/>
        <v>2023</v>
      </c>
      <c r="D255" s="55">
        <f t="shared" si="37"/>
        <v>2</v>
      </c>
      <c r="E255" s="61">
        <v>18.599900000000002</v>
      </c>
      <c r="F255" s="65">
        <v>54.79</v>
      </c>
      <c r="G255" s="2">
        <v>41.19</v>
      </c>
      <c r="H255" s="2">
        <v>10.25</v>
      </c>
      <c r="I255" s="2">
        <v>271.66000000000003</v>
      </c>
      <c r="J255" s="2">
        <v>21.03</v>
      </c>
      <c r="K255" s="2">
        <v>335.49</v>
      </c>
      <c r="L255" s="2">
        <v>105.15</v>
      </c>
      <c r="M255" s="2">
        <v>181.41</v>
      </c>
      <c r="N255" s="72">
        <f t="shared" si="38"/>
        <v>7.5395365943360382E-3</v>
      </c>
      <c r="O255" s="73">
        <f t="shared" si="39"/>
        <v>-1.7179670722977769E-2</v>
      </c>
      <c r="P255" s="73">
        <f t="shared" si="40"/>
        <v>2.0916334661354563E-2</v>
      </c>
      <c r="Q255" s="73">
        <f t="shared" si="41"/>
        <v>1.2296914592338615E-2</v>
      </c>
      <c r="R255" s="73">
        <f t="shared" si="42"/>
        <v>4.757373929591413E-4</v>
      </c>
      <c r="S255" s="73">
        <f t="shared" si="43"/>
        <v>3.199114091482369E-2</v>
      </c>
      <c r="T255" s="73">
        <f t="shared" si="44"/>
        <v>7.6628545649750635E-3</v>
      </c>
      <c r="U255" s="74">
        <f t="shared" si="45"/>
        <v>3.5032958584913176E-2</v>
      </c>
    </row>
    <row r="256" spans="1:21" x14ac:dyDescent="0.25">
      <c r="A256" s="54">
        <f>+A257-1</f>
        <v>252</v>
      </c>
      <c r="B256" s="1">
        <v>44957</v>
      </c>
      <c r="C256" s="7">
        <f t="shared" si="36"/>
        <v>2023</v>
      </c>
      <c r="D256" s="55">
        <f t="shared" si="37"/>
        <v>1</v>
      </c>
      <c r="E256" s="61">
        <v>18.82</v>
      </c>
      <c r="F256" s="65">
        <v>54.38</v>
      </c>
      <c r="G256" s="2">
        <v>41.91</v>
      </c>
      <c r="H256" s="2">
        <v>10.039999999999999</v>
      </c>
      <c r="I256" s="2">
        <v>268.36</v>
      </c>
      <c r="J256" s="2">
        <v>21.02</v>
      </c>
      <c r="K256" s="2">
        <v>325.08999999999997</v>
      </c>
      <c r="L256" s="2">
        <v>103.13</v>
      </c>
      <c r="M256" s="2">
        <v>173.22</v>
      </c>
      <c r="N256" s="75">
        <f t="shared" si="38"/>
        <v>1.6577638607480072E-3</v>
      </c>
      <c r="O256" s="76">
        <f t="shared" si="39"/>
        <v>5.2486187845303789E-2</v>
      </c>
      <c r="P256" s="76">
        <f t="shared" si="40"/>
        <v>1.0060362173038184E-2</v>
      </c>
      <c r="Q256" s="76">
        <f t="shared" si="41"/>
        <v>-3.1944134908253874E-3</v>
      </c>
      <c r="R256" s="76">
        <f t="shared" si="42"/>
        <v>2.2373540856031271E-2</v>
      </c>
      <c r="S256" s="76">
        <f t="shared" si="43"/>
        <v>-2.669039145907437E-3</v>
      </c>
      <c r="T256" s="76">
        <f t="shared" si="44"/>
        <v>2.8906327608205773E-2</v>
      </c>
      <c r="U256" s="77">
        <f t="shared" si="45"/>
        <v>4.2652411510999411E-2</v>
      </c>
    </row>
    <row r="257" spans="1:21" x14ac:dyDescent="0.25">
      <c r="A257" s="56">
        <v>253</v>
      </c>
      <c r="B257" s="57">
        <v>44956</v>
      </c>
      <c r="C257" s="58">
        <f t="shared" si="36"/>
        <v>2023</v>
      </c>
      <c r="D257" s="59">
        <f t="shared" si="37"/>
        <v>1</v>
      </c>
      <c r="E257" s="62">
        <v>18.7606</v>
      </c>
      <c r="F257" s="66">
        <v>54.29</v>
      </c>
      <c r="G257" s="67">
        <v>39.82</v>
      </c>
      <c r="H257" s="67">
        <v>9.94</v>
      </c>
      <c r="I257" s="67">
        <v>269.22000000000003</v>
      </c>
      <c r="J257" s="67">
        <v>20.56</v>
      </c>
      <c r="K257" s="67">
        <v>325.95999999999998</v>
      </c>
      <c r="L257" s="67">
        <v>100.55</v>
      </c>
      <c r="M257" s="68">
        <v>166.66</v>
      </c>
      <c r="N257" s="12"/>
      <c r="O257" s="12"/>
      <c r="P257" s="12"/>
      <c r="Q257" s="12"/>
      <c r="R257" s="12"/>
      <c r="S257" s="12"/>
      <c r="T257" s="12"/>
      <c r="U257" s="12"/>
    </row>
    <row r="259" spans="1:21" x14ac:dyDescent="0.25">
      <c r="L259" s="180" t="s">
        <v>55</v>
      </c>
      <c r="M259" s="181"/>
      <c r="N259" s="78">
        <f>AVERAGE(N5:N256)</f>
        <v>2.3776949575538616E-4</v>
      </c>
      <c r="O259" s="78">
        <f t="shared" ref="O259:U259" si="46">AVERAGE(O5:O256)</f>
        <v>1.9934108282874973E-4</v>
      </c>
      <c r="P259" s="78">
        <f t="shared" si="46"/>
        <v>1.6317683450948557E-3</v>
      </c>
      <c r="Q259" s="78">
        <f t="shared" si="46"/>
        <v>-4.0477206995668185E-4</v>
      </c>
      <c r="R259" s="78">
        <f t="shared" si="46"/>
        <v>-1.1476358676782762E-3</v>
      </c>
      <c r="S259" s="78">
        <f t="shared" si="46"/>
        <v>-4.1219333309898518E-4</v>
      </c>
      <c r="T259" s="78">
        <f t="shared" si="46"/>
        <v>1.5550448569087217E-3</v>
      </c>
      <c r="U259" s="78">
        <f t="shared" si="46"/>
        <v>5.8172348920755058E-4</v>
      </c>
    </row>
    <row r="264" spans="1:21" x14ac:dyDescent="0.25">
      <c r="L264" s="182" t="s">
        <v>56</v>
      </c>
      <c r="M264" s="182"/>
      <c r="N264" s="79">
        <f>+AVERAGEIF(N5:N256,"&gt;"&amp;0,N5:N256)</f>
        <v>7.1084928660768675E-3</v>
      </c>
      <c r="O264" s="79">
        <f t="shared" ref="O264:U264" si="47">+AVERAGEIF(O5:O256,"&gt;"&amp;0,O5:O256)</f>
        <v>1.2824342505267832E-2</v>
      </c>
      <c r="P264" s="79">
        <f t="shared" si="47"/>
        <v>1.5255086170863455E-2</v>
      </c>
      <c r="Q264" s="79">
        <f t="shared" si="47"/>
        <v>1.8708082157837484E-2</v>
      </c>
      <c r="R264" s="79">
        <f t="shared" si="47"/>
        <v>2.1841834909070355E-2</v>
      </c>
      <c r="S264" s="79">
        <f t="shared" si="47"/>
        <v>1.499367722585652E-2</v>
      </c>
      <c r="T264" s="79">
        <f t="shared" si="47"/>
        <v>1.4033906216412142E-2</v>
      </c>
      <c r="U264" s="79">
        <f t="shared" si="47"/>
        <v>2.2216608759742868E-2</v>
      </c>
    </row>
    <row r="265" spans="1:21" x14ac:dyDescent="0.25">
      <c r="L265" s="182" t="s">
        <v>57</v>
      </c>
      <c r="M265" s="182"/>
      <c r="N265" s="79">
        <f>+AVERAGEIF(N5:N256,"&lt;"&amp;0,N5:N256)</f>
        <v>-6.8545901123184009E-3</v>
      </c>
      <c r="O265" s="79">
        <f t="shared" ref="O265:U265" si="48">+AVERAGEIF(O5:O256,"&lt;"&amp;0,O5:O256)</f>
        <v>-1.1730558517691898E-2</v>
      </c>
      <c r="P265" s="79">
        <f t="shared" si="48"/>
        <v>-1.5123794436435937E-2</v>
      </c>
      <c r="Q265" s="79">
        <f t="shared" si="48"/>
        <v>-1.6193651649438812E-2</v>
      </c>
      <c r="R265" s="79">
        <f t="shared" si="48"/>
        <v>-2.1717162352137567E-2</v>
      </c>
      <c r="S265" s="79">
        <f t="shared" si="48"/>
        <v>-1.6569569772979156E-2</v>
      </c>
      <c r="T265" s="79">
        <f t="shared" si="48"/>
        <v>-1.3795058939294599E-2</v>
      </c>
      <c r="U265" s="79">
        <f t="shared" si="48"/>
        <v>-2.3216650308381288E-2</v>
      </c>
    </row>
  </sheetData>
  <autoFilter ref="A4:U257" xr:uid="{20CEF9E4-EE11-4B71-B04F-5EC9B5730581}"/>
  <mergeCells count="5">
    <mergeCell ref="F3:M3"/>
    <mergeCell ref="N3:U3"/>
    <mergeCell ref="L259:M259"/>
    <mergeCell ref="L264:M264"/>
    <mergeCell ref="L265:M265"/>
  </mergeCells>
  <pageMargins left="0.7" right="0.7" top="0.75" bottom="0.75" header="0.3" footer="0.3"/>
  <drawing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07ABCE9-4CE6-4C47-B259-D22853B00FF3}">
  <sheetPr codeName="Hoja4">
    <tabColor theme="7"/>
  </sheetPr>
  <dimension ref="A2:P573"/>
  <sheetViews>
    <sheetView zoomScale="94" zoomScaleNormal="115" workbookViewId="0">
      <pane xSplit="2" ySplit="3" topLeftCell="C4" activePane="bottomRight" state="frozen"/>
      <selection pane="topRight" activeCell="C1" sqref="C1"/>
      <selection pane="bottomLeft" activeCell="A5" sqref="A5"/>
      <selection pane="bottomRight" activeCell="M22" sqref="M22"/>
    </sheetView>
  </sheetViews>
  <sheetFormatPr baseColWidth="10" defaultColWidth="8.85546875" defaultRowHeight="15" x14ac:dyDescent="0.25"/>
  <cols>
    <col min="1" max="1" width="10.7109375" bestFit="1" customWidth="1"/>
    <col min="2" max="2" width="16" bestFit="1" customWidth="1"/>
    <col min="3" max="3" width="21.140625" customWidth="1"/>
    <col min="4" max="4" width="16" customWidth="1"/>
    <col min="5" max="5" width="18.5703125" bestFit="1" customWidth="1"/>
    <col min="6" max="6" width="16" customWidth="1"/>
    <col min="7" max="7" width="16.5703125" customWidth="1"/>
    <col min="8" max="8" width="17.140625" customWidth="1"/>
    <col min="9" max="9" width="16.28515625" customWidth="1"/>
    <col min="10" max="11" width="13.7109375" customWidth="1"/>
    <col min="15" max="15" width="13.7109375" bestFit="1" customWidth="1"/>
    <col min="16" max="16" width="13.42578125" bestFit="1" customWidth="1"/>
    <col min="17" max="17" width="9" bestFit="1" customWidth="1"/>
  </cols>
  <sheetData>
    <row r="2" spans="1:13" x14ac:dyDescent="0.25">
      <c r="B2" s="14"/>
      <c r="C2" s="14" t="s">
        <v>58</v>
      </c>
    </row>
    <row r="3" spans="1:13" x14ac:dyDescent="0.25">
      <c r="B3" s="15"/>
      <c r="C3" s="15" t="s">
        <v>29</v>
      </c>
      <c r="D3" s="81">
        <v>45322</v>
      </c>
    </row>
    <row r="4" spans="1:13" x14ac:dyDescent="0.25">
      <c r="A4" s="1"/>
    </row>
    <row r="5" spans="1:13" ht="18.75" x14ac:dyDescent="0.3">
      <c r="A5" s="1"/>
      <c r="B5" s="183" t="s">
        <v>30</v>
      </c>
      <c r="C5" s="184"/>
      <c r="D5" s="184"/>
      <c r="E5" s="184"/>
      <c r="F5" s="184"/>
      <c r="G5" s="184"/>
      <c r="H5" s="184"/>
      <c r="I5" s="184"/>
      <c r="J5" s="184"/>
      <c r="K5" s="184"/>
      <c r="L5" s="184"/>
      <c r="M5" s="185"/>
    </row>
    <row r="6" spans="1:13" x14ac:dyDescent="0.25">
      <c r="A6" s="1"/>
    </row>
    <row r="7" spans="1:13" x14ac:dyDescent="0.25">
      <c r="A7" s="1"/>
      <c r="E7" s="13"/>
      <c r="G7" s="32" t="s">
        <v>41</v>
      </c>
      <c r="H7" s="186" t="s">
        <v>31</v>
      </c>
      <c r="I7" s="187"/>
    </row>
    <row r="8" spans="1:13" ht="30" x14ac:dyDescent="0.25">
      <c r="A8" s="1"/>
      <c r="B8" s="3" t="s">
        <v>32</v>
      </c>
      <c r="C8" s="3" t="s">
        <v>33</v>
      </c>
      <c r="D8" s="3" t="s">
        <v>5</v>
      </c>
      <c r="E8" s="3" t="s">
        <v>34</v>
      </c>
      <c r="F8" s="31" t="s">
        <v>35</v>
      </c>
      <c r="G8" s="26" t="s">
        <v>10</v>
      </c>
      <c r="H8" s="3" t="s">
        <v>60</v>
      </c>
      <c r="I8" s="3" t="s">
        <v>9</v>
      </c>
      <c r="J8" s="108"/>
    </row>
    <row r="9" spans="1:13" x14ac:dyDescent="0.25">
      <c r="A9" s="1"/>
      <c r="B9" s="27" t="s">
        <v>13</v>
      </c>
      <c r="C9" s="83">
        <f xml:space="preserve"> Portafolio!F5</f>
        <v>57.06</v>
      </c>
      <c r="D9" s="84">
        <v>20000</v>
      </c>
      <c r="E9" s="85">
        <f xml:space="preserve"> C9*D9</f>
        <v>1141200</v>
      </c>
      <c r="F9" s="86">
        <f xml:space="preserve"> E9/$E$17</f>
        <v>0.14149463282724903</v>
      </c>
      <c r="G9" s="87" cm="1">
        <f t="array" ref="G9" xml:space="preserve"> V_Dinamica(Portafolio!N5:N256)</f>
        <v>0.15760966719372907</v>
      </c>
      <c r="H9" s="88">
        <f xml:space="preserve"> - NORMSINV(0.99) * E9 * G9 * SQRT(1/252)</f>
        <v>-26358.39747675266</v>
      </c>
      <c r="I9" s="89">
        <f xml:space="preserve"> H9/E9</f>
        <v>-2.3097088570585927E-2</v>
      </c>
    </row>
    <row r="10" spans="1:13" x14ac:dyDescent="0.25">
      <c r="A10" s="1"/>
      <c r="B10" s="27" t="s">
        <v>19</v>
      </c>
      <c r="C10" s="90">
        <f xml:space="preserve"> Portafolio!G5</f>
        <v>40.409999999999997</v>
      </c>
      <c r="D10" s="91">
        <v>28500</v>
      </c>
      <c r="E10" s="92">
        <f t="shared" ref="E10:E16" si="0" xml:space="preserve"> C10*D10</f>
        <v>1151685</v>
      </c>
      <c r="F10" s="93">
        <f t="shared" ref="F10:F16" si="1" xml:space="preserve"> E10/$E$17</f>
        <v>0.14279464266355618</v>
      </c>
      <c r="G10" s="94" cm="1">
        <f t="array" ref="G10" xml:space="preserve"> V_Dinamica(Portafolio!O5:O256)</f>
        <v>0.38935965501127173</v>
      </c>
      <c r="H10" s="95">
        <f xml:space="preserve"> - NORMSINV(0.99) * E10 * G10 * SQRT(1/252)</f>
        <v>-65714.17298246031</v>
      </c>
      <c r="I10" s="96">
        <f t="shared" ref="I10:I16" si="2" xml:space="preserve"> H10/E10</f>
        <v>-5.7059155048872143E-2</v>
      </c>
    </row>
    <row r="11" spans="1:13" x14ac:dyDescent="0.25">
      <c r="A11" s="1"/>
      <c r="B11" s="27" t="s">
        <v>20</v>
      </c>
      <c r="C11" s="90">
        <f xml:space="preserve"> Portafolio!H5</f>
        <v>14.3</v>
      </c>
      <c r="D11" s="91">
        <v>88800</v>
      </c>
      <c r="E11" s="92">
        <f t="shared" si="0"/>
        <v>1269840</v>
      </c>
      <c r="F11" s="93">
        <f t="shared" si="1"/>
        <v>0.15744439585467396</v>
      </c>
      <c r="G11" s="94" cm="1">
        <f t="array" ref="G11" xml:space="preserve"> V_Dinamica(Portafolio!P5:P256)</f>
        <v>0.28385098752741117</v>
      </c>
      <c r="H11" s="95">
        <f t="shared" ref="H11:H16" si="3" xml:space="preserve"> - NORMSINV(0.99) * E11 * G11 * SQRT(1/252)</f>
        <v>-52821.87346065139</v>
      </c>
      <c r="I11" s="96">
        <f t="shared" si="2"/>
        <v>-4.1597266947529916E-2</v>
      </c>
    </row>
    <row r="12" spans="1:13" x14ac:dyDescent="0.25">
      <c r="A12" s="1"/>
      <c r="B12" s="27" t="s">
        <v>12</v>
      </c>
      <c r="C12" s="90">
        <f xml:space="preserve"> Portafolio!I5</f>
        <v>226.34</v>
      </c>
      <c r="D12" s="91">
        <v>3800</v>
      </c>
      <c r="E12" s="92">
        <f t="shared" si="0"/>
        <v>860092</v>
      </c>
      <c r="F12" s="93">
        <f t="shared" si="1"/>
        <v>0.10664073057978818</v>
      </c>
      <c r="G12" s="94" cm="1">
        <f t="array" ref="G12" xml:space="preserve"> V_Dinamica(Portafolio!Q5:Q256)</f>
        <v>0.43640904315421197</v>
      </c>
      <c r="H12" s="95">
        <f t="shared" si="3"/>
        <v>-55006.376521965482</v>
      </c>
      <c r="I12" s="96">
        <f t="shared" si="2"/>
        <v>-6.3954061335258883E-2</v>
      </c>
    </row>
    <row r="13" spans="1:13" x14ac:dyDescent="0.25">
      <c r="A13" s="1"/>
      <c r="B13" s="27" t="s">
        <v>21</v>
      </c>
      <c r="C13" s="90">
        <f xml:space="preserve"> Portafolio!J5</f>
        <v>13.76</v>
      </c>
      <c r="D13" s="91">
        <v>44700</v>
      </c>
      <c r="E13" s="92">
        <f t="shared" si="0"/>
        <v>615072</v>
      </c>
      <c r="F13" s="93">
        <f t="shared" si="1"/>
        <v>7.6261292325904062E-2</v>
      </c>
      <c r="G13" s="94" cm="1">
        <f t="array" ref="G13" xml:space="preserve"> V_Dinamica(Portafolio!R5:R256)</f>
        <v>0.4498740865406457</v>
      </c>
      <c r="H13" s="95">
        <f t="shared" si="3"/>
        <v>-40550.043330921719</v>
      </c>
      <c r="I13" s="96">
        <f t="shared" si="2"/>
        <v>-6.5927311486983178E-2</v>
      </c>
    </row>
    <row r="14" spans="1:13" x14ac:dyDescent="0.25">
      <c r="A14" s="1"/>
      <c r="B14" s="27" t="s">
        <v>22</v>
      </c>
      <c r="C14" s="90">
        <f xml:space="preserve"> Portafolio!K5</f>
        <v>267.95</v>
      </c>
      <c r="D14" s="91">
        <v>5300</v>
      </c>
      <c r="E14" s="92">
        <f t="shared" si="0"/>
        <v>1420135</v>
      </c>
      <c r="F14" s="93">
        <f t="shared" si="1"/>
        <v>0.17607911005093349</v>
      </c>
      <c r="G14" s="94" cm="1">
        <f t="array" ref="G14" xml:space="preserve"> V_Dinamica(Portafolio!S5:S256)</f>
        <v>0.43627507974958551</v>
      </c>
      <c r="H14" s="95">
        <f t="shared" si="3"/>
        <v>-90795.521059604725</v>
      </c>
      <c r="I14" s="96">
        <f t="shared" si="2"/>
        <v>-6.3934429515225474E-2</v>
      </c>
    </row>
    <row r="15" spans="1:13" x14ac:dyDescent="0.25">
      <c r="A15" s="1"/>
      <c r="B15" s="82" t="s">
        <v>14</v>
      </c>
      <c r="C15" s="90">
        <f xml:space="preserve"> Portafolio!L5 * Portafolio!E5</f>
        <v>2671.3023999999996</v>
      </c>
      <c r="D15" s="91">
        <v>300</v>
      </c>
      <c r="E15" s="92">
        <f t="shared" si="0"/>
        <v>801390.71999999986</v>
      </c>
      <c r="F15" s="93">
        <f t="shared" si="1"/>
        <v>9.936250059373003E-2</v>
      </c>
      <c r="G15" s="94" cm="1">
        <f t="array" ref="G15" xml:space="preserve"> V_Dinamica(Portafolio!T5:T256)</f>
        <v>0.21414708770041449</v>
      </c>
      <c r="H15" s="95">
        <f t="shared" si="3"/>
        <v>-25149.587683493999</v>
      </c>
      <c r="I15" s="96">
        <f t="shared" si="2"/>
        <v>-3.1382429389117464E-2</v>
      </c>
    </row>
    <row r="16" spans="1:13" x14ac:dyDescent="0.25">
      <c r="A16" s="1"/>
      <c r="B16" s="82" t="s">
        <v>27</v>
      </c>
      <c r="C16" s="97">
        <f xml:space="preserve"> Portafolio!M5 * Portafolio!E5</f>
        <v>3223.6354799999999</v>
      </c>
      <c r="D16" s="98">
        <v>250</v>
      </c>
      <c r="E16" s="99">
        <f t="shared" si="0"/>
        <v>805908.87</v>
      </c>
      <c r="F16" s="100">
        <f t="shared" si="1"/>
        <v>9.9922695104165071E-2</v>
      </c>
      <c r="G16" s="101" cm="1">
        <f t="array" ref="G16" xml:space="preserve"> V_Dinamica(Portafolio!U5:U256)</f>
        <v>0.51530691310577126</v>
      </c>
      <c r="H16" s="102">
        <f t="shared" si="3"/>
        <v>-60859.207434980533</v>
      </c>
      <c r="I16" s="103">
        <f t="shared" si="2"/>
        <v>-7.5516239739339922E-2</v>
      </c>
    </row>
    <row r="17" spans="1:16" ht="15.75" thickBot="1" x14ac:dyDescent="0.3">
      <c r="A17" s="1"/>
      <c r="C17" s="107" t="s">
        <v>59</v>
      </c>
      <c r="D17" s="104">
        <f xml:space="preserve"> SUM(D9:D16)</f>
        <v>191650</v>
      </c>
      <c r="E17" s="105">
        <f xml:space="preserve"> SUM(E9:E16)</f>
        <v>8065323.5899999999</v>
      </c>
      <c r="F17" s="106">
        <f xml:space="preserve"> SUM(F9:F16)</f>
        <v>0.99999999999999989</v>
      </c>
    </row>
    <row r="18" spans="1:16" ht="15.75" thickTop="1" x14ac:dyDescent="0.25">
      <c r="A18" s="1"/>
      <c r="F18" s="35"/>
      <c r="H18" s="36"/>
    </row>
    <row r="19" spans="1:16" x14ac:dyDescent="0.25">
      <c r="A19" s="1"/>
      <c r="F19" s="43"/>
    </row>
    <row r="20" spans="1:16" x14ac:dyDescent="0.25">
      <c r="A20" s="1"/>
      <c r="H20" s="4" t="s">
        <v>61</v>
      </c>
    </row>
    <row r="21" spans="1:16" ht="18.75" x14ac:dyDescent="0.35">
      <c r="A21" s="1"/>
      <c r="F21" s="189" t="s">
        <v>36</v>
      </c>
      <c r="G21" s="190"/>
      <c r="H21" s="129" cm="1">
        <f t="array" ref="H21">SQRT( MMULT(MMULT(TRANSPOSE(F9:F16),MMULT(D37:K44,MMULT(D25:K32,D37:K44))),F9:F16) )</f>
        <v>0.20449530390971887</v>
      </c>
    </row>
    <row r="22" spans="1:16" ht="15.75" x14ac:dyDescent="0.25">
      <c r="A22" s="1"/>
      <c r="B22" s="188" t="s">
        <v>38</v>
      </c>
      <c r="C22" s="188"/>
    </row>
    <row r="23" spans="1:16" x14ac:dyDescent="0.25">
      <c r="A23" s="1"/>
    </row>
    <row r="24" spans="1:16" x14ac:dyDescent="0.25">
      <c r="A24" s="1"/>
      <c r="D24" s="4" t="s">
        <v>13</v>
      </c>
      <c r="E24" s="4" t="s">
        <v>19</v>
      </c>
      <c r="F24" s="4" t="s">
        <v>20</v>
      </c>
      <c r="G24" s="4" t="s">
        <v>12</v>
      </c>
      <c r="H24" s="4" t="s">
        <v>21</v>
      </c>
      <c r="I24" s="4" t="s">
        <v>22</v>
      </c>
      <c r="J24" s="4" t="s">
        <v>14</v>
      </c>
      <c r="K24" s="4" t="s">
        <v>27</v>
      </c>
      <c r="O24" s="4" t="s">
        <v>8</v>
      </c>
      <c r="P24" s="4" t="s">
        <v>37</v>
      </c>
    </row>
    <row r="25" spans="1:16" ht="18.75" x14ac:dyDescent="0.25">
      <c r="A25" s="1"/>
      <c r="C25" s="109" t="s">
        <v>13</v>
      </c>
      <c r="D25" s="110">
        <f xml:space="preserve"> CORREL(Portafolio!$N$5:$N$256, Portafolio!N5:N256)</f>
        <v>0.99999999999999978</v>
      </c>
      <c r="E25" s="111">
        <f xml:space="preserve"> CORREL(Portafolio!$N$5:$N$256, Portafolio!O5:O256)</f>
        <v>0.32813280096158637</v>
      </c>
      <c r="F25" s="111">
        <f xml:space="preserve"> CORREL(Portafolio!$N$5:$N$256, Portafolio!P5:P256)</f>
        <v>0.64195577140293159</v>
      </c>
      <c r="G25" s="111">
        <f xml:space="preserve"> CORREL(Portafolio!$N$5:$N$256, Portafolio!Q5:Q256)</f>
        <v>0.38723494086518567</v>
      </c>
      <c r="H25" s="111">
        <f xml:space="preserve"> CORREL(Portafolio!$N$5:$N$256, Portafolio!R5:R256)</f>
        <v>0.41712338004217747</v>
      </c>
      <c r="I25" s="111">
        <f xml:space="preserve"> CORREL(Portafolio!$N$5:$N$256, Portafolio!S5:S256)</f>
        <v>0.57574837998580586</v>
      </c>
      <c r="J25" s="111">
        <f xml:space="preserve"> CORREL(Portafolio!$N$5:$N$256, Portafolio!T5:T256)</f>
        <v>5.3553075056827902E-2</v>
      </c>
      <c r="K25" s="112">
        <f xml:space="preserve"> CORREL(Portafolio!$N$5:$N$256, Portafolio!U5:U256)</f>
        <v>0.11703690537775013</v>
      </c>
      <c r="M25" s="191" t="s">
        <v>23</v>
      </c>
      <c r="N25" s="192"/>
      <c r="O25" s="130">
        <f xml:space="preserve"> - NORMSINV(0.99) * E17 * H21 * SQRT(1/252)</f>
        <v>-241701.59893366782</v>
      </c>
      <c r="P25" s="129">
        <f xml:space="preserve"> O25 / E17</f>
        <v>-2.9967997717208494E-2</v>
      </c>
    </row>
    <row r="26" spans="1:16" x14ac:dyDescent="0.25">
      <c r="A26" s="1"/>
      <c r="C26" s="109" t="s">
        <v>19</v>
      </c>
      <c r="D26" s="113">
        <f xml:space="preserve"> CORREL(Portafolio!$O$5:$O$256, Portafolio!N5:N256)</f>
        <v>0.32813280096158637</v>
      </c>
      <c r="E26" s="114">
        <f xml:space="preserve"> CORREL(Portafolio!$O$5:$O$256, Portafolio!O5:O256)</f>
        <v>1.0000000000000002</v>
      </c>
      <c r="F26" s="114">
        <f xml:space="preserve"> CORREL(Portafolio!$O$5:$O$256, Portafolio!P5:P256)</f>
        <v>0.22481720353315021</v>
      </c>
      <c r="G26" s="114">
        <f xml:space="preserve"> CORREL(Portafolio!$O$5:$O$256, Portafolio!Q5:Q256)</f>
        <v>0.15237094003232937</v>
      </c>
      <c r="H26" s="114">
        <f xml:space="preserve"> CORREL(Portafolio!$O$5:$O$256, Portafolio!R5:R256)</f>
        <v>0.27837467627772206</v>
      </c>
      <c r="I26" s="114">
        <f xml:space="preserve"> CORREL(Portafolio!$O$5:$O$256, Portafolio!S5:S256)</f>
        <v>0.23152894732000481</v>
      </c>
      <c r="J26" s="114">
        <f xml:space="preserve"> CORREL(Portafolio!$O$5:$O$256, Portafolio!T5:T256)</f>
        <v>8.5065749382165504E-2</v>
      </c>
      <c r="K26" s="115">
        <f xml:space="preserve"> CORREL(Portafolio!$O$5:$O$256, Portafolio!U5:U256)</f>
        <v>-9.2047496691765058E-3</v>
      </c>
    </row>
    <row r="27" spans="1:16" x14ac:dyDescent="0.25">
      <c r="A27" s="1"/>
      <c r="C27" s="109" t="s">
        <v>20</v>
      </c>
      <c r="D27" s="113">
        <f xml:space="preserve"> CORREL(Portafolio!$P$5:$P$256, Portafolio!N5:N256)</f>
        <v>0.64195577140293159</v>
      </c>
      <c r="E27" s="114">
        <f xml:space="preserve"> CORREL(Portafolio!$P$5:$P$256, Portafolio!O5:O256)</f>
        <v>0.22481720353315021</v>
      </c>
      <c r="F27" s="114">
        <f xml:space="preserve"> CORREL(Portafolio!$P$5:$P$256, Portafolio!P5:P256)</f>
        <v>1.0000000000000002</v>
      </c>
      <c r="G27" s="114">
        <f xml:space="preserve"> CORREL(Portafolio!$P$5:$P$256, Portafolio!Q5:Q256)</f>
        <v>0.25797880755721664</v>
      </c>
      <c r="H27" s="114">
        <f xml:space="preserve"> CORREL(Portafolio!$P$5:$P$256, Portafolio!R5:R256)</f>
        <v>0.31499008439170861</v>
      </c>
      <c r="I27" s="114">
        <f xml:space="preserve"> CORREL(Portafolio!$P$5:$P$256, Portafolio!S5:S256)</f>
        <v>0.40292516069422118</v>
      </c>
      <c r="J27" s="114">
        <f xml:space="preserve"> CORREL(Portafolio!$P$5:$P$256, Portafolio!T5:T256)</f>
        <v>5.7995057462650865E-2</v>
      </c>
      <c r="K27" s="115">
        <f xml:space="preserve"> CORREL(Portafolio!$P$5:$P$256, Portafolio!U5:U256)</f>
        <v>8.499048300539859E-2</v>
      </c>
    </row>
    <row r="28" spans="1:16" x14ac:dyDescent="0.25">
      <c r="A28" s="1"/>
      <c r="C28" s="109" t="s">
        <v>12</v>
      </c>
      <c r="D28" s="113">
        <f xml:space="preserve"> CORREL(Portafolio!$Q$5:$Q$256, Portafolio!N5:N256)</f>
        <v>0.38723494086518567</v>
      </c>
      <c r="E28" s="114">
        <f xml:space="preserve"> CORREL(Portafolio!$Q$5:$Q$256, Portafolio!O5:O256)</f>
        <v>0.15237094003232937</v>
      </c>
      <c r="F28" s="114">
        <f xml:space="preserve"> CORREL(Portafolio!$Q$5:$Q$256, Portafolio!P5:P256)</f>
        <v>0.25797880755721664</v>
      </c>
      <c r="G28" s="114">
        <f xml:space="preserve"> CORREL(Portafolio!$Q$5:$Q$256, Portafolio!Q5:Q256)</f>
        <v>1</v>
      </c>
      <c r="H28" s="114">
        <f xml:space="preserve"> CORREL(Portafolio!$Q$5:$Q$256, Portafolio!R5:R256)</f>
        <v>0.24732460445796972</v>
      </c>
      <c r="I28" s="114">
        <f xml:space="preserve"> CORREL(Portafolio!$Q$5:$Q$256, Portafolio!S5:S256)</f>
        <v>0.19265149495329043</v>
      </c>
      <c r="J28" s="114">
        <f xml:space="preserve"> CORREL(Portafolio!$Q$5:$Q$256, Portafolio!T5:T256)</f>
        <v>3.0743987105247589E-2</v>
      </c>
      <c r="K28" s="115">
        <f xml:space="preserve"> CORREL(Portafolio!$Q$5:$Q$256, Portafolio!U5:U256)</f>
        <v>0.13426071380693219</v>
      </c>
    </row>
    <row r="29" spans="1:16" x14ac:dyDescent="0.25">
      <c r="A29" s="1"/>
      <c r="C29" s="109" t="s">
        <v>21</v>
      </c>
      <c r="D29" s="113">
        <f xml:space="preserve"> CORREL(Portafolio!$R$5:$R$256, Portafolio!N5:N256)</f>
        <v>0.41712338004217747</v>
      </c>
      <c r="E29" s="114">
        <f xml:space="preserve"> CORREL(Portafolio!$R$5:$R$256, Portafolio!O5:O256)</f>
        <v>0.27837467627772206</v>
      </c>
      <c r="F29" s="114">
        <f xml:space="preserve"> CORREL(Portafolio!$R$5:$R$256, Portafolio!P5:P256)</f>
        <v>0.31499008439170861</v>
      </c>
      <c r="G29" s="114">
        <f xml:space="preserve"> CORREL(Portafolio!$R$5:$R$256, Portafolio!Q5:Q256)</f>
        <v>0.24732460445796972</v>
      </c>
      <c r="H29" s="114">
        <f xml:space="preserve"> CORREL(Portafolio!$R$5:$R$256, Portafolio!R5:R256)</f>
        <v>0.99999999999999989</v>
      </c>
      <c r="I29" s="114">
        <f xml:space="preserve"> CORREL(Portafolio!$R$5:$R$256, Portafolio!S5:S256)</f>
        <v>0.34809724360472888</v>
      </c>
      <c r="J29" s="114">
        <f xml:space="preserve"> CORREL(Portafolio!$R$5:$R$256, Portafolio!T5:T256)</f>
        <v>0.19381201237989523</v>
      </c>
      <c r="K29" s="115">
        <f xml:space="preserve"> CORREL(Portafolio!$R$5:$R$256, Portafolio!U5:U256)</f>
        <v>0.22484817470585503</v>
      </c>
    </row>
    <row r="30" spans="1:16" x14ac:dyDescent="0.25">
      <c r="A30" s="1"/>
      <c r="C30" s="109" t="s">
        <v>22</v>
      </c>
      <c r="D30" s="113">
        <f xml:space="preserve"> CORREL(Portafolio!$S$5:$S$256, Portafolio!N5:N256)</f>
        <v>0.57574837998580586</v>
      </c>
      <c r="E30" s="114">
        <f xml:space="preserve"> CORREL(Portafolio!$S$5:$S$256, Portafolio!O5:O256)</f>
        <v>0.23152894732000481</v>
      </c>
      <c r="F30" s="114">
        <f xml:space="preserve"> CORREL(Portafolio!$S$5:$S$256, Portafolio!P5:P256)</f>
        <v>0.40292516069422118</v>
      </c>
      <c r="G30" s="114">
        <f xml:space="preserve"> CORREL(Portafolio!$S$5:$S$256, Portafolio!Q5:Q256)</f>
        <v>0.19265149495329043</v>
      </c>
      <c r="H30" s="114">
        <f xml:space="preserve"> CORREL(Portafolio!$S$5:$S$256, Portafolio!R5:R256)</f>
        <v>0.34809724360472888</v>
      </c>
      <c r="I30" s="114">
        <f xml:space="preserve"> CORREL(Portafolio!$S$5:$S$256, Portafolio!S5:S256)</f>
        <v>1</v>
      </c>
      <c r="J30" s="114">
        <f xml:space="preserve"> CORREL(Portafolio!$S$5:$S$256, Portafolio!T5:T256)</f>
        <v>3.9414260654409429E-2</v>
      </c>
      <c r="K30" s="115">
        <f xml:space="preserve"> CORREL(Portafolio!$S$5:$S$256, Portafolio!U5:U256)</f>
        <v>0.14428197828093731</v>
      </c>
    </row>
    <row r="31" spans="1:16" x14ac:dyDescent="0.25">
      <c r="A31" s="1"/>
      <c r="C31" s="109" t="s">
        <v>14</v>
      </c>
      <c r="D31" s="113">
        <f xml:space="preserve"> CORREL(Portafolio!$T$5:$T$256, Portafolio!N5:N256)</f>
        <v>5.3553075056827902E-2</v>
      </c>
      <c r="E31" s="114">
        <f xml:space="preserve"> CORREL(Portafolio!$T$5:$T$256, Portafolio!O5:O256)</f>
        <v>8.5065749382165504E-2</v>
      </c>
      <c r="F31" s="114">
        <f xml:space="preserve"> CORREL(Portafolio!$T$5:$T$256, Portafolio!P5:P256)</f>
        <v>5.7995057462650865E-2</v>
      </c>
      <c r="G31" s="114">
        <f xml:space="preserve"> CORREL(Portafolio!$T$5:$T$256, Portafolio!Q5:Q256)</f>
        <v>3.0743987105247589E-2</v>
      </c>
      <c r="H31" s="114">
        <f xml:space="preserve"> CORREL(Portafolio!$T$5:$T$256, Portafolio!R5:R256)</f>
        <v>0.19381201237989523</v>
      </c>
      <c r="I31" s="114">
        <f xml:space="preserve"> CORREL(Portafolio!$T$5:$T$256, Portafolio!S5:S256)</f>
        <v>3.9414260654409429E-2</v>
      </c>
      <c r="J31" s="114">
        <f xml:space="preserve"> CORREL(Portafolio!$T$5:$T$256, Portafolio!T5:T256)</f>
        <v>0.99999999999999989</v>
      </c>
      <c r="K31" s="115">
        <f xml:space="preserve"> CORREL(Portafolio!$T$5:$T$256, Portafolio!U5:U256)</f>
        <v>0.27454285318406196</v>
      </c>
    </row>
    <row r="32" spans="1:16" x14ac:dyDescent="0.25">
      <c r="A32" s="1"/>
      <c r="C32" s="109" t="s">
        <v>27</v>
      </c>
      <c r="D32" s="116">
        <f xml:space="preserve"> CORREL(Portafolio!$U$5:$U$256, Portafolio!N5:N256)</f>
        <v>0.11703690537775013</v>
      </c>
      <c r="E32" s="117">
        <f xml:space="preserve"> CORREL(Portafolio!$U$5:$U$256, Portafolio!O5:O256)</f>
        <v>-9.2047496691765058E-3</v>
      </c>
      <c r="F32" s="117">
        <f xml:space="preserve"> CORREL(Portafolio!$U$5:$U$256, Portafolio!P5:P256)</f>
        <v>8.499048300539859E-2</v>
      </c>
      <c r="G32" s="117">
        <f xml:space="preserve"> CORREL(Portafolio!$U$5:$U$256, Portafolio!Q5:Q256)</f>
        <v>0.13426071380693219</v>
      </c>
      <c r="H32" s="117">
        <f xml:space="preserve"> CORREL(Portafolio!$U$5:$U$256, Portafolio!R5:R256)</f>
        <v>0.22484817470585503</v>
      </c>
      <c r="I32" s="117">
        <f xml:space="preserve"> CORREL(Portafolio!$U$5:$U$256, Portafolio!S5:S256)</f>
        <v>0.14428197828093731</v>
      </c>
      <c r="J32" s="117">
        <f xml:space="preserve"> CORREL(Portafolio!$U$5:$U$256, Portafolio!T5:T256)</f>
        <v>0.27454285318406196</v>
      </c>
      <c r="K32" s="118">
        <f xml:space="preserve"> CORREL(Portafolio!$U$5:$U$256, Portafolio!U5:U256)</f>
        <v>1.0000000000000002</v>
      </c>
    </row>
    <row r="33" spans="1:11" x14ac:dyDescent="0.25">
      <c r="A33" s="1"/>
    </row>
    <row r="34" spans="1:11" ht="15.75" x14ac:dyDescent="0.25">
      <c r="A34" s="1"/>
      <c r="B34" s="188" t="s">
        <v>39</v>
      </c>
      <c r="C34" s="188"/>
    </row>
    <row r="35" spans="1:11" x14ac:dyDescent="0.25">
      <c r="A35" s="1"/>
    </row>
    <row r="36" spans="1:11" x14ac:dyDescent="0.25">
      <c r="A36" s="1"/>
      <c r="D36" s="4" t="s">
        <v>13</v>
      </c>
      <c r="E36" s="4" t="s">
        <v>19</v>
      </c>
      <c r="F36" s="4" t="s">
        <v>20</v>
      </c>
      <c r="G36" s="4" t="s">
        <v>12</v>
      </c>
      <c r="H36" s="4" t="s">
        <v>21</v>
      </c>
      <c r="I36" s="4" t="s">
        <v>22</v>
      </c>
      <c r="J36" s="4" t="s">
        <v>14</v>
      </c>
      <c r="K36" s="4" t="s">
        <v>27</v>
      </c>
    </row>
    <row r="37" spans="1:11" x14ac:dyDescent="0.25">
      <c r="A37" s="1"/>
      <c r="C37" s="109" t="s">
        <v>13</v>
      </c>
      <c r="D37" s="119">
        <f xml:space="preserve"> G9</f>
        <v>0.15760966719372907</v>
      </c>
      <c r="E37" s="120">
        <v>0</v>
      </c>
      <c r="F37" s="120">
        <v>0</v>
      </c>
      <c r="G37" s="120">
        <v>0</v>
      </c>
      <c r="H37" s="120">
        <v>0</v>
      </c>
      <c r="I37" s="120">
        <v>0</v>
      </c>
      <c r="J37" s="120">
        <v>0</v>
      </c>
      <c r="K37" s="121">
        <v>0</v>
      </c>
    </row>
    <row r="38" spans="1:11" x14ac:dyDescent="0.25">
      <c r="A38" s="1"/>
      <c r="C38" s="109" t="s">
        <v>19</v>
      </c>
      <c r="D38" s="122">
        <v>0</v>
      </c>
      <c r="E38" s="123">
        <f xml:space="preserve"> G10</f>
        <v>0.38935965501127173</v>
      </c>
      <c r="F38" s="124">
        <v>0</v>
      </c>
      <c r="G38" s="124">
        <v>0</v>
      </c>
      <c r="H38" s="124">
        <v>0</v>
      </c>
      <c r="I38" s="124">
        <v>0</v>
      </c>
      <c r="J38" s="124">
        <v>0</v>
      </c>
      <c r="K38" s="125">
        <v>0</v>
      </c>
    </row>
    <row r="39" spans="1:11" x14ac:dyDescent="0.25">
      <c r="A39" s="1"/>
      <c r="C39" s="109" t="s">
        <v>20</v>
      </c>
      <c r="D39" s="122">
        <v>0</v>
      </c>
      <c r="E39" s="124">
        <v>0</v>
      </c>
      <c r="F39" s="123">
        <f xml:space="preserve"> G11</f>
        <v>0.28385098752741117</v>
      </c>
      <c r="G39" s="124">
        <v>0</v>
      </c>
      <c r="H39" s="124">
        <v>0</v>
      </c>
      <c r="I39" s="124">
        <v>0</v>
      </c>
      <c r="J39" s="124">
        <v>0</v>
      </c>
      <c r="K39" s="125">
        <v>0</v>
      </c>
    </row>
    <row r="40" spans="1:11" x14ac:dyDescent="0.25">
      <c r="A40" s="1"/>
      <c r="C40" s="109" t="s">
        <v>12</v>
      </c>
      <c r="D40" s="122">
        <v>0</v>
      </c>
      <c r="E40" s="124">
        <v>0</v>
      </c>
      <c r="F40" s="124">
        <v>0</v>
      </c>
      <c r="G40" s="123">
        <f xml:space="preserve"> G12</f>
        <v>0.43640904315421197</v>
      </c>
      <c r="H40" s="124">
        <v>0</v>
      </c>
      <c r="I40" s="124">
        <v>0</v>
      </c>
      <c r="J40" s="124">
        <v>0</v>
      </c>
      <c r="K40" s="125">
        <v>0</v>
      </c>
    </row>
    <row r="41" spans="1:11" x14ac:dyDescent="0.25">
      <c r="A41" s="1"/>
      <c r="C41" s="109" t="s">
        <v>21</v>
      </c>
      <c r="D41" s="122">
        <v>0</v>
      </c>
      <c r="E41" s="124">
        <v>0</v>
      </c>
      <c r="F41" s="124">
        <v>0</v>
      </c>
      <c r="G41" s="124">
        <v>0</v>
      </c>
      <c r="H41" s="123">
        <f xml:space="preserve"> G13</f>
        <v>0.4498740865406457</v>
      </c>
      <c r="I41" s="124">
        <v>0</v>
      </c>
      <c r="J41" s="124">
        <v>0</v>
      </c>
      <c r="K41" s="125">
        <v>0</v>
      </c>
    </row>
    <row r="42" spans="1:11" x14ac:dyDescent="0.25">
      <c r="A42" s="1"/>
      <c r="C42" s="109" t="s">
        <v>22</v>
      </c>
      <c r="D42" s="122">
        <v>0</v>
      </c>
      <c r="E42" s="124">
        <v>0</v>
      </c>
      <c r="F42" s="124">
        <v>0</v>
      </c>
      <c r="G42" s="124">
        <v>0</v>
      </c>
      <c r="H42" s="124">
        <v>0</v>
      </c>
      <c r="I42" s="123">
        <f xml:space="preserve"> G14</f>
        <v>0.43627507974958551</v>
      </c>
      <c r="J42" s="124">
        <v>0</v>
      </c>
      <c r="K42" s="125">
        <v>0</v>
      </c>
    </row>
    <row r="43" spans="1:11" x14ac:dyDescent="0.25">
      <c r="A43" s="1"/>
      <c r="C43" s="109" t="s">
        <v>14</v>
      </c>
      <c r="D43" s="122">
        <v>0</v>
      </c>
      <c r="E43" s="124">
        <v>0</v>
      </c>
      <c r="F43" s="124">
        <v>0</v>
      </c>
      <c r="G43" s="124">
        <v>0</v>
      </c>
      <c r="H43" s="124">
        <v>0</v>
      </c>
      <c r="I43" s="124">
        <v>0</v>
      </c>
      <c r="J43" s="123">
        <f xml:space="preserve"> G15</f>
        <v>0.21414708770041449</v>
      </c>
      <c r="K43" s="125">
        <v>0</v>
      </c>
    </row>
    <row r="44" spans="1:11" x14ac:dyDescent="0.25">
      <c r="A44" s="1"/>
      <c r="C44" s="109" t="s">
        <v>27</v>
      </c>
      <c r="D44" s="126">
        <v>0</v>
      </c>
      <c r="E44" s="127">
        <v>0</v>
      </c>
      <c r="F44" s="127">
        <v>0</v>
      </c>
      <c r="G44" s="127">
        <v>0</v>
      </c>
      <c r="H44" s="127">
        <v>0</v>
      </c>
      <c r="I44" s="127">
        <v>0</v>
      </c>
      <c r="J44" s="127">
        <v>0</v>
      </c>
      <c r="K44" s="128">
        <f xml:space="preserve"> G16</f>
        <v>0.51530691310577126</v>
      </c>
    </row>
    <row r="45" spans="1:11" x14ac:dyDescent="0.25">
      <c r="A45" s="1"/>
    </row>
    <row r="46" spans="1:11" x14ac:dyDescent="0.25">
      <c r="A46" s="1"/>
    </row>
    <row r="47" spans="1:11" x14ac:dyDescent="0.25">
      <c r="A47" s="1"/>
    </row>
    <row r="48" spans="1:11" x14ac:dyDescent="0.25">
      <c r="A48" s="1"/>
      <c r="C48" s="28"/>
      <c r="D48" s="28"/>
      <c r="E48" s="29"/>
      <c r="F48" s="29"/>
      <c r="G48" s="29"/>
      <c r="H48" s="29"/>
      <c r="I48" s="29"/>
      <c r="J48" s="29"/>
      <c r="K48" s="29"/>
    </row>
    <row r="49" spans="1:14" x14ac:dyDescent="0.25">
      <c r="A49" s="1"/>
      <c r="C49" s="28"/>
      <c r="D49" s="29"/>
      <c r="E49" s="28"/>
      <c r="F49" s="29"/>
      <c r="G49" s="29"/>
      <c r="H49" s="29"/>
      <c r="I49" s="29"/>
      <c r="J49" s="29"/>
      <c r="K49" s="29"/>
    </row>
    <row r="50" spans="1:14" x14ac:dyDescent="0.25">
      <c r="A50" s="1"/>
      <c r="D50" s="29"/>
      <c r="E50" s="29"/>
      <c r="F50" s="29"/>
      <c r="G50" s="29"/>
      <c r="H50" s="29"/>
      <c r="I50" s="29"/>
      <c r="J50" s="29"/>
      <c r="K50" s="29"/>
    </row>
    <row r="51" spans="1:14" x14ac:dyDescent="0.25">
      <c r="A51" s="1"/>
      <c r="D51" s="29"/>
      <c r="E51" s="29"/>
      <c r="F51" s="29"/>
      <c r="G51" s="29"/>
      <c r="H51" s="29"/>
      <c r="I51" s="29"/>
      <c r="J51" s="29"/>
      <c r="K51" s="29"/>
    </row>
    <row r="52" spans="1:14" x14ac:dyDescent="0.25">
      <c r="A52" s="1"/>
      <c r="D52" s="29"/>
      <c r="E52" s="29"/>
      <c r="F52" s="29"/>
      <c r="G52" s="29"/>
      <c r="H52" s="29"/>
      <c r="I52" s="29"/>
      <c r="J52" s="29"/>
      <c r="K52" s="29"/>
    </row>
    <row r="53" spans="1:14" x14ac:dyDescent="0.25">
      <c r="A53" s="1"/>
      <c r="D53" s="29"/>
      <c r="E53" s="29"/>
      <c r="F53" s="29"/>
      <c r="G53" s="29"/>
      <c r="H53" s="29"/>
      <c r="I53" s="29"/>
      <c r="J53" s="29"/>
      <c r="K53" s="29"/>
    </row>
    <row r="54" spans="1:14" x14ac:dyDescent="0.25">
      <c r="A54" s="1"/>
      <c r="D54" s="29"/>
      <c r="E54" s="29"/>
      <c r="F54" s="29"/>
      <c r="G54" s="29"/>
      <c r="H54" s="29"/>
      <c r="I54" s="29"/>
      <c r="J54" s="29"/>
      <c r="K54" s="29"/>
    </row>
    <row r="55" spans="1:14" x14ac:dyDescent="0.25">
      <c r="A55" s="1"/>
      <c r="D55" s="29"/>
      <c r="E55" s="29"/>
      <c r="F55" s="29"/>
      <c r="G55" s="29"/>
      <c r="H55" s="29"/>
      <c r="I55" s="29"/>
      <c r="J55" s="29"/>
      <c r="K55" s="29"/>
      <c r="L55" s="30"/>
      <c r="M55" s="30"/>
      <c r="N55" s="30"/>
    </row>
    <row r="56" spans="1:14" x14ac:dyDescent="0.25">
      <c r="A56" s="1"/>
    </row>
    <row r="57" spans="1:14" x14ac:dyDescent="0.25">
      <c r="A57" s="1"/>
    </row>
    <row r="58" spans="1:14" x14ac:dyDescent="0.25">
      <c r="A58" s="1"/>
    </row>
    <row r="59" spans="1:14" x14ac:dyDescent="0.25">
      <c r="A59" s="1"/>
    </row>
    <row r="60" spans="1:14" x14ac:dyDescent="0.25">
      <c r="A60" s="1"/>
    </row>
    <row r="61" spans="1:14" x14ac:dyDescent="0.25">
      <c r="A61" s="1"/>
    </row>
    <row r="62" spans="1:14" x14ac:dyDescent="0.25">
      <c r="A62" s="1"/>
    </row>
    <row r="63" spans="1:14" x14ac:dyDescent="0.25">
      <c r="A63" s="1"/>
    </row>
    <row r="64" spans="1:14" x14ac:dyDescent="0.25">
      <c r="A64" s="1"/>
    </row>
    <row r="65" spans="1:1" x14ac:dyDescent="0.25">
      <c r="A65" s="1"/>
    </row>
    <row r="66" spans="1:1" x14ac:dyDescent="0.25">
      <c r="A66" s="1"/>
    </row>
    <row r="67" spans="1:1" x14ac:dyDescent="0.25">
      <c r="A67" s="1"/>
    </row>
    <row r="68" spans="1:1" x14ac:dyDescent="0.25">
      <c r="A68" s="1"/>
    </row>
    <row r="69" spans="1:1" x14ac:dyDescent="0.25">
      <c r="A69" s="1"/>
    </row>
    <row r="70" spans="1:1" x14ac:dyDescent="0.25">
      <c r="A70" s="1"/>
    </row>
    <row r="71" spans="1:1" x14ac:dyDescent="0.25">
      <c r="A71" s="1"/>
    </row>
    <row r="72" spans="1:1" x14ac:dyDescent="0.25">
      <c r="A72" s="1"/>
    </row>
    <row r="73" spans="1:1" x14ac:dyDescent="0.25">
      <c r="A73" s="1"/>
    </row>
    <row r="74" spans="1:1" x14ac:dyDescent="0.25">
      <c r="A74" s="1"/>
    </row>
    <row r="75" spans="1:1" x14ac:dyDescent="0.25">
      <c r="A75" s="1"/>
    </row>
    <row r="76" spans="1:1" x14ac:dyDescent="0.25">
      <c r="A76" s="1"/>
    </row>
    <row r="77" spans="1:1" x14ac:dyDescent="0.25">
      <c r="A77" s="1"/>
    </row>
    <row r="78" spans="1:1" x14ac:dyDescent="0.25">
      <c r="A78" s="1"/>
    </row>
    <row r="79" spans="1:1" x14ac:dyDescent="0.25">
      <c r="A79" s="1"/>
    </row>
    <row r="80" spans="1:1" x14ac:dyDescent="0.25">
      <c r="A80" s="1"/>
    </row>
    <row r="81" spans="1:1" x14ac:dyDescent="0.25">
      <c r="A81" s="1"/>
    </row>
    <row r="82" spans="1:1" x14ac:dyDescent="0.25">
      <c r="A82" s="1"/>
    </row>
    <row r="83" spans="1:1" x14ac:dyDescent="0.25">
      <c r="A83" s="1"/>
    </row>
    <row r="84" spans="1:1" x14ac:dyDescent="0.25">
      <c r="A84" s="1"/>
    </row>
    <row r="85" spans="1:1" x14ac:dyDescent="0.25">
      <c r="A85" s="1"/>
    </row>
    <row r="86" spans="1:1" x14ac:dyDescent="0.25">
      <c r="A86" s="1"/>
    </row>
    <row r="87" spans="1:1" x14ac:dyDescent="0.25">
      <c r="A87" s="1"/>
    </row>
    <row r="88" spans="1:1" x14ac:dyDescent="0.25">
      <c r="A88" s="1"/>
    </row>
    <row r="89" spans="1:1" x14ac:dyDescent="0.25">
      <c r="A89" s="1"/>
    </row>
    <row r="90" spans="1:1" x14ac:dyDescent="0.25">
      <c r="A90" s="1"/>
    </row>
    <row r="91" spans="1:1" x14ac:dyDescent="0.25">
      <c r="A91" s="1"/>
    </row>
    <row r="92" spans="1:1" x14ac:dyDescent="0.25">
      <c r="A92" s="1"/>
    </row>
    <row r="93" spans="1:1" x14ac:dyDescent="0.25">
      <c r="A93" s="1"/>
    </row>
    <row r="94" spans="1:1" x14ac:dyDescent="0.25">
      <c r="A94" s="1"/>
    </row>
    <row r="95" spans="1:1" x14ac:dyDescent="0.25">
      <c r="A95" s="1"/>
    </row>
    <row r="96" spans="1:1" x14ac:dyDescent="0.25">
      <c r="A96" s="1"/>
    </row>
    <row r="97" spans="1:1" x14ac:dyDescent="0.25">
      <c r="A97" s="1"/>
    </row>
    <row r="98" spans="1:1" x14ac:dyDescent="0.25">
      <c r="A98" s="1"/>
    </row>
    <row r="99" spans="1:1" x14ac:dyDescent="0.25">
      <c r="A99" s="1"/>
    </row>
    <row r="100" spans="1:1" x14ac:dyDescent="0.25">
      <c r="A100" s="1"/>
    </row>
    <row r="101" spans="1:1" x14ac:dyDescent="0.25">
      <c r="A101" s="1"/>
    </row>
    <row r="102" spans="1:1" x14ac:dyDescent="0.25">
      <c r="A102" s="1"/>
    </row>
    <row r="103" spans="1:1" x14ac:dyDescent="0.25">
      <c r="A103" s="1"/>
    </row>
    <row r="104" spans="1:1" x14ac:dyDescent="0.25">
      <c r="A104" s="1"/>
    </row>
    <row r="105" spans="1:1" x14ac:dyDescent="0.25">
      <c r="A105" s="1"/>
    </row>
    <row r="106" spans="1:1" x14ac:dyDescent="0.25">
      <c r="A106" s="1"/>
    </row>
    <row r="107" spans="1:1" x14ac:dyDescent="0.25">
      <c r="A107" s="1"/>
    </row>
    <row r="108" spans="1:1" x14ac:dyDescent="0.25">
      <c r="A108" s="1"/>
    </row>
    <row r="109" spans="1:1" x14ac:dyDescent="0.25">
      <c r="A109" s="1"/>
    </row>
    <row r="110" spans="1:1" x14ac:dyDescent="0.25">
      <c r="A110" s="1"/>
    </row>
    <row r="111" spans="1:1" x14ac:dyDescent="0.25">
      <c r="A111" s="1"/>
    </row>
    <row r="112" spans="1:1" x14ac:dyDescent="0.25">
      <c r="A112" s="1"/>
    </row>
    <row r="113" spans="1:1" x14ac:dyDescent="0.25">
      <c r="A113" s="1"/>
    </row>
    <row r="114" spans="1:1" x14ac:dyDescent="0.25">
      <c r="A114" s="1"/>
    </row>
    <row r="115" spans="1:1" x14ac:dyDescent="0.25">
      <c r="A115" s="1"/>
    </row>
    <row r="116" spans="1:1" x14ac:dyDescent="0.25">
      <c r="A116" s="1"/>
    </row>
    <row r="117" spans="1:1" x14ac:dyDescent="0.25">
      <c r="A117" s="1"/>
    </row>
    <row r="118" spans="1:1" x14ac:dyDescent="0.25">
      <c r="A118" s="1"/>
    </row>
    <row r="119" spans="1:1" x14ac:dyDescent="0.25">
      <c r="A119" s="1"/>
    </row>
    <row r="120" spans="1:1" x14ac:dyDescent="0.25">
      <c r="A120" s="1"/>
    </row>
    <row r="121" spans="1:1" x14ac:dyDescent="0.25">
      <c r="A121" s="1"/>
    </row>
    <row r="122" spans="1:1" x14ac:dyDescent="0.25">
      <c r="A122" s="1"/>
    </row>
    <row r="123" spans="1:1" x14ac:dyDescent="0.25">
      <c r="A123" s="1"/>
    </row>
    <row r="124" spans="1:1" x14ac:dyDescent="0.25">
      <c r="A124" s="1"/>
    </row>
    <row r="125" spans="1:1" x14ac:dyDescent="0.25">
      <c r="A125" s="1"/>
    </row>
    <row r="126" spans="1:1" x14ac:dyDescent="0.25">
      <c r="A126" s="1"/>
    </row>
    <row r="127" spans="1:1" x14ac:dyDescent="0.25">
      <c r="A127" s="1"/>
    </row>
    <row r="128" spans="1:1" x14ac:dyDescent="0.25">
      <c r="A128" s="1"/>
    </row>
    <row r="129" spans="1:1" x14ac:dyDescent="0.25">
      <c r="A129" s="1"/>
    </row>
    <row r="130" spans="1:1" x14ac:dyDescent="0.25">
      <c r="A130" s="1"/>
    </row>
    <row r="131" spans="1:1" x14ac:dyDescent="0.25">
      <c r="A131" s="1"/>
    </row>
    <row r="132" spans="1:1" x14ac:dyDescent="0.25">
      <c r="A132" s="1"/>
    </row>
    <row r="133" spans="1:1" x14ac:dyDescent="0.25">
      <c r="A133" s="1"/>
    </row>
    <row r="134" spans="1:1" x14ac:dyDescent="0.25">
      <c r="A134" s="1"/>
    </row>
    <row r="135" spans="1:1" x14ac:dyDescent="0.25">
      <c r="A135" s="1"/>
    </row>
    <row r="136" spans="1:1" x14ac:dyDescent="0.25">
      <c r="A136" s="1"/>
    </row>
    <row r="137" spans="1:1" x14ac:dyDescent="0.25">
      <c r="A137" s="1"/>
    </row>
    <row r="138" spans="1:1" x14ac:dyDescent="0.25">
      <c r="A138" s="1"/>
    </row>
    <row r="139" spans="1:1" x14ac:dyDescent="0.25">
      <c r="A139" s="1"/>
    </row>
    <row r="140" spans="1:1" x14ac:dyDescent="0.25">
      <c r="A140" s="1"/>
    </row>
    <row r="141" spans="1:1" x14ac:dyDescent="0.25">
      <c r="A141" s="1"/>
    </row>
    <row r="142" spans="1:1" x14ac:dyDescent="0.25">
      <c r="A142" s="1"/>
    </row>
    <row r="143" spans="1:1" x14ac:dyDescent="0.25">
      <c r="A143" s="1"/>
    </row>
    <row r="144" spans="1:1" x14ac:dyDescent="0.25">
      <c r="A144" s="1"/>
    </row>
    <row r="145" spans="1:1" x14ac:dyDescent="0.25">
      <c r="A145" s="1"/>
    </row>
    <row r="146" spans="1:1" x14ac:dyDescent="0.25">
      <c r="A146" s="1"/>
    </row>
    <row r="147" spans="1:1" x14ac:dyDescent="0.25">
      <c r="A147" s="1"/>
    </row>
    <row r="148" spans="1:1" x14ac:dyDescent="0.25">
      <c r="A148" s="1"/>
    </row>
    <row r="149" spans="1:1" x14ac:dyDescent="0.25">
      <c r="A149" s="1"/>
    </row>
    <row r="150" spans="1:1" x14ac:dyDescent="0.25">
      <c r="A150" s="1"/>
    </row>
    <row r="151" spans="1:1" x14ac:dyDescent="0.25">
      <c r="A151" s="1"/>
    </row>
    <row r="152" spans="1:1" x14ac:dyDescent="0.25">
      <c r="A152" s="1"/>
    </row>
    <row r="153" spans="1:1" x14ac:dyDescent="0.25">
      <c r="A153" s="1"/>
    </row>
    <row r="154" spans="1:1" x14ac:dyDescent="0.25">
      <c r="A154" s="1"/>
    </row>
    <row r="155" spans="1:1" x14ac:dyDescent="0.25">
      <c r="A155" s="1"/>
    </row>
    <row r="156" spans="1:1" x14ac:dyDescent="0.25">
      <c r="A156" s="1"/>
    </row>
    <row r="157" spans="1:1" x14ac:dyDescent="0.25">
      <c r="A157" s="1"/>
    </row>
    <row r="158" spans="1:1" x14ac:dyDescent="0.25">
      <c r="A158" s="1"/>
    </row>
    <row r="159" spans="1:1" x14ac:dyDescent="0.25">
      <c r="A159" s="1"/>
    </row>
    <row r="160" spans="1:1" x14ac:dyDescent="0.25">
      <c r="A160" s="1"/>
    </row>
    <row r="161" spans="1:1" x14ac:dyDescent="0.25">
      <c r="A161" s="1"/>
    </row>
    <row r="162" spans="1:1" x14ac:dyDescent="0.25">
      <c r="A162" s="1"/>
    </row>
    <row r="163" spans="1:1" x14ac:dyDescent="0.25">
      <c r="A163" s="1"/>
    </row>
    <row r="164" spans="1:1" x14ac:dyDescent="0.25">
      <c r="A164" s="1"/>
    </row>
    <row r="165" spans="1:1" x14ac:dyDescent="0.25">
      <c r="A165" s="1"/>
    </row>
    <row r="166" spans="1:1" x14ac:dyDescent="0.25">
      <c r="A166" s="1"/>
    </row>
    <row r="167" spans="1:1" x14ac:dyDescent="0.25">
      <c r="A167" s="1"/>
    </row>
    <row r="168" spans="1:1" x14ac:dyDescent="0.25">
      <c r="A168" s="1"/>
    </row>
    <row r="169" spans="1:1" x14ac:dyDescent="0.25">
      <c r="A169" s="1"/>
    </row>
    <row r="170" spans="1:1" x14ac:dyDescent="0.25">
      <c r="A170" s="1"/>
    </row>
    <row r="171" spans="1:1" x14ac:dyDescent="0.25">
      <c r="A171" s="1"/>
    </row>
    <row r="172" spans="1:1" x14ac:dyDescent="0.25">
      <c r="A172" s="1"/>
    </row>
    <row r="173" spans="1:1" x14ac:dyDescent="0.25">
      <c r="A173" s="1"/>
    </row>
    <row r="174" spans="1:1" x14ac:dyDescent="0.25">
      <c r="A174" s="1"/>
    </row>
    <row r="175" spans="1:1" x14ac:dyDescent="0.25">
      <c r="A175" s="1"/>
    </row>
    <row r="176" spans="1:1" x14ac:dyDescent="0.25">
      <c r="A176" s="1"/>
    </row>
    <row r="177" spans="1:1" x14ac:dyDescent="0.25">
      <c r="A177" s="1"/>
    </row>
    <row r="178" spans="1:1" x14ac:dyDescent="0.25">
      <c r="A178" s="1"/>
    </row>
    <row r="179" spans="1:1" x14ac:dyDescent="0.25">
      <c r="A179" s="1"/>
    </row>
    <row r="180" spans="1:1" x14ac:dyDescent="0.25">
      <c r="A180" s="1"/>
    </row>
    <row r="181" spans="1:1" x14ac:dyDescent="0.25">
      <c r="A181" s="1"/>
    </row>
    <row r="182" spans="1:1" x14ac:dyDescent="0.25">
      <c r="A182" s="1"/>
    </row>
    <row r="183" spans="1:1" x14ac:dyDescent="0.25">
      <c r="A183" s="1"/>
    </row>
    <row r="184" spans="1:1" x14ac:dyDescent="0.25">
      <c r="A184" s="1"/>
    </row>
    <row r="185" spans="1:1" x14ac:dyDescent="0.25">
      <c r="A185" s="1"/>
    </row>
    <row r="186" spans="1:1" x14ac:dyDescent="0.25">
      <c r="A186" s="1"/>
    </row>
    <row r="187" spans="1:1" x14ac:dyDescent="0.25">
      <c r="A187" s="1"/>
    </row>
    <row r="188" spans="1:1" x14ac:dyDescent="0.25">
      <c r="A188" s="1"/>
    </row>
    <row r="189" spans="1:1" x14ac:dyDescent="0.25">
      <c r="A189" s="1"/>
    </row>
    <row r="190" spans="1:1" x14ac:dyDescent="0.25">
      <c r="A190" s="1"/>
    </row>
    <row r="191" spans="1:1" x14ac:dyDescent="0.25">
      <c r="A191" s="1"/>
    </row>
    <row r="192" spans="1:1" x14ac:dyDescent="0.25">
      <c r="A192" s="1"/>
    </row>
    <row r="193" spans="1:1" x14ac:dyDescent="0.25">
      <c r="A193" s="1"/>
    </row>
    <row r="194" spans="1:1" x14ac:dyDescent="0.25">
      <c r="A194" s="1"/>
    </row>
    <row r="195" spans="1:1" x14ac:dyDescent="0.25">
      <c r="A195" s="1"/>
    </row>
    <row r="196" spans="1:1" x14ac:dyDescent="0.25">
      <c r="A196" s="1"/>
    </row>
    <row r="197" spans="1:1" x14ac:dyDescent="0.25">
      <c r="A197" s="1"/>
    </row>
    <row r="198" spans="1:1" x14ac:dyDescent="0.25">
      <c r="A198" s="1"/>
    </row>
    <row r="199" spans="1:1" x14ac:dyDescent="0.25">
      <c r="A199" s="1"/>
    </row>
    <row r="200" spans="1:1" x14ac:dyDescent="0.25">
      <c r="A200" s="1"/>
    </row>
    <row r="201" spans="1:1" x14ac:dyDescent="0.25">
      <c r="A201" s="1"/>
    </row>
    <row r="202" spans="1:1" x14ac:dyDescent="0.25">
      <c r="A202" s="1"/>
    </row>
    <row r="203" spans="1:1" x14ac:dyDescent="0.25">
      <c r="A203" s="1"/>
    </row>
    <row r="204" spans="1:1" x14ac:dyDescent="0.25">
      <c r="A204" s="1"/>
    </row>
    <row r="205" spans="1:1" x14ac:dyDescent="0.25">
      <c r="A205" s="1"/>
    </row>
    <row r="206" spans="1:1" x14ac:dyDescent="0.25">
      <c r="A206" s="1"/>
    </row>
    <row r="207" spans="1:1" x14ac:dyDescent="0.25">
      <c r="A207" s="1"/>
    </row>
    <row r="208" spans="1:1" x14ac:dyDescent="0.25">
      <c r="A208" s="1"/>
    </row>
    <row r="209" spans="1:1" x14ac:dyDescent="0.25">
      <c r="A209" s="1"/>
    </row>
    <row r="210" spans="1:1" x14ac:dyDescent="0.25">
      <c r="A210" s="1"/>
    </row>
    <row r="211" spans="1:1" x14ac:dyDescent="0.25">
      <c r="A211" s="1"/>
    </row>
    <row r="212" spans="1:1" x14ac:dyDescent="0.25">
      <c r="A212" s="1"/>
    </row>
    <row r="213" spans="1:1" x14ac:dyDescent="0.25">
      <c r="A213" s="1"/>
    </row>
    <row r="214" spans="1:1" x14ac:dyDescent="0.25">
      <c r="A214" s="1"/>
    </row>
    <row r="215" spans="1:1" x14ac:dyDescent="0.25">
      <c r="A215" s="1"/>
    </row>
    <row r="216" spans="1:1" x14ac:dyDescent="0.25">
      <c r="A216" s="1"/>
    </row>
    <row r="217" spans="1:1" x14ac:dyDescent="0.25">
      <c r="A217" s="1"/>
    </row>
    <row r="218" spans="1:1" x14ac:dyDescent="0.25">
      <c r="A218" s="1"/>
    </row>
    <row r="219" spans="1:1" x14ac:dyDescent="0.25">
      <c r="A219" s="1"/>
    </row>
    <row r="220" spans="1:1" x14ac:dyDescent="0.25">
      <c r="A220" s="1"/>
    </row>
    <row r="221" spans="1:1" x14ac:dyDescent="0.25">
      <c r="A221" s="1"/>
    </row>
    <row r="222" spans="1:1" x14ac:dyDescent="0.25">
      <c r="A222" s="1"/>
    </row>
    <row r="223" spans="1:1" x14ac:dyDescent="0.25">
      <c r="A223" s="1"/>
    </row>
    <row r="224" spans="1:1" x14ac:dyDescent="0.25">
      <c r="A224" s="1"/>
    </row>
    <row r="225" spans="1:1" x14ac:dyDescent="0.25">
      <c r="A225" s="1"/>
    </row>
    <row r="226" spans="1:1" x14ac:dyDescent="0.25">
      <c r="A226" s="1"/>
    </row>
    <row r="227" spans="1:1" x14ac:dyDescent="0.25">
      <c r="A227" s="1"/>
    </row>
    <row r="228" spans="1:1" x14ac:dyDescent="0.25">
      <c r="A228" s="1"/>
    </row>
    <row r="229" spans="1:1" x14ac:dyDescent="0.25">
      <c r="A229" s="1"/>
    </row>
    <row r="230" spans="1:1" x14ac:dyDescent="0.25">
      <c r="A230" s="1"/>
    </row>
    <row r="231" spans="1:1" x14ac:dyDescent="0.25">
      <c r="A231" s="1"/>
    </row>
    <row r="232" spans="1:1" x14ac:dyDescent="0.25">
      <c r="A232" s="1"/>
    </row>
    <row r="233" spans="1:1" x14ac:dyDescent="0.25">
      <c r="A233" s="1"/>
    </row>
    <row r="234" spans="1:1" x14ac:dyDescent="0.25">
      <c r="A234" s="1"/>
    </row>
    <row r="235" spans="1:1" x14ac:dyDescent="0.25">
      <c r="A235" s="1"/>
    </row>
    <row r="236" spans="1:1" x14ac:dyDescent="0.25">
      <c r="A236" s="1"/>
    </row>
    <row r="237" spans="1:1" x14ac:dyDescent="0.25">
      <c r="A237" s="1"/>
    </row>
    <row r="238" spans="1:1" x14ac:dyDescent="0.25">
      <c r="A238" s="1"/>
    </row>
    <row r="239" spans="1:1" x14ac:dyDescent="0.25">
      <c r="A239" s="1"/>
    </row>
    <row r="240" spans="1:1" x14ac:dyDescent="0.25">
      <c r="A240" s="1"/>
    </row>
    <row r="241" spans="1:1" x14ac:dyDescent="0.25">
      <c r="A241" s="1"/>
    </row>
    <row r="242" spans="1:1" x14ac:dyDescent="0.25">
      <c r="A242" s="1"/>
    </row>
    <row r="243" spans="1:1" x14ac:dyDescent="0.25">
      <c r="A243" s="1"/>
    </row>
    <row r="244" spans="1:1" x14ac:dyDescent="0.25">
      <c r="A244" s="1"/>
    </row>
    <row r="245" spans="1:1" x14ac:dyDescent="0.25">
      <c r="A245" s="1"/>
    </row>
    <row r="246" spans="1:1" x14ac:dyDescent="0.25">
      <c r="A246" s="1"/>
    </row>
    <row r="247" spans="1:1" x14ac:dyDescent="0.25">
      <c r="A247" s="1"/>
    </row>
    <row r="248" spans="1:1" x14ac:dyDescent="0.25">
      <c r="A248" s="1"/>
    </row>
    <row r="249" spans="1:1" x14ac:dyDescent="0.25">
      <c r="A249" s="1"/>
    </row>
    <row r="250" spans="1:1" x14ac:dyDescent="0.25">
      <c r="A250" s="1"/>
    </row>
    <row r="251" spans="1:1" x14ac:dyDescent="0.25">
      <c r="A251" s="1"/>
    </row>
    <row r="252" spans="1:1" x14ac:dyDescent="0.25">
      <c r="A252" s="1"/>
    </row>
    <row r="253" spans="1:1" x14ac:dyDescent="0.25">
      <c r="A253" s="1"/>
    </row>
    <row r="254" spans="1:1" x14ac:dyDescent="0.25">
      <c r="A254" s="1"/>
    </row>
    <row r="255" spans="1:1" x14ac:dyDescent="0.25">
      <c r="A255" s="1"/>
    </row>
    <row r="256" spans="1:1" x14ac:dyDescent="0.25">
      <c r="A256" s="1"/>
    </row>
    <row r="257" spans="1:1" x14ac:dyDescent="0.25">
      <c r="A257" s="1"/>
    </row>
    <row r="258" spans="1:1" x14ac:dyDescent="0.25">
      <c r="A258" s="1"/>
    </row>
    <row r="259" spans="1:1" x14ac:dyDescent="0.25">
      <c r="A259" s="1"/>
    </row>
    <row r="260" spans="1:1" x14ac:dyDescent="0.25">
      <c r="A260" s="1"/>
    </row>
    <row r="261" spans="1:1" x14ac:dyDescent="0.25">
      <c r="A261" s="1"/>
    </row>
    <row r="262" spans="1:1" x14ac:dyDescent="0.25">
      <c r="A262" s="1"/>
    </row>
    <row r="263" spans="1:1" x14ac:dyDescent="0.25">
      <c r="A263" s="1"/>
    </row>
    <row r="264" spans="1:1" x14ac:dyDescent="0.25">
      <c r="A264" s="1"/>
    </row>
    <row r="265" spans="1:1" x14ac:dyDescent="0.25">
      <c r="A265" s="1"/>
    </row>
    <row r="266" spans="1:1" x14ac:dyDescent="0.25">
      <c r="A266" s="1"/>
    </row>
    <row r="267" spans="1:1" x14ac:dyDescent="0.25">
      <c r="A267" s="1"/>
    </row>
    <row r="268" spans="1:1" x14ac:dyDescent="0.25">
      <c r="A268" s="1"/>
    </row>
    <row r="269" spans="1:1" x14ac:dyDescent="0.25">
      <c r="A269" s="1"/>
    </row>
    <row r="270" spans="1:1" x14ac:dyDescent="0.25">
      <c r="A270" s="1"/>
    </row>
    <row r="271" spans="1:1" x14ac:dyDescent="0.25">
      <c r="A271" s="1"/>
    </row>
    <row r="272" spans="1:1" x14ac:dyDescent="0.25">
      <c r="A272" s="1"/>
    </row>
    <row r="273" spans="1:1" x14ac:dyDescent="0.25">
      <c r="A273" s="1"/>
    </row>
    <row r="274" spans="1:1" x14ac:dyDescent="0.25">
      <c r="A274" s="1"/>
    </row>
    <row r="275" spans="1:1" x14ac:dyDescent="0.25">
      <c r="A275" s="1"/>
    </row>
    <row r="276" spans="1:1" x14ac:dyDescent="0.25">
      <c r="A276" s="1"/>
    </row>
    <row r="277" spans="1:1" x14ac:dyDescent="0.25">
      <c r="A277" s="1"/>
    </row>
    <row r="278" spans="1:1" x14ac:dyDescent="0.25">
      <c r="A278" s="1"/>
    </row>
    <row r="279" spans="1:1" x14ac:dyDescent="0.25">
      <c r="A279" s="1"/>
    </row>
    <row r="280" spans="1:1" x14ac:dyDescent="0.25">
      <c r="A280" s="1"/>
    </row>
    <row r="281" spans="1:1" x14ac:dyDescent="0.25">
      <c r="A281" s="1"/>
    </row>
    <row r="282" spans="1:1" x14ac:dyDescent="0.25">
      <c r="A282" s="1"/>
    </row>
    <row r="283" spans="1:1" x14ac:dyDescent="0.25">
      <c r="A283" s="1"/>
    </row>
    <row r="284" spans="1:1" x14ac:dyDescent="0.25">
      <c r="A284" s="1"/>
    </row>
    <row r="285" spans="1:1" x14ac:dyDescent="0.25">
      <c r="A285" s="1"/>
    </row>
    <row r="286" spans="1:1" x14ac:dyDescent="0.25">
      <c r="A286" s="1"/>
    </row>
    <row r="287" spans="1:1" x14ac:dyDescent="0.25">
      <c r="A287" s="1"/>
    </row>
    <row r="288" spans="1:1" x14ac:dyDescent="0.25">
      <c r="A288" s="1"/>
    </row>
    <row r="289" spans="1:1" x14ac:dyDescent="0.25">
      <c r="A289" s="1"/>
    </row>
    <row r="290" spans="1:1" x14ac:dyDescent="0.25">
      <c r="A290" s="1"/>
    </row>
    <row r="291" spans="1:1" x14ac:dyDescent="0.25">
      <c r="A291" s="1"/>
    </row>
    <row r="292" spans="1:1" x14ac:dyDescent="0.25">
      <c r="A292" s="1"/>
    </row>
    <row r="293" spans="1:1" x14ac:dyDescent="0.25">
      <c r="A293" s="1"/>
    </row>
    <row r="294" spans="1:1" x14ac:dyDescent="0.25">
      <c r="A294" s="1"/>
    </row>
    <row r="295" spans="1:1" x14ac:dyDescent="0.25">
      <c r="A295" s="1"/>
    </row>
    <row r="296" spans="1:1" x14ac:dyDescent="0.25">
      <c r="A296" s="1"/>
    </row>
    <row r="297" spans="1:1" x14ac:dyDescent="0.25">
      <c r="A297" s="1"/>
    </row>
    <row r="298" spans="1:1" x14ac:dyDescent="0.25">
      <c r="A298" s="1"/>
    </row>
    <row r="299" spans="1:1" x14ac:dyDescent="0.25">
      <c r="A299" s="1"/>
    </row>
    <row r="300" spans="1:1" x14ac:dyDescent="0.25">
      <c r="A300" s="1"/>
    </row>
    <row r="301" spans="1:1" x14ac:dyDescent="0.25">
      <c r="A301" s="1"/>
    </row>
    <row r="302" spans="1:1" x14ac:dyDescent="0.25">
      <c r="A302" s="1"/>
    </row>
    <row r="303" spans="1:1" x14ac:dyDescent="0.25">
      <c r="A303" s="1"/>
    </row>
    <row r="304" spans="1:1" x14ac:dyDescent="0.25">
      <c r="A304" s="1"/>
    </row>
    <row r="305" spans="1:1" x14ac:dyDescent="0.25">
      <c r="A305" s="1"/>
    </row>
    <row r="306" spans="1:1" x14ac:dyDescent="0.25">
      <c r="A306" s="1"/>
    </row>
    <row r="307" spans="1:1" x14ac:dyDescent="0.25">
      <c r="A307" s="1"/>
    </row>
    <row r="308" spans="1:1" x14ac:dyDescent="0.25">
      <c r="A308" s="1"/>
    </row>
    <row r="309" spans="1:1" x14ac:dyDescent="0.25">
      <c r="A309" s="1"/>
    </row>
    <row r="310" spans="1:1" x14ac:dyDescent="0.25">
      <c r="A310" s="1"/>
    </row>
    <row r="311" spans="1:1" x14ac:dyDescent="0.25">
      <c r="A311" s="1"/>
    </row>
    <row r="312" spans="1:1" x14ac:dyDescent="0.25">
      <c r="A312" s="1"/>
    </row>
    <row r="313" spans="1:1" x14ac:dyDescent="0.25">
      <c r="A313" s="1"/>
    </row>
    <row r="314" spans="1:1" x14ac:dyDescent="0.25">
      <c r="A314" s="1"/>
    </row>
    <row r="315" spans="1:1" x14ac:dyDescent="0.25">
      <c r="A315" s="1"/>
    </row>
    <row r="316" spans="1:1" x14ac:dyDescent="0.25">
      <c r="A316" s="1"/>
    </row>
    <row r="317" spans="1:1" x14ac:dyDescent="0.25">
      <c r="A317" s="1"/>
    </row>
    <row r="318" spans="1:1" x14ac:dyDescent="0.25">
      <c r="A318" s="1"/>
    </row>
    <row r="319" spans="1:1" x14ac:dyDescent="0.25">
      <c r="A319" s="1"/>
    </row>
    <row r="320" spans="1:1" x14ac:dyDescent="0.25">
      <c r="A320" s="1"/>
    </row>
    <row r="321" spans="1:1" x14ac:dyDescent="0.25">
      <c r="A321" s="1"/>
    </row>
    <row r="322" spans="1:1" x14ac:dyDescent="0.25">
      <c r="A322" s="1"/>
    </row>
    <row r="323" spans="1:1" x14ac:dyDescent="0.25">
      <c r="A323" s="1"/>
    </row>
    <row r="324" spans="1:1" x14ac:dyDescent="0.25">
      <c r="A324" s="1"/>
    </row>
    <row r="325" spans="1:1" x14ac:dyDescent="0.25">
      <c r="A325" s="1"/>
    </row>
    <row r="326" spans="1:1" x14ac:dyDescent="0.25">
      <c r="A326" s="1"/>
    </row>
    <row r="327" spans="1:1" x14ac:dyDescent="0.25">
      <c r="A327" s="1"/>
    </row>
    <row r="328" spans="1:1" x14ac:dyDescent="0.25">
      <c r="A328" s="1"/>
    </row>
    <row r="329" spans="1:1" x14ac:dyDescent="0.25">
      <c r="A329" s="1"/>
    </row>
    <row r="330" spans="1:1" x14ac:dyDescent="0.25">
      <c r="A330" s="1"/>
    </row>
    <row r="331" spans="1:1" x14ac:dyDescent="0.25">
      <c r="A331" s="1"/>
    </row>
    <row r="332" spans="1:1" x14ac:dyDescent="0.25">
      <c r="A332" s="1"/>
    </row>
    <row r="333" spans="1:1" x14ac:dyDescent="0.25">
      <c r="A333" s="1"/>
    </row>
    <row r="334" spans="1:1" x14ac:dyDescent="0.25">
      <c r="A334" s="1"/>
    </row>
    <row r="335" spans="1:1" x14ac:dyDescent="0.25">
      <c r="A335" s="1"/>
    </row>
    <row r="336" spans="1:1" x14ac:dyDescent="0.25">
      <c r="A336" s="1"/>
    </row>
    <row r="337" spans="1:1" x14ac:dyDescent="0.25">
      <c r="A337" s="1"/>
    </row>
    <row r="338" spans="1:1" x14ac:dyDescent="0.25">
      <c r="A338" s="1"/>
    </row>
    <row r="339" spans="1:1" x14ac:dyDescent="0.25">
      <c r="A339" s="1"/>
    </row>
    <row r="340" spans="1:1" x14ac:dyDescent="0.25">
      <c r="A340" s="1"/>
    </row>
    <row r="341" spans="1:1" x14ac:dyDescent="0.25">
      <c r="A341" s="1"/>
    </row>
    <row r="342" spans="1:1" x14ac:dyDescent="0.25">
      <c r="A342" s="1"/>
    </row>
    <row r="343" spans="1:1" x14ac:dyDescent="0.25">
      <c r="A343" s="1"/>
    </row>
    <row r="344" spans="1:1" x14ac:dyDescent="0.25">
      <c r="A344" s="1"/>
    </row>
    <row r="345" spans="1:1" x14ac:dyDescent="0.25">
      <c r="A345" s="1"/>
    </row>
    <row r="346" spans="1:1" x14ac:dyDescent="0.25">
      <c r="A346" s="1"/>
    </row>
    <row r="347" spans="1:1" x14ac:dyDescent="0.25">
      <c r="A347" s="1"/>
    </row>
    <row r="348" spans="1:1" x14ac:dyDescent="0.25">
      <c r="A348" s="1"/>
    </row>
    <row r="349" spans="1:1" x14ac:dyDescent="0.25">
      <c r="A349" s="1"/>
    </row>
    <row r="350" spans="1:1" x14ac:dyDescent="0.25">
      <c r="A350" s="1"/>
    </row>
    <row r="351" spans="1:1" x14ac:dyDescent="0.25">
      <c r="A351" s="1"/>
    </row>
    <row r="352" spans="1:1" x14ac:dyDescent="0.25">
      <c r="A352" s="1"/>
    </row>
    <row r="353" spans="1:1" x14ac:dyDescent="0.25">
      <c r="A353" s="1"/>
    </row>
    <row r="354" spans="1:1" x14ac:dyDescent="0.25">
      <c r="A354" s="1"/>
    </row>
    <row r="355" spans="1:1" x14ac:dyDescent="0.25">
      <c r="A355" s="1"/>
    </row>
    <row r="356" spans="1:1" x14ac:dyDescent="0.25">
      <c r="A356" s="1"/>
    </row>
    <row r="357" spans="1:1" x14ac:dyDescent="0.25">
      <c r="A357" s="1"/>
    </row>
    <row r="358" spans="1:1" x14ac:dyDescent="0.25">
      <c r="A358" s="1"/>
    </row>
    <row r="359" spans="1:1" x14ac:dyDescent="0.25">
      <c r="A359" s="1"/>
    </row>
    <row r="360" spans="1:1" x14ac:dyDescent="0.25">
      <c r="A360" s="1"/>
    </row>
    <row r="361" spans="1:1" x14ac:dyDescent="0.25">
      <c r="A361" s="1"/>
    </row>
    <row r="362" spans="1:1" x14ac:dyDescent="0.25">
      <c r="A362" s="1"/>
    </row>
    <row r="363" spans="1:1" x14ac:dyDescent="0.25">
      <c r="A363" s="1"/>
    </row>
    <row r="364" spans="1:1" x14ac:dyDescent="0.25">
      <c r="A364" s="1"/>
    </row>
    <row r="365" spans="1:1" x14ac:dyDescent="0.25">
      <c r="A365" s="1"/>
    </row>
    <row r="366" spans="1:1" x14ac:dyDescent="0.25">
      <c r="A366" s="1"/>
    </row>
    <row r="367" spans="1:1" x14ac:dyDescent="0.25">
      <c r="A367" s="1"/>
    </row>
    <row r="368" spans="1:1" x14ac:dyDescent="0.25">
      <c r="A368" s="1"/>
    </row>
    <row r="369" spans="1:1" x14ac:dyDescent="0.25">
      <c r="A369" s="1"/>
    </row>
    <row r="370" spans="1:1" x14ac:dyDescent="0.25">
      <c r="A370" s="1"/>
    </row>
    <row r="371" spans="1:1" x14ac:dyDescent="0.25">
      <c r="A371" s="1"/>
    </row>
    <row r="372" spans="1:1" x14ac:dyDescent="0.25">
      <c r="A372" s="1"/>
    </row>
    <row r="373" spans="1:1" x14ac:dyDescent="0.25">
      <c r="A373" s="1"/>
    </row>
    <row r="374" spans="1:1" x14ac:dyDescent="0.25">
      <c r="A374" s="1"/>
    </row>
    <row r="375" spans="1:1" x14ac:dyDescent="0.25">
      <c r="A375" s="1"/>
    </row>
    <row r="376" spans="1:1" x14ac:dyDescent="0.25">
      <c r="A376" s="1"/>
    </row>
    <row r="377" spans="1:1" x14ac:dyDescent="0.25">
      <c r="A377" s="1"/>
    </row>
    <row r="378" spans="1:1" x14ac:dyDescent="0.25">
      <c r="A378" s="1"/>
    </row>
    <row r="379" spans="1:1" x14ac:dyDescent="0.25">
      <c r="A379" s="1"/>
    </row>
    <row r="380" spans="1:1" x14ac:dyDescent="0.25">
      <c r="A380" s="1"/>
    </row>
    <row r="381" spans="1:1" x14ac:dyDescent="0.25">
      <c r="A381" s="1"/>
    </row>
    <row r="382" spans="1:1" x14ac:dyDescent="0.25">
      <c r="A382" s="1"/>
    </row>
    <row r="383" spans="1:1" x14ac:dyDescent="0.25">
      <c r="A383" s="1"/>
    </row>
    <row r="384" spans="1:1" x14ac:dyDescent="0.25">
      <c r="A384" s="1"/>
    </row>
    <row r="385" spans="1:1" x14ac:dyDescent="0.25">
      <c r="A385" s="1"/>
    </row>
    <row r="386" spans="1:1" x14ac:dyDescent="0.25">
      <c r="A386" s="1"/>
    </row>
    <row r="387" spans="1:1" x14ac:dyDescent="0.25">
      <c r="A387" s="1"/>
    </row>
    <row r="388" spans="1:1" x14ac:dyDescent="0.25">
      <c r="A388" s="1"/>
    </row>
    <row r="389" spans="1:1" x14ac:dyDescent="0.25">
      <c r="A389" s="1"/>
    </row>
    <row r="390" spans="1:1" x14ac:dyDescent="0.25">
      <c r="A390" s="1"/>
    </row>
    <row r="391" spans="1:1" x14ac:dyDescent="0.25">
      <c r="A391" s="1"/>
    </row>
    <row r="392" spans="1:1" x14ac:dyDescent="0.25">
      <c r="A392" s="1"/>
    </row>
    <row r="393" spans="1:1" x14ac:dyDescent="0.25">
      <c r="A393" s="1"/>
    </row>
    <row r="394" spans="1:1" x14ac:dyDescent="0.25">
      <c r="A394" s="1"/>
    </row>
    <row r="395" spans="1:1" x14ac:dyDescent="0.25">
      <c r="A395" s="1"/>
    </row>
    <row r="396" spans="1:1" x14ac:dyDescent="0.25">
      <c r="A396" s="1"/>
    </row>
    <row r="397" spans="1:1" x14ac:dyDescent="0.25">
      <c r="A397" s="1"/>
    </row>
    <row r="398" spans="1:1" x14ac:dyDescent="0.25">
      <c r="A398" s="1"/>
    </row>
    <row r="399" spans="1:1" x14ac:dyDescent="0.25">
      <c r="A399" s="1"/>
    </row>
    <row r="400" spans="1:1" x14ac:dyDescent="0.25">
      <c r="A400" s="1"/>
    </row>
    <row r="401" spans="1:1" x14ac:dyDescent="0.25">
      <c r="A401" s="1"/>
    </row>
    <row r="402" spans="1:1" x14ac:dyDescent="0.25">
      <c r="A402" s="1"/>
    </row>
    <row r="403" spans="1:1" x14ac:dyDescent="0.25">
      <c r="A403" s="1"/>
    </row>
    <row r="404" spans="1:1" x14ac:dyDescent="0.25">
      <c r="A404" s="1"/>
    </row>
    <row r="405" spans="1:1" x14ac:dyDescent="0.25">
      <c r="A405" s="1"/>
    </row>
    <row r="406" spans="1:1" x14ac:dyDescent="0.25">
      <c r="A406" s="1"/>
    </row>
    <row r="407" spans="1:1" x14ac:dyDescent="0.25">
      <c r="A407" s="1"/>
    </row>
    <row r="408" spans="1:1" x14ac:dyDescent="0.25">
      <c r="A408" s="1"/>
    </row>
    <row r="409" spans="1:1" x14ac:dyDescent="0.25">
      <c r="A409" s="1"/>
    </row>
    <row r="410" spans="1:1" x14ac:dyDescent="0.25">
      <c r="A410" s="1"/>
    </row>
    <row r="411" spans="1:1" x14ac:dyDescent="0.25">
      <c r="A411" s="1"/>
    </row>
    <row r="412" spans="1:1" x14ac:dyDescent="0.25">
      <c r="A412" s="1"/>
    </row>
    <row r="413" spans="1:1" x14ac:dyDescent="0.25">
      <c r="A413" s="1"/>
    </row>
    <row r="414" spans="1:1" x14ac:dyDescent="0.25">
      <c r="A414" s="1"/>
    </row>
    <row r="415" spans="1:1" x14ac:dyDescent="0.25">
      <c r="A415" s="1"/>
    </row>
    <row r="416" spans="1:1" x14ac:dyDescent="0.25">
      <c r="A416" s="1"/>
    </row>
    <row r="417" spans="1:1" x14ac:dyDescent="0.25">
      <c r="A417" s="1"/>
    </row>
    <row r="418" spans="1:1" x14ac:dyDescent="0.25">
      <c r="A418" s="1"/>
    </row>
    <row r="419" spans="1:1" x14ac:dyDescent="0.25">
      <c r="A419" s="1"/>
    </row>
    <row r="420" spans="1:1" x14ac:dyDescent="0.25">
      <c r="A420" s="1"/>
    </row>
    <row r="421" spans="1:1" x14ac:dyDescent="0.25">
      <c r="A421" s="1"/>
    </row>
    <row r="422" spans="1:1" x14ac:dyDescent="0.25">
      <c r="A422" s="1"/>
    </row>
    <row r="423" spans="1:1" x14ac:dyDescent="0.25">
      <c r="A423" s="1"/>
    </row>
    <row r="424" spans="1:1" x14ac:dyDescent="0.25">
      <c r="A424" s="1"/>
    </row>
    <row r="425" spans="1:1" x14ac:dyDescent="0.25">
      <c r="A425" s="1"/>
    </row>
    <row r="426" spans="1:1" x14ac:dyDescent="0.25">
      <c r="A426" s="1"/>
    </row>
    <row r="427" spans="1:1" x14ac:dyDescent="0.25">
      <c r="A427" s="1"/>
    </row>
    <row r="428" spans="1:1" x14ac:dyDescent="0.25">
      <c r="A428" s="1"/>
    </row>
    <row r="429" spans="1:1" x14ac:dyDescent="0.25">
      <c r="A429" s="1"/>
    </row>
    <row r="430" spans="1:1" x14ac:dyDescent="0.25">
      <c r="A430" s="1"/>
    </row>
    <row r="431" spans="1:1" x14ac:dyDescent="0.25">
      <c r="A431" s="1"/>
    </row>
    <row r="432" spans="1:1" x14ac:dyDescent="0.25">
      <c r="A432" s="1"/>
    </row>
    <row r="433" spans="1:1" x14ac:dyDescent="0.25">
      <c r="A433" s="1"/>
    </row>
    <row r="434" spans="1:1" x14ac:dyDescent="0.25">
      <c r="A434" s="1"/>
    </row>
    <row r="435" spans="1:1" x14ac:dyDescent="0.25">
      <c r="A435" s="1"/>
    </row>
    <row r="436" spans="1:1" x14ac:dyDescent="0.25">
      <c r="A436" s="1"/>
    </row>
    <row r="437" spans="1:1" x14ac:dyDescent="0.25">
      <c r="A437" s="1"/>
    </row>
    <row r="438" spans="1:1" x14ac:dyDescent="0.25">
      <c r="A438" s="1"/>
    </row>
    <row r="439" spans="1:1" x14ac:dyDescent="0.25">
      <c r="A439" s="1"/>
    </row>
    <row r="440" spans="1:1" x14ac:dyDescent="0.25">
      <c r="A440" s="1"/>
    </row>
    <row r="441" spans="1:1" x14ac:dyDescent="0.25">
      <c r="A441" s="1"/>
    </row>
    <row r="442" spans="1:1" x14ac:dyDescent="0.25">
      <c r="A442" s="1"/>
    </row>
    <row r="443" spans="1:1" x14ac:dyDescent="0.25">
      <c r="A443" s="1"/>
    </row>
    <row r="444" spans="1:1" x14ac:dyDescent="0.25">
      <c r="A444" s="1"/>
    </row>
    <row r="445" spans="1:1" x14ac:dyDescent="0.25">
      <c r="A445" s="1"/>
    </row>
    <row r="446" spans="1:1" x14ac:dyDescent="0.25">
      <c r="A446" s="1"/>
    </row>
    <row r="447" spans="1:1" x14ac:dyDescent="0.25">
      <c r="A447" s="1"/>
    </row>
    <row r="448" spans="1:1" x14ac:dyDescent="0.25">
      <c r="A448" s="1"/>
    </row>
    <row r="449" spans="1:1" x14ac:dyDescent="0.25">
      <c r="A449" s="1"/>
    </row>
    <row r="450" spans="1:1" x14ac:dyDescent="0.25">
      <c r="A450" s="1"/>
    </row>
    <row r="451" spans="1:1" x14ac:dyDescent="0.25">
      <c r="A451" s="1"/>
    </row>
    <row r="452" spans="1:1" x14ac:dyDescent="0.25">
      <c r="A452" s="1"/>
    </row>
    <row r="453" spans="1:1" x14ac:dyDescent="0.25">
      <c r="A453" s="1"/>
    </row>
    <row r="454" spans="1:1" x14ac:dyDescent="0.25">
      <c r="A454" s="1"/>
    </row>
    <row r="455" spans="1:1" x14ac:dyDescent="0.25">
      <c r="A455" s="1"/>
    </row>
    <row r="456" spans="1:1" x14ac:dyDescent="0.25">
      <c r="A456" s="1"/>
    </row>
    <row r="457" spans="1:1" x14ac:dyDescent="0.25">
      <c r="A457" s="1"/>
    </row>
    <row r="458" spans="1:1" x14ac:dyDescent="0.25">
      <c r="A458" s="1"/>
    </row>
    <row r="459" spans="1:1" x14ac:dyDescent="0.25">
      <c r="A459" s="1"/>
    </row>
    <row r="460" spans="1:1" x14ac:dyDescent="0.25">
      <c r="A460" s="1"/>
    </row>
    <row r="461" spans="1:1" x14ac:dyDescent="0.25">
      <c r="A461" s="1"/>
    </row>
    <row r="462" spans="1:1" x14ac:dyDescent="0.25">
      <c r="A462" s="1"/>
    </row>
    <row r="463" spans="1:1" x14ac:dyDescent="0.25">
      <c r="A463" s="1"/>
    </row>
    <row r="464" spans="1:1" x14ac:dyDescent="0.25">
      <c r="A464" s="1"/>
    </row>
    <row r="465" spans="1:1" x14ac:dyDescent="0.25">
      <c r="A465" s="1"/>
    </row>
    <row r="466" spans="1:1" x14ac:dyDescent="0.25">
      <c r="A466" s="1"/>
    </row>
    <row r="467" spans="1:1" x14ac:dyDescent="0.25">
      <c r="A467" s="1"/>
    </row>
    <row r="468" spans="1:1" x14ac:dyDescent="0.25">
      <c r="A468" s="1"/>
    </row>
    <row r="469" spans="1:1" x14ac:dyDescent="0.25">
      <c r="A469" s="1"/>
    </row>
    <row r="470" spans="1:1" x14ac:dyDescent="0.25">
      <c r="A470" s="1"/>
    </row>
    <row r="471" spans="1:1" x14ac:dyDescent="0.25">
      <c r="A471" s="1"/>
    </row>
    <row r="472" spans="1:1" x14ac:dyDescent="0.25">
      <c r="A472" s="1"/>
    </row>
    <row r="473" spans="1:1" x14ac:dyDescent="0.25">
      <c r="A473" s="1"/>
    </row>
    <row r="474" spans="1:1" x14ac:dyDescent="0.25">
      <c r="A474" s="1"/>
    </row>
    <row r="475" spans="1:1" x14ac:dyDescent="0.25">
      <c r="A475" s="1"/>
    </row>
    <row r="476" spans="1:1" x14ac:dyDescent="0.25">
      <c r="A476" s="1"/>
    </row>
    <row r="477" spans="1:1" x14ac:dyDescent="0.25">
      <c r="A477" s="1"/>
    </row>
    <row r="478" spans="1:1" x14ac:dyDescent="0.25">
      <c r="A478" s="1"/>
    </row>
    <row r="479" spans="1:1" x14ac:dyDescent="0.25">
      <c r="A479" s="1"/>
    </row>
    <row r="480" spans="1:1" x14ac:dyDescent="0.25">
      <c r="A480" s="1"/>
    </row>
    <row r="481" spans="1:1" x14ac:dyDescent="0.25">
      <c r="A481" s="1"/>
    </row>
    <row r="482" spans="1:1" x14ac:dyDescent="0.25">
      <c r="A482" s="1"/>
    </row>
    <row r="483" spans="1:1" x14ac:dyDescent="0.25">
      <c r="A483" s="1"/>
    </row>
    <row r="484" spans="1:1" x14ac:dyDescent="0.25">
      <c r="A484" s="1"/>
    </row>
    <row r="485" spans="1:1" x14ac:dyDescent="0.25">
      <c r="A485" s="1"/>
    </row>
    <row r="486" spans="1:1" x14ac:dyDescent="0.25">
      <c r="A486" s="1"/>
    </row>
    <row r="487" spans="1:1" x14ac:dyDescent="0.25">
      <c r="A487" s="1"/>
    </row>
    <row r="488" spans="1:1" x14ac:dyDescent="0.25">
      <c r="A488" s="1"/>
    </row>
    <row r="489" spans="1:1" x14ac:dyDescent="0.25">
      <c r="A489" s="1"/>
    </row>
    <row r="490" spans="1:1" x14ac:dyDescent="0.25">
      <c r="A490" s="1"/>
    </row>
    <row r="491" spans="1:1" x14ac:dyDescent="0.25">
      <c r="A491" s="1"/>
    </row>
    <row r="492" spans="1:1" x14ac:dyDescent="0.25">
      <c r="A492" s="1"/>
    </row>
    <row r="493" spans="1:1" x14ac:dyDescent="0.25">
      <c r="A493" s="1"/>
    </row>
    <row r="494" spans="1:1" x14ac:dyDescent="0.25">
      <c r="A494" s="1"/>
    </row>
    <row r="495" spans="1:1" x14ac:dyDescent="0.25">
      <c r="A495" s="1"/>
    </row>
    <row r="496" spans="1:1" x14ac:dyDescent="0.25">
      <c r="A496" s="1"/>
    </row>
    <row r="497" spans="1:1" x14ac:dyDescent="0.25">
      <c r="A497" s="1"/>
    </row>
    <row r="498" spans="1:1" x14ac:dyDescent="0.25">
      <c r="A498" s="1"/>
    </row>
    <row r="499" spans="1:1" x14ac:dyDescent="0.25">
      <c r="A499" s="1"/>
    </row>
    <row r="500" spans="1:1" x14ac:dyDescent="0.25">
      <c r="A500" s="1"/>
    </row>
    <row r="501" spans="1:1" x14ac:dyDescent="0.25">
      <c r="A501" s="1"/>
    </row>
    <row r="502" spans="1:1" x14ac:dyDescent="0.25">
      <c r="A502" s="1"/>
    </row>
    <row r="503" spans="1:1" x14ac:dyDescent="0.25">
      <c r="A503" s="1"/>
    </row>
    <row r="504" spans="1:1" x14ac:dyDescent="0.25">
      <c r="A504" s="1"/>
    </row>
    <row r="505" spans="1:1" x14ac:dyDescent="0.25">
      <c r="A505" s="1"/>
    </row>
    <row r="506" spans="1:1" x14ac:dyDescent="0.25">
      <c r="A506" s="1"/>
    </row>
    <row r="507" spans="1:1" x14ac:dyDescent="0.25">
      <c r="A507" s="1"/>
    </row>
    <row r="508" spans="1:1" x14ac:dyDescent="0.25">
      <c r="A508" s="1"/>
    </row>
    <row r="509" spans="1:1" x14ac:dyDescent="0.25">
      <c r="A509" s="1"/>
    </row>
    <row r="510" spans="1:1" x14ac:dyDescent="0.25">
      <c r="A510" s="1"/>
    </row>
    <row r="511" spans="1:1" x14ac:dyDescent="0.25">
      <c r="A511" s="1"/>
    </row>
    <row r="512" spans="1:1" x14ac:dyDescent="0.25">
      <c r="A512" s="1"/>
    </row>
    <row r="513" spans="1:1" x14ac:dyDescent="0.25">
      <c r="A513" s="1"/>
    </row>
    <row r="514" spans="1:1" x14ac:dyDescent="0.25">
      <c r="A514" s="1"/>
    </row>
    <row r="515" spans="1:1" x14ac:dyDescent="0.25">
      <c r="A515" s="1"/>
    </row>
    <row r="516" spans="1:1" x14ac:dyDescent="0.25">
      <c r="A516" s="1"/>
    </row>
    <row r="517" spans="1:1" x14ac:dyDescent="0.25">
      <c r="A517" s="1"/>
    </row>
    <row r="518" spans="1:1" x14ac:dyDescent="0.25">
      <c r="A518" s="1"/>
    </row>
    <row r="519" spans="1:1" x14ac:dyDescent="0.25">
      <c r="A519" s="1"/>
    </row>
    <row r="520" spans="1:1" x14ac:dyDescent="0.25">
      <c r="A520" s="1"/>
    </row>
    <row r="521" spans="1:1" x14ac:dyDescent="0.25">
      <c r="A521" s="1"/>
    </row>
    <row r="522" spans="1:1" x14ac:dyDescent="0.25">
      <c r="A522" s="1"/>
    </row>
    <row r="523" spans="1:1" x14ac:dyDescent="0.25">
      <c r="A523" s="1"/>
    </row>
    <row r="524" spans="1:1" x14ac:dyDescent="0.25">
      <c r="A524" s="1"/>
    </row>
    <row r="525" spans="1:1" x14ac:dyDescent="0.25">
      <c r="A525" s="1"/>
    </row>
    <row r="526" spans="1:1" x14ac:dyDescent="0.25">
      <c r="A526" s="1"/>
    </row>
    <row r="527" spans="1:1" x14ac:dyDescent="0.25">
      <c r="A527" s="1"/>
    </row>
    <row r="528" spans="1:1" x14ac:dyDescent="0.25">
      <c r="A528" s="1"/>
    </row>
    <row r="529" spans="1:1" x14ac:dyDescent="0.25">
      <c r="A529" s="1"/>
    </row>
    <row r="530" spans="1:1" x14ac:dyDescent="0.25">
      <c r="A530" s="1"/>
    </row>
    <row r="531" spans="1:1" x14ac:dyDescent="0.25">
      <c r="A531" s="1"/>
    </row>
    <row r="532" spans="1:1" x14ac:dyDescent="0.25">
      <c r="A532" s="1"/>
    </row>
    <row r="533" spans="1:1" x14ac:dyDescent="0.25">
      <c r="A533" s="1"/>
    </row>
    <row r="534" spans="1:1" x14ac:dyDescent="0.25">
      <c r="A534" s="1"/>
    </row>
    <row r="535" spans="1:1" x14ac:dyDescent="0.25">
      <c r="A535" s="1"/>
    </row>
    <row r="536" spans="1:1" x14ac:dyDescent="0.25">
      <c r="A536" s="1"/>
    </row>
    <row r="537" spans="1:1" x14ac:dyDescent="0.25">
      <c r="A537" s="1"/>
    </row>
    <row r="538" spans="1:1" x14ac:dyDescent="0.25">
      <c r="A538" s="1"/>
    </row>
    <row r="539" spans="1:1" x14ac:dyDescent="0.25">
      <c r="A539" s="1"/>
    </row>
    <row r="540" spans="1:1" x14ac:dyDescent="0.25">
      <c r="A540" s="1"/>
    </row>
    <row r="541" spans="1:1" x14ac:dyDescent="0.25">
      <c r="A541" s="1"/>
    </row>
    <row r="542" spans="1:1" x14ac:dyDescent="0.25">
      <c r="A542" s="1"/>
    </row>
    <row r="543" spans="1:1" x14ac:dyDescent="0.25">
      <c r="A543" s="1"/>
    </row>
    <row r="544" spans="1:1" x14ac:dyDescent="0.25">
      <c r="A544" s="1"/>
    </row>
    <row r="545" spans="1:1" x14ac:dyDescent="0.25">
      <c r="A545" s="1"/>
    </row>
    <row r="546" spans="1:1" x14ac:dyDescent="0.25">
      <c r="A546" s="1"/>
    </row>
    <row r="547" spans="1:1" x14ac:dyDescent="0.25">
      <c r="A547" s="1"/>
    </row>
    <row r="548" spans="1:1" x14ac:dyDescent="0.25">
      <c r="A548" s="1"/>
    </row>
    <row r="549" spans="1:1" x14ac:dyDescent="0.25">
      <c r="A549" s="1"/>
    </row>
    <row r="550" spans="1:1" x14ac:dyDescent="0.25">
      <c r="A550" s="1"/>
    </row>
    <row r="551" spans="1:1" x14ac:dyDescent="0.25">
      <c r="A551" s="1"/>
    </row>
    <row r="552" spans="1:1" x14ac:dyDescent="0.25">
      <c r="A552" s="1"/>
    </row>
    <row r="553" spans="1:1" x14ac:dyDescent="0.25">
      <c r="A553" s="1"/>
    </row>
    <row r="554" spans="1:1" x14ac:dyDescent="0.25">
      <c r="A554" s="1"/>
    </row>
    <row r="555" spans="1:1" x14ac:dyDescent="0.25">
      <c r="A555" s="1"/>
    </row>
    <row r="556" spans="1:1" x14ac:dyDescent="0.25">
      <c r="A556" s="1"/>
    </row>
    <row r="557" spans="1:1" x14ac:dyDescent="0.25">
      <c r="A557" s="1"/>
    </row>
    <row r="558" spans="1:1" x14ac:dyDescent="0.25">
      <c r="A558" s="1"/>
    </row>
    <row r="559" spans="1:1" x14ac:dyDescent="0.25">
      <c r="A559" s="1"/>
    </row>
    <row r="560" spans="1:1" x14ac:dyDescent="0.25">
      <c r="A560" s="1"/>
    </row>
    <row r="561" spans="1:1" x14ac:dyDescent="0.25">
      <c r="A561" s="1"/>
    </row>
    <row r="562" spans="1:1" x14ac:dyDescent="0.25">
      <c r="A562" s="1"/>
    </row>
    <row r="563" spans="1:1" x14ac:dyDescent="0.25">
      <c r="A563" s="1"/>
    </row>
    <row r="564" spans="1:1" x14ac:dyDescent="0.25">
      <c r="A564" s="1"/>
    </row>
    <row r="565" spans="1:1" x14ac:dyDescent="0.25">
      <c r="A565" s="1"/>
    </row>
    <row r="566" spans="1:1" x14ac:dyDescent="0.25">
      <c r="A566" s="1"/>
    </row>
    <row r="567" spans="1:1" x14ac:dyDescent="0.25">
      <c r="A567" s="1"/>
    </row>
    <row r="568" spans="1:1" x14ac:dyDescent="0.25">
      <c r="A568" s="1"/>
    </row>
    <row r="569" spans="1:1" x14ac:dyDescent="0.25">
      <c r="A569" s="1"/>
    </row>
    <row r="570" spans="1:1" x14ac:dyDescent="0.25">
      <c r="A570" s="1"/>
    </row>
    <row r="571" spans="1:1" x14ac:dyDescent="0.25">
      <c r="A571" s="1"/>
    </row>
    <row r="572" spans="1:1" x14ac:dyDescent="0.25">
      <c r="A572" s="1"/>
    </row>
    <row r="573" spans="1:1" x14ac:dyDescent="0.25">
      <c r="A573" s="1"/>
    </row>
  </sheetData>
  <mergeCells count="6">
    <mergeCell ref="B5:M5"/>
    <mergeCell ref="H7:I7"/>
    <mergeCell ref="B22:C22"/>
    <mergeCell ref="B34:C34"/>
    <mergeCell ref="F21:G21"/>
    <mergeCell ref="M25:N25"/>
  </mergeCells>
  <pageMargins left="0.7" right="0.7" top="0.75" bottom="0.75" header="0.3" footer="0.3"/>
  <pageSetup orientation="portrait" r:id="rId1"/>
  <drawing r:id="rId2"/>
  <legacy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5">
    <tabColor theme="3" tint="0.59999389629810485"/>
  </sheetPr>
  <dimension ref="A1:AY259"/>
  <sheetViews>
    <sheetView zoomScale="76" zoomScaleNormal="70" workbookViewId="0">
      <pane xSplit="4" ySplit="4" topLeftCell="AC5" activePane="bottomRight" state="frozen"/>
      <selection pane="topRight" activeCell="D1" sqref="D1"/>
      <selection pane="bottomLeft" activeCell="A3" sqref="A3"/>
      <selection pane="bottomRight" activeCell="AE5" sqref="AE5"/>
    </sheetView>
  </sheetViews>
  <sheetFormatPr baseColWidth="10" defaultColWidth="8.85546875" defaultRowHeight="15" x14ac:dyDescent="0.25"/>
  <cols>
    <col min="1" max="1" width="4.28515625" bestFit="1" customWidth="1"/>
    <col min="2" max="2" width="11.28515625" bestFit="1" customWidth="1"/>
    <col min="3" max="5" width="10.7109375" customWidth="1"/>
    <col min="6" max="21" width="13.140625" customWidth="1"/>
    <col min="22" max="29" width="10.85546875" customWidth="1"/>
    <col min="30" max="30" width="11.28515625" bestFit="1" customWidth="1"/>
    <col min="31" max="32" width="10.85546875" customWidth="1"/>
    <col min="33" max="33" width="11.28515625" bestFit="1" customWidth="1"/>
    <col min="34" max="35" width="12.7109375" bestFit="1" customWidth="1"/>
    <col min="36" max="36" width="11.28515625" bestFit="1" customWidth="1"/>
    <col min="37" max="37" width="10.5703125" bestFit="1" customWidth="1"/>
    <col min="38" max="38" width="14" customWidth="1"/>
    <col min="39" max="39" width="10.5703125" bestFit="1" customWidth="1"/>
    <col min="40" max="40" width="16.28515625" bestFit="1" customWidth="1"/>
    <col min="41" max="41" width="14" bestFit="1" customWidth="1"/>
    <col min="42" max="42" width="10.28515625" bestFit="1" customWidth="1"/>
    <col min="43" max="43" width="17.140625" bestFit="1" customWidth="1"/>
    <col min="44" max="47" width="10.28515625" bestFit="1" customWidth="1"/>
    <col min="48" max="48" width="11.28515625" bestFit="1" customWidth="1"/>
  </cols>
  <sheetData>
    <row r="1" spans="1:51" x14ac:dyDescent="0.25">
      <c r="AC1" s="3" t="s">
        <v>28</v>
      </c>
      <c r="AD1" s="133">
        <f t="shared" ref="AD1:AI1" si="0">+AD2*F5</f>
        <v>1141200</v>
      </c>
      <c r="AE1" s="134">
        <f t="shared" si="0"/>
        <v>1151685</v>
      </c>
      <c r="AF1" s="134">
        <f t="shared" si="0"/>
        <v>1269840</v>
      </c>
      <c r="AG1" s="134">
        <f t="shared" si="0"/>
        <v>860092</v>
      </c>
      <c r="AH1" s="134">
        <f t="shared" si="0"/>
        <v>615072</v>
      </c>
      <c r="AI1" s="134">
        <f t="shared" si="0"/>
        <v>1420135</v>
      </c>
      <c r="AJ1" s="134">
        <f>+AJ2*$E$5*L5</f>
        <v>801390.72</v>
      </c>
      <c r="AK1" s="135">
        <f>+AK2*$E$5*M5</f>
        <v>805908.87</v>
      </c>
      <c r="AL1" s="3" t="s">
        <v>65</v>
      </c>
      <c r="AM1" s="136">
        <f>+SUM(AD1:AK1)</f>
        <v>8065323.5899999999</v>
      </c>
      <c r="AN1" s="12"/>
    </row>
    <row r="2" spans="1:51" x14ac:dyDescent="0.25">
      <c r="F2" s="131" t="s">
        <v>62</v>
      </c>
      <c r="N2" s="131" t="s">
        <v>63</v>
      </c>
      <c r="V2" s="132" t="s">
        <v>64</v>
      </c>
      <c r="AC2" s="3" t="s">
        <v>16</v>
      </c>
      <c r="AD2" s="137">
        <v>20000</v>
      </c>
      <c r="AE2" s="138">
        <v>28500</v>
      </c>
      <c r="AF2" s="138">
        <v>88800</v>
      </c>
      <c r="AG2" s="138">
        <v>3800</v>
      </c>
      <c r="AH2" s="138">
        <v>44700</v>
      </c>
      <c r="AI2" s="138">
        <v>5300</v>
      </c>
      <c r="AJ2" s="138">
        <v>300</v>
      </c>
      <c r="AK2" s="139">
        <v>250</v>
      </c>
      <c r="AL2" s="131" t="s">
        <v>66</v>
      </c>
    </row>
    <row r="3" spans="1:51" x14ac:dyDescent="0.25">
      <c r="F3" s="174" t="s">
        <v>0</v>
      </c>
      <c r="G3" s="175"/>
      <c r="H3" s="175"/>
      <c r="I3" s="175"/>
      <c r="J3" s="175"/>
      <c r="K3" s="175"/>
      <c r="L3" s="175"/>
      <c r="M3" s="176"/>
      <c r="N3" s="177" t="s">
        <v>1</v>
      </c>
      <c r="O3" s="178"/>
      <c r="P3" s="178"/>
      <c r="Q3" s="178"/>
      <c r="R3" s="178"/>
      <c r="S3" s="178"/>
      <c r="T3" s="178"/>
      <c r="U3" s="179"/>
      <c r="V3" s="196" t="s">
        <v>24</v>
      </c>
      <c r="W3" s="196"/>
      <c r="X3" s="196"/>
      <c r="Y3" s="196"/>
      <c r="Z3" s="196"/>
      <c r="AA3" s="196"/>
      <c r="AB3" s="196"/>
      <c r="AC3" s="196"/>
      <c r="AD3" s="197" t="s">
        <v>15</v>
      </c>
      <c r="AE3" s="197"/>
      <c r="AF3" s="197"/>
      <c r="AG3" s="197"/>
      <c r="AH3" s="197"/>
      <c r="AI3" s="197"/>
      <c r="AJ3" s="197"/>
      <c r="AK3" s="197"/>
    </row>
    <row r="4" spans="1:51" x14ac:dyDescent="0.25">
      <c r="A4" s="3" t="s">
        <v>6</v>
      </c>
      <c r="B4" s="3" t="s">
        <v>2</v>
      </c>
      <c r="C4" s="3" t="s">
        <v>3</v>
      </c>
      <c r="D4" s="3" t="s">
        <v>4</v>
      </c>
      <c r="E4" s="3" t="s">
        <v>7</v>
      </c>
      <c r="F4" s="10" t="s">
        <v>13</v>
      </c>
      <c r="G4" s="9" t="s">
        <v>19</v>
      </c>
      <c r="H4" s="9" t="s">
        <v>20</v>
      </c>
      <c r="I4" s="9" t="s">
        <v>12</v>
      </c>
      <c r="J4" s="9" t="s">
        <v>21</v>
      </c>
      <c r="K4" s="10" t="s">
        <v>22</v>
      </c>
      <c r="L4" s="10" t="s">
        <v>11</v>
      </c>
      <c r="M4" s="10" t="s">
        <v>26</v>
      </c>
      <c r="N4" s="4" t="str">
        <f>+F4</f>
        <v>NAFTRAC</v>
      </c>
      <c r="O4" s="4" t="str">
        <f t="shared" ref="O4:S4" si="1">+G4</f>
        <v>LACOMER</v>
      </c>
      <c r="P4" s="4" t="str">
        <f t="shared" si="1"/>
        <v>CEMEX</v>
      </c>
      <c r="Q4" s="4" t="str">
        <f t="shared" si="1"/>
        <v>PEÑOLES</v>
      </c>
      <c r="R4" s="4" t="str">
        <f t="shared" si="1"/>
        <v>VOLAR</v>
      </c>
      <c r="S4" s="4" t="str">
        <f t="shared" si="1"/>
        <v>GAP</v>
      </c>
      <c r="T4" s="4" t="s">
        <v>14</v>
      </c>
      <c r="U4" s="4" t="s">
        <v>27</v>
      </c>
      <c r="V4" s="4" t="str">
        <f>+N4</f>
        <v>NAFTRAC</v>
      </c>
      <c r="W4" s="4" t="str">
        <f t="shared" ref="W4" si="2">+O4</f>
        <v>LACOMER</v>
      </c>
      <c r="X4" s="4" t="str">
        <f t="shared" ref="X4" si="3">+P4</f>
        <v>CEMEX</v>
      </c>
      <c r="Y4" s="4" t="str">
        <f t="shared" ref="Y4" si="4">+Q4</f>
        <v>PEÑOLES</v>
      </c>
      <c r="Z4" s="4" t="str">
        <f t="shared" ref="Z4" si="5">+R4</f>
        <v>VOLAR</v>
      </c>
      <c r="AA4" s="4" t="str">
        <f t="shared" ref="AA4" si="6">+S4</f>
        <v>GAP</v>
      </c>
      <c r="AB4" s="4" t="s">
        <v>14</v>
      </c>
      <c r="AC4" s="4" t="s">
        <v>27</v>
      </c>
      <c r="AD4" s="4" t="str">
        <f>+V4</f>
        <v>NAFTRAC</v>
      </c>
      <c r="AE4" s="4" t="str">
        <f t="shared" ref="AE4" si="7">+W4</f>
        <v>LACOMER</v>
      </c>
      <c r="AF4" s="4" t="str">
        <f t="shared" ref="AF4" si="8">+X4</f>
        <v>CEMEX</v>
      </c>
      <c r="AG4" s="4" t="str">
        <f t="shared" ref="AG4" si="9">+Y4</f>
        <v>PEÑOLES</v>
      </c>
      <c r="AH4" s="4" t="str">
        <f t="shared" ref="AH4" si="10">+Z4</f>
        <v>VOLAR</v>
      </c>
      <c r="AI4" s="4" t="str">
        <f t="shared" ref="AI4" si="11">+AA4</f>
        <v>GAP</v>
      </c>
      <c r="AJ4" s="4" t="s">
        <v>14</v>
      </c>
      <c r="AK4" s="4" t="s">
        <v>27</v>
      </c>
      <c r="AL4" s="140" t="s">
        <v>17</v>
      </c>
      <c r="AM4" s="22"/>
    </row>
    <row r="5" spans="1:51" x14ac:dyDescent="0.25">
      <c r="A5" s="13">
        <f t="shared" ref="A5:A68" si="12">+A6-1</f>
        <v>0</v>
      </c>
      <c r="B5" s="5">
        <v>45322</v>
      </c>
      <c r="C5" s="8">
        <f t="shared" ref="C5:C68" si="13">+YEAR(B5)</f>
        <v>2024</v>
      </c>
      <c r="D5" s="8">
        <f t="shared" ref="D5:D68" si="14">+MONTH(B5)</f>
        <v>1</v>
      </c>
      <c r="E5" s="60">
        <v>17.212</v>
      </c>
      <c r="F5" s="141">
        <v>57.06</v>
      </c>
      <c r="G5" s="142">
        <v>40.409999999999997</v>
      </c>
      <c r="H5" s="142">
        <v>14.3</v>
      </c>
      <c r="I5" s="142">
        <v>226.34</v>
      </c>
      <c r="J5" s="142">
        <v>13.76</v>
      </c>
      <c r="K5" s="142">
        <v>267.95</v>
      </c>
      <c r="L5" s="142">
        <v>155.19999999999999</v>
      </c>
      <c r="M5" s="143">
        <v>187.29</v>
      </c>
      <c r="N5" s="69">
        <f xml:space="preserve"> (F5/F6) - 1</f>
        <v>-2.2731246721453546E-3</v>
      </c>
      <c r="O5" s="70">
        <f t="shared" ref="O5:S5" si="15" xml:space="preserve"> (G5/G6) - 1</f>
        <v>-5.4147181885307871E-3</v>
      </c>
      <c r="P5" s="70">
        <f t="shared" si="15"/>
        <v>-5.5632823365785455E-3</v>
      </c>
      <c r="Q5" s="70">
        <f t="shared" si="15"/>
        <v>-2.5320816467143237E-2</v>
      </c>
      <c r="R5" s="70">
        <f t="shared" si="15"/>
        <v>-8.6455331412104153E-3</v>
      </c>
      <c r="S5" s="70">
        <f t="shared" si="15"/>
        <v>-1.3438880706922118E-2</v>
      </c>
      <c r="T5" s="70">
        <f xml:space="preserve"> (E5*L5) / (E6*L6) - 1</f>
        <v>-1.9799065043335506E-2</v>
      </c>
      <c r="U5" s="70">
        <f xml:space="preserve"> (E5*M5) / (E6*M6) - 1</f>
        <v>-1.8337339501779182E-2</v>
      </c>
      <c r="V5" s="145">
        <f xml:space="preserve"> F$5 * ( 1+N5 )</f>
        <v>56.930295506207386</v>
      </c>
      <c r="W5" s="146">
        <f t="shared" ref="W5:AA5" si="16" xml:space="preserve"> G$5 * ( 1+O5 )</f>
        <v>40.191191238001466</v>
      </c>
      <c r="X5" s="146">
        <f t="shared" si="16"/>
        <v>14.220445062586927</v>
      </c>
      <c r="Y5" s="146">
        <f t="shared" si="16"/>
        <v>220.6088864008268</v>
      </c>
      <c r="Z5" s="146">
        <f t="shared" si="16"/>
        <v>13.641037463976945</v>
      </c>
      <c r="AA5" s="146">
        <f t="shared" si="16"/>
        <v>264.34905191458023</v>
      </c>
      <c r="AB5" s="146">
        <f xml:space="preserve"> (L$5*E$5) * (1 + T5)</f>
        <v>2618.4131100319814</v>
      </c>
      <c r="AC5" s="147">
        <f xml:space="preserve"> (M$5*E$5) * (1 + U5)</f>
        <v>3164.5225817732589</v>
      </c>
      <c r="AD5" s="154">
        <f xml:space="preserve"> (F$5 - V5) * AD$2</f>
        <v>2594.089875852319</v>
      </c>
      <c r="AE5" s="155">
        <f t="shared" ref="AE5:AI5" si="17" xml:space="preserve"> (G$5 - W5) * AE$2</f>
        <v>6236.0497169581349</v>
      </c>
      <c r="AF5" s="155">
        <f t="shared" si="17"/>
        <v>7064.478442280908</v>
      </c>
      <c r="AG5" s="155">
        <f t="shared" si="17"/>
        <v>21778.231676858155</v>
      </c>
      <c r="AH5" s="155">
        <f t="shared" si="17"/>
        <v>5317.6253602305615</v>
      </c>
      <c r="AI5" s="155">
        <f t="shared" si="17"/>
        <v>19085.024852724724</v>
      </c>
      <c r="AJ5" s="155">
        <f xml:space="preserve"> (E$5 *L$5 - AB5) * AJ$2</f>
        <v>15866.786990405444</v>
      </c>
      <c r="AK5" s="156">
        <f xml:space="preserve"> (E$5 *M$5 - AC5) * AK$2</f>
        <v>14778.224556685245</v>
      </c>
      <c r="AL5" s="162">
        <f xml:space="preserve"> SUM(AD5:AK5)</f>
        <v>92720.511471995487</v>
      </c>
      <c r="AM5" s="20"/>
      <c r="AN5" s="198" t="s">
        <v>25</v>
      </c>
      <c r="AO5" s="198"/>
      <c r="AP5" s="198"/>
      <c r="AQ5" s="198"/>
      <c r="AR5" s="198"/>
      <c r="AS5" s="198"/>
    </row>
    <row r="6" spans="1:51" x14ac:dyDescent="0.25">
      <c r="A6" s="13">
        <f t="shared" si="12"/>
        <v>1</v>
      </c>
      <c r="B6" s="1">
        <v>45321</v>
      </c>
      <c r="C6" s="7">
        <f t="shared" si="13"/>
        <v>2024</v>
      </c>
      <c r="D6" s="7">
        <f t="shared" si="14"/>
        <v>1</v>
      </c>
      <c r="E6" s="61">
        <v>17.14</v>
      </c>
      <c r="F6" s="65">
        <v>57.19</v>
      </c>
      <c r="G6" s="2">
        <v>40.630000000000003</v>
      </c>
      <c r="H6" s="2">
        <v>14.38</v>
      </c>
      <c r="I6" s="2">
        <v>232.22</v>
      </c>
      <c r="J6" s="2">
        <v>13.88</v>
      </c>
      <c r="K6" s="2">
        <v>271.60000000000002</v>
      </c>
      <c r="L6" s="2">
        <v>159</v>
      </c>
      <c r="M6" s="144">
        <v>191.59</v>
      </c>
      <c r="N6" s="72">
        <f t="shared" ref="N6:N69" si="18" xml:space="preserve"> (F6/F7) - 1</f>
        <v>6.1576354679802048E-3</v>
      </c>
      <c r="O6" s="73">
        <f t="shared" ref="O6:O69" si="19" xml:space="preserve"> (G6/G7) - 1</f>
        <v>-1.4745637748831975E-3</v>
      </c>
      <c r="P6" s="73">
        <f t="shared" ref="P6:P69" si="20" xml:space="preserve"> (H6/H7) - 1</f>
        <v>6.2981105668300508E-3</v>
      </c>
      <c r="Q6" s="73">
        <f t="shared" ref="Q6:Q69" si="21" xml:space="preserve"> (I6/I7) - 1</f>
        <v>-2.6983993966311903E-2</v>
      </c>
      <c r="R6" s="73">
        <f t="shared" ref="R6:R69" si="22" xml:space="preserve"> (J6/J7) - 1</f>
        <v>-3.2078103207810238E-2</v>
      </c>
      <c r="S6" s="73">
        <f t="shared" ref="S6:S69" si="23" xml:space="preserve"> (K6/K7) - 1</f>
        <v>-1.4656798722971875E-2</v>
      </c>
      <c r="T6" s="73">
        <f t="shared" ref="T6:T69" si="24" xml:space="preserve"> (E6*L6) / (E7*L7) - 1</f>
        <v>-1.8481289327323069E-2</v>
      </c>
      <c r="U6" s="73">
        <f t="shared" ref="U6:U69" si="25" xml:space="preserve"> (E6*M6) / (E7*M7) - 1</f>
        <v>-1.0890382505590601E-3</v>
      </c>
      <c r="V6" s="148">
        <f t="shared" ref="V6:V69" si="26" xml:space="preserve"> F$5 * ( 1+N6 )</f>
        <v>57.411354679802955</v>
      </c>
      <c r="W6" s="149">
        <f t="shared" ref="W6:W69" si="27" xml:space="preserve"> G$5 * ( 1+O6 )</f>
        <v>40.350412877856968</v>
      </c>
      <c r="X6" s="149">
        <f t="shared" ref="X6:X69" si="28" xml:space="preserve"> H$5 * ( 1+P6 )</f>
        <v>14.39006298110567</v>
      </c>
      <c r="Y6" s="149">
        <f t="shared" ref="Y6:Y69" si="29" xml:space="preserve"> I$5 * ( 1+Q6 )</f>
        <v>220.23244280566496</v>
      </c>
      <c r="Z6" s="149">
        <f t="shared" ref="Z6:Z69" si="30" xml:space="preserve"> J$5 * ( 1+R6 )</f>
        <v>13.318605299860531</v>
      </c>
      <c r="AA6" s="149">
        <f t="shared" ref="AA6:AA69" si="31" xml:space="preserve"> K$5 * ( 1+S6 )</f>
        <v>264.02271078217967</v>
      </c>
      <c r="AB6" s="149">
        <f t="shared" ref="AB6:AB69" si="32" xml:space="preserve"> (L$5*E$5) * (1 + T6)</f>
        <v>2621.9332874648271</v>
      </c>
      <c r="AC6" s="150">
        <f t="shared" ref="AC6:AC69" si="33" xml:space="preserve"> (M$5*E$5) * (1 + U6)</f>
        <v>3220.1248176564204</v>
      </c>
      <c r="AD6" s="157">
        <f t="shared" ref="AD6:AD69" si="34" xml:space="preserve"> (F$5 - V6) * AD$2</f>
        <v>-7027.0935960590468</v>
      </c>
      <c r="AE6" s="19">
        <f t="shared" ref="AE6:AE69" si="35" xml:space="preserve"> (G$5 - W6) * AE$2</f>
        <v>1698.2329810763163</v>
      </c>
      <c r="AF6" s="19">
        <f t="shared" ref="AF6:AF69" si="36" xml:space="preserve"> (H$5 - X6) * AF$2</f>
        <v>-7997.5927221834281</v>
      </c>
      <c r="AG6" s="19">
        <f t="shared" ref="AG6:AG69" si="37" xml:space="preserve"> (I$5 - Y6) * AG$2</f>
        <v>23208.717338473169</v>
      </c>
      <c r="AH6" s="19">
        <f t="shared" ref="AH6:AH69" si="38" xml:space="preserve"> (J$5 - Z6) * AH$2</f>
        <v>19730.343096234261</v>
      </c>
      <c r="AI6" s="19">
        <f t="shared" ref="AI6:AI69" si="39" xml:space="preserve"> (K$5 - AA6) * AI$2</f>
        <v>20814.632854447678</v>
      </c>
      <c r="AJ6" s="19">
        <f t="shared" ref="AJ6:AJ69" si="40" xml:space="preserve"> (E$5 *L$5 - AB6) * AJ$2</f>
        <v>14810.733760551739</v>
      </c>
      <c r="AK6" s="158">
        <f t="shared" ref="AK6:AK69" si="41" xml:space="preserve"> (E$5 *M$5 - AC6) * AK$2</f>
        <v>877.66558589487431</v>
      </c>
      <c r="AL6" s="163">
        <f t="shared" ref="AL6:AL69" si="42" xml:space="preserve"> SUM(AD6:AK6)</f>
        <v>66115.639298435563</v>
      </c>
      <c r="AM6" s="20"/>
      <c r="AO6" s="17" t="s">
        <v>8</v>
      </c>
      <c r="AP6" s="17" t="s">
        <v>9</v>
      </c>
    </row>
    <row r="7" spans="1:51" ht="18.75" x14ac:dyDescent="0.35">
      <c r="A7" s="13">
        <f t="shared" si="12"/>
        <v>2</v>
      </c>
      <c r="B7" s="1">
        <v>45320</v>
      </c>
      <c r="C7" s="7">
        <f t="shared" si="13"/>
        <v>2024</v>
      </c>
      <c r="D7" s="7">
        <f t="shared" si="14"/>
        <v>1</v>
      </c>
      <c r="E7" s="61">
        <v>17.218</v>
      </c>
      <c r="F7" s="65">
        <v>56.84</v>
      </c>
      <c r="G7" s="2">
        <v>40.69</v>
      </c>
      <c r="H7" s="2">
        <v>14.29</v>
      </c>
      <c r="I7" s="2">
        <v>238.66</v>
      </c>
      <c r="J7" s="2">
        <v>14.34</v>
      </c>
      <c r="K7" s="2">
        <v>275.64</v>
      </c>
      <c r="L7" s="2">
        <v>161.26</v>
      </c>
      <c r="M7" s="144">
        <v>190.93</v>
      </c>
      <c r="N7" s="72">
        <f t="shared" si="18"/>
        <v>5.4838139041217815E-3</v>
      </c>
      <c r="O7" s="73">
        <f t="shared" si="19"/>
        <v>1.969958138389627E-3</v>
      </c>
      <c r="P7" s="73">
        <f t="shared" si="20"/>
        <v>9.8939929328620835E-3</v>
      </c>
      <c r="Q7" s="73">
        <f t="shared" si="21"/>
        <v>7.2147349505840008E-2</v>
      </c>
      <c r="R7" s="73">
        <f t="shared" si="22"/>
        <v>2.501786990707644E-2</v>
      </c>
      <c r="S7" s="73">
        <f t="shared" si="23"/>
        <v>1.2080044060950756E-2</v>
      </c>
      <c r="T7" s="73">
        <f t="shared" si="24"/>
        <v>1.7212264793474708E-2</v>
      </c>
      <c r="U7" s="73">
        <f t="shared" si="25"/>
        <v>4.5778940283599967E-2</v>
      </c>
      <c r="V7" s="148">
        <f t="shared" si="26"/>
        <v>57.372906421369194</v>
      </c>
      <c r="W7" s="149">
        <f t="shared" si="27"/>
        <v>40.48960600837232</v>
      </c>
      <c r="X7" s="149">
        <f t="shared" si="28"/>
        <v>14.441484098939929</v>
      </c>
      <c r="Y7" s="149">
        <f t="shared" si="29"/>
        <v>242.66983108715183</v>
      </c>
      <c r="Z7" s="149">
        <f t="shared" si="30"/>
        <v>14.104245889921371</v>
      </c>
      <c r="AA7" s="149">
        <f t="shared" si="31"/>
        <v>271.18684780613177</v>
      </c>
      <c r="AB7" s="149">
        <f t="shared" si="32"/>
        <v>2717.2815642522442</v>
      </c>
      <c r="AC7" s="150">
        <f t="shared" si="33"/>
        <v>3371.2100961350138</v>
      </c>
      <c r="AD7" s="157">
        <f t="shared" si="34"/>
        <v>-6258.1284273838373</v>
      </c>
      <c r="AE7" s="19">
        <f t="shared" si="35"/>
        <v>-2268.7712386112153</v>
      </c>
      <c r="AF7" s="19">
        <f t="shared" si="36"/>
        <v>-12563.787985865643</v>
      </c>
      <c r="AG7" s="19">
        <f t="shared" si="37"/>
        <v>-62053.358131176959</v>
      </c>
      <c r="AH7" s="19">
        <f t="shared" si="38"/>
        <v>-15387.791279485291</v>
      </c>
      <c r="AI7" s="19">
        <f t="shared" si="39"/>
        <v>-17155.293372498421</v>
      </c>
      <c r="AJ7" s="19">
        <f t="shared" si="40"/>
        <v>-13793.749275673372</v>
      </c>
      <c r="AK7" s="158">
        <f t="shared" si="41"/>
        <v>-36893.654033753475</v>
      </c>
      <c r="AL7" s="163">
        <f t="shared" si="42"/>
        <v>-166374.53374444821</v>
      </c>
      <c r="AM7" s="20"/>
      <c r="AN7" s="11" t="s">
        <v>23</v>
      </c>
      <c r="AO7" s="23">
        <f xml:space="preserve"> PERCENTILE(AL5:AL256, 0.01)</f>
        <v>-201809.24843800618</v>
      </c>
      <c r="AP7" s="16">
        <f xml:space="preserve"> AO7 / AM1</f>
        <v>-2.5021841490430043E-2</v>
      </c>
      <c r="AQ7" s="33"/>
      <c r="AR7" s="34"/>
    </row>
    <row r="8" spans="1:51" x14ac:dyDescent="0.25">
      <c r="A8" s="13">
        <f t="shared" si="12"/>
        <v>3</v>
      </c>
      <c r="B8" s="1">
        <v>45317</v>
      </c>
      <c r="C8" s="7">
        <f t="shared" si="13"/>
        <v>2024</v>
      </c>
      <c r="D8" s="7">
        <f t="shared" si="14"/>
        <v>1</v>
      </c>
      <c r="E8" s="61">
        <v>17.154299999999999</v>
      </c>
      <c r="F8" s="65">
        <v>56.53</v>
      </c>
      <c r="G8" s="2">
        <v>40.61</v>
      </c>
      <c r="H8" s="2">
        <v>14.15</v>
      </c>
      <c r="I8" s="2">
        <v>222.6</v>
      </c>
      <c r="J8" s="2">
        <v>13.99</v>
      </c>
      <c r="K8" s="2">
        <v>272.35000000000002</v>
      </c>
      <c r="L8" s="2">
        <v>159.12</v>
      </c>
      <c r="M8" s="144">
        <v>183.25</v>
      </c>
      <c r="N8" s="72">
        <f t="shared" si="18"/>
        <v>1.0366398570151869E-2</v>
      </c>
      <c r="O8" s="73">
        <f t="shared" si="19"/>
        <v>-1.3602137478746723E-2</v>
      </c>
      <c r="P8" s="73">
        <f t="shared" si="20"/>
        <v>1.1436740528949274E-2</v>
      </c>
      <c r="Q8" s="73">
        <f t="shared" si="21"/>
        <v>1.0853276417964519E-2</v>
      </c>
      <c r="R8" s="73">
        <f t="shared" si="22"/>
        <v>-1.3399153737658653E-2</v>
      </c>
      <c r="S8" s="73">
        <f t="shared" si="23"/>
        <v>2.2795553552651615E-2</v>
      </c>
      <c r="T8" s="73">
        <f t="shared" si="24"/>
        <v>6.5898026070143612E-3</v>
      </c>
      <c r="U8" s="73">
        <f t="shared" si="25"/>
        <v>1.3110028296083875E-3</v>
      </c>
      <c r="V8" s="148">
        <f t="shared" si="26"/>
        <v>57.651506702412867</v>
      </c>
      <c r="W8" s="149">
        <f t="shared" si="27"/>
        <v>39.86033762448384</v>
      </c>
      <c r="X8" s="149">
        <f t="shared" si="28"/>
        <v>14.463545389563976</v>
      </c>
      <c r="Y8" s="149">
        <f t="shared" si="29"/>
        <v>228.79653058444208</v>
      </c>
      <c r="Z8" s="149">
        <f t="shared" si="30"/>
        <v>13.575627644569817</v>
      </c>
      <c r="AA8" s="149">
        <f t="shared" si="31"/>
        <v>274.05806857443298</v>
      </c>
      <c r="AB8" s="149">
        <f t="shared" si="32"/>
        <v>2688.9057555196432</v>
      </c>
      <c r="AC8" s="150">
        <f t="shared" si="33"/>
        <v>3227.8616752359058</v>
      </c>
      <c r="AD8" s="157">
        <f t="shared" si="34"/>
        <v>-11830.134048257292</v>
      </c>
      <c r="AE8" s="19">
        <f t="shared" si="35"/>
        <v>15665.37770221046</v>
      </c>
      <c r="AF8" s="19">
        <f t="shared" si="36"/>
        <v>-14522.830593280973</v>
      </c>
      <c r="AG8" s="19">
        <f t="shared" si="37"/>
        <v>-9334.8162208798949</v>
      </c>
      <c r="AH8" s="19">
        <f t="shared" si="38"/>
        <v>8241.4442877291713</v>
      </c>
      <c r="AI8" s="19">
        <f t="shared" si="39"/>
        <v>-32372.763444494853</v>
      </c>
      <c r="AJ8" s="19">
        <f t="shared" si="40"/>
        <v>-5281.0066558930885</v>
      </c>
      <c r="AK8" s="158">
        <f t="shared" si="41"/>
        <v>-1056.5488089764585</v>
      </c>
      <c r="AL8" s="163">
        <f t="shared" si="42"/>
        <v>-50491.277781842931</v>
      </c>
      <c r="AM8" s="20"/>
      <c r="AN8" s="14" t="s">
        <v>18</v>
      </c>
      <c r="AO8" s="23">
        <f xml:space="preserve"> AVERAGEIF(AL5:AL256, "&lt;" &amp; AO7, AL5:AL256)</f>
        <v>-365632.26091674849</v>
      </c>
      <c r="AP8" s="16">
        <f xml:space="preserve"> AO8 / AM1</f>
        <v>-4.533386129356138E-2</v>
      </c>
      <c r="AQ8" s="21"/>
    </row>
    <row r="9" spans="1:51" x14ac:dyDescent="0.25">
      <c r="A9" s="13">
        <f t="shared" si="12"/>
        <v>4</v>
      </c>
      <c r="B9" s="1">
        <v>45316</v>
      </c>
      <c r="C9" s="7">
        <f t="shared" si="13"/>
        <v>2024</v>
      </c>
      <c r="D9" s="7">
        <f t="shared" si="14"/>
        <v>1</v>
      </c>
      <c r="E9" s="61">
        <v>17.190000000000001</v>
      </c>
      <c r="F9" s="65">
        <v>55.95</v>
      </c>
      <c r="G9" s="2">
        <v>41.17</v>
      </c>
      <c r="H9" s="2">
        <v>13.99</v>
      </c>
      <c r="I9" s="2">
        <v>220.21</v>
      </c>
      <c r="J9" s="2">
        <v>14.18</v>
      </c>
      <c r="K9" s="2">
        <v>266.27999999999997</v>
      </c>
      <c r="L9" s="2">
        <v>157.75</v>
      </c>
      <c r="M9" s="144">
        <v>182.63</v>
      </c>
      <c r="N9" s="72">
        <f t="shared" si="18"/>
        <v>1.4873934337021666E-2</v>
      </c>
      <c r="O9" s="73">
        <f t="shared" si="19"/>
        <v>3.0280280280280403E-2</v>
      </c>
      <c r="P9" s="73">
        <f t="shared" si="20"/>
        <v>4.872563718140932E-2</v>
      </c>
      <c r="Q9" s="73">
        <f t="shared" si="21"/>
        <v>-7.4371225096908633E-3</v>
      </c>
      <c r="R9" s="73">
        <f t="shared" si="22"/>
        <v>-1.8005540166204925E-2</v>
      </c>
      <c r="S9" s="73">
        <f t="shared" si="23"/>
        <v>2.6285361905495908E-2</v>
      </c>
      <c r="T9" s="73">
        <f t="shared" si="24"/>
        <v>4.4411063361939895E-3</v>
      </c>
      <c r="U9" s="73">
        <f t="shared" si="25"/>
        <v>-0.12227415229500116</v>
      </c>
      <c r="V9" s="148">
        <f t="shared" si="26"/>
        <v>57.90870669327046</v>
      </c>
      <c r="W9" s="149">
        <f t="shared" si="27"/>
        <v>41.633626126126124</v>
      </c>
      <c r="X9" s="149">
        <f t="shared" si="28"/>
        <v>14.996776611694154</v>
      </c>
      <c r="Y9" s="149">
        <f t="shared" si="29"/>
        <v>224.65668169115656</v>
      </c>
      <c r="Z9" s="149">
        <f t="shared" si="30"/>
        <v>13.51224376731302</v>
      </c>
      <c r="AA9" s="149">
        <f t="shared" si="31"/>
        <v>274.99316272257761</v>
      </c>
      <c r="AB9" s="149">
        <f t="shared" si="32"/>
        <v>2683.1659380145297</v>
      </c>
      <c r="AC9" s="150">
        <f t="shared" si="33"/>
        <v>2829.4681843749108</v>
      </c>
      <c r="AD9" s="157">
        <f t="shared" si="34"/>
        <v>-16974.13386540916</v>
      </c>
      <c r="AE9" s="19">
        <f t="shared" si="35"/>
        <v>-34873.344594594637</v>
      </c>
      <c r="AF9" s="19">
        <f t="shared" si="36"/>
        <v>-61873.76311844078</v>
      </c>
      <c r="AG9" s="19">
        <f t="shared" si="37"/>
        <v>6396.6095736050702</v>
      </c>
      <c r="AH9" s="19">
        <f t="shared" si="38"/>
        <v>11074.703601107996</v>
      </c>
      <c r="AI9" s="19">
        <f t="shared" si="39"/>
        <v>-37328.762429661387</v>
      </c>
      <c r="AJ9" s="19">
        <f t="shared" si="40"/>
        <v>-3559.0614043590449</v>
      </c>
      <c r="AK9" s="158">
        <f t="shared" si="41"/>
        <v>98541.823906272271</v>
      </c>
      <c r="AL9" s="163">
        <f t="shared" si="42"/>
        <v>-38595.928331479663</v>
      </c>
      <c r="AM9" s="20"/>
    </row>
    <row r="10" spans="1:51" x14ac:dyDescent="0.25">
      <c r="A10" s="13">
        <f t="shared" si="12"/>
        <v>5</v>
      </c>
      <c r="B10" s="1">
        <v>45315</v>
      </c>
      <c r="C10" s="7">
        <f t="shared" si="13"/>
        <v>2024</v>
      </c>
      <c r="D10" s="7">
        <f t="shared" si="14"/>
        <v>1</v>
      </c>
      <c r="E10" s="61">
        <v>17.21</v>
      </c>
      <c r="F10" s="65">
        <v>55.13</v>
      </c>
      <c r="G10" s="2">
        <v>39.96</v>
      </c>
      <c r="H10" s="2">
        <v>13.34</v>
      </c>
      <c r="I10" s="2">
        <v>221.86</v>
      </c>
      <c r="J10" s="2">
        <v>14.44</v>
      </c>
      <c r="K10" s="2">
        <v>259.45999999999998</v>
      </c>
      <c r="L10" s="2">
        <v>156.87</v>
      </c>
      <c r="M10" s="144">
        <v>207.83</v>
      </c>
      <c r="N10" s="72">
        <f t="shared" si="18"/>
        <v>-3.2543843789549776E-3</v>
      </c>
      <c r="O10" s="73">
        <f t="shared" si="19"/>
        <v>3.7678975131876236E-3</v>
      </c>
      <c r="P10" s="73">
        <f t="shared" si="20"/>
        <v>2.1439509954058078E-2</v>
      </c>
      <c r="Q10" s="73">
        <f t="shared" si="21"/>
        <v>4.9082655570266809E-2</v>
      </c>
      <c r="R10" s="73">
        <f t="shared" si="22"/>
        <v>1.3333333333333197E-2</v>
      </c>
      <c r="S10" s="73">
        <f t="shared" si="23"/>
        <v>-4.3745203376824859E-3</v>
      </c>
      <c r="T10" s="73">
        <f t="shared" si="24"/>
        <v>2.173650480559175E-4</v>
      </c>
      <c r="U10" s="73">
        <f t="shared" si="25"/>
        <v>-1.1433472945356571E-2</v>
      </c>
      <c r="V10" s="148">
        <f t="shared" si="26"/>
        <v>56.874304827336829</v>
      </c>
      <c r="W10" s="149">
        <f t="shared" si="27"/>
        <v>40.562260738507909</v>
      </c>
      <c r="X10" s="149">
        <f t="shared" si="28"/>
        <v>14.606584992343031</v>
      </c>
      <c r="Y10" s="149">
        <f t="shared" si="29"/>
        <v>237.4493682617742</v>
      </c>
      <c r="Z10" s="149">
        <f t="shared" si="30"/>
        <v>13.943466666666664</v>
      </c>
      <c r="AA10" s="149">
        <f t="shared" si="31"/>
        <v>266.77784727551796</v>
      </c>
      <c r="AB10" s="149">
        <f t="shared" si="32"/>
        <v>2671.8830477745473</v>
      </c>
      <c r="AC10" s="150">
        <f t="shared" si="33"/>
        <v>3186.7781309537286</v>
      </c>
      <c r="AD10" s="157">
        <f t="shared" si="34"/>
        <v>3713.9034532634696</v>
      </c>
      <c r="AE10" s="19">
        <f t="shared" si="35"/>
        <v>-4339.4310474755111</v>
      </c>
      <c r="AF10" s="19">
        <f t="shared" si="36"/>
        <v>-27224.747320061058</v>
      </c>
      <c r="AG10" s="19">
        <f t="shared" si="37"/>
        <v>-42215.599394741934</v>
      </c>
      <c r="AH10" s="19">
        <f t="shared" si="38"/>
        <v>-8200.95999999989</v>
      </c>
      <c r="AI10" s="19">
        <f t="shared" si="39"/>
        <v>6212.4094397547706</v>
      </c>
      <c r="AJ10" s="19">
        <f t="shared" si="40"/>
        <v>-174.19433236432269</v>
      </c>
      <c r="AK10" s="158">
        <f t="shared" si="41"/>
        <v>9214.3372615678345</v>
      </c>
      <c r="AL10" s="163">
        <f t="shared" si="42"/>
        <v>-63014.281940056637</v>
      </c>
      <c r="AM10" s="20"/>
    </row>
    <row r="11" spans="1:51" ht="15.75" thickBot="1" x14ac:dyDescent="0.3">
      <c r="A11" s="13">
        <f t="shared" si="12"/>
        <v>6</v>
      </c>
      <c r="B11" s="1">
        <v>45314</v>
      </c>
      <c r="C11" s="7">
        <f t="shared" si="13"/>
        <v>2024</v>
      </c>
      <c r="D11" s="7">
        <f t="shared" si="14"/>
        <v>1</v>
      </c>
      <c r="E11" s="61">
        <v>17.3</v>
      </c>
      <c r="F11" s="65">
        <v>55.31</v>
      </c>
      <c r="G11" s="2">
        <v>39.81</v>
      </c>
      <c r="H11" s="2">
        <v>13.06</v>
      </c>
      <c r="I11" s="2">
        <v>211.48</v>
      </c>
      <c r="J11" s="2">
        <v>14.25</v>
      </c>
      <c r="K11" s="2">
        <v>260.60000000000002</v>
      </c>
      <c r="L11" s="2">
        <v>156.02000000000001</v>
      </c>
      <c r="M11" s="144">
        <v>209.14</v>
      </c>
      <c r="N11" s="72">
        <f t="shared" si="18"/>
        <v>1.5607785530664664E-2</v>
      </c>
      <c r="O11" s="73">
        <f t="shared" si="19"/>
        <v>3.2762096774194838E-3</v>
      </c>
      <c r="P11" s="73">
        <f t="shared" si="20"/>
        <v>1.9516003122560521E-2</v>
      </c>
      <c r="Q11" s="73">
        <f t="shared" si="21"/>
        <v>1.8003273322422242E-2</v>
      </c>
      <c r="R11" s="73">
        <f t="shared" si="22"/>
        <v>2.4442846872753332E-2</v>
      </c>
      <c r="S11" s="73">
        <f t="shared" si="23"/>
        <v>3.0528313824739195E-2</v>
      </c>
      <c r="T11" s="73">
        <f t="shared" si="24"/>
        <v>1.5406819490055623E-2</v>
      </c>
      <c r="U11" s="73">
        <f t="shared" si="25"/>
        <v>8.9769708911313639E-3</v>
      </c>
      <c r="V11" s="148">
        <f t="shared" si="26"/>
        <v>57.950580242379729</v>
      </c>
      <c r="W11" s="149">
        <f t="shared" si="27"/>
        <v>40.542391633064518</v>
      </c>
      <c r="X11" s="149">
        <f t="shared" si="28"/>
        <v>14.579078844652615</v>
      </c>
      <c r="Y11" s="149">
        <f t="shared" si="29"/>
        <v>230.41486088379705</v>
      </c>
      <c r="Z11" s="149">
        <f t="shared" si="30"/>
        <v>14.096333572969085</v>
      </c>
      <c r="AA11" s="149">
        <f t="shared" si="31"/>
        <v>276.13006168933885</v>
      </c>
      <c r="AB11" s="149">
        <f t="shared" si="32"/>
        <v>2712.4586738801518</v>
      </c>
      <c r="AC11" s="150">
        <f t="shared" si="33"/>
        <v>3252.5739618675784</v>
      </c>
      <c r="AD11" s="157">
        <f t="shared" si="34"/>
        <v>-17811.604847594539</v>
      </c>
      <c r="AE11" s="19">
        <f t="shared" si="35"/>
        <v>-3773.1615423388726</v>
      </c>
      <c r="AF11" s="19">
        <f t="shared" si="36"/>
        <v>-24782.201405152184</v>
      </c>
      <c r="AG11" s="19">
        <f t="shared" si="37"/>
        <v>-15484.471358428766</v>
      </c>
      <c r="AH11" s="19">
        <f t="shared" si="38"/>
        <v>-15034.110711718113</v>
      </c>
      <c r="AI11" s="19">
        <f t="shared" si="39"/>
        <v>-43354.32695349594</v>
      </c>
      <c r="AJ11" s="19">
        <f t="shared" si="40"/>
        <v>-12346.882164045655</v>
      </c>
      <c r="AK11" s="158">
        <f t="shared" si="41"/>
        <v>-7234.6204668946257</v>
      </c>
      <c r="AL11" s="163">
        <f t="shared" si="42"/>
        <v>-139821.37944966869</v>
      </c>
      <c r="AM11" s="20"/>
    </row>
    <row r="12" spans="1:51" x14ac:dyDescent="0.25">
      <c r="A12" s="13">
        <f t="shared" si="12"/>
        <v>7</v>
      </c>
      <c r="B12" s="1">
        <v>45313</v>
      </c>
      <c r="C12" s="7">
        <f t="shared" si="13"/>
        <v>2024</v>
      </c>
      <c r="D12" s="7">
        <f t="shared" si="14"/>
        <v>1</v>
      </c>
      <c r="E12" s="61">
        <v>17.173999999999999</v>
      </c>
      <c r="F12" s="65">
        <v>54.46</v>
      </c>
      <c r="G12" s="2">
        <v>39.68</v>
      </c>
      <c r="H12" s="2">
        <v>12.81</v>
      </c>
      <c r="I12" s="2">
        <v>207.74</v>
      </c>
      <c r="J12" s="2">
        <v>13.91</v>
      </c>
      <c r="K12" s="2">
        <v>252.88</v>
      </c>
      <c r="L12" s="2">
        <v>154.78</v>
      </c>
      <c r="M12" s="144">
        <v>208.8</v>
      </c>
      <c r="N12" s="72">
        <f t="shared" si="18"/>
        <v>-1.2869313032445207E-2</v>
      </c>
      <c r="O12" s="73">
        <f t="shared" si="19"/>
        <v>-9.4857713429855606E-3</v>
      </c>
      <c r="P12" s="73">
        <f t="shared" si="20"/>
        <v>-7.800312012480326E-4</v>
      </c>
      <c r="Q12" s="73">
        <f t="shared" si="21"/>
        <v>-1.9261637239165297E-2</v>
      </c>
      <c r="R12" s="73">
        <f t="shared" si="22"/>
        <v>-2.2487702037948032E-2</v>
      </c>
      <c r="S12" s="73">
        <f t="shared" si="23"/>
        <v>-4.7819865953761531E-2</v>
      </c>
      <c r="T12" s="73">
        <f t="shared" si="24"/>
        <v>1.9960069908795397E-3</v>
      </c>
      <c r="U12" s="73">
        <f t="shared" si="25"/>
        <v>-1.0444787331260308E-2</v>
      </c>
      <c r="V12" s="148">
        <f t="shared" si="26"/>
        <v>56.325676998368678</v>
      </c>
      <c r="W12" s="149">
        <f t="shared" si="27"/>
        <v>40.026679980029947</v>
      </c>
      <c r="X12" s="149">
        <f t="shared" si="28"/>
        <v>14.288845553822155</v>
      </c>
      <c r="Y12" s="149">
        <f t="shared" si="29"/>
        <v>221.98032102728732</v>
      </c>
      <c r="Z12" s="149">
        <f t="shared" si="30"/>
        <v>13.450569219957835</v>
      </c>
      <c r="AA12" s="149">
        <f t="shared" si="31"/>
        <v>255.13666691768958</v>
      </c>
      <c r="AB12" s="149">
        <f t="shared" si="32"/>
        <v>2676.634338265153</v>
      </c>
      <c r="AC12" s="150">
        <f t="shared" si="33"/>
        <v>3189.9652929778945</v>
      </c>
      <c r="AD12" s="157">
        <f t="shared" si="34"/>
        <v>14686.460032626484</v>
      </c>
      <c r="AE12" s="19">
        <f t="shared" si="35"/>
        <v>10924.620569146424</v>
      </c>
      <c r="AF12" s="19">
        <f t="shared" si="36"/>
        <v>990.51482059273462</v>
      </c>
      <c r="AG12" s="19">
        <f t="shared" si="37"/>
        <v>16566.780096308208</v>
      </c>
      <c r="AH12" s="19">
        <f t="shared" si="38"/>
        <v>13831.555867884774</v>
      </c>
      <c r="AI12" s="19">
        <f t="shared" si="39"/>
        <v>67910.665336245162</v>
      </c>
      <c r="AJ12" s="19">
        <f t="shared" si="40"/>
        <v>-1599.5814795460319</v>
      </c>
      <c r="AK12" s="158">
        <f t="shared" si="41"/>
        <v>8417.5467555263604</v>
      </c>
      <c r="AL12" s="163">
        <f t="shared" si="42"/>
        <v>131728.56199878413</v>
      </c>
      <c r="AM12" s="20"/>
      <c r="AN12" s="47" t="s">
        <v>51</v>
      </c>
      <c r="AO12" s="47" t="s">
        <v>53</v>
      </c>
      <c r="AP12" s="47" t="s">
        <v>54</v>
      </c>
    </row>
    <row r="13" spans="1:51" x14ac:dyDescent="0.25">
      <c r="A13" s="13">
        <f t="shared" si="12"/>
        <v>8</v>
      </c>
      <c r="B13" s="1">
        <v>45310</v>
      </c>
      <c r="C13" s="7">
        <f t="shared" si="13"/>
        <v>2024</v>
      </c>
      <c r="D13" s="7">
        <f t="shared" si="14"/>
        <v>1</v>
      </c>
      <c r="E13" s="61">
        <v>17.077999999999999</v>
      </c>
      <c r="F13" s="65">
        <v>55.17</v>
      </c>
      <c r="G13" s="2">
        <v>40.06</v>
      </c>
      <c r="H13" s="2">
        <v>12.82</v>
      </c>
      <c r="I13" s="2">
        <v>211.82</v>
      </c>
      <c r="J13" s="2">
        <v>14.23</v>
      </c>
      <c r="K13" s="2">
        <v>265.58</v>
      </c>
      <c r="L13" s="2">
        <v>155.34</v>
      </c>
      <c r="M13" s="144">
        <v>212.19</v>
      </c>
      <c r="N13" s="72">
        <f t="shared" si="18"/>
        <v>1.3968020584451457E-2</v>
      </c>
      <c r="O13" s="73">
        <f t="shared" si="19"/>
        <v>3.0045067601403019E-3</v>
      </c>
      <c r="P13" s="73">
        <f t="shared" si="20"/>
        <v>6.2794348508634634E-3</v>
      </c>
      <c r="Q13" s="73">
        <f t="shared" si="21"/>
        <v>1.5484922575387028E-2</v>
      </c>
      <c r="R13" s="73">
        <f t="shared" si="22"/>
        <v>8.5046066619418603E-3</v>
      </c>
      <c r="S13" s="73">
        <f t="shared" si="23"/>
        <v>1.817205950007672E-2</v>
      </c>
      <c r="T13" s="73">
        <f t="shared" si="24"/>
        <v>7.9734915048417232E-3</v>
      </c>
      <c r="U13" s="73">
        <f t="shared" si="25"/>
        <v>-2.5086497970621124E-3</v>
      </c>
      <c r="V13" s="148">
        <f t="shared" si="26"/>
        <v>57.857015254548806</v>
      </c>
      <c r="W13" s="149">
        <f t="shared" si="27"/>
        <v>40.531412118177265</v>
      </c>
      <c r="X13" s="149">
        <f t="shared" si="28"/>
        <v>14.389795918367348</v>
      </c>
      <c r="Y13" s="149">
        <f t="shared" si="29"/>
        <v>229.8448573757131</v>
      </c>
      <c r="Z13" s="149">
        <f t="shared" si="30"/>
        <v>13.87702338766832</v>
      </c>
      <c r="AA13" s="149">
        <f t="shared" si="31"/>
        <v>272.81920334304556</v>
      </c>
      <c r="AB13" s="149">
        <f t="shared" si="32"/>
        <v>2692.6020069932629</v>
      </c>
      <c r="AC13" s="150">
        <f t="shared" si="33"/>
        <v>3215.5485075072957</v>
      </c>
      <c r="AD13" s="157">
        <f t="shared" si="34"/>
        <v>-15940.305090976068</v>
      </c>
      <c r="AE13" s="19">
        <f t="shared" si="35"/>
        <v>-3460.2453680521457</v>
      </c>
      <c r="AF13" s="19">
        <f t="shared" si="36"/>
        <v>-7973.877551020425</v>
      </c>
      <c r="AG13" s="19">
        <f t="shared" si="37"/>
        <v>-13318.458027709783</v>
      </c>
      <c r="AH13" s="19">
        <f t="shared" si="38"/>
        <v>-5230.9454287739136</v>
      </c>
      <c r="AI13" s="19">
        <f t="shared" si="39"/>
        <v>-25806.777718141519</v>
      </c>
      <c r="AJ13" s="19">
        <f t="shared" si="40"/>
        <v>-6389.8820979789889</v>
      </c>
      <c r="AK13" s="158">
        <f t="shared" si="41"/>
        <v>2021.7431231760656</v>
      </c>
      <c r="AL13" s="163">
        <f t="shared" si="42"/>
        <v>-76098.748159476774</v>
      </c>
      <c r="AM13" s="20"/>
      <c r="AN13">
        <v>-488029.69199929561</v>
      </c>
      <c r="AO13">
        <v>1</v>
      </c>
      <c r="AP13" s="44">
        <v>3.952569169960474E-3</v>
      </c>
      <c r="AV13" s="195" t="s">
        <v>69</v>
      </c>
      <c r="AW13" s="195"/>
      <c r="AX13" s="195"/>
      <c r="AY13" s="195"/>
    </row>
    <row r="14" spans="1:51" x14ac:dyDescent="0.25">
      <c r="A14" s="13">
        <f t="shared" si="12"/>
        <v>9</v>
      </c>
      <c r="B14" s="1">
        <v>45309</v>
      </c>
      <c r="C14" s="7">
        <f t="shared" si="13"/>
        <v>2024</v>
      </c>
      <c r="D14" s="7">
        <f t="shared" si="14"/>
        <v>1</v>
      </c>
      <c r="E14" s="61">
        <v>17.146000000000001</v>
      </c>
      <c r="F14" s="65">
        <v>54.41</v>
      </c>
      <c r="G14" s="2">
        <v>39.94</v>
      </c>
      <c r="H14" s="2">
        <v>12.74</v>
      </c>
      <c r="I14" s="2">
        <v>208.59</v>
      </c>
      <c r="J14" s="2">
        <v>14.11</v>
      </c>
      <c r="K14" s="2">
        <v>260.83999999999997</v>
      </c>
      <c r="L14" s="2">
        <v>153.5</v>
      </c>
      <c r="M14" s="144">
        <v>211.88</v>
      </c>
      <c r="N14" s="72">
        <f t="shared" si="18"/>
        <v>-1.1015237745548578E-3</v>
      </c>
      <c r="O14" s="73">
        <f t="shared" si="19"/>
        <v>7.8002699055330638E-2</v>
      </c>
      <c r="P14" s="73">
        <f t="shared" si="20"/>
        <v>-8.5603112840466622E-3</v>
      </c>
      <c r="Q14" s="73">
        <f t="shared" si="21"/>
        <v>2.3546371936569166E-3</v>
      </c>
      <c r="R14" s="73">
        <f t="shared" si="22"/>
        <v>5.1415797317436729E-2</v>
      </c>
      <c r="S14" s="73">
        <f t="shared" si="23"/>
        <v>4.6217840086273387E-3</v>
      </c>
      <c r="T14" s="73">
        <f t="shared" si="24"/>
        <v>8.9742167471200673E-3</v>
      </c>
      <c r="U14" s="73">
        <f t="shared" si="25"/>
        <v>-1.9770351938028119E-2</v>
      </c>
      <c r="V14" s="148">
        <f t="shared" si="26"/>
        <v>56.997147053423902</v>
      </c>
      <c r="W14" s="149">
        <f t="shared" si="27"/>
        <v>43.562089068825905</v>
      </c>
      <c r="X14" s="149">
        <f t="shared" si="28"/>
        <v>14.177587548638133</v>
      </c>
      <c r="Y14" s="149">
        <f t="shared" si="29"/>
        <v>226.87294858241231</v>
      </c>
      <c r="Z14" s="149">
        <f t="shared" si="30"/>
        <v>14.46748137108793</v>
      </c>
      <c r="AA14" s="149">
        <f t="shared" si="31"/>
        <v>269.1884070251117</v>
      </c>
      <c r="AB14" s="149">
        <f t="shared" si="32"/>
        <v>2695.2752467347018</v>
      </c>
      <c r="AC14" s="150">
        <f t="shared" si="33"/>
        <v>3159.9030720404858</v>
      </c>
      <c r="AD14" s="157">
        <f t="shared" si="34"/>
        <v>1257.0589315220104</v>
      </c>
      <c r="AE14" s="19">
        <f t="shared" si="35"/>
        <v>-89834.538461538395</v>
      </c>
      <c r="AF14" s="19">
        <f t="shared" si="36"/>
        <v>10870.225680933845</v>
      </c>
      <c r="AG14" s="19">
        <f t="shared" si="37"/>
        <v>-2025.2046131667498</v>
      </c>
      <c r="AH14" s="19">
        <f t="shared" si="38"/>
        <v>-31624.417287630458</v>
      </c>
      <c r="AI14" s="19">
        <f t="shared" si="39"/>
        <v>-6563.557233092075</v>
      </c>
      <c r="AJ14" s="19">
        <f t="shared" si="40"/>
        <v>-7191.8540204106648</v>
      </c>
      <c r="AK14" s="158">
        <f t="shared" si="41"/>
        <v>15933.101989878538</v>
      </c>
      <c r="AL14" s="163">
        <f t="shared" si="42"/>
        <v>-109179.18501350394</v>
      </c>
      <c r="AM14" s="20"/>
      <c r="AN14">
        <v>-427826.43261409033</v>
      </c>
      <c r="AO14">
        <v>0</v>
      </c>
      <c r="AP14" s="44">
        <v>3.952569169960474E-3</v>
      </c>
    </row>
    <row r="15" spans="1:51" x14ac:dyDescent="0.25">
      <c r="A15" s="13">
        <f t="shared" si="12"/>
        <v>10</v>
      </c>
      <c r="B15" s="1">
        <v>45308</v>
      </c>
      <c r="C15" s="7">
        <f t="shared" si="13"/>
        <v>2024</v>
      </c>
      <c r="D15" s="7">
        <f t="shared" si="14"/>
        <v>1</v>
      </c>
      <c r="E15" s="61">
        <v>17.193999999999999</v>
      </c>
      <c r="F15" s="65">
        <v>54.47</v>
      </c>
      <c r="G15" s="2">
        <v>37.049999999999997</v>
      </c>
      <c r="H15" s="2">
        <v>12.85</v>
      </c>
      <c r="I15" s="2">
        <v>208.1</v>
      </c>
      <c r="J15" s="2">
        <v>13.42</v>
      </c>
      <c r="K15" s="2">
        <v>259.64</v>
      </c>
      <c r="L15" s="2">
        <v>151.71</v>
      </c>
      <c r="M15" s="144">
        <v>215.55</v>
      </c>
      <c r="N15" s="72">
        <f t="shared" si="18"/>
        <v>-6.5657486777311869E-3</v>
      </c>
      <c r="O15" s="73">
        <f t="shared" si="19"/>
        <v>-6.3447927199191234E-2</v>
      </c>
      <c r="P15" s="73">
        <f t="shared" si="20"/>
        <v>3.90625E-3</v>
      </c>
      <c r="Q15" s="73">
        <f t="shared" si="21"/>
        <v>-3.888786255311294E-2</v>
      </c>
      <c r="R15" s="73">
        <f t="shared" si="22"/>
        <v>-4.8901488306165808E-2</v>
      </c>
      <c r="S15" s="73">
        <f t="shared" si="23"/>
        <v>-5.058246474555439E-3</v>
      </c>
      <c r="T15" s="73">
        <f t="shared" si="24"/>
        <v>-9.9278831723423888E-3</v>
      </c>
      <c r="U15" s="73">
        <f t="shared" si="25"/>
        <v>-2.0282134317020972E-2</v>
      </c>
      <c r="V15" s="148">
        <f t="shared" si="26"/>
        <v>56.685358380448662</v>
      </c>
      <c r="W15" s="149">
        <f t="shared" si="27"/>
        <v>37.846069261880679</v>
      </c>
      <c r="X15" s="149">
        <f t="shared" si="28"/>
        <v>14.355859375000001</v>
      </c>
      <c r="Y15" s="149">
        <f t="shared" si="29"/>
        <v>217.53812118972843</v>
      </c>
      <c r="Z15" s="149">
        <f t="shared" si="30"/>
        <v>13.087115520907158</v>
      </c>
      <c r="AA15" s="149">
        <f t="shared" si="31"/>
        <v>266.59464285714284</v>
      </c>
      <c r="AB15" s="149">
        <f t="shared" si="32"/>
        <v>2644.7820218548018</v>
      </c>
      <c r="AC15" s="150">
        <f t="shared" si="33"/>
        <v>3158.2532722055257</v>
      </c>
      <c r="AD15" s="157">
        <f t="shared" si="34"/>
        <v>7492.8323910268091</v>
      </c>
      <c r="AE15" s="19">
        <f t="shared" si="35"/>
        <v>73072.026036400552</v>
      </c>
      <c r="AF15" s="19">
        <f t="shared" si="36"/>
        <v>-4960.3125000000628</v>
      </c>
      <c r="AG15" s="19">
        <f t="shared" si="37"/>
        <v>33447.139479031983</v>
      </c>
      <c r="AH15" s="19">
        <f t="shared" si="38"/>
        <v>30077.936215450023</v>
      </c>
      <c r="AI15" s="19">
        <f t="shared" si="39"/>
        <v>7183.392857142866</v>
      </c>
      <c r="AJ15" s="19">
        <f t="shared" si="40"/>
        <v>7956.1134435593431</v>
      </c>
      <c r="AK15" s="158">
        <f t="shared" si="41"/>
        <v>16345.551948618549</v>
      </c>
      <c r="AL15" s="163">
        <f t="shared" si="42"/>
        <v>170614.6798712301</v>
      </c>
      <c r="AM15" s="20"/>
      <c r="AN15">
        <v>-367623.17322888505</v>
      </c>
      <c r="AO15">
        <v>1</v>
      </c>
      <c r="AP15" s="44">
        <v>7.9051383399209481E-3</v>
      </c>
    </row>
    <row r="16" spans="1:51" x14ac:dyDescent="0.25">
      <c r="A16" s="13">
        <f t="shared" si="12"/>
        <v>11</v>
      </c>
      <c r="B16" s="1">
        <v>45307</v>
      </c>
      <c r="C16" s="7">
        <f t="shared" si="13"/>
        <v>2024</v>
      </c>
      <c r="D16" s="7">
        <f t="shared" si="14"/>
        <v>1</v>
      </c>
      <c r="E16" s="61">
        <v>17.202000000000002</v>
      </c>
      <c r="F16" s="65">
        <v>54.83</v>
      </c>
      <c r="G16" s="2">
        <v>39.56</v>
      </c>
      <c r="H16" s="2">
        <v>12.8</v>
      </c>
      <c r="I16" s="2">
        <v>216.52</v>
      </c>
      <c r="J16" s="2">
        <v>14.11</v>
      </c>
      <c r="K16" s="2">
        <v>260.95999999999998</v>
      </c>
      <c r="L16" s="2">
        <v>153.16</v>
      </c>
      <c r="M16" s="144">
        <v>219.91</v>
      </c>
      <c r="N16" s="72">
        <f t="shared" si="18"/>
        <v>-7.9609191242989708E-3</v>
      </c>
      <c r="O16" s="73">
        <f t="shared" si="19"/>
        <v>-2.8009828009827986E-2</v>
      </c>
      <c r="P16" s="73">
        <f t="shared" si="20"/>
        <v>-1.9908116385911168E-2</v>
      </c>
      <c r="Q16" s="73">
        <f t="shared" si="21"/>
        <v>-3.031931568811852E-2</v>
      </c>
      <c r="R16" s="73">
        <f t="shared" si="22"/>
        <v>-2.5552486187845336E-2</v>
      </c>
      <c r="S16" s="73">
        <f t="shared" si="23"/>
        <v>-3.3731995408597837E-2</v>
      </c>
      <c r="T16" s="73">
        <f t="shared" si="24"/>
        <v>9.632638661213111E-3</v>
      </c>
      <c r="U16" s="73">
        <f t="shared" si="25"/>
        <v>2.4006586875910507E-2</v>
      </c>
      <c r="V16" s="148">
        <f t="shared" si="26"/>
        <v>56.605749954767504</v>
      </c>
      <c r="W16" s="149">
        <f t="shared" si="27"/>
        <v>39.278122850122848</v>
      </c>
      <c r="X16" s="149">
        <f t="shared" si="28"/>
        <v>14.015313935681471</v>
      </c>
      <c r="Y16" s="149">
        <f t="shared" si="29"/>
        <v>219.47752608715126</v>
      </c>
      <c r="Z16" s="149">
        <f t="shared" si="30"/>
        <v>13.408397790055249</v>
      </c>
      <c r="AA16" s="149">
        <f t="shared" si="31"/>
        <v>258.91151183026619</v>
      </c>
      <c r="AB16" s="149">
        <f t="shared" si="32"/>
        <v>2697.034090774031</v>
      </c>
      <c r="AC16" s="150">
        <f t="shared" si="33"/>
        <v>3301.0239652068872</v>
      </c>
      <c r="AD16" s="157">
        <f t="shared" si="34"/>
        <v>9085.0009046499727</v>
      </c>
      <c r="AE16" s="19">
        <f t="shared" si="35"/>
        <v>32258.498771498726</v>
      </c>
      <c r="AF16" s="19">
        <f t="shared" si="36"/>
        <v>25280.12251148545</v>
      </c>
      <c r="AG16" s="19">
        <f t="shared" si="37"/>
        <v>26077.400868825218</v>
      </c>
      <c r="AH16" s="19">
        <f t="shared" si="38"/>
        <v>15716.618784530374</v>
      </c>
      <c r="AI16" s="19">
        <f t="shared" si="39"/>
        <v>47903.98729958912</v>
      </c>
      <c r="AJ16" s="19">
        <f t="shared" si="40"/>
        <v>-7719.5072322094347</v>
      </c>
      <c r="AK16" s="158">
        <f t="shared" si="41"/>
        <v>-19347.121301721814</v>
      </c>
      <c r="AL16" s="163">
        <f t="shared" si="42"/>
        <v>129255.00060664761</v>
      </c>
      <c r="AM16" s="20"/>
      <c r="AN16">
        <v>-307419.91384367971</v>
      </c>
      <c r="AO16">
        <v>0</v>
      </c>
      <c r="AP16" s="44">
        <v>7.9051383399209481E-3</v>
      </c>
    </row>
    <row r="17" spans="1:42" x14ac:dyDescent="0.25">
      <c r="A17" s="13">
        <f t="shared" si="12"/>
        <v>12</v>
      </c>
      <c r="B17" s="1">
        <v>45306</v>
      </c>
      <c r="C17" s="7">
        <f t="shared" si="13"/>
        <v>2024</v>
      </c>
      <c r="D17" s="7">
        <f t="shared" si="14"/>
        <v>1</v>
      </c>
      <c r="E17" s="61">
        <v>16.876999999999999</v>
      </c>
      <c r="F17" s="65">
        <v>55.27</v>
      </c>
      <c r="G17" s="2">
        <v>40.700000000000003</v>
      </c>
      <c r="H17" s="2">
        <v>13.06</v>
      </c>
      <c r="I17" s="2">
        <v>223.29</v>
      </c>
      <c r="J17" s="2">
        <v>14.48</v>
      </c>
      <c r="K17" s="2">
        <v>270.07</v>
      </c>
      <c r="L17" s="2">
        <v>154.62</v>
      </c>
      <c r="M17" s="144">
        <v>218.89</v>
      </c>
      <c r="N17" s="72">
        <f t="shared" si="18"/>
        <v>-1.0844026748598745E-3</v>
      </c>
      <c r="O17" s="73">
        <f t="shared" si="19"/>
        <v>2.1329987452948673E-2</v>
      </c>
      <c r="P17" s="73">
        <f t="shared" si="20"/>
        <v>-1.2102874432677768E-2</v>
      </c>
      <c r="Q17" s="73">
        <f t="shared" si="21"/>
        <v>-8.1730555678941608E-3</v>
      </c>
      <c r="R17" s="73">
        <f t="shared" si="22"/>
        <v>9.7629009762900676E-3</v>
      </c>
      <c r="S17" s="73">
        <f t="shared" si="23"/>
        <v>7.535907479947701E-3</v>
      </c>
      <c r="T17" s="73">
        <f t="shared" si="24"/>
        <v>9.4893541308316287E-4</v>
      </c>
      <c r="U17" s="73">
        <f t="shared" si="25"/>
        <v>9.4893541308316287E-4</v>
      </c>
      <c r="V17" s="148">
        <f t="shared" si="26"/>
        <v>56.998123983372501</v>
      </c>
      <c r="W17" s="149">
        <f t="shared" si="27"/>
        <v>41.271944792973649</v>
      </c>
      <c r="X17" s="149">
        <f t="shared" si="28"/>
        <v>14.126928895612709</v>
      </c>
      <c r="Y17" s="149">
        <f t="shared" si="29"/>
        <v>224.49011060276283</v>
      </c>
      <c r="Z17" s="149">
        <f t="shared" si="30"/>
        <v>13.894337517433751</v>
      </c>
      <c r="AA17" s="149">
        <f t="shared" si="31"/>
        <v>269.96924640925198</v>
      </c>
      <c r="AB17" s="149">
        <f t="shared" si="32"/>
        <v>2673.8372934464137</v>
      </c>
      <c r="AC17" s="150">
        <f t="shared" si="33"/>
        <v>3226.6945018658434</v>
      </c>
      <c r="AD17" s="157">
        <f t="shared" si="34"/>
        <v>1237.5203325500195</v>
      </c>
      <c r="AE17" s="19">
        <f t="shared" si="35"/>
        <v>-24565.426599749091</v>
      </c>
      <c r="AF17" s="19">
        <f t="shared" si="36"/>
        <v>15368.71406959152</v>
      </c>
      <c r="AG17" s="19">
        <f t="shared" si="37"/>
        <v>7029.5797095012749</v>
      </c>
      <c r="AH17" s="19">
        <f t="shared" si="38"/>
        <v>-6004.8870292886841</v>
      </c>
      <c r="AI17" s="19">
        <f t="shared" si="39"/>
        <v>-10702.005969035554</v>
      </c>
      <c r="AJ17" s="19">
        <f t="shared" si="40"/>
        <v>-760.46803392423499</v>
      </c>
      <c r="AK17" s="158">
        <f t="shared" si="41"/>
        <v>-764.75546646088333</v>
      </c>
      <c r="AL17" s="163">
        <f t="shared" si="42"/>
        <v>-19161.728986815629</v>
      </c>
      <c r="AM17" s="20"/>
      <c r="AN17">
        <v>-247216.65445847446</v>
      </c>
      <c r="AO17">
        <v>0</v>
      </c>
      <c r="AP17" s="44">
        <v>7.9051383399209481E-3</v>
      </c>
    </row>
    <row r="18" spans="1:42" x14ac:dyDescent="0.25">
      <c r="A18" s="13">
        <f t="shared" si="12"/>
        <v>13</v>
      </c>
      <c r="B18" s="1">
        <v>45303</v>
      </c>
      <c r="C18" s="7">
        <f t="shared" si="13"/>
        <v>2024</v>
      </c>
      <c r="D18" s="7">
        <f t="shared" si="14"/>
        <v>1</v>
      </c>
      <c r="E18" s="61">
        <v>16.861000000000001</v>
      </c>
      <c r="F18" s="65">
        <v>55.33</v>
      </c>
      <c r="G18" s="2">
        <v>39.85</v>
      </c>
      <c r="H18" s="2">
        <v>13.22</v>
      </c>
      <c r="I18" s="2">
        <v>225.13</v>
      </c>
      <c r="J18" s="2">
        <v>14.34</v>
      </c>
      <c r="K18" s="2">
        <v>268.05</v>
      </c>
      <c r="L18" s="2">
        <v>154.62</v>
      </c>
      <c r="M18" s="144">
        <v>218.89</v>
      </c>
      <c r="N18" s="72">
        <f t="shared" si="18"/>
        <v>2.9001268805508573E-3</v>
      </c>
      <c r="O18" s="73">
        <f t="shared" si="19"/>
        <v>-3.6508704061895547E-2</v>
      </c>
      <c r="P18" s="73">
        <f t="shared" si="20"/>
        <v>0</v>
      </c>
      <c r="Q18" s="73">
        <f t="shared" si="21"/>
        <v>-4.5102807870882611E-3</v>
      </c>
      <c r="R18" s="73">
        <f t="shared" si="22"/>
        <v>-3.5642232683254838E-2</v>
      </c>
      <c r="S18" s="73">
        <f t="shared" si="23"/>
        <v>-1.5318492395856365E-2</v>
      </c>
      <c r="T18" s="73">
        <f t="shared" si="24"/>
        <v>-6.4959491920600909E-3</v>
      </c>
      <c r="U18" s="73">
        <f t="shared" si="25"/>
        <v>-3.9451967995545956E-2</v>
      </c>
      <c r="V18" s="148">
        <f t="shared" si="26"/>
        <v>57.225481239804232</v>
      </c>
      <c r="W18" s="149">
        <f t="shared" si="27"/>
        <v>38.934683268858798</v>
      </c>
      <c r="X18" s="149">
        <f t="shared" si="28"/>
        <v>14.3</v>
      </c>
      <c r="Y18" s="149">
        <f t="shared" si="29"/>
        <v>225.31914304665045</v>
      </c>
      <c r="Z18" s="149">
        <f t="shared" si="30"/>
        <v>13.269562878278414</v>
      </c>
      <c r="AA18" s="149">
        <f t="shared" si="31"/>
        <v>263.84540996253025</v>
      </c>
      <c r="AB18" s="149">
        <f t="shared" si="32"/>
        <v>2653.9497553329716</v>
      </c>
      <c r="AC18" s="150">
        <f t="shared" si="33"/>
        <v>3096.4567162137337</v>
      </c>
      <c r="AD18" s="157">
        <f t="shared" si="34"/>
        <v>-3309.6247960845913</v>
      </c>
      <c r="AE18" s="19">
        <f t="shared" si="35"/>
        <v>42046.526837524158</v>
      </c>
      <c r="AF18" s="19">
        <f t="shared" si="36"/>
        <v>0</v>
      </c>
      <c r="AG18" s="19">
        <f t="shared" si="37"/>
        <v>3879.2564227282924</v>
      </c>
      <c r="AH18" s="19">
        <f t="shared" si="38"/>
        <v>21922.539340954881</v>
      </c>
      <c r="AI18" s="19">
        <f t="shared" si="39"/>
        <v>21754.327198589592</v>
      </c>
      <c r="AJ18" s="19">
        <f t="shared" si="40"/>
        <v>5205.793400108405</v>
      </c>
      <c r="AK18" s="158">
        <f t="shared" si="41"/>
        <v>31794.690946566559</v>
      </c>
      <c r="AL18" s="163">
        <f t="shared" si="42"/>
        <v>123293.50935038729</v>
      </c>
      <c r="AM18" s="20"/>
      <c r="AN18">
        <v>-187013.39507326914</v>
      </c>
      <c r="AO18">
        <v>3</v>
      </c>
      <c r="AP18" s="44">
        <v>1.9762845849802372E-2</v>
      </c>
    </row>
    <row r="19" spans="1:42" x14ac:dyDescent="0.25">
      <c r="A19" s="13">
        <f t="shared" si="12"/>
        <v>14</v>
      </c>
      <c r="B19" s="1">
        <v>45302</v>
      </c>
      <c r="C19" s="7">
        <f t="shared" si="13"/>
        <v>2024</v>
      </c>
      <c r="D19" s="7">
        <f t="shared" si="14"/>
        <v>1</v>
      </c>
      <c r="E19" s="61">
        <v>16.91</v>
      </c>
      <c r="F19" s="65">
        <v>55.17</v>
      </c>
      <c r="G19" s="2">
        <v>41.36</v>
      </c>
      <c r="H19" s="2">
        <v>13.22</v>
      </c>
      <c r="I19" s="2">
        <v>226.15</v>
      </c>
      <c r="J19" s="2">
        <v>14.87</v>
      </c>
      <c r="K19" s="2">
        <v>272.22000000000003</v>
      </c>
      <c r="L19" s="2">
        <v>155.18</v>
      </c>
      <c r="M19" s="144">
        <v>227.22</v>
      </c>
      <c r="N19" s="72">
        <f t="shared" si="18"/>
        <v>2.5440668726148807E-3</v>
      </c>
      <c r="O19" s="73">
        <f t="shared" si="19"/>
        <v>1.447142506745136E-2</v>
      </c>
      <c r="P19" s="73">
        <f t="shared" si="20"/>
        <v>-7.5075075075075048E-3</v>
      </c>
      <c r="Q19" s="73">
        <f t="shared" si="21"/>
        <v>-9.3306465743823175E-3</v>
      </c>
      <c r="R19" s="73">
        <f t="shared" si="22"/>
        <v>1.2942779291553075E-2</v>
      </c>
      <c r="S19" s="73">
        <f t="shared" si="23"/>
        <v>-1.0720645419195374E-2</v>
      </c>
      <c r="T19" s="73">
        <f t="shared" si="24"/>
        <v>7.0499805524264492E-3</v>
      </c>
      <c r="U19" s="73">
        <f t="shared" si="25"/>
        <v>-3.1017407836969046E-2</v>
      </c>
      <c r="V19" s="148">
        <f t="shared" si="26"/>
        <v>57.205164455751408</v>
      </c>
      <c r="W19" s="149">
        <f t="shared" si="27"/>
        <v>40.994790286975707</v>
      </c>
      <c r="X19" s="149">
        <f t="shared" si="28"/>
        <v>14.192642642642644</v>
      </c>
      <c r="Y19" s="149">
        <f t="shared" si="29"/>
        <v>224.22810145435432</v>
      </c>
      <c r="Z19" s="149">
        <f t="shared" si="30"/>
        <v>13.938092643051769</v>
      </c>
      <c r="AA19" s="149">
        <f t="shared" si="31"/>
        <v>265.07740305992661</v>
      </c>
      <c r="AB19" s="149">
        <f t="shared" si="32"/>
        <v>2690.1350299696496</v>
      </c>
      <c r="AC19" s="150">
        <f t="shared" si="33"/>
        <v>3123.6466635991164</v>
      </c>
      <c r="AD19" s="157">
        <f t="shared" si="34"/>
        <v>-2903.2891150281157</v>
      </c>
      <c r="AE19" s="19">
        <f t="shared" si="35"/>
        <v>-16666.523178807754</v>
      </c>
      <c r="AF19" s="19">
        <f t="shared" si="36"/>
        <v>9533.3333333332594</v>
      </c>
      <c r="AG19" s="19">
        <f t="shared" si="37"/>
        <v>8025.2144734536105</v>
      </c>
      <c r="AH19" s="19">
        <f t="shared" si="38"/>
        <v>-7960.741144414098</v>
      </c>
      <c r="AI19" s="19">
        <f t="shared" si="39"/>
        <v>15224.763782388907</v>
      </c>
      <c r="AJ19" s="19">
        <f t="shared" si="40"/>
        <v>-5649.7889908950128</v>
      </c>
      <c r="AK19" s="158">
        <f t="shared" si="41"/>
        <v>24997.204100220872</v>
      </c>
      <c r="AL19" s="163">
        <f t="shared" si="42"/>
        <v>24600.173260251664</v>
      </c>
      <c r="AM19" s="20"/>
      <c r="AN19">
        <v>-126810.13568806386</v>
      </c>
      <c r="AO19">
        <v>15</v>
      </c>
      <c r="AP19" s="44">
        <v>7.9051383399209488E-2</v>
      </c>
    </row>
    <row r="20" spans="1:42" x14ac:dyDescent="0.25">
      <c r="A20" s="13">
        <f t="shared" si="12"/>
        <v>15</v>
      </c>
      <c r="B20" s="1">
        <v>45301</v>
      </c>
      <c r="C20" s="7">
        <f t="shared" si="13"/>
        <v>2024</v>
      </c>
      <c r="D20" s="7">
        <f t="shared" si="14"/>
        <v>1</v>
      </c>
      <c r="E20" s="61">
        <v>16.95</v>
      </c>
      <c r="F20" s="65">
        <v>55.03</v>
      </c>
      <c r="G20" s="2">
        <v>40.770000000000003</v>
      </c>
      <c r="H20" s="2">
        <v>13.32</v>
      </c>
      <c r="I20" s="2">
        <v>228.28</v>
      </c>
      <c r="J20" s="2">
        <v>14.68</v>
      </c>
      <c r="K20" s="2">
        <v>275.17</v>
      </c>
      <c r="L20" s="2">
        <v>153.72999999999999</v>
      </c>
      <c r="M20" s="144">
        <v>233.94</v>
      </c>
      <c r="N20" s="72">
        <f t="shared" si="18"/>
        <v>3.4646243617797445E-3</v>
      </c>
      <c r="O20" s="73">
        <f t="shared" si="19"/>
        <v>-6.5789473684209065E-3</v>
      </c>
      <c r="P20" s="73">
        <f t="shared" si="20"/>
        <v>8.3270249810749597E-3</v>
      </c>
      <c r="Q20" s="73">
        <f t="shared" si="21"/>
        <v>-6.181976491075214E-3</v>
      </c>
      <c r="R20" s="73">
        <f t="shared" si="22"/>
        <v>-4.070556309362261E-3</v>
      </c>
      <c r="S20" s="73">
        <f t="shared" si="23"/>
        <v>7.1739687419933862E-3</v>
      </c>
      <c r="T20" s="73">
        <f t="shared" si="24"/>
        <v>1.4932278001282828E-2</v>
      </c>
      <c r="U20" s="73">
        <f t="shared" si="25"/>
        <v>-4.986895671672209E-3</v>
      </c>
      <c r="V20" s="148">
        <f t="shared" si="26"/>
        <v>57.257691466083152</v>
      </c>
      <c r="W20" s="149">
        <f t="shared" si="27"/>
        <v>40.144144736842108</v>
      </c>
      <c r="X20" s="149">
        <f t="shared" si="28"/>
        <v>14.419076457229373</v>
      </c>
      <c r="Y20" s="149">
        <f t="shared" si="29"/>
        <v>224.94077144101004</v>
      </c>
      <c r="Z20" s="149">
        <f t="shared" si="30"/>
        <v>13.703989145183176</v>
      </c>
      <c r="AA20" s="149">
        <f t="shared" si="31"/>
        <v>269.8722649244171</v>
      </c>
      <c r="AB20" s="149">
        <f t="shared" si="32"/>
        <v>2711.1910300622935</v>
      </c>
      <c r="AC20" s="150">
        <f t="shared" si="33"/>
        <v>3207.5595461777389</v>
      </c>
      <c r="AD20" s="157">
        <f t="shared" si="34"/>
        <v>-3953.8293216629936</v>
      </c>
      <c r="AE20" s="19">
        <f t="shared" si="35"/>
        <v>7576.8749999998236</v>
      </c>
      <c r="AF20" s="19">
        <f t="shared" si="36"/>
        <v>-10573.989401968262</v>
      </c>
      <c r="AG20" s="19">
        <f t="shared" si="37"/>
        <v>5317.0685241618512</v>
      </c>
      <c r="AH20" s="19">
        <f t="shared" si="38"/>
        <v>2503.6852103120377</v>
      </c>
      <c r="AI20" s="19">
        <f t="shared" si="39"/>
        <v>-10188.004099410666</v>
      </c>
      <c r="AJ20" s="19">
        <f t="shared" si="40"/>
        <v>-11966.589018688182</v>
      </c>
      <c r="AK20" s="158">
        <f t="shared" si="41"/>
        <v>4018.9834555652624</v>
      </c>
      <c r="AL20" s="163">
        <f t="shared" si="42"/>
        <v>-17265.79965169113</v>
      </c>
      <c r="AM20" s="20"/>
      <c r="AN20">
        <v>-66606.876302858582</v>
      </c>
      <c r="AO20">
        <v>36</v>
      </c>
      <c r="AP20" s="44">
        <v>0.22134387351778656</v>
      </c>
    </row>
    <row r="21" spans="1:42" x14ac:dyDescent="0.25">
      <c r="A21" s="13">
        <f t="shared" si="12"/>
        <v>16</v>
      </c>
      <c r="B21" s="1">
        <v>45300</v>
      </c>
      <c r="C21" s="7">
        <f t="shared" si="13"/>
        <v>2024</v>
      </c>
      <c r="D21" s="7">
        <f t="shared" si="14"/>
        <v>1</v>
      </c>
      <c r="E21" s="61">
        <v>16.960999999999999</v>
      </c>
      <c r="F21" s="65">
        <v>54.84</v>
      </c>
      <c r="G21" s="2">
        <v>41.04</v>
      </c>
      <c r="H21" s="2">
        <v>13.21</v>
      </c>
      <c r="I21" s="2">
        <v>229.7</v>
      </c>
      <c r="J21" s="2">
        <v>14.74</v>
      </c>
      <c r="K21" s="2">
        <v>273.20999999999998</v>
      </c>
      <c r="L21" s="2">
        <v>151.37</v>
      </c>
      <c r="M21" s="144">
        <v>234.96</v>
      </c>
      <c r="N21" s="72">
        <f t="shared" si="18"/>
        <v>-1.8611309949892574E-2</v>
      </c>
      <c r="O21" s="73">
        <f t="shared" si="19"/>
        <v>-1.6299137104506256E-2</v>
      </c>
      <c r="P21" s="73">
        <f t="shared" si="20"/>
        <v>9.9388379204894406E-3</v>
      </c>
      <c r="Q21" s="73">
        <f t="shared" si="21"/>
        <v>-2.858834475175509E-2</v>
      </c>
      <c r="R21" s="73">
        <f t="shared" si="22"/>
        <v>-3.9113428943937434E-2</v>
      </c>
      <c r="S21" s="73">
        <f t="shared" si="23"/>
        <v>-5.2505635512398285E-2</v>
      </c>
      <c r="T21" s="73">
        <f t="shared" si="24"/>
        <v>2.3917810643767856E-2</v>
      </c>
      <c r="U21" s="73">
        <f t="shared" si="25"/>
        <v>-1.446493242308089E-2</v>
      </c>
      <c r="V21" s="148">
        <f t="shared" si="26"/>
        <v>55.998038654259133</v>
      </c>
      <c r="W21" s="149">
        <f t="shared" si="27"/>
        <v>39.7513518696069</v>
      </c>
      <c r="X21" s="149">
        <f t="shared" si="28"/>
        <v>14.442125382262999</v>
      </c>
      <c r="Y21" s="149">
        <f t="shared" si="29"/>
        <v>219.86931404888776</v>
      </c>
      <c r="Z21" s="149">
        <f t="shared" si="30"/>
        <v>13.221799217731421</v>
      </c>
      <c r="AA21" s="149">
        <f t="shared" si="31"/>
        <v>253.88111496445288</v>
      </c>
      <c r="AB21" s="149">
        <f t="shared" si="32"/>
        <v>2735.1941049754423</v>
      </c>
      <c r="AC21" s="150">
        <f t="shared" si="33"/>
        <v>3177.005810625154</v>
      </c>
      <c r="AD21" s="157">
        <f t="shared" si="34"/>
        <v>21239.22691481738</v>
      </c>
      <c r="AE21" s="19">
        <f t="shared" si="35"/>
        <v>18771.471716203254</v>
      </c>
      <c r="AF21" s="19">
        <f t="shared" si="36"/>
        <v>-12620.73394495424</v>
      </c>
      <c r="AG21" s="19">
        <f t="shared" si="37"/>
        <v>24588.60661422653</v>
      </c>
      <c r="AH21" s="19">
        <f t="shared" si="38"/>
        <v>24057.574967405464</v>
      </c>
      <c r="AI21" s="19">
        <f t="shared" si="39"/>
        <v>74565.090688399694</v>
      </c>
      <c r="AJ21" s="19">
        <f t="shared" si="40"/>
        <v>-19167.511492632821</v>
      </c>
      <c r="AK21" s="158">
        <f t="shared" si="41"/>
        <v>11657.417343711473</v>
      </c>
      <c r="AL21" s="163">
        <f t="shared" si="42"/>
        <v>143091.14280717674</v>
      </c>
      <c r="AM21" s="20"/>
      <c r="AN21">
        <v>-6403.6169176533003</v>
      </c>
      <c r="AO21">
        <v>68</v>
      </c>
      <c r="AP21" s="44">
        <v>0.49011857707509882</v>
      </c>
    </row>
    <row r="22" spans="1:42" x14ac:dyDescent="0.25">
      <c r="A22" s="13">
        <f t="shared" si="12"/>
        <v>17</v>
      </c>
      <c r="B22" s="1">
        <v>45299</v>
      </c>
      <c r="C22" s="7">
        <f t="shared" si="13"/>
        <v>2024</v>
      </c>
      <c r="D22" s="7">
        <f t="shared" si="14"/>
        <v>1</v>
      </c>
      <c r="E22" s="61">
        <v>16.817</v>
      </c>
      <c r="F22" s="65">
        <v>55.88</v>
      </c>
      <c r="G22" s="2">
        <v>41.72</v>
      </c>
      <c r="H22" s="2">
        <v>13.08</v>
      </c>
      <c r="I22" s="2">
        <v>236.46</v>
      </c>
      <c r="J22" s="2">
        <v>15.34</v>
      </c>
      <c r="K22" s="2">
        <v>288.35000000000002</v>
      </c>
      <c r="L22" s="2">
        <v>149.1</v>
      </c>
      <c r="M22" s="144">
        <v>240.45</v>
      </c>
      <c r="N22" s="72">
        <f t="shared" si="18"/>
        <v>-8.9397461112095122E-4</v>
      </c>
      <c r="O22" s="73">
        <f t="shared" si="19"/>
        <v>-2.2950819672131195E-2</v>
      </c>
      <c r="P22" s="73">
        <f t="shared" si="20"/>
        <v>6.1538461538461764E-3</v>
      </c>
      <c r="Q22" s="73">
        <f t="shared" si="21"/>
        <v>2.9250457038391131E-2</v>
      </c>
      <c r="R22" s="73">
        <f t="shared" si="22"/>
        <v>3.2996632996632913E-2</v>
      </c>
      <c r="S22" s="73">
        <f t="shared" si="23"/>
        <v>1.346126810066095E-2</v>
      </c>
      <c r="T22" s="73">
        <f t="shared" si="24"/>
        <v>2.359423541755401E-2</v>
      </c>
      <c r="U22" s="73">
        <f t="shared" si="25"/>
        <v>9.5222193556683266E-3</v>
      </c>
      <c r="V22" s="148">
        <f t="shared" si="26"/>
        <v>57.008989808689442</v>
      </c>
      <c r="W22" s="149">
        <f t="shared" si="27"/>
        <v>39.482557377049176</v>
      </c>
      <c r="X22" s="149">
        <f t="shared" si="28"/>
        <v>14.388000000000002</v>
      </c>
      <c r="Y22" s="149">
        <f t="shared" si="29"/>
        <v>232.96054844606945</v>
      </c>
      <c r="Z22" s="149">
        <f t="shared" si="30"/>
        <v>14.214033670033668</v>
      </c>
      <c r="AA22" s="149">
        <f t="shared" si="31"/>
        <v>271.55694678757209</v>
      </c>
      <c r="AB22" s="149">
        <f t="shared" si="32"/>
        <v>2734.3297376970768</v>
      </c>
      <c r="AC22" s="150">
        <f t="shared" si="33"/>
        <v>3254.3316441632751</v>
      </c>
      <c r="AD22" s="157">
        <f t="shared" si="34"/>
        <v>1020.2038262112012</v>
      </c>
      <c r="AE22" s="19">
        <f t="shared" si="35"/>
        <v>26432.114754098395</v>
      </c>
      <c r="AF22" s="19">
        <f t="shared" si="36"/>
        <v>-7814.400000000086</v>
      </c>
      <c r="AG22" s="19">
        <f t="shared" si="37"/>
        <v>-25158.084095063907</v>
      </c>
      <c r="AH22" s="19">
        <f t="shared" si="38"/>
        <v>-20295.30505050498</v>
      </c>
      <c r="AI22" s="19">
        <f t="shared" si="39"/>
        <v>-19116.817974132126</v>
      </c>
      <c r="AJ22" s="19">
        <f t="shared" si="40"/>
        <v>-18908.20130912316</v>
      </c>
      <c r="AK22" s="158">
        <f t="shared" si="41"/>
        <v>-7674.0410408187927</v>
      </c>
      <c r="AL22" s="163">
        <f t="shared" si="42"/>
        <v>-71514.530889333459</v>
      </c>
      <c r="AM22" s="20"/>
      <c r="AN22">
        <v>53799.642467551981</v>
      </c>
      <c r="AO22">
        <v>58</v>
      </c>
      <c r="AP22" s="44">
        <v>0.71936758893280628</v>
      </c>
    </row>
    <row r="23" spans="1:42" x14ac:dyDescent="0.25">
      <c r="A23" s="13">
        <f t="shared" si="12"/>
        <v>18</v>
      </c>
      <c r="B23" s="1">
        <v>45296</v>
      </c>
      <c r="C23" s="7">
        <f t="shared" si="13"/>
        <v>2024</v>
      </c>
      <c r="D23" s="7">
        <f t="shared" si="14"/>
        <v>1</v>
      </c>
      <c r="E23" s="61">
        <v>16.866</v>
      </c>
      <c r="F23" s="65">
        <v>55.93</v>
      </c>
      <c r="G23" s="2">
        <v>42.7</v>
      </c>
      <c r="H23" s="2">
        <v>13</v>
      </c>
      <c r="I23" s="2">
        <v>229.74</v>
      </c>
      <c r="J23" s="2">
        <v>14.85</v>
      </c>
      <c r="K23" s="2">
        <v>284.52</v>
      </c>
      <c r="L23" s="2">
        <v>145.24</v>
      </c>
      <c r="M23" s="144">
        <v>237.49</v>
      </c>
      <c r="N23" s="72">
        <f t="shared" si="18"/>
        <v>1.4695210449927387E-2</v>
      </c>
      <c r="O23" s="73">
        <f t="shared" si="19"/>
        <v>3.6659383345472252E-2</v>
      </c>
      <c r="P23" s="73">
        <f t="shared" si="20"/>
        <v>2.6045777426992878E-2</v>
      </c>
      <c r="Q23" s="73">
        <f t="shared" si="21"/>
        <v>-1.6946943032198902E-3</v>
      </c>
      <c r="R23" s="73">
        <f t="shared" si="22"/>
        <v>3.3783783783782884E-3</v>
      </c>
      <c r="S23" s="73">
        <f t="shared" si="23"/>
        <v>-2.8109627547445726E-4</v>
      </c>
      <c r="T23" s="73">
        <f t="shared" si="24"/>
        <v>-3.7532720219841664E-3</v>
      </c>
      <c r="U23" s="73">
        <f t="shared" si="25"/>
        <v>-1.0182855942475699E-2</v>
      </c>
      <c r="V23" s="148">
        <f t="shared" si="26"/>
        <v>57.898508708272857</v>
      </c>
      <c r="W23" s="149">
        <f t="shared" si="27"/>
        <v>41.89140568099053</v>
      </c>
      <c r="X23" s="149">
        <f t="shared" si="28"/>
        <v>14.672454617205998</v>
      </c>
      <c r="Y23" s="149">
        <f t="shared" si="29"/>
        <v>225.9564228914092</v>
      </c>
      <c r="Z23" s="149">
        <f t="shared" si="30"/>
        <v>13.806486486486484</v>
      </c>
      <c r="AA23" s="149">
        <f t="shared" si="31"/>
        <v>267.87468025298659</v>
      </c>
      <c r="AB23" s="149">
        <f t="shared" si="32"/>
        <v>2661.2762754398204</v>
      </c>
      <c r="AC23" s="150">
        <f t="shared" si="33"/>
        <v>3190.8096642961063</v>
      </c>
      <c r="AD23" s="157">
        <f t="shared" si="34"/>
        <v>-16770.174165457094</v>
      </c>
      <c r="AE23" s="19">
        <f t="shared" si="35"/>
        <v>-42220.061908230215</v>
      </c>
      <c r="AF23" s="19">
        <f t="shared" si="36"/>
        <v>-33073.970007892596</v>
      </c>
      <c r="AG23" s="19">
        <f t="shared" si="37"/>
        <v>1457.5930126450373</v>
      </c>
      <c r="AH23" s="19">
        <f t="shared" si="38"/>
        <v>-2077.9459459458653</v>
      </c>
      <c r="AI23" s="19">
        <f t="shared" si="39"/>
        <v>399.19465917099615</v>
      </c>
      <c r="AJ23" s="19">
        <f t="shared" si="40"/>
        <v>3007.8373680537425</v>
      </c>
      <c r="AK23" s="158">
        <f t="shared" si="41"/>
        <v>8206.453925973392</v>
      </c>
      <c r="AL23" s="163">
        <f t="shared" si="42"/>
        <v>-81071.073061682589</v>
      </c>
      <c r="AM23" s="20"/>
      <c r="AN23">
        <v>114002.90185275732</v>
      </c>
      <c r="AO23">
        <v>44</v>
      </c>
      <c r="AP23" s="44">
        <v>0.89328063241106714</v>
      </c>
    </row>
    <row r="24" spans="1:42" x14ac:dyDescent="0.25">
      <c r="A24" s="13">
        <f t="shared" si="12"/>
        <v>19</v>
      </c>
      <c r="B24" s="1">
        <v>45295</v>
      </c>
      <c r="C24" s="7">
        <f t="shared" si="13"/>
        <v>2024</v>
      </c>
      <c r="D24" s="7">
        <f t="shared" si="14"/>
        <v>1</v>
      </c>
      <c r="E24" s="61">
        <v>17.007999999999999</v>
      </c>
      <c r="F24" s="65">
        <v>55.12</v>
      </c>
      <c r="G24" s="2">
        <v>41.19</v>
      </c>
      <c r="H24" s="2">
        <v>12.67</v>
      </c>
      <c r="I24" s="2">
        <v>230.13</v>
      </c>
      <c r="J24" s="2">
        <v>14.8</v>
      </c>
      <c r="K24" s="2">
        <v>284.60000000000002</v>
      </c>
      <c r="L24" s="2">
        <v>144.57</v>
      </c>
      <c r="M24" s="144">
        <v>237.93</v>
      </c>
      <c r="N24" s="72">
        <f t="shared" si="18"/>
        <v>-5.9513074842201252E-3</v>
      </c>
      <c r="O24" s="73">
        <f t="shared" si="19"/>
        <v>-1.1044417767106851E-2</v>
      </c>
      <c r="P24" s="73">
        <f t="shared" si="20"/>
        <v>-7.8864353312302349E-4</v>
      </c>
      <c r="Q24" s="73">
        <f t="shared" si="21"/>
        <v>-2.0223092643051777E-2</v>
      </c>
      <c r="R24" s="73">
        <f t="shared" si="22"/>
        <v>-2.3746701846965701E-2</v>
      </c>
      <c r="S24" s="73">
        <f t="shared" si="23"/>
        <v>-7.7241766729851946E-4</v>
      </c>
      <c r="T24" s="73">
        <f t="shared" si="24"/>
        <v>-2.5981591662113557E-2</v>
      </c>
      <c r="U24" s="73">
        <f t="shared" si="25"/>
        <v>-1.8873262124736723E-3</v>
      </c>
      <c r="V24" s="148">
        <f t="shared" si="26"/>
        <v>56.7204183949504</v>
      </c>
      <c r="W24" s="149">
        <f t="shared" si="27"/>
        <v>39.963695078031208</v>
      </c>
      <c r="X24" s="149">
        <f t="shared" si="28"/>
        <v>14.288722397476342</v>
      </c>
      <c r="Y24" s="149">
        <f t="shared" si="29"/>
        <v>221.76270521117166</v>
      </c>
      <c r="Z24" s="149">
        <f t="shared" si="30"/>
        <v>13.433245382585751</v>
      </c>
      <c r="AA24" s="149">
        <f t="shared" si="31"/>
        <v>267.74303068604735</v>
      </c>
      <c r="AB24" s="149">
        <f t="shared" si="32"/>
        <v>2601.8977118371758</v>
      </c>
      <c r="AC24" s="150">
        <f t="shared" si="33"/>
        <v>3217.5514282591357</v>
      </c>
      <c r="AD24" s="157">
        <f t="shared" si="34"/>
        <v>6791.6321009920466</v>
      </c>
      <c r="AE24" s="19">
        <f t="shared" si="35"/>
        <v>12719.690276110483</v>
      </c>
      <c r="AF24" s="19">
        <f t="shared" si="36"/>
        <v>1001.4511041009342</v>
      </c>
      <c r="AG24" s="19">
        <f t="shared" si="37"/>
        <v>17393.720197547693</v>
      </c>
      <c r="AH24" s="19">
        <f t="shared" si="38"/>
        <v>14605.931398416922</v>
      </c>
      <c r="AI24" s="19">
        <f t="shared" si="39"/>
        <v>1096.9373639489959</v>
      </c>
      <c r="AJ24" s="19">
        <f t="shared" si="40"/>
        <v>20821.406448847119</v>
      </c>
      <c r="AK24" s="158">
        <f t="shared" si="41"/>
        <v>1521.0129352160493</v>
      </c>
      <c r="AL24" s="163">
        <f t="shared" si="42"/>
        <v>75951.781825180224</v>
      </c>
      <c r="AM24" s="20"/>
      <c r="AN24">
        <v>174206.16123796254</v>
      </c>
      <c r="AO24">
        <v>21</v>
      </c>
      <c r="AP24" s="44">
        <v>0.97628458498023718</v>
      </c>
    </row>
    <row r="25" spans="1:42" x14ac:dyDescent="0.25">
      <c r="A25" s="13">
        <f t="shared" si="12"/>
        <v>20</v>
      </c>
      <c r="B25" s="1">
        <v>45294</v>
      </c>
      <c r="C25" s="7">
        <f t="shared" si="13"/>
        <v>2024</v>
      </c>
      <c r="D25" s="7">
        <f t="shared" si="14"/>
        <v>1</v>
      </c>
      <c r="E25" s="61">
        <v>17.003</v>
      </c>
      <c r="F25" s="65">
        <v>55.45</v>
      </c>
      <c r="G25" s="2">
        <v>41.65</v>
      </c>
      <c r="H25" s="2">
        <v>12.68</v>
      </c>
      <c r="I25" s="2">
        <v>234.88</v>
      </c>
      <c r="J25" s="2">
        <v>15.16</v>
      </c>
      <c r="K25" s="2">
        <v>284.82</v>
      </c>
      <c r="L25" s="2">
        <v>148.47</v>
      </c>
      <c r="M25" s="144">
        <v>238.45</v>
      </c>
      <c r="N25" s="72">
        <f t="shared" si="18"/>
        <v>-2.1873346269183136E-2</v>
      </c>
      <c r="O25" s="73">
        <f t="shared" si="19"/>
        <v>-3.5656401944894611E-2</v>
      </c>
      <c r="P25" s="73">
        <f t="shared" si="20"/>
        <v>-2.4615384615384595E-2</v>
      </c>
      <c r="Q25" s="73">
        <f t="shared" si="21"/>
        <v>-5.3552000644719322E-2</v>
      </c>
      <c r="R25" s="73">
        <f t="shared" si="22"/>
        <v>-1.1089367253750759E-2</v>
      </c>
      <c r="S25" s="73">
        <f t="shared" si="23"/>
        <v>-2.4722640734146095E-2</v>
      </c>
      <c r="T25" s="73">
        <f t="shared" si="24"/>
        <v>-1.0378108271380082E-2</v>
      </c>
      <c r="U25" s="73">
        <f t="shared" si="25"/>
        <v>-4.0754223563735037E-2</v>
      </c>
      <c r="V25" s="148">
        <f t="shared" si="26"/>
        <v>55.811906861880409</v>
      </c>
      <c r="W25" s="149">
        <f t="shared" si="27"/>
        <v>38.969124797406806</v>
      </c>
      <c r="X25" s="149">
        <f t="shared" si="28"/>
        <v>13.948</v>
      </c>
      <c r="Y25" s="149">
        <f t="shared" si="29"/>
        <v>214.21904017407422</v>
      </c>
      <c r="Z25" s="149">
        <f t="shared" si="30"/>
        <v>13.60741030658839</v>
      </c>
      <c r="AA25" s="149">
        <f t="shared" si="31"/>
        <v>261.32556841528555</v>
      </c>
      <c r="AB25" s="149">
        <f t="shared" si="32"/>
        <v>2643.579334467202</v>
      </c>
      <c r="AC25" s="150">
        <f t="shared" si="33"/>
        <v>3092.2587189600918</v>
      </c>
      <c r="AD25" s="157">
        <f t="shared" si="34"/>
        <v>24961.862762391858</v>
      </c>
      <c r="AE25" s="19">
        <f t="shared" si="35"/>
        <v>41064.943273905927</v>
      </c>
      <c r="AF25" s="19">
        <f t="shared" si="36"/>
        <v>31257.600000000028</v>
      </c>
      <c r="AG25" s="19">
        <f t="shared" si="37"/>
        <v>46059.647338517963</v>
      </c>
      <c r="AH25" s="19">
        <f t="shared" si="38"/>
        <v>6820.7592954989568</v>
      </c>
      <c r="AI25" s="19">
        <f t="shared" si="39"/>
        <v>35109.487398986552</v>
      </c>
      <c r="AJ25" s="19">
        <f t="shared" si="40"/>
        <v>8316.9196598392773</v>
      </c>
      <c r="AK25" s="158">
        <f t="shared" si="41"/>
        <v>32844.19025997704</v>
      </c>
      <c r="AL25" s="163">
        <f t="shared" si="42"/>
        <v>226435.40998911762</v>
      </c>
      <c r="AM25" s="20"/>
      <c r="AN25">
        <v>234409.42062316788</v>
      </c>
      <c r="AO25">
        <v>4</v>
      </c>
      <c r="AP25" s="44">
        <v>0.9920948616600791</v>
      </c>
    </row>
    <row r="26" spans="1:42" x14ac:dyDescent="0.25">
      <c r="A26" s="13">
        <f t="shared" si="12"/>
        <v>21</v>
      </c>
      <c r="B26" s="1">
        <v>45293</v>
      </c>
      <c r="C26" s="7">
        <f t="shared" si="13"/>
        <v>2024</v>
      </c>
      <c r="D26" s="7">
        <f t="shared" si="14"/>
        <v>1</v>
      </c>
      <c r="E26" s="61">
        <v>17.013999999999999</v>
      </c>
      <c r="F26" s="65">
        <v>56.69</v>
      </c>
      <c r="G26" s="2">
        <v>43.19</v>
      </c>
      <c r="H26" s="2">
        <v>13</v>
      </c>
      <c r="I26" s="2">
        <v>248.17</v>
      </c>
      <c r="J26" s="2">
        <v>15.33</v>
      </c>
      <c r="K26" s="2">
        <v>292.04000000000002</v>
      </c>
      <c r="L26" s="2">
        <v>149.93</v>
      </c>
      <c r="M26" s="144">
        <v>248.42</v>
      </c>
      <c r="N26" s="72">
        <f t="shared" si="18"/>
        <v>-7.528011204481766E-3</v>
      </c>
      <c r="O26" s="73">
        <f t="shared" si="19"/>
        <v>-1.1670480549199169E-2</v>
      </c>
      <c r="P26" s="73">
        <f t="shared" si="20"/>
        <v>-1.6641452344931973E-2</v>
      </c>
      <c r="Q26" s="73">
        <f t="shared" si="21"/>
        <v>-2.8198517563660097E-4</v>
      </c>
      <c r="R26" s="73">
        <f t="shared" si="22"/>
        <v>-4.1874999999999996E-2</v>
      </c>
      <c r="S26" s="73">
        <f t="shared" si="23"/>
        <v>-1.4809567182808681E-2</v>
      </c>
      <c r="T26" s="73">
        <f t="shared" si="24"/>
        <v>-9.736735235804983E-3</v>
      </c>
      <c r="U26" s="73">
        <f t="shared" si="25"/>
        <v>3.296665170503088E-3</v>
      </c>
      <c r="V26" s="148">
        <f t="shared" si="26"/>
        <v>56.630451680672273</v>
      </c>
      <c r="W26" s="149">
        <f t="shared" si="27"/>
        <v>39.938395881006855</v>
      </c>
      <c r="X26" s="149">
        <f t="shared" si="28"/>
        <v>14.062027231467473</v>
      </c>
      <c r="Y26" s="149">
        <f t="shared" si="29"/>
        <v>226.27617547534641</v>
      </c>
      <c r="Z26" s="149">
        <f t="shared" si="30"/>
        <v>13.1838</v>
      </c>
      <c r="AA26" s="149">
        <f t="shared" si="31"/>
        <v>263.98177647336638</v>
      </c>
      <c r="AB26" s="149">
        <f t="shared" si="32"/>
        <v>2645.2926357964293</v>
      </c>
      <c r="AC26" s="150">
        <f t="shared" si="33"/>
        <v>3234.2627268093138</v>
      </c>
      <c r="AD26" s="157">
        <f t="shared" si="34"/>
        <v>8590.9663865545845</v>
      </c>
      <c r="AE26" s="19">
        <f t="shared" si="35"/>
        <v>13440.717391304539</v>
      </c>
      <c r="AF26" s="19">
        <f t="shared" si="36"/>
        <v>21131.981845688439</v>
      </c>
      <c r="AG26" s="19">
        <f t="shared" si="37"/>
        <v>242.53319368366988</v>
      </c>
      <c r="AH26" s="19">
        <f t="shared" si="38"/>
        <v>25756.140000000003</v>
      </c>
      <c r="AI26" s="19">
        <f t="shared" si="39"/>
        <v>21031.584691158121</v>
      </c>
      <c r="AJ26" s="19">
        <f t="shared" si="40"/>
        <v>7802.9292610710854</v>
      </c>
      <c r="AK26" s="158">
        <f t="shared" si="41"/>
        <v>-2656.8117023284685</v>
      </c>
      <c r="AL26" s="163">
        <f t="shared" si="42"/>
        <v>95340.041067131955</v>
      </c>
      <c r="AM26" s="20"/>
      <c r="AN26">
        <v>294612.68000837311</v>
      </c>
      <c r="AO26">
        <v>1</v>
      </c>
      <c r="AP26" s="44">
        <v>0.99604743083003955</v>
      </c>
    </row>
    <row r="27" spans="1:42" x14ac:dyDescent="0.25">
      <c r="A27" s="13">
        <f t="shared" si="12"/>
        <v>22</v>
      </c>
      <c r="B27" s="1">
        <v>45289</v>
      </c>
      <c r="C27" s="7">
        <f t="shared" si="13"/>
        <v>2023</v>
      </c>
      <c r="D27" s="7">
        <f t="shared" si="14"/>
        <v>12</v>
      </c>
      <c r="E27" s="61">
        <v>16.954000000000001</v>
      </c>
      <c r="F27" s="65">
        <v>57.12</v>
      </c>
      <c r="G27" s="2">
        <v>43.7</v>
      </c>
      <c r="H27" s="2">
        <v>13.22</v>
      </c>
      <c r="I27" s="2">
        <v>248.24</v>
      </c>
      <c r="J27" s="2">
        <v>16</v>
      </c>
      <c r="K27" s="2">
        <v>296.43</v>
      </c>
      <c r="L27" s="2">
        <v>151.94</v>
      </c>
      <c r="M27" s="144">
        <v>248.48</v>
      </c>
      <c r="N27" s="72">
        <f t="shared" si="18"/>
        <v>-1.3986013986014845E-3</v>
      </c>
      <c r="O27" s="73">
        <f t="shared" si="19"/>
        <v>5.9852670349909154E-3</v>
      </c>
      <c r="P27" s="73">
        <f t="shared" si="20"/>
        <v>-1.4903129657227954E-2</v>
      </c>
      <c r="Q27" s="73">
        <f t="shared" si="21"/>
        <v>-1.4333928925947981E-2</v>
      </c>
      <c r="R27" s="73">
        <f t="shared" si="22"/>
        <v>-9.2879256965943124E-3</v>
      </c>
      <c r="S27" s="73">
        <f t="shared" si="23"/>
        <v>-1.650276168664977E-3</v>
      </c>
      <c r="T27" s="73">
        <f t="shared" si="24"/>
        <v>-7.9255555758128704E-3</v>
      </c>
      <c r="U27" s="73">
        <f t="shared" si="25"/>
        <v>-1.7114526041674516E-2</v>
      </c>
      <c r="V27" s="148">
        <f t="shared" si="26"/>
        <v>56.980195804195802</v>
      </c>
      <c r="W27" s="149">
        <f t="shared" si="27"/>
        <v>40.651864640883979</v>
      </c>
      <c r="X27" s="149">
        <f t="shared" si="28"/>
        <v>14.086885245901641</v>
      </c>
      <c r="Y27" s="149">
        <f t="shared" si="29"/>
        <v>223.09565852690093</v>
      </c>
      <c r="Z27" s="149">
        <f t="shared" si="30"/>
        <v>13.632198142414863</v>
      </c>
      <c r="AA27" s="149">
        <f t="shared" si="31"/>
        <v>267.50780850060619</v>
      </c>
      <c r="AB27" s="149">
        <f t="shared" si="32"/>
        <v>2650.1308443689973</v>
      </c>
      <c r="AC27" s="150">
        <f t="shared" si="33"/>
        <v>3168.464486628674</v>
      </c>
      <c r="AD27" s="157">
        <f t="shared" si="34"/>
        <v>1596.0839160840123</v>
      </c>
      <c r="AE27" s="19">
        <f t="shared" si="35"/>
        <v>-6893.1422651934863</v>
      </c>
      <c r="AF27" s="19">
        <f t="shared" si="36"/>
        <v>18924.59016393435</v>
      </c>
      <c r="AG27" s="19">
        <f t="shared" si="37"/>
        <v>12328.497597776464</v>
      </c>
      <c r="AH27" s="19">
        <f t="shared" si="38"/>
        <v>5712.743034055622</v>
      </c>
      <c r="AI27" s="19">
        <f t="shared" si="39"/>
        <v>2343.6149467871419</v>
      </c>
      <c r="AJ27" s="19">
        <f t="shared" si="40"/>
        <v>6351.4666893006961</v>
      </c>
      <c r="AK27" s="158">
        <f t="shared" si="41"/>
        <v>13792.748342831488</v>
      </c>
      <c r="AL27" s="163">
        <f t="shared" si="42"/>
        <v>54156.60242557629</v>
      </c>
      <c r="AM27" s="20"/>
      <c r="AN27">
        <v>354815.93939357845</v>
      </c>
      <c r="AO27">
        <v>0</v>
      </c>
      <c r="AP27" s="44">
        <v>0.99604743083003955</v>
      </c>
    </row>
    <row r="28" spans="1:42" ht="15.75" thickBot="1" x14ac:dyDescent="0.3">
      <c r="A28" s="13">
        <f t="shared" si="12"/>
        <v>23</v>
      </c>
      <c r="B28" s="1">
        <v>45288</v>
      </c>
      <c r="C28" s="7">
        <f t="shared" si="13"/>
        <v>2023</v>
      </c>
      <c r="D28" s="7">
        <f t="shared" si="14"/>
        <v>12</v>
      </c>
      <c r="E28" s="61">
        <v>16.928999999999998</v>
      </c>
      <c r="F28" s="65">
        <v>57.2</v>
      </c>
      <c r="G28" s="2">
        <v>43.44</v>
      </c>
      <c r="H28" s="2">
        <v>13.42</v>
      </c>
      <c r="I28" s="2">
        <v>251.85</v>
      </c>
      <c r="J28" s="2">
        <v>16.149999999999999</v>
      </c>
      <c r="K28" s="2">
        <v>296.92</v>
      </c>
      <c r="L28" s="2">
        <v>153.38</v>
      </c>
      <c r="M28" s="144">
        <v>253.18</v>
      </c>
      <c r="N28" s="72">
        <f t="shared" si="18"/>
        <v>-2.4415765608650775E-3</v>
      </c>
      <c r="O28" s="73">
        <f t="shared" si="19"/>
        <v>1.1173184357541777E-2</v>
      </c>
      <c r="P28" s="73">
        <f t="shared" si="20"/>
        <v>-2.4709302325581439E-2</v>
      </c>
      <c r="Q28" s="73">
        <f t="shared" si="21"/>
        <v>-3.4031102845158978E-3</v>
      </c>
      <c r="R28" s="73">
        <f t="shared" si="22"/>
        <v>-3.0864197530864335E-3</v>
      </c>
      <c r="S28" s="73">
        <f t="shared" si="23"/>
        <v>-6.6575223311364784E-3</v>
      </c>
      <c r="T28" s="73">
        <f t="shared" si="24"/>
        <v>9.1122289080081131E-4</v>
      </c>
      <c r="U28" s="73">
        <f t="shared" si="25"/>
        <v>-3.0964594610941365E-2</v>
      </c>
      <c r="V28" s="148">
        <f t="shared" si="26"/>
        <v>56.920683641437044</v>
      </c>
      <c r="W28" s="149">
        <f t="shared" si="27"/>
        <v>40.861508379888257</v>
      </c>
      <c r="X28" s="149">
        <f t="shared" si="28"/>
        <v>13.946656976744187</v>
      </c>
      <c r="Y28" s="149">
        <f t="shared" si="29"/>
        <v>225.56974001820268</v>
      </c>
      <c r="Z28" s="149">
        <f t="shared" si="30"/>
        <v>13.717530864197531</v>
      </c>
      <c r="AA28" s="149">
        <f t="shared" si="31"/>
        <v>266.16611689137198</v>
      </c>
      <c r="AB28" s="149">
        <f t="shared" si="32"/>
        <v>2673.7365518951306</v>
      </c>
      <c r="AC28" s="150">
        <f t="shared" si="33"/>
        <v>3123.8169141883527</v>
      </c>
      <c r="AD28" s="157">
        <f t="shared" si="34"/>
        <v>2786.3271712591595</v>
      </c>
      <c r="AE28" s="19">
        <f t="shared" si="35"/>
        <v>-12867.98882681541</v>
      </c>
      <c r="AF28" s="19">
        <f t="shared" si="36"/>
        <v>31376.860465116275</v>
      </c>
      <c r="AG28" s="19">
        <f t="shared" si="37"/>
        <v>2926.98793082983</v>
      </c>
      <c r="AH28" s="19">
        <f t="shared" si="38"/>
        <v>1898.3703703703407</v>
      </c>
      <c r="AI28" s="19">
        <f t="shared" si="39"/>
        <v>9454.5804757284204</v>
      </c>
      <c r="AJ28" s="19">
        <f t="shared" si="40"/>
        <v>-730.24556853929425</v>
      </c>
      <c r="AK28" s="158">
        <f t="shared" si="41"/>
        <v>24954.641452911801</v>
      </c>
      <c r="AL28" s="163">
        <f t="shared" si="42"/>
        <v>59799.533470861119</v>
      </c>
      <c r="AM28" s="20"/>
      <c r="AN28" s="45" t="s">
        <v>52</v>
      </c>
      <c r="AO28" s="45">
        <v>1</v>
      </c>
      <c r="AP28" s="46">
        <v>1</v>
      </c>
    </row>
    <row r="29" spans="1:42" x14ac:dyDescent="0.25">
      <c r="A29" s="13">
        <f t="shared" si="12"/>
        <v>24</v>
      </c>
      <c r="B29" s="1">
        <v>45287</v>
      </c>
      <c r="C29" s="7">
        <f t="shared" si="13"/>
        <v>2023</v>
      </c>
      <c r="D29" s="7">
        <f t="shared" si="14"/>
        <v>12</v>
      </c>
      <c r="E29" s="61">
        <v>16.917999999999999</v>
      </c>
      <c r="F29" s="65">
        <v>57.34</v>
      </c>
      <c r="G29" s="2">
        <v>42.96</v>
      </c>
      <c r="H29" s="2">
        <v>13.76</v>
      </c>
      <c r="I29" s="2">
        <v>252.71</v>
      </c>
      <c r="J29" s="2">
        <v>16.2</v>
      </c>
      <c r="K29" s="2">
        <v>298.91000000000003</v>
      </c>
      <c r="L29" s="2">
        <v>153.34</v>
      </c>
      <c r="M29" s="144">
        <v>261.44</v>
      </c>
      <c r="N29" s="72">
        <f t="shared" si="18"/>
        <v>-6.755586350251086E-3</v>
      </c>
      <c r="O29" s="73">
        <f t="shared" si="19"/>
        <v>-2.0905923344947119E-3</v>
      </c>
      <c r="P29" s="73">
        <f t="shared" si="20"/>
        <v>-2.17548948513413E-3</v>
      </c>
      <c r="Q29" s="73">
        <f t="shared" si="21"/>
        <v>1.8170829975826086E-2</v>
      </c>
      <c r="R29" s="73">
        <f t="shared" si="22"/>
        <v>2.5316455696202445E-2</v>
      </c>
      <c r="S29" s="73">
        <f t="shared" si="23"/>
        <v>-6.2502077861631422E-3</v>
      </c>
      <c r="T29" s="73">
        <f t="shared" si="24"/>
        <v>-3.8126406477239083E-3</v>
      </c>
      <c r="U29" s="73">
        <f t="shared" si="25"/>
        <v>1.540125502910672E-2</v>
      </c>
      <c r="V29" s="148">
        <f t="shared" si="26"/>
        <v>56.674526242854675</v>
      </c>
      <c r="W29" s="149">
        <f t="shared" si="27"/>
        <v>40.325519163763069</v>
      </c>
      <c r="X29" s="149">
        <f t="shared" si="28"/>
        <v>14.268890500362582</v>
      </c>
      <c r="Y29" s="149">
        <f t="shared" si="29"/>
        <v>230.45278565672848</v>
      </c>
      <c r="Z29" s="149">
        <f t="shared" si="30"/>
        <v>14.108354430379745</v>
      </c>
      <c r="AA29" s="149">
        <f t="shared" si="31"/>
        <v>266.27525682369759</v>
      </c>
      <c r="AB29" s="149">
        <f t="shared" si="32"/>
        <v>2661.1176838873971</v>
      </c>
      <c r="AC29" s="150">
        <f t="shared" si="33"/>
        <v>3273.2835121483567</v>
      </c>
      <c r="AD29" s="157">
        <f t="shared" si="34"/>
        <v>7709.4751429065409</v>
      </c>
      <c r="AE29" s="19">
        <f t="shared" si="35"/>
        <v>2407.7038327524428</v>
      </c>
      <c r="AF29" s="19">
        <f t="shared" si="36"/>
        <v>2762.523567802752</v>
      </c>
      <c r="AG29" s="19">
        <f t="shared" si="37"/>
        <v>-15628.585495568212</v>
      </c>
      <c r="AH29" s="19">
        <f t="shared" si="38"/>
        <v>-15571.443037974592</v>
      </c>
      <c r="AI29" s="19">
        <f t="shared" si="39"/>
        <v>8876.1388344027182</v>
      </c>
      <c r="AJ29" s="19">
        <f t="shared" si="40"/>
        <v>3055.4148337807419</v>
      </c>
      <c r="AK29" s="158">
        <f t="shared" si="41"/>
        <v>-12412.008037089208</v>
      </c>
      <c r="AL29" s="163">
        <f t="shared" si="42"/>
        <v>-18800.780358986813</v>
      </c>
      <c r="AM29" s="20"/>
    </row>
    <row r="30" spans="1:42" x14ac:dyDescent="0.25">
      <c r="A30" s="13">
        <f t="shared" si="12"/>
        <v>25</v>
      </c>
      <c r="B30" s="1">
        <v>45286</v>
      </c>
      <c r="C30" s="7">
        <f t="shared" si="13"/>
        <v>2023</v>
      </c>
      <c r="D30" s="7">
        <f t="shared" si="14"/>
        <v>12</v>
      </c>
      <c r="E30" s="61">
        <v>16.975000000000001</v>
      </c>
      <c r="F30" s="65">
        <v>57.73</v>
      </c>
      <c r="G30" s="2">
        <v>43.05</v>
      </c>
      <c r="H30" s="2">
        <v>13.79</v>
      </c>
      <c r="I30" s="2">
        <v>248.2</v>
      </c>
      <c r="J30" s="2">
        <v>15.8</v>
      </c>
      <c r="K30" s="2">
        <v>300.79000000000002</v>
      </c>
      <c r="L30" s="2">
        <v>153.41</v>
      </c>
      <c r="M30" s="144">
        <v>256.61</v>
      </c>
      <c r="N30" s="72">
        <f t="shared" si="18"/>
        <v>7.5043630017452845E-3</v>
      </c>
      <c r="O30" s="73">
        <f t="shared" si="19"/>
        <v>8.4328882642303871E-3</v>
      </c>
      <c r="P30" s="73">
        <f t="shared" si="20"/>
        <v>-9.339080459770166E-3</v>
      </c>
      <c r="Q30" s="73">
        <f t="shared" si="21"/>
        <v>3.6798900076833174E-3</v>
      </c>
      <c r="R30" s="73">
        <f t="shared" si="22"/>
        <v>-1.6801493466085837E-2</v>
      </c>
      <c r="S30" s="73">
        <f t="shared" si="23"/>
        <v>-1.6595306847223545E-3</v>
      </c>
      <c r="T30" s="73">
        <f t="shared" si="24"/>
        <v>3.4733381433582622E-4</v>
      </c>
      <c r="U30" s="73">
        <f t="shared" si="25"/>
        <v>1.6535448686232579E-2</v>
      </c>
      <c r="V30" s="148">
        <f t="shared" si="26"/>
        <v>57.488198952879586</v>
      </c>
      <c r="W30" s="149">
        <f t="shared" si="27"/>
        <v>40.750773014757549</v>
      </c>
      <c r="X30" s="149">
        <f t="shared" si="28"/>
        <v>14.166451149425287</v>
      </c>
      <c r="Y30" s="149">
        <f t="shared" si="29"/>
        <v>227.17290630433905</v>
      </c>
      <c r="Z30" s="149">
        <f t="shared" si="30"/>
        <v>13.528811449906659</v>
      </c>
      <c r="AA30" s="149">
        <f t="shared" si="31"/>
        <v>267.50532875302861</v>
      </c>
      <c r="AB30" s="149">
        <f t="shared" si="32"/>
        <v>2672.230233651836</v>
      </c>
      <c r="AC30" s="150">
        <f t="shared" si="33"/>
        <v>3276.9397390626586</v>
      </c>
      <c r="AD30" s="157">
        <f t="shared" si="34"/>
        <v>-8563.9790575916668</v>
      </c>
      <c r="AE30" s="19">
        <f t="shared" si="35"/>
        <v>-9712.030920590234</v>
      </c>
      <c r="AF30" s="19">
        <f t="shared" si="36"/>
        <v>11859.137931034602</v>
      </c>
      <c r="AG30" s="19">
        <f t="shared" si="37"/>
        <v>-3165.0439564883809</v>
      </c>
      <c r="AH30" s="19">
        <f t="shared" si="38"/>
        <v>10334.128189172345</v>
      </c>
      <c r="AI30" s="19">
        <f t="shared" si="39"/>
        <v>2356.7576089483227</v>
      </c>
      <c r="AJ30" s="19">
        <f t="shared" si="40"/>
        <v>-278.35009555092256</v>
      </c>
      <c r="AK30" s="158">
        <f t="shared" si="41"/>
        <v>-13326.064765664683</v>
      </c>
      <c r="AL30" s="163">
        <f t="shared" si="42"/>
        <v>-10495.445066730619</v>
      </c>
      <c r="AM30" s="20"/>
    </row>
    <row r="31" spans="1:42" x14ac:dyDescent="0.25">
      <c r="A31" s="13">
        <f t="shared" si="12"/>
        <v>26</v>
      </c>
      <c r="B31" s="1">
        <v>45282</v>
      </c>
      <c r="C31" s="7">
        <f t="shared" si="13"/>
        <v>2023</v>
      </c>
      <c r="D31" s="7">
        <f t="shared" si="14"/>
        <v>12</v>
      </c>
      <c r="E31" s="61">
        <v>16.968</v>
      </c>
      <c r="F31" s="65">
        <v>57.3</v>
      </c>
      <c r="G31" s="2">
        <v>42.69</v>
      </c>
      <c r="H31" s="2">
        <v>13.92</v>
      </c>
      <c r="I31" s="2">
        <v>247.29</v>
      </c>
      <c r="J31" s="2">
        <v>16.07</v>
      </c>
      <c r="K31" s="2">
        <v>301.29000000000002</v>
      </c>
      <c r="L31" s="2">
        <v>153.41999999999999</v>
      </c>
      <c r="M31" s="144">
        <v>252.54</v>
      </c>
      <c r="N31" s="72">
        <f t="shared" si="18"/>
        <v>-2.9580650774316819E-3</v>
      </c>
      <c r="O31" s="73">
        <f t="shared" si="19"/>
        <v>2.0559407124073559E-2</v>
      </c>
      <c r="P31" s="73">
        <f t="shared" si="20"/>
        <v>1.2363636363636354E-2</v>
      </c>
      <c r="Q31" s="73">
        <f t="shared" si="21"/>
        <v>1.6859245857148819E-2</v>
      </c>
      <c r="R31" s="73">
        <f t="shared" si="22"/>
        <v>1.8377693282636276E-2</v>
      </c>
      <c r="S31" s="73">
        <f t="shared" si="23"/>
        <v>6.8506884106402932E-3</v>
      </c>
      <c r="T31" s="73">
        <f t="shared" si="24"/>
        <v>-5.8938134754857874E-3</v>
      </c>
      <c r="U31" s="73">
        <f t="shared" si="25"/>
        <v>-1.084930884543478E-2</v>
      </c>
      <c r="V31" s="148">
        <f t="shared" si="26"/>
        <v>56.89121280668175</v>
      </c>
      <c r="W31" s="149">
        <f t="shared" si="27"/>
        <v>41.24080564188381</v>
      </c>
      <c r="X31" s="149">
        <f t="shared" si="28"/>
        <v>14.476800000000001</v>
      </c>
      <c r="Y31" s="149">
        <f t="shared" si="29"/>
        <v>230.15592170730707</v>
      </c>
      <c r="Z31" s="149">
        <f t="shared" si="30"/>
        <v>14.012877059569075</v>
      </c>
      <c r="AA31" s="149">
        <f t="shared" si="31"/>
        <v>269.78564195963105</v>
      </c>
      <c r="AB31" s="149">
        <f t="shared" si="32"/>
        <v>2655.5582419177822</v>
      </c>
      <c r="AC31" s="150">
        <f t="shared" si="33"/>
        <v>3188.6612630723785</v>
      </c>
      <c r="AD31" s="157">
        <f t="shared" si="34"/>
        <v>3375.7438663650419</v>
      </c>
      <c r="AE31" s="19">
        <f t="shared" si="35"/>
        <v>-23677.960793688682</v>
      </c>
      <c r="AF31" s="19">
        <f t="shared" si="36"/>
        <v>-15699.840000000006</v>
      </c>
      <c r="AG31" s="19">
        <f t="shared" si="37"/>
        <v>-14500.502487766864</v>
      </c>
      <c r="AH31" s="19">
        <f t="shared" si="38"/>
        <v>-11303.604562737644</v>
      </c>
      <c r="AI31" s="19">
        <f t="shared" si="39"/>
        <v>-9728.9023860446268</v>
      </c>
      <c r="AJ31" s="19">
        <f t="shared" si="40"/>
        <v>4723.2474246652146</v>
      </c>
      <c r="AK31" s="158">
        <f t="shared" si="41"/>
        <v>8743.5542319053638</v>
      </c>
      <c r="AL31" s="163">
        <f t="shared" si="42"/>
        <v>-58068.264707302209</v>
      </c>
      <c r="AM31" s="20"/>
    </row>
    <row r="32" spans="1:42" x14ac:dyDescent="0.25">
      <c r="A32" s="13">
        <f t="shared" si="12"/>
        <v>27</v>
      </c>
      <c r="B32" s="1">
        <v>45281</v>
      </c>
      <c r="C32" s="7">
        <f t="shared" si="13"/>
        <v>2023</v>
      </c>
      <c r="D32" s="7">
        <f t="shared" si="14"/>
        <v>12</v>
      </c>
      <c r="E32" s="61">
        <v>17.021999999999998</v>
      </c>
      <c r="F32" s="65">
        <v>57.47</v>
      </c>
      <c r="G32" s="2">
        <v>41.83</v>
      </c>
      <c r="H32" s="2">
        <v>13.75</v>
      </c>
      <c r="I32" s="2">
        <v>243.19</v>
      </c>
      <c r="J32" s="2">
        <v>15.78</v>
      </c>
      <c r="K32" s="2">
        <v>299.24</v>
      </c>
      <c r="L32" s="2">
        <v>153.84</v>
      </c>
      <c r="M32" s="144">
        <v>254.5</v>
      </c>
      <c r="N32" s="72">
        <f t="shared" si="18"/>
        <v>9.4853328649218138E-3</v>
      </c>
      <c r="O32" s="73">
        <f t="shared" si="19"/>
        <v>-1.1344835736232683E-2</v>
      </c>
      <c r="P32" s="73">
        <f t="shared" si="20"/>
        <v>2.2304832713754719E-2</v>
      </c>
      <c r="Q32" s="73">
        <f t="shared" si="21"/>
        <v>4.3778135712220223E-3</v>
      </c>
      <c r="R32" s="73">
        <f t="shared" si="22"/>
        <v>2.3346303501945442E-2</v>
      </c>
      <c r="S32" s="73">
        <f t="shared" si="23"/>
        <v>-6.8370394955193925E-3</v>
      </c>
      <c r="T32" s="73">
        <f t="shared" si="24"/>
        <v>4.262511932236146E-3</v>
      </c>
      <c r="U32" s="73">
        <f t="shared" si="25"/>
        <v>2.2607658884961523E-2</v>
      </c>
      <c r="V32" s="148">
        <f t="shared" si="26"/>
        <v>57.601233093272441</v>
      </c>
      <c r="W32" s="149">
        <f t="shared" si="27"/>
        <v>39.951555187898833</v>
      </c>
      <c r="X32" s="149">
        <f t="shared" si="28"/>
        <v>14.618959107806694</v>
      </c>
      <c r="Y32" s="149">
        <f t="shared" si="29"/>
        <v>227.33087432371039</v>
      </c>
      <c r="Z32" s="149">
        <f t="shared" si="30"/>
        <v>14.081245136186769</v>
      </c>
      <c r="AA32" s="149">
        <f t="shared" si="31"/>
        <v>266.11801526717556</v>
      </c>
      <c r="AB32" s="149">
        <f t="shared" si="32"/>
        <v>2682.6888583546106</v>
      </c>
      <c r="AC32" s="150">
        <f t="shared" si="33"/>
        <v>3296.5143313012991</v>
      </c>
      <c r="AD32" s="157">
        <f t="shared" si="34"/>
        <v>-10824.661865448776</v>
      </c>
      <c r="AE32" s="19">
        <f t="shared" si="35"/>
        <v>13065.677144883153</v>
      </c>
      <c r="AF32" s="19">
        <f t="shared" si="36"/>
        <v>-28323.568773234329</v>
      </c>
      <c r="AG32" s="19">
        <f t="shared" si="37"/>
        <v>-3765.322430099468</v>
      </c>
      <c r="AH32" s="19">
        <f t="shared" si="38"/>
        <v>-14359.657587548603</v>
      </c>
      <c r="AI32" s="19">
        <f t="shared" si="39"/>
        <v>9709.519083969446</v>
      </c>
      <c r="AJ32" s="19">
        <f t="shared" si="40"/>
        <v>-3415.9375063833068</v>
      </c>
      <c r="AK32" s="158">
        <f t="shared" si="41"/>
        <v>-18219.71282532479</v>
      </c>
      <c r="AL32" s="163">
        <f t="shared" si="42"/>
        <v>-56133.664759186664</v>
      </c>
      <c r="AM32" s="20"/>
    </row>
    <row r="33" spans="1:49" x14ac:dyDescent="0.25">
      <c r="A33" s="13">
        <f t="shared" si="12"/>
        <v>28</v>
      </c>
      <c r="B33" s="1">
        <v>45280</v>
      </c>
      <c r="C33" s="7">
        <f t="shared" si="13"/>
        <v>2023</v>
      </c>
      <c r="D33" s="7">
        <f t="shared" si="14"/>
        <v>12</v>
      </c>
      <c r="E33" s="61">
        <v>17.141400000000001</v>
      </c>
      <c r="F33" s="65">
        <v>56.93</v>
      </c>
      <c r="G33" s="2">
        <v>42.31</v>
      </c>
      <c r="H33" s="2">
        <v>13.45</v>
      </c>
      <c r="I33" s="2">
        <v>242.13</v>
      </c>
      <c r="J33" s="2">
        <v>15.42</v>
      </c>
      <c r="K33" s="2">
        <v>301.3</v>
      </c>
      <c r="L33" s="2">
        <v>152.12</v>
      </c>
      <c r="M33" s="144">
        <v>247.14</v>
      </c>
      <c r="N33" s="72">
        <f t="shared" si="18"/>
        <v>-1.317386028774481E-2</v>
      </c>
      <c r="O33" s="73">
        <f t="shared" si="19"/>
        <v>3.4474327628361889E-2</v>
      </c>
      <c r="P33" s="73">
        <f t="shared" si="20"/>
        <v>-1.1029411764705954E-2</v>
      </c>
      <c r="Q33" s="73">
        <f t="shared" si="21"/>
        <v>-2.0905782450465038E-2</v>
      </c>
      <c r="R33" s="73">
        <f t="shared" si="22"/>
        <v>-3.2622333751568311E-2</v>
      </c>
      <c r="S33" s="73">
        <f t="shared" si="23"/>
        <v>-1.1709909141601305E-2</v>
      </c>
      <c r="T33" s="73">
        <f t="shared" si="24"/>
        <v>-6.4887986236149553E-3</v>
      </c>
      <c r="U33" s="73">
        <f t="shared" si="25"/>
        <v>-3.4943241391815483E-2</v>
      </c>
      <c r="V33" s="148">
        <f t="shared" si="26"/>
        <v>56.308299531981284</v>
      </c>
      <c r="W33" s="149">
        <f t="shared" si="27"/>
        <v>41.8031075794621</v>
      </c>
      <c r="X33" s="149">
        <f t="shared" si="28"/>
        <v>14.142279411764706</v>
      </c>
      <c r="Y33" s="149">
        <f t="shared" si="29"/>
        <v>221.60818520016176</v>
      </c>
      <c r="Z33" s="149">
        <f t="shared" si="30"/>
        <v>13.311116687578419</v>
      </c>
      <c r="AA33" s="149">
        <f t="shared" si="31"/>
        <v>264.81232984550792</v>
      </c>
      <c r="AB33" s="149">
        <f t="shared" si="32"/>
        <v>2653.96885666362</v>
      </c>
      <c r="AC33" s="150">
        <f t="shared" si="33"/>
        <v>3110.9912072631391</v>
      </c>
      <c r="AD33" s="157">
        <f t="shared" si="34"/>
        <v>15034.00936037437</v>
      </c>
      <c r="AE33" s="19">
        <f t="shared" si="35"/>
        <v>-39703.566014669959</v>
      </c>
      <c r="AF33" s="19">
        <f t="shared" si="36"/>
        <v>14005.588235294157</v>
      </c>
      <c r="AG33" s="19">
        <f t="shared" si="37"/>
        <v>17980.89623938534</v>
      </c>
      <c r="AH33" s="19">
        <f t="shared" si="38"/>
        <v>20065.08406524465</v>
      </c>
      <c r="AI33" s="19">
        <f t="shared" si="39"/>
        <v>16629.651818807975</v>
      </c>
      <c r="AJ33" s="19">
        <f t="shared" si="40"/>
        <v>5200.0630009138604</v>
      </c>
      <c r="AK33" s="158">
        <f t="shared" si="41"/>
        <v>28161.068184215197</v>
      </c>
      <c r="AL33" s="163">
        <f t="shared" si="42"/>
        <v>77372.794889565586</v>
      </c>
      <c r="AM33" s="20"/>
    </row>
    <row r="34" spans="1:49" x14ac:dyDescent="0.25">
      <c r="A34" s="13">
        <f t="shared" si="12"/>
        <v>29</v>
      </c>
      <c r="B34" s="1">
        <v>45279</v>
      </c>
      <c r="C34" s="7">
        <f t="shared" si="13"/>
        <v>2023</v>
      </c>
      <c r="D34" s="7">
        <f t="shared" si="14"/>
        <v>12</v>
      </c>
      <c r="E34" s="61">
        <v>17.065999999999999</v>
      </c>
      <c r="F34" s="65">
        <v>57.69</v>
      </c>
      <c r="G34" s="2">
        <v>40.9</v>
      </c>
      <c r="H34" s="2">
        <v>13.6</v>
      </c>
      <c r="I34" s="2">
        <v>247.3</v>
      </c>
      <c r="J34" s="2">
        <v>15.94</v>
      </c>
      <c r="K34" s="2">
        <v>304.87</v>
      </c>
      <c r="L34" s="2">
        <v>153.79</v>
      </c>
      <c r="M34" s="144">
        <v>257.22000000000003</v>
      </c>
      <c r="N34" s="72">
        <f t="shared" si="18"/>
        <v>-1.0389610389610615E-3</v>
      </c>
      <c r="O34" s="73">
        <f t="shared" si="19"/>
        <v>5.2225366606637458E-2</v>
      </c>
      <c r="P34" s="73">
        <f t="shared" si="20"/>
        <v>7.3583517292119538E-4</v>
      </c>
      <c r="Q34" s="73">
        <f t="shared" si="21"/>
        <v>-2.614790895487118E-2</v>
      </c>
      <c r="R34" s="73">
        <f t="shared" si="22"/>
        <v>2.515723270440251E-3</v>
      </c>
      <c r="S34" s="73">
        <f t="shared" si="23"/>
        <v>-1.1189673066943406E-2</v>
      </c>
      <c r="T34" s="73">
        <f t="shared" si="24"/>
        <v>-7.1348218952123066E-3</v>
      </c>
      <c r="U34" s="73">
        <f t="shared" si="25"/>
        <v>1.495458238572378E-2</v>
      </c>
      <c r="V34" s="148">
        <f t="shared" si="26"/>
        <v>57.000716883116887</v>
      </c>
      <c r="W34" s="149">
        <f t="shared" si="27"/>
        <v>42.520427064574214</v>
      </c>
      <c r="X34" s="149">
        <f t="shared" si="28"/>
        <v>14.310522442972774</v>
      </c>
      <c r="Y34" s="149">
        <f t="shared" si="29"/>
        <v>220.42168228715445</v>
      </c>
      <c r="Z34" s="149">
        <f t="shared" si="30"/>
        <v>13.794616352201258</v>
      </c>
      <c r="AA34" s="149">
        <f t="shared" si="31"/>
        <v>264.95172710171249</v>
      </c>
      <c r="AB34" s="149">
        <f t="shared" si="32"/>
        <v>2652.2431331477464</v>
      </c>
      <c r="AC34" s="150">
        <f t="shared" si="33"/>
        <v>3271.843602367202</v>
      </c>
      <c r="AD34" s="157">
        <f t="shared" si="34"/>
        <v>1185.6623376623077</v>
      </c>
      <c r="AE34" s="19">
        <f t="shared" si="35"/>
        <v>-60147.171340365203</v>
      </c>
      <c r="AF34" s="19">
        <f t="shared" si="36"/>
        <v>-934.39293598224685</v>
      </c>
      <c r="AG34" s="19">
        <f t="shared" si="37"/>
        <v>22489.607308813091</v>
      </c>
      <c r="AH34" s="19">
        <f t="shared" si="38"/>
        <v>-1547.3509433962388</v>
      </c>
      <c r="AI34" s="19">
        <f t="shared" si="39"/>
        <v>15890.84636092373</v>
      </c>
      <c r="AJ34" s="19">
        <f t="shared" si="40"/>
        <v>5717.7800556759394</v>
      </c>
      <c r="AK34" s="158">
        <f t="shared" si="41"/>
        <v>-12052.030591800531</v>
      </c>
      <c r="AL34" s="163">
        <f t="shared" si="42"/>
        <v>-29397.049748469151</v>
      </c>
      <c r="AM34" s="20"/>
    </row>
    <row r="35" spans="1:49" x14ac:dyDescent="0.25">
      <c r="A35" s="13">
        <f t="shared" si="12"/>
        <v>30</v>
      </c>
      <c r="B35" s="1">
        <v>45278</v>
      </c>
      <c r="C35" s="7">
        <f t="shared" si="13"/>
        <v>2023</v>
      </c>
      <c r="D35" s="7">
        <f t="shared" si="14"/>
        <v>12</v>
      </c>
      <c r="E35" s="61">
        <v>17.157399999999999</v>
      </c>
      <c r="F35" s="65">
        <v>57.75</v>
      </c>
      <c r="G35" s="2">
        <v>38.869999999999997</v>
      </c>
      <c r="H35" s="2">
        <v>13.59</v>
      </c>
      <c r="I35" s="2">
        <v>253.94</v>
      </c>
      <c r="J35" s="2">
        <v>15.9</v>
      </c>
      <c r="K35" s="2">
        <v>308.32</v>
      </c>
      <c r="L35" s="2">
        <v>154.07</v>
      </c>
      <c r="M35" s="144">
        <v>252.08</v>
      </c>
      <c r="N35" s="72">
        <f t="shared" si="18"/>
        <v>1.0675533776688839E-2</v>
      </c>
      <c r="O35" s="73">
        <f t="shared" si="19"/>
        <v>1.8872870249017071E-2</v>
      </c>
      <c r="P35" s="73">
        <f t="shared" si="20"/>
        <v>5.177514792899407E-3</v>
      </c>
      <c r="Q35" s="73">
        <f t="shared" si="21"/>
        <v>-3.8324623191698826E-2</v>
      </c>
      <c r="R35" s="73">
        <f t="shared" si="22"/>
        <v>-2.5094102885820924E-3</v>
      </c>
      <c r="S35" s="73">
        <f t="shared" si="23"/>
        <v>5.8723737439645429E-3</v>
      </c>
      <c r="T35" s="73">
        <f t="shared" si="24"/>
        <v>2.5748530370257594E-2</v>
      </c>
      <c r="U35" s="73">
        <f t="shared" si="25"/>
        <v>-7.1408585207467512E-3</v>
      </c>
      <c r="V35" s="148">
        <f t="shared" si="26"/>
        <v>57.669145957297864</v>
      </c>
      <c r="W35" s="149">
        <f t="shared" si="27"/>
        <v>41.172652686762774</v>
      </c>
      <c r="X35" s="149">
        <f t="shared" si="28"/>
        <v>14.374038461538463</v>
      </c>
      <c r="Y35" s="149">
        <f t="shared" si="29"/>
        <v>217.66560478679088</v>
      </c>
      <c r="Z35" s="149">
        <f t="shared" si="30"/>
        <v>13.72547051442911</v>
      </c>
      <c r="AA35" s="149">
        <f t="shared" si="31"/>
        <v>269.5235025446953</v>
      </c>
      <c r="AB35" s="149">
        <f t="shared" si="32"/>
        <v>2740.0845109745414</v>
      </c>
      <c r="AC35" s="150">
        <f t="shared" si="33"/>
        <v>3200.6159551148603</v>
      </c>
      <c r="AD35" s="157">
        <f t="shared" si="34"/>
        <v>-12182.919145957243</v>
      </c>
      <c r="AE35" s="19">
        <f t="shared" si="35"/>
        <v>-21735.601572739157</v>
      </c>
      <c r="AF35" s="19">
        <f t="shared" si="36"/>
        <v>-6574.6153846154602</v>
      </c>
      <c r="AG35" s="19">
        <f t="shared" si="37"/>
        <v>32962.701810194667</v>
      </c>
      <c r="AH35" s="19">
        <f t="shared" si="38"/>
        <v>1543.4680050187519</v>
      </c>
      <c r="AI35" s="19">
        <f t="shared" si="39"/>
        <v>-8339.5634868851739</v>
      </c>
      <c r="AJ35" s="19">
        <f t="shared" si="40"/>
        <v>-20634.63329236256</v>
      </c>
      <c r="AK35" s="158">
        <f t="shared" si="41"/>
        <v>5754.8812212849043</v>
      </c>
      <c r="AL35" s="163">
        <f t="shared" si="42"/>
        <v>-29206.281846061273</v>
      </c>
      <c r="AM35" s="20"/>
    </row>
    <row r="36" spans="1:49" x14ac:dyDescent="0.25">
      <c r="A36" s="13">
        <f t="shared" si="12"/>
        <v>31</v>
      </c>
      <c r="B36" s="1">
        <v>45275</v>
      </c>
      <c r="C36" s="7">
        <f t="shared" si="13"/>
        <v>2023</v>
      </c>
      <c r="D36" s="7">
        <f t="shared" si="14"/>
        <v>12</v>
      </c>
      <c r="E36" s="61">
        <v>17.184000000000001</v>
      </c>
      <c r="F36" s="65">
        <v>57.14</v>
      </c>
      <c r="G36" s="2">
        <v>38.15</v>
      </c>
      <c r="H36" s="2">
        <v>13.52</v>
      </c>
      <c r="I36" s="2">
        <v>264.06</v>
      </c>
      <c r="J36" s="2">
        <v>15.94</v>
      </c>
      <c r="K36" s="2">
        <v>306.52</v>
      </c>
      <c r="L36" s="2">
        <v>149.97</v>
      </c>
      <c r="M36" s="144">
        <v>253.5</v>
      </c>
      <c r="N36" s="72">
        <f t="shared" si="18"/>
        <v>2.4561403508771562E-3</v>
      </c>
      <c r="O36" s="73">
        <f t="shared" si="19"/>
        <v>-1.4466546112115841E-2</v>
      </c>
      <c r="P36" s="73">
        <f t="shared" si="20"/>
        <v>-1.477104874446078E-3</v>
      </c>
      <c r="Q36" s="73">
        <f t="shared" si="21"/>
        <v>7.4011902945216868E-3</v>
      </c>
      <c r="R36" s="73">
        <f t="shared" si="22"/>
        <v>-9.9378881987578493E-3</v>
      </c>
      <c r="S36" s="73">
        <f t="shared" si="23"/>
        <v>3.0492519751218694E-2</v>
      </c>
      <c r="T36" s="73">
        <f t="shared" si="24"/>
        <v>1.7179130527204656E-2</v>
      </c>
      <c r="U36" s="73">
        <f t="shared" si="25"/>
        <v>9.6415026630964906E-3</v>
      </c>
      <c r="V36" s="148">
        <f t="shared" si="26"/>
        <v>57.20014736842105</v>
      </c>
      <c r="W36" s="149">
        <f t="shared" si="27"/>
        <v>39.825406871609395</v>
      </c>
      <c r="X36" s="149">
        <f t="shared" si="28"/>
        <v>14.278877400295421</v>
      </c>
      <c r="Y36" s="149">
        <f t="shared" si="29"/>
        <v>228.01518541126205</v>
      </c>
      <c r="Z36" s="149">
        <f t="shared" si="30"/>
        <v>13.623254658385092</v>
      </c>
      <c r="AA36" s="149">
        <f t="shared" si="31"/>
        <v>276.12047066733902</v>
      </c>
      <c r="AB36" s="149">
        <f t="shared" si="32"/>
        <v>2717.1930526072347</v>
      </c>
      <c r="AC36" s="150">
        <f t="shared" si="33"/>
        <v>3254.7161700652723</v>
      </c>
      <c r="AD36" s="157">
        <f t="shared" si="34"/>
        <v>-2802.9473684209452</v>
      </c>
      <c r="AE36" s="19">
        <f t="shared" si="35"/>
        <v>16660.904159132133</v>
      </c>
      <c r="AF36" s="19">
        <f t="shared" si="36"/>
        <v>1875.6868537666519</v>
      </c>
      <c r="AG36" s="19">
        <f t="shared" si="37"/>
        <v>-6365.7045627957868</v>
      </c>
      <c r="AH36" s="19">
        <f t="shared" si="38"/>
        <v>6112.5167701863993</v>
      </c>
      <c r="AI36" s="19">
        <f t="shared" si="39"/>
        <v>-43303.494536896869</v>
      </c>
      <c r="AJ36" s="19">
        <f t="shared" si="40"/>
        <v>-13767.195782170529</v>
      </c>
      <c r="AK36" s="158">
        <f t="shared" si="41"/>
        <v>-7770.1725163180981</v>
      </c>
      <c r="AL36" s="163">
        <f t="shared" si="42"/>
        <v>-49360.406983517038</v>
      </c>
      <c r="AM36" s="20"/>
    </row>
    <row r="37" spans="1:49" x14ac:dyDescent="0.25">
      <c r="A37" s="13">
        <f t="shared" si="12"/>
        <v>32</v>
      </c>
      <c r="B37" s="1">
        <v>45274</v>
      </c>
      <c r="C37" s="7">
        <f t="shared" si="13"/>
        <v>2023</v>
      </c>
      <c r="D37" s="7">
        <f t="shared" si="14"/>
        <v>12</v>
      </c>
      <c r="E37" s="61">
        <v>17.186</v>
      </c>
      <c r="F37" s="65">
        <v>57</v>
      </c>
      <c r="G37" s="2">
        <v>38.71</v>
      </c>
      <c r="H37" s="2">
        <v>13.54</v>
      </c>
      <c r="I37" s="2">
        <v>262.12</v>
      </c>
      <c r="J37" s="2">
        <v>16.100000000000001</v>
      </c>
      <c r="K37" s="2">
        <v>297.45</v>
      </c>
      <c r="L37" s="2">
        <v>147.41999999999999</v>
      </c>
      <c r="M37" s="144">
        <v>251.05</v>
      </c>
      <c r="N37" s="72">
        <f t="shared" si="18"/>
        <v>3.3357505438723845E-2</v>
      </c>
      <c r="O37" s="73">
        <f t="shared" si="19"/>
        <v>3.7523452157598447E-2</v>
      </c>
      <c r="P37" s="73">
        <f t="shared" si="20"/>
        <v>5.0426687354538258E-2</v>
      </c>
      <c r="Q37" s="73">
        <f t="shared" si="21"/>
        <v>1.782316623306035E-2</v>
      </c>
      <c r="R37" s="73">
        <f t="shared" si="22"/>
        <v>9.0785907859078696E-2</v>
      </c>
      <c r="S37" s="73">
        <f t="shared" si="23"/>
        <v>0.17198581560283688</v>
      </c>
      <c r="T37" s="73">
        <f t="shared" si="24"/>
        <v>-1.2356374062111763E-2</v>
      </c>
      <c r="U37" s="73">
        <f t="shared" si="25"/>
        <v>4.6162613620171822E-2</v>
      </c>
      <c r="V37" s="148">
        <f t="shared" si="26"/>
        <v>58.963379260333582</v>
      </c>
      <c r="W37" s="149">
        <f t="shared" si="27"/>
        <v>41.926322701688548</v>
      </c>
      <c r="X37" s="149">
        <f t="shared" si="28"/>
        <v>15.021101629169898</v>
      </c>
      <c r="Y37" s="149">
        <f t="shared" si="29"/>
        <v>230.37409544519087</v>
      </c>
      <c r="Z37" s="149">
        <f t="shared" si="30"/>
        <v>15.009214092140923</v>
      </c>
      <c r="AA37" s="149">
        <f t="shared" si="31"/>
        <v>314.0335992907801</v>
      </c>
      <c r="AB37" s="149">
        <f t="shared" si="32"/>
        <v>2638.2947883125826</v>
      </c>
      <c r="AC37" s="150">
        <f t="shared" si="33"/>
        <v>3372.4469191155172</v>
      </c>
      <c r="AD37" s="157">
        <f t="shared" si="34"/>
        <v>-38067.585206671596</v>
      </c>
      <c r="AE37" s="19">
        <f t="shared" si="35"/>
        <v>-43215.196998123713</v>
      </c>
      <c r="AF37" s="19">
        <f t="shared" si="36"/>
        <v>-64033.8246702869</v>
      </c>
      <c r="AG37" s="19">
        <f t="shared" si="37"/>
        <v>-15329.562691725312</v>
      </c>
      <c r="AH37" s="19">
        <f t="shared" si="38"/>
        <v>-55839.869918699245</v>
      </c>
      <c r="AI37" s="19">
        <f t="shared" si="39"/>
        <v>-244243.07624113461</v>
      </c>
      <c r="AJ37" s="19">
        <f t="shared" si="40"/>
        <v>9902.2835062251033</v>
      </c>
      <c r="AK37" s="158">
        <f t="shared" si="41"/>
        <v>-37202.859778879312</v>
      </c>
      <c r="AL37" s="163">
        <f t="shared" si="42"/>
        <v>-488029.69199929561</v>
      </c>
      <c r="AM37" s="20"/>
    </row>
    <row r="38" spans="1:49" x14ac:dyDescent="0.25">
      <c r="A38" s="13">
        <f t="shared" si="12"/>
        <v>33</v>
      </c>
      <c r="B38" s="1">
        <v>45273</v>
      </c>
      <c r="C38" s="7">
        <f t="shared" si="13"/>
        <v>2023</v>
      </c>
      <c r="D38" s="7">
        <f t="shared" si="14"/>
        <v>12</v>
      </c>
      <c r="E38" s="61">
        <v>17.234999999999999</v>
      </c>
      <c r="F38" s="65">
        <v>55.16</v>
      </c>
      <c r="G38" s="2">
        <v>37.31</v>
      </c>
      <c r="H38" s="2">
        <v>12.89</v>
      </c>
      <c r="I38" s="2">
        <v>257.52999999999997</v>
      </c>
      <c r="J38" s="2">
        <v>14.76</v>
      </c>
      <c r="K38" s="2">
        <v>253.8</v>
      </c>
      <c r="L38" s="2">
        <v>148.84</v>
      </c>
      <c r="M38" s="144">
        <v>239.29</v>
      </c>
      <c r="N38" s="72">
        <f t="shared" si="18"/>
        <v>1.3039485766758396E-2</v>
      </c>
      <c r="O38" s="73">
        <f t="shared" si="19"/>
        <v>-2.406417112299386E-3</v>
      </c>
      <c r="P38" s="73">
        <f t="shared" si="20"/>
        <v>3.6173633440514497E-2</v>
      </c>
      <c r="Q38" s="73">
        <f t="shared" si="21"/>
        <v>-5.5220883534137233E-3</v>
      </c>
      <c r="R38" s="73">
        <f t="shared" si="22"/>
        <v>3.7245256500351376E-2</v>
      </c>
      <c r="S38" s="73">
        <f t="shared" si="23"/>
        <v>1.4307409479658029E-2</v>
      </c>
      <c r="T38" s="73">
        <f t="shared" si="24"/>
        <v>1.1971109313139383E-2</v>
      </c>
      <c r="U38" s="73">
        <f t="shared" si="25"/>
        <v>-9.947953817781241E-3</v>
      </c>
      <c r="V38" s="148">
        <f t="shared" si="26"/>
        <v>57.804033057851235</v>
      </c>
      <c r="W38" s="149">
        <f t="shared" si="27"/>
        <v>40.31275668449198</v>
      </c>
      <c r="X38" s="149">
        <f t="shared" si="28"/>
        <v>14.817282958199359</v>
      </c>
      <c r="Y38" s="149">
        <f t="shared" si="29"/>
        <v>225.09013052208834</v>
      </c>
      <c r="Z38" s="149">
        <f t="shared" si="30"/>
        <v>14.272494729444835</v>
      </c>
      <c r="AA38" s="149">
        <f t="shared" si="31"/>
        <v>271.78367037007433</v>
      </c>
      <c r="AB38" s="149">
        <f t="shared" si="32"/>
        <v>2703.2808530388511</v>
      </c>
      <c r="AC38" s="150">
        <f t="shared" si="33"/>
        <v>3191.5669031195989</v>
      </c>
      <c r="AD38" s="157">
        <f t="shared" si="34"/>
        <v>-14880.661157024662</v>
      </c>
      <c r="AE38" s="19">
        <f t="shared" si="35"/>
        <v>2771.4344919784785</v>
      </c>
      <c r="AF38" s="19">
        <f t="shared" si="36"/>
        <v>-45934.726688102979</v>
      </c>
      <c r="AG38" s="19">
        <f t="shared" si="37"/>
        <v>4749.5040160643039</v>
      </c>
      <c r="AH38" s="19">
        <f t="shared" si="38"/>
        <v>-22908.514406184142</v>
      </c>
      <c r="AI38" s="19">
        <f t="shared" si="39"/>
        <v>-20318.452961394025</v>
      </c>
      <c r="AJ38" s="19">
        <f t="shared" si="40"/>
        <v>-9593.5359116554537</v>
      </c>
      <c r="AK38" s="158">
        <f t="shared" si="41"/>
        <v>8017.1442201002492</v>
      </c>
      <c r="AL38" s="163">
        <f t="shared" si="42"/>
        <v>-98097.808396218228</v>
      </c>
      <c r="AM38" s="20"/>
    </row>
    <row r="39" spans="1:49" x14ac:dyDescent="0.25">
      <c r="A39" s="13">
        <f t="shared" si="12"/>
        <v>34</v>
      </c>
      <c r="B39" s="1">
        <v>45271</v>
      </c>
      <c r="C39" s="7">
        <f t="shared" si="13"/>
        <v>2023</v>
      </c>
      <c r="D39" s="7">
        <f t="shared" si="14"/>
        <v>12</v>
      </c>
      <c r="E39" s="61">
        <v>17.375499999999999</v>
      </c>
      <c r="F39" s="65">
        <v>54.45</v>
      </c>
      <c r="G39" s="2">
        <v>37.4</v>
      </c>
      <c r="H39" s="2">
        <v>12.44</v>
      </c>
      <c r="I39" s="2">
        <v>258.95999999999998</v>
      </c>
      <c r="J39" s="2">
        <v>14.23</v>
      </c>
      <c r="K39" s="2">
        <v>250.22</v>
      </c>
      <c r="L39" s="2">
        <v>145.88999999999999</v>
      </c>
      <c r="M39" s="144">
        <v>239.74</v>
      </c>
      <c r="N39" s="72">
        <f t="shared" si="18"/>
        <v>1.1031439602868787E-3</v>
      </c>
      <c r="O39" s="73">
        <f t="shared" si="19"/>
        <v>-1.6017084890550537E-3</v>
      </c>
      <c r="P39" s="73">
        <f t="shared" si="20"/>
        <v>8.921330089213253E-3</v>
      </c>
      <c r="Q39" s="73">
        <f t="shared" si="21"/>
        <v>9.7087378640774435E-3</v>
      </c>
      <c r="R39" s="73">
        <f t="shared" si="22"/>
        <v>-2.2664835164835195E-2</v>
      </c>
      <c r="S39" s="73">
        <f t="shared" si="23"/>
        <v>-2.2730823308858117E-2</v>
      </c>
      <c r="T39" s="73">
        <f t="shared" si="24"/>
        <v>-8.7526262225057216E-3</v>
      </c>
      <c r="U39" s="73">
        <f t="shared" si="25"/>
        <v>-1.5198993899722235E-2</v>
      </c>
      <c r="V39" s="148">
        <f t="shared" si="26"/>
        <v>57.122945394373971</v>
      </c>
      <c r="W39" s="149">
        <f t="shared" si="27"/>
        <v>40.34527495995728</v>
      </c>
      <c r="X39" s="149">
        <f t="shared" si="28"/>
        <v>14.42757502027575</v>
      </c>
      <c r="Y39" s="149">
        <f t="shared" si="29"/>
        <v>228.5374757281553</v>
      </c>
      <c r="Z39" s="149">
        <f t="shared" si="30"/>
        <v>13.448131868131867</v>
      </c>
      <c r="AA39" s="149">
        <f t="shared" si="31"/>
        <v>261.85927589439143</v>
      </c>
      <c r="AB39" s="149">
        <f t="shared" si="32"/>
        <v>2647.9214885655169</v>
      </c>
      <c r="AC39" s="150">
        <f t="shared" si="33"/>
        <v>3174.6394640045519</v>
      </c>
      <c r="AD39" s="157">
        <f t="shared" si="34"/>
        <v>-1258.9078874793813</v>
      </c>
      <c r="AE39" s="19">
        <f t="shared" si="35"/>
        <v>1844.66364121743</v>
      </c>
      <c r="AF39" s="19">
        <f t="shared" si="36"/>
        <v>-11328.661800486538</v>
      </c>
      <c r="AG39" s="19">
        <f t="shared" si="37"/>
        <v>-8350.4077669901271</v>
      </c>
      <c r="AH39" s="19">
        <f t="shared" si="38"/>
        <v>13940.50549450554</v>
      </c>
      <c r="AI39" s="19">
        <f t="shared" si="39"/>
        <v>32280.837759725357</v>
      </c>
      <c r="AJ39" s="19">
        <f t="shared" si="40"/>
        <v>7014.2734303447924</v>
      </c>
      <c r="AK39" s="158">
        <f t="shared" si="41"/>
        <v>12249.003998862008</v>
      </c>
      <c r="AL39" s="163">
        <f t="shared" si="42"/>
        <v>46391.306869699081</v>
      </c>
      <c r="AM39" s="20"/>
      <c r="AV39" s="193" t="s">
        <v>68</v>
      </c>
      <c r="AW39" s="194"/>
    </row>
    <row r="40" spans="1:49" x14ac:dyDescent="0.25">
      <c r="A40" s="13">
        <f t="shared" si="12"/>
        <v>35</v>
      </c>
      <c r="B40" s="1">
        <v>45268</v>
      </c>
      <c r="C40" s="7">
        <f t="shared" si="13"/>
        <v>2023</v>
      </c>
      <c r="D40" s="7">
        <f t="shared" si="14"/>
        <v>12</v>
      </c>
      <c r="E40" s="61">
        <v>17.347000000000001</v>
      </c>
      <c r="F40" s="65">
        <v>54.39</v>
      </c>
      <c r="G40" s="2">
        <v>37.46</v>
      </c>
      <c r="H40" s="2">
        <v>12.33</v>
      </c>
      <c r="I40" s="2">
        <v>256.47000000000003</v>
      </c>
      <c r="J40" s="2">
        <v>14.56</v>
      </c>
      <c r="K40" s="2">
        <v>256.04000000000002</v>
      </c>
      <c r="L40" s="2">
        <v>147.41999999999999</v>
      </c>
      <c r="M40" s="144">
        <v>243.84</v>
      </c>
      <c r="N40" s="72">
        <f t="shared" si="18"/>
        <v>-5.5126791620729865E-4</v>
      </c>
      <c r="O40" s="73">
        <f t="shared" si="19"/>
        <v>-6.8928950159066193E-3</v>
      </c>
      <c r="P40" s="73">
        <f t="shared" si="20"/>
        <v>8.1766148814390593E-3</v>
      </c>
      <c r="Q40" s="73">
        <f t="shared" si="21"/>
        <v>-1.0952142223593309E-2</v>
      </c>
      <c r="R40" s="73">
        <f t="shared" si="22"/>
        <v>-1.154107264086901E-2</v>
      </c>
      <c r="S40" s="73">
        <f t="shared" si="23"/>
        <v>-1.8665440190103855E-2</v>
      </c>
      <c r="T40" s="73">
        <f t="shared" si="24"/>
        <v>-2.4193127087539512E-3</v>
      </c>
      <c r="U40" s="73">
        <f t="shared" si="25"/>
        <v>-1.1578928696046598E-3</v>
      </c>
      <c r="V40" s="148">
        <f t="shared" si="26"/>
        <v>57.028544652701214</v>
      </c>
      <c r="W40" s="149">
        <f t="shared" si="27"/>
        <v>40.131458112407209</v>
      </c>
      <c r="X40" s="149">
        <f t="shared" si="28"/>
        <v>14.41692559280458</v>
      </c>
      <c r="Y40" s="149">
        <f t="shared" si="29"/>
        <v>223.86109212911188</v>
      </c>
      <c r="Z40" s="149">
        <f t="shared" si="30"/>
        <v>13.601194840461643</v>
      </c>
      <c r="AA40" s="149">
        <f t="shared" si="31"/>
        <v>262.94859530106169</v>
      </c>
      <c r="AB40" s="149">
        <f t="shared" si="32"/>
        <v>2664.8396841547547</v>
      </c>
      <c r="AC40" s="150">
        <f t="shared" si="33"/>
        <v>3219.9028554635033</v>
      </c>
      <c r="AD40" s="157">
        <f t="shared" si="34"/>
        <v>629.10694597576367</v>
      </c>
      <c r="AE40" s="19">
        <f t="shared" si="35"/>
        <v>7938.4437963944411</v>
      </c>
      <c r="AF40" s="19">
        <f t="shared" si="36"/>
        <v>-10382.992641046609</v>
      </c>
      <c r="AG40" s="19">
        <f t="shared" si="37"/>
        <v>9419.8499093748633</v>
      </c>
      <c r="AH40" s="19">
        <f t="shared" si="38"/>
        <v>7098.5906313645501</v>
      </c>
      <c r="AI40" s="19">
        <f t="shared" si="39"/>
        <v>26507.444904372998</v>
      </c>
      <c r="AJ40" s="19">
        <f t="shared" si="40"/>
        <v>1938.8147535734788</v>
      </c>
      <c r="AK40" s="158">
        <f t="shared" si="41"/>
        <v>933.15613412414677</v>
      </c>
      <c r="AL40" s="163">
        <f t="shared" si="42"/>
        <v>44082.414434133636</v>
      </c>
      <c r="AM40" s="20"/>
      <c r="AR40" s="193" t="s">
        <v>18</v>
      </c>
      <c r="AS40" s="194"/>
    </row>
    <row r="41" spans="1:49" x14ac:dyDescent="0.25">
      <c r="A41" s="13">
        <f t="shared" si="12"/>
        <v>36</v>
      </c>
      <c r="B41" s="1">
        <v>45267</v>
      </c>
      <c r="C41" s="7">
        <f t="shared" si="13"/>
        <v>2023</v>
      </c>
      <c r="D41" s="7">
        <f t="shared" si="14"/>
        <v>12</v>
      </c>
      <c r="E41" s="61">
        <v>17.452999999999999</v>
      </c>
      <c r="F41" s="65">
        <v>54.42</v>
      </c>
      <c r="G41" s="2">
        <v>37.72</v>
      </c>
      <c r="H41" s="2">
        <v>12.23</v>
      </c>
      <c r="I41" s="2">
        <v>259.31</v>
      </c>
      <c r="J41" s="2">
        <v>14.73</v>
      </c>
      <c r="K41" s="2">
        <v>260.91000000000003</v>
      </c>
      <c r="L41" s="2">
        <v>146.88</v>
      </c>
      <c r="M41" s="144">
        <v>242.64</v>
      </c>
      <c r="N41" s="72">
        <f t="shared" si="18"/>
        <v>6.8455134135061435E-3</v>
      </c>
      <c r="O41" s="73">
        <f t="shared" si="19"/>
        <v>4.2598509052182987E-3</v>
      </c>
      <c r="P41" s="73">
        <f t="shared" si="20"/>
        <v>7.4135090609555032E-3</v>
      </c>
      <c r="Q41" s="73">
        <f t="shared" si="21"/>
        <v>-5.5988035433522931E-3</v>
      </c>
      <c r="R41" s="73">
        <f t="shared" si="22"/>
        <v>-1.4056224899598346E-2</v>
      </c>
      <c r="S41" s="73">
        <f t="shared" si="23"/>
        <v>-1.1496895838114529E-4</v>
      </c>
      <c r="T41" s="73">
        <f t="shared" si="24"/>
        <v>2.7813540915668566E-2</v>
      </c>
      <c r="U41" s="73">
        <f t="shared" si="25"/>
        <v>2.5114322942201062E-2</v>
      </c>
      <c r="V41" s="148">
        <f t="shared" si="26"/>
        <v>57.450604995374661</v>
      </c>
      <c r="W41" s="149">
        <f t="shared" si="27"/>
        <v>40.582140575079869</v>
      </c>
      <c r="X41" s="149">
        <f t="shared" si="28"/>
        <v>14.406013179571664</v>
      </c>
      <c r="Y41" s="149">
        <f t="shared" si="29"/>
        <v>225.07276680599765</v>
      </c>
      <c r="Z41" s="149">
        <f t="shared" si="30"/>
        <v>13.566586345381527</v>
      </c>
      <c r="AA41" s="149">
        <f t="shared" si="31"/>
        <v>267.91919406760178</v>
      </c>
      <c r="AB41" s="149">
        <f t="shared" si="32"/>
        <v>2745.6007786005234</v>
      </c>
      <c r="AC41" s="150">
        <f t="shared" si="33"/>
        <v>3304.5949024926572</v>
      </c>
      <c r="AD41" s="157">
        <f t="shared" si="34"/>
        <v>-7812.0999074931769</v>
      </c>
      <c r="AE41" s="19">
        <f t="shared" si="35"/>
        <v>-4906.0063897763621</v>
      </c>
      <c r="AF41" s="19">
        <f t="shared" si="36"/>
        <v>-9413.9703459636949</v>
      </c>
      <c r="AG41" s="19">
        <f t="shared" si="37"/>
        <v>4815.4861372089617</v>
      </c>
      <c r="AH41" s="19">
        <f t="shared" si="38"/>
        <v>8645.5903614457347</v>
      </c>
      <c r="AI41" s="19">
        <f t="shared" si="39"/>
        <v>163.27144171050918</v>
      </c>
      <c r="AJ41" s="19">
        <f t="shared" si="40"/>
        <v>-22289.513580157152</v>
      </c>
      <c r="AK41" s="158">
        <f t="shared" si="41"/>
        <v>-20239.855623164316</v>
      </c>
      <c r="AL41" s="163">
        <f t="shared" si="42"/>
        <v>-51037.097906189498</v>
      </c>
      <c r="AM41" s="20"/>
      <c r="AT41" s="80" t="s">
        <v>67</v>
      </c>
    </row>
    <row r="42" spans="1:49" x14ac:dyDescent="0.25">
      <c r="A42" s="13">
        <f t="shared" si="12"/>
        <v>37</v>
      </c>
      <c r="B42" s="1">
        <v>45266</v>
      </c>
      <c r="C42" s="7">
        <f t="shared" si="13"/>
        <v>2023</v>
      </c>
      <c r="D42" s="7">
        <f t="shared" si="14"/>
        <v>12</v>
      </c>
      <c r="E42" s="61">
        <v>17.257999999999999</v>
      </c>
      <c r="F42" s="65">
        <v>54.05</v>
      </c>
      <c r="G42" s="2">
        <v>37.56</v>
      </c>
      <c r="H42" s="2">
        <v>12.14</v>
      </c>
      <c r="I42" s="2">
        <v>260.77</v>
      </c>
      <c r="J42" s="2">
        <v>14.94</v>
      </c>
      <c r="K42" s="2">
        <v>260.94</v>
      </c>
      <c r="L42" s="2">
        <v>144.52000000000001</v>
      </c>
      <c r="M42" s="144">
        <v>239.37</v>
      </c>
      <c r="N42" s="72">
        <f t="shared" si="18"/>
        <v>-9.2421441774503954E-4</v>
      </c>
      <c r="O42" s="73">
        <f t="shared" si="19"/>
        <v>1.18534482758621E-2</v>
      </c>
      <c r="P42" s="73">
        <f t="shared" si="20"/>
        <v>0</v>
      </c>
      <c r="Q42" s="73">
        <f t="shared" si="21"/>
        <v>-3.8346498964614284E-5</v>
      </c>
      <c r="R42" s="73">
        <f t="shared" si="22"/>
        <v>4.9894588896697067E-2</v>
      </c>
      <c r="S42" s="73">
        <f t="shared" si="23"/>
        <v>1.4968336211858002E-3</v>
      </c>
      <c r="T42" s="73">
        <f t="shared" si="24"/>
        <v>-2.2833754739447487E-2</v>
      </c>
      <c r="U42" s="73">
        <f t="shared" si="25"/>
        <v>-4.1725774407834759E-3</v>
      </c>
      <c r="V42" s="148">
        <f t="shared" si="26"/>
        <v>57.007264325323469</v>
      </c>
      <c r="W42" s="149">
        <f t="shared" si="27"/>
        <v>40.888997844827585</v>
      </c>
      <c r="X42" s="149">
        <f t="shared" si="28"/>
        <v>14.3</v>
      </c>
      <c r="Y42" s="149">
        <f t="shared" si="29"/>
        <v>226.33132065342434</v>
      </c>
      <c r="Z42" s="149">
        <f t="shared" si="30"/>
        <v>14.446549543218552</v>
      </c>
      <c r="AA42" s="149">
        <f t="shared" si="31"/>
        <v>268.35107656879671</v>
      </c>
      <c r="AB42" s="149">
        <f t="shared" si="32"/>
        <v>2610.3065361635022</v>
      </c>
      <c r="AC42" s="150">
        <f t="shared" si="33"/>
        <v>3210.1846113188426</v>
      </c>
      <c r="AD42" s="157">
        <f t="shared" si="34"/>
        <v>1054.7134935306701</v>
      </c>
      <c r="AE42" s="19">
        <f t="shared" si="35"/>
        <v>-13651.438577586283</v>
      </c>
      <c r="AF42" s="19">
        <f t="shared" si="36"/>
        <v>0</v>
      </c>
      <c r="AG42" s="19">
        <f t="shared" si="37"/>
        <v>32.98151698751326</v>
      </c>
      <c r="AH42" s="19">
        <f t="shared" si="38"/>
        <v>-30688.764581869284</v>
      </c>
      <c r="AI42" s="19">
        <f t="shared" si="39"/>
        <v>-2125.7058146226427</v>
      </c>
      <c r="AJ42" s="19">
        <f t="shared" si="40"/>
        <v>18298.759150949219</v>
      </c>
      <c r="AK42" s="158">
        <f t="shared" si="41"/>
        <v>3362.7171702893293</v>
      </c>
      <c r="AL42" s="163">
        <f t="shared" si="42"/>
        <v>-23716.737642321477</v>
      </c>
      <c r="AM42" s="20"/>
    </row>
    <row r="43" spans="1:49" x14ac:dyDescent="0.25">
      <c r="A43" s="13">
        <f t="shared" si="12"/>
        <v>38</v>
      </c>
      <c r="B43" s="1">
        <v>45265</v>
      </c>
      <c r="C43" s="7">
        <f t="shared" si="13"/>
        <v>2023</v>
      </c>
      <c r="D43" s="7">
        <f t="shared" si="14"/>
        <v>12</v>
      </c>
      <c r="E43" s="61">
        <v>17.377500000000001</v>
      </c>
      <c r="F43" s="65">
        <v>54.1</v>
      </c>
      <c r="G43" s="2">
        <v>37.119999999999997</v>
      </c>
      <c r="H43" s="2">
        <v>12.14</v>
      </c>
      <c r="I43" s="2">
        <v>260.77999999999997</v>
      </c>
      <c r="J43" s="2">
        <v>14.23</v>
      </c>
      <c r="K43" s="2">
        <v>260.55</v>
      </c>
      <c r="L43" s="2">
        <v>146.88</v>
      </c>
      <c r="M43" s="144">
        <v>238.72</v>
      </c>
      <c r="N43" s="72">
        <f t="shared" si="18"/>
        <v>1.1102886750555818E-3</v>
      </c>
      <c r="O43" s="73">
        <f t="shared" si="19"/>
        <v>1.8940433708481974E-2</v>
      </c>
      <c r="P43" s="73">
        <f t="shared" si="20"/>
        <v>-1.4610389610389629E-2</v>
      </c>
      <c r="Q43" s="73">
        <f t="shared" si="21"/>
        <v>4.2198948862526287E-4</v>
      </c>
      <c r="R43" s="73">
        <f t="shared" si="22"/>
        <v>2.4478041756659463E-2</v>
      </c>
      <c r="S43" s="73">
        <f t="shared" si="23"/>
        <v>-5.9516996680782919E-3</v>
      </c>
      <c r="T43" s="73">
        <f t="shared" si="24"/>
        <v>9.7439589923768999E-3</v>
      </c>
      <c r="U43" s="73">
        <f t="shared" si="25"/>
        <v>8.9914920525271391E-3</v>
      </c>
      <c r="V43" s="148">
        <f t="shared" si="26"/>
        <v>57.123353071798675</v>
      </c>
      <c r="W43" s="149">
        <f t="shared" si="27"/>
        <v>41.175382926159756</v>
      </c>
      <c r="X43" s="149">
        <f t="shared" si="28"/>
        <v>14.091071428571428</v>
      </c>
      <c r="Y43" s="149">
        <f t="shared" si="29"/>
        <v>226.43551310085545</v>
      </c>
      <c r="Z43" s="149">
        <f t="shared" si="30"/>
        <v>14.096817854571634</v>
      </c>
      <c r="AA43" s="149">
        <f t="shared" si="31"/>
        <v>266.35524207393843</v>
      </c>
      <c r="AB43" s="149">
        <f t="shared" si="32"/>
        <v>2697.3314610418374</v>
      </c>
      <c r="AC43" s="150">
        <f t="shared" si="33"/>
        <v>3252.6207727986643</v>
      </c>
      <c r="AD43" s="157">
        <f t="shared" si="34"/>
        <v>-1267.06143597346</v>
      </c>
      <c r="AE43" s="19">
        <f t="shared" si="35"/>
        <v>-21813.41339555314</v>
      </c>
      <c r="AF43" s="19">
        <f t="shared" si="36"/>
        <v>18552.857142857214</v>
      </c>
      <c r="AG43" s="19">
        <f t="shared" si="37"/>
        <v>-362.94978325067859</v>
      </c>
      <c r="AH43" s="19">
        <f t="shared" si="38"/>
        <v>-15055.758099352071</v>
      </c>
      <c r="AI43" s="19">
        <f t="shared" si="39"/>
        <v>8452.2170081262739</v>
      </c>
      <c r="AJ43" s="19">
        <f t="shared" si="40"/>
        <v>-7808.7183125513548</v>
      </c>
      <c r="AK43" s="158">
        <f t="shared" si="41"/>
        <v>-7246.3231996661079</v>
      </c>
      <c r="AL43" s="163">
        <f t="shared" si="42"/>
        <v>-26549.150075363326</v>
      </c>
      <c r="AM43" s="20"/>
    </row>
    <row r="44" spans="1:49" x14ac:dyDescent="0.25">
      <c r="A44" s="13">
        <f t="shared" si="12"/>
        <v>39</v>
      </c>
      <c r="B44" s="1">
        <v>45264</v>
      </c>
      <c r="C44" s="7">
        <f t="shared" si="13"/>
        <v>2023</v>
      </c>
      <c r="D44" s="7">
        <f t="shared" si="14"/>
        <v>12</v>
      </c>
      <c r="E44" s="61">
        <v>17.452200000000001</v>
      </c>
      <c r="F44" s="65">
        <v>54.04</v>
      </c>
      <c r="G44" s="2">
        <v>36.43</v>
      </c>
      <c r="H44" s="2">
        <v>12.32</v>
      </c>
      <c r="I44" s="2">
        <v>260.67</v>
      </c>
      <c r="J44" s="2">
        <v>13.89</v>
      </c>
      <c r="K44" s="2">
        <v>262.11</v>
      </c>
      <c r="L44" s="2">
        <v>144.84</v>
      </c>
      <c r="M44" s="144">
        <v>235.58</v>
      </c>
      <c r="N44" s="72">
        <f t="shared" si="18"/>
        <v>4.2742984575356857E-3</v>
      </c>
      <c r="O44" s="73">
        <f t="shared" si="19"/>
        <v>-1.4606437652150417E-2</v>
      </c>
      <c r="P44" s="73">
        <f t="shared" si="20"/>
        <v>-8.110300081103361E-4</v>
      </c>
      <c r="Q44" s="73">
        <f t="shared" si="21"/>
        <v>2.1914648212226773E-3</v>
      </c>
      <c r="R44" s="73">
        <f t="shared" si="22"/>
        <v>1.5350877192982448E-2</v>
      </c>
      <c r="S44" s="73">
        <f t="shared" si="23"/>
        <v>6.8720650555498253E-4</v>
      </c>
      <c r="T44" s="73">
        <f t="shared" si="24"/>
        <v>1.2959165739057088E-3</v>
      </c>
      <c r="U44" s="73">
        <f t="shared" si="25"/>
        <v>2.6039815387142173E-3</v>
      </c>
      <c r="V44" s="148">
        <f t="shared" si="26"/>
        <v>57.303891469986986</v>
      </c>
      <c r="W44" s="149">
        <f t="shared" si="27"/>
        <v>39.819753854476595</v>
      </c>
      <c r="X44" s="149">
        <f t="shared" si="28"/>
        <v>14.288402270884022</v>
      </c>
      <c r="Y44" s="149">
        <f t="shared" si="29"/>
        <v>226.83601614763555</v>
      </c>
      <c r="Z44" s="149">
        <f t="shared" si="30"/>
        <v>13.971228070175439</v>
      </c>
      <c r="AA44" s="149">
        <f t="shared" si="31"/>
        <v>268.13413698316344</v>
      </c>
      <c r="AB44" s="149">
        <f t="shared" si="32"/>
        <v>2674.7641850540736</v>
      </c>
      <c r="AC44" s="150">
        <f t="shared" si="33"/>
        <v>3232.0297672774641</v>
      </c>
      <c r="AD44" s="157">
        <f t="shared" si="34"/>
        <v>-4877.8293997396813</v>
      </c>
      <c r="AE44" s="19">
        <f t="shared" si="35"/>
        <v>16822.015147416951</v>
      </c>
      <c r="AF44" s="19">
        <f t="shared" si="36"/>
        <v>1029.8783454988766</v>
      </c>
      <c r="AG44" s="19">
        <f t="shared" si="37"/>
        <v>-1884.8613610150664</v>
      </c>
      <c r="AH44" s="19">
        <f t="shared" si="38"/>
        <v>-9441.8947368421232</v>
      </c>
      <c r="AI44" s="19">
        <f t="shared" si="39"/>
        <v>-975.9260107663124</v>
      </c>
      <c r="AJ44" s="19">
        <f t="shared" si="40"/>
        <v>-1038.5355162221913</v>
      </c>
      <c r="AK44" s="158">
        <f t="shared" si="41"/>
        <v>-2098.5718193660432</v>
      </c>
      <c r="AL44" s="163">
        <f t="shared" si="42"/>
        <v>-2465.7253510355895</v>
      </c>
      <c r="AM44" s="20"/>
    </row>
    <row r="45" spans="1:49" x14ac:dyDescent="0.25">
      <c r="A45" s="13">
        <f t="shared" si="12"/>
        <v>40</v>
      </c>
      <c r="B45" s="1">
        <v>45261</v>
      </c>
      <c r="C45" s="7">
        <f t="shared" si="13"/>
        <v>2023</v>
      </c>
      <c r="D45" s="7">
        <f t="shared" si="14"/>
        <v>12</v>
      </c>
      <c r="E45" s="61">
        <v>17.170000000000002</v>
      </c>
      <c r="F45" s="65">
        <v>53.81</v>
      </c>
      <c r="G45" s="2">
        <v>36.97</v>
      </c>
      <c r="H45" s="2">
        <v>12.33</v>
      </c>
      <c r="I45" s="2">
        <v>260.10000000000002</v>
      </c>
      <c r="J45" s="2">
        <v>13.68</v>
      </c>
      <c r="K45" s="2">
        <v>261.93</v>
      </c>
      <c r="L45" s="2">
        <v>147.03</v>
      </c>
      <c r="M45" s="144">
        <v>238.83</v>
      </c>
      <c r="N45" s="72">
        <f t="shared" si="18"/>
        <v>-3.1493145609483575E-3</v>
      </c>
      <c r="O45" s="73">
        <f t="shared" si="19"/>
        <v>-4.3091839482899408E-3</v>
      </c>
      <c r="P45" s="73">
        <f t="shared" si="20"/>
        <v>2.1541010770505409E-2</v>
      </c>
      <c r="Q45" s="73">
        <f t="shared" si="21"/>
        <v>2.1000981354269088E-2</v>
      </c>
      <c r="R45" s="73">
        <f t="shared" si="22"/>
        <v>-1.5827338129496438E-2</v>
      </c>
      <c r="S45" s="73">
        <f t="shared" si="23"/>
        <v>-9.9410341699425198E-3</v>
      </c>
      <c r="T45" s="73">
        <f t="shared" si="24"/>
        <v>-5.6346687741859469E-3</v>
      </c>
      <c r="U45" s="73">
        <f t="shared" si="25"/>
        <v>-1.7136058799347875E-2</v>
      </c>
      <c r="V45" s="148">
        <f t="shared" si="26"/>
        <v>56.880300111152287</v>
      </c>
      <c r="W45" s="149">
        <f t="shared" si="27"/>
        <v>40.235865876649598</v>
      </c>
      <c r="X45" s="149">
        <f t="shared" si="28"/>
        <v>14.608036454018228</v>
      </c>
      <c r="Y45" s="149">
        <f t="shared" si="29"/>
        <v>231.09336211972527</v>
      </c>
      <c r="Z45" s="149">
        <f t="shared" si="30"/>
        <v>13.542215827338129</v>
      </c>
      <c r="AA45" s="149">
        <f t="shared" si="31"/>
        <v>265.2862998941639</v>
      </c>
      <c r="AB45" s="149">
        <f t="shared" si="32"/>
        <v>2656.2504957803117</v>
      </c>
      <c r="AC45" s="150">
        <f t="shared" si="33"/>
        <v>3168.3950728670561</v>
      </c>
      <c r="AD45" s="157">
        <f t="shared" si="34"/>
        <v>3593.9977769542966</v>
      </c>
      <c r="AE45" s="19">
        <f t="shared" si="35"/>
        <v>4962.8225154863658</v>
      </c>
      <c r="AF45" s="19">
        <f t="shared" si="36"/>
        <v>-27353.637116818558</v>
      </c>
      <c r="AG45" s="19">
        <f t="shared" si="37"/>
        <v>-18062.776054956015</v>
      </c>
      <c r="AH45" s="19">
        <f t="shared" si="38"/>
        <v>9734.9525179856137</v>
      </c>
      <c r="AI45" s="19">
        <f t="shared" si="39"/>
        <v>14117.610560931251</v>
      </c>
      <c r="AJ45" s="19">
        <f t="shared" si="40"/>
        <v>4515.5712659063738</v>
      </c>
      <c r="AK45" s="158">
        <f t="shared" si="41"/>
        <v>13810.10178323595</v>
      </c>
      <c r="AL45" s="163">
        <f t="shared" si="42"/>
        <v>5318.6432487252769</v>
      </c>
      <c r="AM45" s="20"/>
    </row>
    <row r="46" spans="1:49" x14ac:dyDescent="0.25">
      <c r="A46" s="13">
        <f t="shared" si="12"/>
        <v>41</v>
      </c>
      <c r="B46" s="1">
        <v>45260</v>
      </c>
      <c r="C46" s="7">
        <f t="shared" si="13"/>
        <v>2023</v>
      </c>
      <c r="D46" s="7">
        <f t="shared" si="14"/>
        <v>11</v>
      </c>
      <c r="E46" s="61">
        <v>17.378399999999999</v>
      </c>
      <c r="F46" s="65">
        <v>53.98</v>
      </c>
      <c r="G46" s="2">
        <v>37.130000000000003</v>
      </c>
      <c r="H46" s="2">
        <v>12.07</v>
      </c>
      <c r="I46" s="2">
        <v>254.75</v>
      </c>
      <c r="J46" s="2">
        <v>13.9</v>
      </c>
      <c r="K46" s="2">
        <v>264.56</v>
      </c>
      <c r="L46" s="2">
        <v>146.09</v>
      </c>
      <c r="M46" s="144">
        <v>240.08</v>
      </c>
      <c r="N46" s="72">
        <f t="shared" si="18"/>
        <v>2.5261158594491961E-2</v>
      </c>
      <c r="O46" s="73">
        <f t="shared" si="19"/>
        <v>1.0615133369624496E-2</v>
      </c>
      <c r="P46" s="73">
        <f t="shared" si="20"/>
        <v>2.491694352159568E-3</v>
      </c>
      <c r="Q46" s="73">
        <f t="shared" si="21"/>
        <v>1.8592562974810045E-2</v>
      </c>
      <c r="R46" s="73">
        <f t="shared" si="22"/>
        <v>-4.2979942693409656E-3</v>
      </c>
      <c r="S46" s="73">
        <f t="shared" si="23"/>
        <v>4.2765362027511689E-2</v>
      </c>
      <c r="T46" s="73">
        <f t="shared" si="24"/>
        <v>4.3460836708779649E-3</v>
      </c>
      <c r="U46" s="73">
        <f t="shared" si="25"/>
        <v>-1.0801074381938114E-2</v>
      </c>
      <c r="V46" s="148">
        <f t="shared" si="26"/>
        <v>58.501401709401712</v>
      </c>
      <c r="W46" s="149">
        <f t="shared" si="27"/>
        <v>40.83895753946652</v>
      </c>
      <c r="X46" s="149">
        <f t="shared" si="28"/>
        <v>14.335631229235883</v>
      </c>
      <c r="Y46" s="149">
        <f t="shared" si="29"/>
        <v>230.54824070371851</v>
      </c>
      <c r="Z46" s="149">
        <f t="shared" si="30"/>
        <v>13.700859598853867</v>
      </c>
      <c r="AA46" s="149">
        <f t="shared" si="31"/>
        <v>279.40897875527173</v>
      </c>
      <c r="AB46" s="149">
        <f t="shared" si="32"/>
        <v>2682.9121037406167</v>
      </c>
      <c r="AC46" s="150">
        <f t="shared" si="33"/>
        <v>3188.816753400265</v>
      </c>
      <c r="AD46" s="157">
        <f t="shared" si="34"/>
        <v>-28828.034188034195</v>
      </c>
      <c r="AE46" s="19">
        <f t="shared" si="35"/>
        <v>-12225.289874795919</v>
      </c>
      <c r="AF46" s="19">
        <f t="shared" si="36"/>
        <v>-3164.0531561463431</v>
      </c>
      <c r="AG46" s="19">
        <f t="shared" si="37"/>
        <v>-15991.314674130308</v>
      </c>
      <c r="AH46" s="19">
        <f t="shared" si="38"/>
        <v>2643.5759312321229</v>
      </c>
      <c r="AI46" s="19">
        <f t="shared" si="39"/>
        <v>-60732.58740294024</v>
      </c>
      <c r="AJ46" s="19">
        <f t="shared" si="40"/>
        <v>-3482.9111221851235</v>
      </c>
      <c r="AK46" s="158">
        <f t="shared" si="41"/>
        <v>8704.6816499337183</v>
      </c>
      <c r="AL46" s="163">
        <f t="shared" si="42"/>
        <v>-113075.93283706628</v>
      </c>
      <c r="AM46" s="20"/>
    </row>
    <row r="47" spans="1:49" x14ac:dyDescent="0.25">
      <c r="A47" s="13">
        <f t="shared" si="12"/>
        <v>42</v>
      </c>
      <c r="B47" s="1">
        <v>45259</v>
      </c>
      <c r="C47" s="7">
        <f t="shared" si="13"/>
        <v>2023</v>
      </c>
      <c r="D47" s="7">
        <f t="shared" si="14"/>
        <v>11</v>
      </c>
      <c r="E47" s="61">
        <v>17.276</v>
      </c>
      <c r="F47" s="65">
        <v>52.65</v>
      </c>
      <c r="G47" s="2">
        <v>36.74</v>
      </c>
      <c r="H47" s="2">
        <v>12.04</v>
      </c>
      <c r="I47" s="2">
        <v>250.1</v>
      </c>
      <c r="J47" s="2">
        <v>13.96</v>
      </c>
      <c r="K47" s="2">
        <v>253.71</v>
      </c>
      <c r="L47" s="2">
        <v>146.32</v>
      </c>
      <c r="M47" s="144">
        <v>244.14</v>
      </c>
      <c r="N47" s="72">
        <f t="shared" si="18"/>
        <v>6.8846815834766595E-3</v>
      </c>
      <c r="O47" s="73">
        <f t="shared" si="19"/>
        <v>-9.970358393963874E-3</v>
      </c>
      <c r="P47" s="73">
        <f t="shared" si="20"/>
        <v>3.3476394849785374E-2</v>
      </c>
      <c r="Q47" s="73">
        <f t="shared" si="21"/>
        <v>4.7056853386921116E-2</v>
      </c>
      <c r="R47" s="73">
        <f t="shared" si="22"/>
        <v>1.3798111837327598E-2</v>
      </c>
      <c r="S47" s="73">
        <f t="shared" si="23"/>
        <v>-8.286752921862206E-3</v>
      </c>
      <c r="T47" s="73">
        <f t="shared" si="24"/>
        <v>3.3249562737027727E-3</v>
      </c>
      <c r="U47" s="73">
        <f t="shared" si="25"/>
        <v>-2.3494106019797956E-3</v>
      </c>
      <c r="V47" s="148">
        <f t="shared" si="26"/>
        <v>57.452839931153179</v>
      </c>
      <c r="W47" s="149">
        <f t="shared" si="27"/>
        <v>40.007097817299915</v>
      </c>
      <c r="X47" s="149">
        <f t="shared" si="28"/>
        <v>14.778712446351932</v>
      </c>
      <c r="Y47" s="149">
        <f t="shared" si="29"/>
        <v>236.99084819559573</v>
      </c>
      <c r="Z47" s="149">
        <f t="shared" si="30"/>
        <v>13.949862018881628</v>
      </c>
      <c r="AA47" s="149">
        <f t="shared" si="31"/>
        <v>265.729564554587</v>
      </c>
      <c r="AB47" s="149">
        <f t="shared" si="32"/>
        <v>2680.1843636738367</v>
      </c>
      <c r="AC47" s="150">
        <f t="shared" si="33"/>
        <v>3216.0618366263698</v>
      </c>
      <c r="AD47" s="157">
        <f t="shared" si="34"/>
        <v>-7856.7986230635252</v>
      </c>
      <c r="AE47" s="19">
        <f t="shared" si="35"/>
        <v>11482.712206952332</v>
      </c>
      <c r="AF47" s="19">
        <f t="shared" si="36"/>
        <v>-42509.665236051493</v>
      </c>
      <c r="AG47" s="19">
        <f t="shared" si="37"/>
        <v>-40473.223143263764</v>
      </c>
      <c r="AH47" s="19">
        <f t="shared" si="38"/>
        <v>-8486.8322440087923</v>
      </c>
      <c r="AI47" s="19">
        <f t="shared" si="39"/>
        <v>11768.307860688839</v>
      </c>
      <c r="AJ47" s="19">
        <f t="shared" si="40"/>
        <v>-2664.5891021511488</v>
      </c>
      <c r="AK47" s="158">
        <f t="shared" si="41"/>
        <v>1893.410843407537</v>
      </c>
      <c r="AL47" s="163">
        <f t="shared" si="42"/>
        <v>-76846.677437490012</v>
      </c>
      <c r="AM47" s="20"/>
    </row>
    <row r="48" spans="1:49" x14ac:dyDescent="0.25">
      <c r="A48" s="13">
        <f t="shared" si="12"/>
        <v>43</v>
      </c>
      <c r="B48" s="1">
        <v>45258</v>
      </c>
      <c r="C48" s="7">
        <f t="shared" si="13"/>
        <v>2023</v>
      </c>
      <c r="D48" s="7">
        <f t="shared" si="14"/>
        <v>11</v>
      </c>
      <c r="E48" s="61">
        <v>17.1356</v>
      </c>
      <c r="F48" s="65">
        <v>52.29</v>
      </c>
      <c r="G48" s="2">
        <v>37.11</v>
      </c>
      <c r="H48" s="2">
        <v>11.65</v>
      </c>
      <c r="I48" s="2">
        <v>238.86</v>
      </c>
      <c r="J48" s="2">
        <v>13.77</v>
      </c>
      <c r="K48" s="2">
        <v>255.83</v>
      </c>
      <c r="L48" s="2">
        <v>147.03</v>
      </c>
      <c r="M48" s="144">
        <v>246.72</v>
      </c>
      <c r="N48" s="72">
        <f t="shared" si="18"/>
        <v>-5.7339449541282672E-4</v>
      </c>
      <c r="O48" s="73">
        <f t="shared" si="19"/>
        <v>1.089621356578574E-2</v>
      </c>
      <c r="P48" s="73">
        <f t="shared" si="20"/>
        <v>1.0407632263660149E-2</v>
      </c>
      <c r="Q48" s="73">
        <f t="shared" si="21"/>
        <v>1.2891188194385617E-2</v>
      </c>
      <c r="R48" s="73">
        <f t="shared" si="22"/>
        <v>4.7945205479452024E-2</v>
      </c>
      <c r="S48" s="73">
        <f t="shared" si="23"/>
        <v>1.0466861521447157E-2</v>
      </c>
      <c r="T48" s="73">
        <f t="shared" si="24"/>
        <v>-6.414103676542604E-3</v>
      </c>
      <c r="U48" s="73">
        <f t="shared" si="25"/>
        <v>4.3309876516411272E-2</v>
      </c>
      <c r="V48" s="148">
        <f t="shared" si="26"/>
        <v>57.027282110091747</v>
      </c>
      <c r="W48" s="149">
        <f t="shared" si="27"/>
        <v>40.850315990193401</v>
      </c>
      <c r="X48" s="149">
        <f t="shared" si="28"/>
        <v>14.448829141370341</v>
      </c>
      <c r="Y48" s="149">
        <f t="shared" si="29"/>
        <v>229.25779153591725</v>
      </c>
      <c r="Z48" s="149">
        <f t="shared" si="30"/>
        <v>14.41972602739726</v>
      </c>
      <c r="AA48" s="149">
        <f t="shared" si="31"/>
        <v>270.75459554467176</v>
      </c>
      <c r="AB48" s="149">
        <f t="shared" si="32"/>
        <v>2654.1683894550024</v>
      </c>
      <c r="AC48" s="150">
        <f t="shared" si="33"/>
        <v>3363.2507345727222</v>
      </c>
      <c r="AD48" s="157">
        <f t="shared" si="34"/>
        <v>654.35779816510831</v>
      </c>
      <c r="AE48" s="19">
        <f t="shared" si="35"/>
        <v>-12549.005720512032</v>
      </c>
      <c r="AF48" s="19">
        <f t="shared" si="36"/>
        <v>-13216.02775368623</v>
      </c>
      <c r="AG48" s="19">
        <f t="shared" si="37"/>
        <v>-11087.607836485535</v>
      </c>
      <c r="AH48" s="19">
        <f t="shared" si="38"/>
        <v>-29489.753424657545</v>
      </c>
      <c r="AI48" s="19">
        <f t="shared" si="39"/>
        <v>-14864.356386760381</v>
      </c>
      <c r="AJ48" s="19">
        <f t="shared" si="40"/>
        <v>5140.2031634991545</v>
      </c>
      <c r="AK48" s="158">
        <f t="shared" si="41"/>
        <v>-34903.813643180569</v>
      </c>
      <c r="AL48" s="163">
        <f t="shared" si="42"/>
        <v>-110316.00380361802</v>
      </c>
      <c r="AM48" s="20"/>
    </row>
    <row r="49" spans="1:39" x14ac:dyDescent="0.25">
      <c r="A49" s="13">
        <f t="shared" si="12"/>
        <v>44</v>
      </c>
      <c r="B49" s="1">
        <v>45257</v>
      </c>
      <c r="C49" s="7">
        <f t="shared" si="13"/>
        <v>2023</v>
      </c>
      <c r="D49" s="7">
        <f t="shared" si="14"/>
        <v>11</v>
      </c>
      <c r="E49" s="61">
        <v>17.1645</v>
      </c>
      <c r="F49" s="65">
        <v>52.32</v>
      </c>
      <c r="G49" s="2">
        <v>36.71</v>
      </c>
      <c r="H49" s="2">
        <v>11.53</v>
      </c>
      <c r="I49" s="2">
        <v>235.82</v>
      </c>
      <c r="J49" s="2">
        <v>13.14</v>
      </c>
      <c r="K49" s="2">
        <v>253.18</v>
      </c>
      <c r="L49" s="2">
        <v>147.72999999999999</v>
      </c>
      <c r="M49" s="144">
        <v>236.08</v>
      </c>
      <c r="N49" s="72">
        <f t="shared" si="18"/>
        <v>-1.1151011151011136E-2</v>
      </c>
      <c r="O49" s="73">
        <f t="shared" si="19"/>
        <v>-1.0884353741495989E-3</v>
      </c>
      <c r="P49" s="73">
        <f t="shared" si="20"/>
        <v>-3.1092436974790028E-2</v>
      </c>
      <c r="Q49" s="73">
        <f t="shared" si="21"/>
        <v>5.0329592018528269E-2</v>
      </c>
      <c r="R49" s="73">
        <f t="shared" si="22"/>
        <v>5.1200000000000134E-2</v>
      </c>
      <c r="S49" s="73">
        <f t="shared" si="23"/>
        <v>1.0134056814554926E-2</v>
      </c>
      <c r="T49" s="73">
        <f t="shared" si="24"/>
        <v>1.0544004313632449E-2</v>
      </c>
      <c r="U49" s="73">
        <f t="shared" si="25"/>
        <v>6.4577498109257281E-3</v>
      </c>
      <c r="V49" s="148">
        <f t="shared" si="26"/>
        <v>56.423723303723307</v>
      </c>
      <c r="W49" s="149">
        <f t="shared" si="27"/>
        <v>40.366016326530612</v>
      </c>
      <c r="X49" s="149">
        <f t="shared" si="28"/>
        <v>13.855378151260503</v>
      </c>
      <c r="Y49" s="149">
        <f t="shared" si="29"/>
        <v>237.7315998574737</v>
      </c>
      <c r="Z49" s="149">
        <f t="shared" si="30"/>
        <v>14.464512000000001</v>
      </c>
      <c r="AA49" s="149">
        <f t="shared" si="31"/>
        <v>270.66542052346</v>
      </c>
      <c r="AB49" s="149">
        <f t="shared" si="32"/>
        <v>2699.4686240286164</v>
      </c>
      <c r="AC49" s="150">
        <f t="shared" si="33"/>
        <v>3244.4529114114634</v>
      </c>
      <c r="AD49" s="157">
        <f t="shared" si="34"/>
        <v>12725.533925533909</v>
      </c>
      <c r="AE49" s="19">
        <f t="shared" si="35"/>
        <v>1253.534693877448</v>
      </c>
      <c r="AF49" s="19">
        <f t="shared" si="36"/>
        <v>39482.420168067416</v>
      </c>
      <c r="AG49" s="19">
        <f t="shared" si="37"/>
        <v>-43288.079458400032</v>
      </c>
      <c r="AH49" s="19">
        <f t="shared" si="38"/>
        <v>-31491.68640000005</v>
      </c>
      <c r="AI49" s="19">
        <f t="shared" si="39"/>
        <v>-14391.72877433806</v>
      </c>
      <c r="AJ49" s="19">
        <f t="shared" si="40"/>
        <v>-8449.8672085850558</v>
      </c>
      <c r="AK49" s="158">
        <f t="shared" si="41"/>
        <v>-5204.3578528658827</v>
      </c>
      <c r="AL49" s="163">
        <f t="shared" si="42"/>
        <v>-49364.230906710305</v>
      </c>
      <c r="AM49" s="20"/>
    </row>
    <row r="50" spans="1:39" x14ac:dyDescent="0.25">
      <c r="A50" s="13">
        <f t="shared" si="12"/>
        <v>45</v>
      </c>
      <c r="B50" s="1">
        <v>45254</v>
      </c>
      <c r="C50" s="7">
        <f t="shared" si="13"/>
        <v>2023</v>
      </c>
      <c r="D50" s="7">
        <f t="shared" si="14"/>
        <v>11</v>
      </c>
      <c r="E50" s="61">
        <v>17.100000000000001</v>
      </c>
      <c r="F50" s="65">
        <v>52.91</v>
      </c>
      <c r="G50" s="2">
        <v>36.75</v>
      </c>
      <c r="H50" s="2">
        <v>11.9</v>
      </c>
      <c r="I50" s="2">
        <v>224.52</v>
      </c>
      <c r="J50" s="2">
        <v>12.5</v>
      </c>
      <c r="K50" s="2">
        <v>250.64</v>
      </c>
      <c r="L50" s="2">
        <v>146.74</v>
      </c>
      <c r="M50" s="144">
        <v>235.45</v>
      </c>
      <c r="N50" s="72">
        <f t="shared" si="18"/>
        <v>2.2731577950367843E-3</v>
      </c>
      <c r="O50" s="73">
        <f t="shared" si="19"/>
        <v>-1.9011406844106071E-3</v>
      </c>
      <c r="P50" s="73">
        <f t="shared" si="20"/>
        <v>5.0675675675675436E-3</v>
      </c>
      <c r="Q50" s="73">
        <f t="shared" si="21"/>
        <v>9.486983498943502E-3</v>
      </c>
      <c r="R50" s="73">
        <f t="shared" si="22"/>
        <v>2.5430680885972112E-2</v>
      </c>
      <c r="S50" s="73">
        <f t="shared" si="23"/>
        <v>-8.034194799540928E-3</v>
      </c>
      <c r="T50" s="73">
        <f t="shared" si="24"/>
        <v>-4.3950931859511044E-3</v>
      </c>
      <c r="U50" s="73">
        <f t="shared" si="25"/>
        <v>6.7140904777751587E-4</v>
      </c>
      <c r="V50" s="148">
        <f t="shared" si="26"/>
        <v>57.189706383784802</v>
      </c>
      <c r="W50" s="149">
        <f t="shared" si="27"/>
        <v>40.333174904942965</v>
      </c>
      <c r="X50" s="149">
        <f t="shared" si="28"/>
        <v>14.372466216216216</v>
      </c>
      <c r="Y50" s="149">
        <f t="shared" si="29"/>
        <v>228.48728384515087</v>
      </c>
      <c r="Z50" s="149">
        <f t="shared" si="30"/>
        <v>14.109926168990976</v>
      </c>
      <c r="AA50" s="149">
        <f t="shared" si="31"/>
        <v>265.79723750346301</v>
      </c>
      <c r="AB50" s="149">
        <f t="shared" si="32"/>
        <v>2659.5617770241447</v>
      </c>
      <c r="AC50" s="150">
        <f t="shared" si="33"/>
        <v>3225.7998580280087</v>
      </c>
      <c r="AD50" s="157">
        <f t="shared" si="34"/>
        <v>-2594.1276756960006</v>
      </c>
      <c r="AE50" s="19">
        <f t="shared" si="35"/>
        <v>2189.5152091254104</v>
      </c>
      <c r="AF50" s="19">
        <f t="shared" si="36"/>
        <v>-6434.9999999998981</v>
      </c>
      <c r="AG50" s="19">
        <f t="shared" si="37"/>
        <v>-8159.6786115732921</v>
      </c>
      <c r="AH50" s="19">
        <f t="shared" si="38"/>
        <v>-15641.699753896621</v>
      </c>
      <c r="AI50" s="19">
        <f t="shared" si="39"/>
        <v>11409.641231645992</v>
      </c>
      <c r="AJ50" s="19">
        <f t="shared" si="40"/>
        <v>3522.1868927564628</v>
      </c>
      <c r="AK50" s="158">
        <f t="shared" si="41"/>
        <v>-541.09450700218531</v>
      </c>
      <c r="AL50" s="163">
        <f t="shared" si="42"/>
        <v>-16250.257214640133</v>
      </c>
      <c r="AM50" s="20"/>
    </row>
    <row r="51" spans="1:39" x14ac:dyDescent="0.25">
      <c r="A51" s="13">
        <f t="shared" si="12"/>
        <v>46</v>
      </c>
      <c r="B51" s="1">
        <v>45253</v>
      </c>
      <c r="C51" s="7">
        <f t="shared" si="13"/>
        <v>2023</v>
      </c>
      <c r="D51" s="7">
        <f t="shared" si="14"/>
        <v>11</v>
      </c>
      <c r="E51" s="61">
        <v>17.178999999999998</v>
      </c>
      <c r="F51" s="65">
        <v>52.79</v>
      </c>
      <c r="G51" s="2">
        <v>36.82</v>
      </c>
      <c r="H51" s="2">
        <v>11.84</v>
      </c>
      <c r="I51" s="2">
        <v>222.41</v>
      </c>
      <c r="J51" s="2">
        <v>12.19</v>
      </c>
      <c r="K51" s="2">
        <v>252.67</v>
      </c>
      <c r="L51" s="2">
        <v>146.71</v>
      </c>
      <c r="M51" s="144">
        <v>234.21</v>
      </c>
      <c r="N51" s="72">
        <f t="shared" si="18"/>
        <v>3.230710756366495E-3</v>
      </c>
      <c r="O51" s="73">
        <f t="shared" si="19"/>
        <v>3.2697547683921968E-3</v>
      </c>
      <c r="P51" s="73">
        <f t="shared" si="20"/>
        <v>1.5437392795883298E-2</v>
      </c>
      <c r="Q51" s="73">
        <f t="shared" si="21"/>
        <v>9.4403848772295351E-3</v>
      </c>
      <c r="R51" s="73">
        <f t="shared" si="22"/>
        <v>4.1880341880341954E-2</v>
      </c>
      <c r="S51" s="73">
        <f t="shared" si="23"/>
        <v>2.4157918203558726E-2</v>
      </c>
      <c r="T51" s="73">
        <f t="shared" si="24"/>
        <v>5.8213994644340517E-5</v>
      </c>
      <c r="U51" s="73">
        <f t="shared" si="25"/>
        <v>5.8213994644118472E-5</v>
      </c>
      <c r="V51" s="148">
        <f t="shared" si="26"/>
        <v>57.244344355758273</v>
      </c>
      <c r="W51" s="149">
        <f t="shared" si="27"/>
        <v>40.542130790190726</v>
      </c>
      <c r="X51" s="149">
        <f t="shared" si="28"/>
        <v>14.520754716981132</v>
      </c>
      <c r="Y51" s="149">
        <f t="shared" si="29"/>
        <v>228.47673671311213</v>
      </c>
      <c r="Z51" s="149">
        <f t="shared" si="30"/>
        <v>14.336273504273505</v>
      </c>
      <c r="AA51" s="149">
        <f t="shared" si="31"/>
        <v>274.42311418264353</v>
      </c>
      <c r="AB51" s="149">
        <f t="shared" si="32"/>
        <v>2671.4579071836065</v>
      </c>
      <c r="AC51" s="150">
        <f t="shared" si="33"/>
        <v>3223.8231406985674</v>
      </c>
      <c r="AD51" s="157">
        <f t="shared" si="34"/>
        <v>-3686.8871151654048</v>
      </c>
      <c r="AE51" s="19">
        <f t="shared" si="35"/>
        <v>-3765.7275204357747</v>
      </c>
      <c r="AF51" s="19">
        <f t="shared" si="36"/>
        <v>-19603.018867924493</v>
      </c>
      <c r="AG51" s="19">
        <f t="shared" si="37"/>
        <v>-8119.5995098260883</v>
      </c>
      <c r="AH51" s="19">
        <f t="shared" si="38"/>
        <v>-25759.425641025682</v>
      </c>
      <c r="AI51" s="19">
        <f t="shared" si="39"/>
        <v>-34307.505168010772</v>
      </c>
      <c r="AJ51" s="19">
        <f t="shared" si="40"/>
        <v>-46.652155082074387</v>
      </c>
      <c r="AK51" s="158">
        <f t="shared" si="41"/>
        <v>-46.915174641867452</v>
      </c>
      <c r="AL51" s="163">
        <f t="shared" si="42"/>
        <v>-95335.731152112159</v>
      </c>
      <c r="AM51" s="20"/>
    </row>
    <row r="52" spans="1:39" x14ac:dyDescent="0.25">
      <c r="A52" s="13">
        <f t="shared" si="12"/>
        <v>47</v>
      </c>
      <c r="B52" s="1">
        <v>45252</v>
      </c>
      <c r="C52" s="7">
        <f t="shared" si="13"/>
        <v>2023</v>
      </c>
      <c r="D52" s="7">
        <f t="shared" si="14"/>
        <v>11</v>
      </c>
      <c r="E52" s="61">
        <v>17.178000000000001</v>
      </c>
      <c r="F52" s="65">
        <v>52.62</v>
      </c>
      <c r="G52" s="2">
        <v>36.700000000000003</v>
      </c>
      <c r="H52" s="2">
        <v>11.66</v>
      </c>
      <c r="I52" s="2">
        <v>220.33</v>
      </c>
      <c r="J52" s="2">
        <v>11.7</v>
      </c>
      <c r="K52" s="2">
        <v>246.71</v>
      </c>
      <c r="L52" s="2">
        <v>146.71</v>
      </c>
      <c r="M52" s="144">
        <v>234.21</v>
      </c>
      <c r="N52" s="72">
        <f t="shared" si="18"/>
        <v>3.8153376573826225E-3</v>
      </c>
      <c r="O52" s="73">
        <f t="shared" si="19"/>
        <v>1.6375545851528006E-3</v>
      </c>
      <c r="P52" s="73">
        <f t="shared" si="20"/>
        <v>-1.1026293469041493E-2</v>
      </c>
      <c r="Q52" s="73">
        <f t="shared" si="21"/>
        <v>-5.0997114183572223E-2</v>
      </c>
      <c r="R52" s="73">
        <f t="shared" si="22"/>
        <v>1.0362694300518172E-2</v>
      </c>
      <c r="S52" s="73">
        <f t="shared" si="23"/>
        <v>1.260055820062389E-2</v>
      </c>
      <c r="T52" s="73">
        <f t="shared" si="24"/>
        <v>1.9349428411291392E-2</v>
      </c>
      <c r="U52" s="73">
        <f t="shared" si="25"/>
        <v>-2.9149650733585331E-2</v>
      </c>
      <c r="V52" s="148">
        <f t="shared" si="26"/>
        <v>57.277703166730255</v>
      </c>
      <c r="W52" s="149">
        <f t="shared" si="27"/>
        <v>40.476173580786025</v>
      </c>
      <c r="X52" s="149">
        <f t="shared" si="28"/>
        <v>14.142324003392707</v>
      </c>
      <c r="Y52" s="149">
        <f t="shared" si="29"/>
        <v>214.79731317569028</v>
      </c>
      <c r="Z52" s="149">
        <f t="shared" si="30"/>
        <v>13.90259067357513</v>
      </c>
      <c r="AA52" s="149">
        <f t="shared" si="31"/>
        <v>271.32631956985716</v>
      </c>
      <c r="AB52" s="149">
        <f t="shared" si="32"/>
        <v>2722.9905745537103</v>
      </c>
      <c r="AC52" s="150">
        <f t="shared" si="33"/>
        <v>3129.6676316656062</v>
      </c>
      <c r="AD52" s="157">
        <f t="shared" si="34"/>
        <v>-4354.0633346050581</v>
      </c>
      <c r="AE52" s="19">
        <f t="shared" si="35"/>
        <v>-1885.9470524018036</v>
      </c>
      <c r="AF52" s="19">
        <f t="shared" si="36"/>
        <v>14001.62849872769</v>
      </c>
      <c r="AG52" s="19">
        <f t="shared" si="37"/>
        <v>43862.209932376958</v>
      </c>
      <c r="AH52" s="19">
        <f t="shared" si="38"/>
        <v>-6373.8031088083162</v>
      </c>
      <c r="AI52" s="19">
        <f t="shared" si="39"/>
        <v>-17894.493720243019</v>
      </c>
      <c r="AJ52" s="19">
        <f t="shared" si="40"/>
        <v>-15506.452366113217</v>
      </c>
      <c r="AK52" s="158">
        <f t="shared" si="41"/>
        <v>23491.962083598424</v>
      </c>
      <c r="AL52" s="163">
        <f t="shared" si="42"/>
        <v>35341.040932531658</v>
      </c>
      <c r="AM52" s="20"/>
    </row>
    <row r="53" spans="1:39" x14ac:dyDescent="0.25">
      <c r="A53" s="13">
        <f t="shared" si="12"/>
        <v>48</v>
      </c>
      <c r="B53" s="1">
        <v>45251</v>
      </c>
      <c r="C53" s="7">
        <f t="shared" si="13"/>
        <v>2023</v>
      </c>
      <c r="D53" s="7">
        <f t="shared" si="14"/>
        <v>11</v>
      </c>
      <c r="E53" s="61">
        <v>17.181000000000001</v>
      </c>
      <c r="F53" s="65">
        <v>52.42</v>
      </c>
      <c r="G53" s="2">
        <v>36.64</v>
      </c>
      <c r="H53" s="2">
        <v>11.79</v>
      </c>
      <c r="I53" s="2">
        <v>232.17</v>
      </c>
      <c r="J53" s="2">
        <v>11.58</v>
      </c>
      <c r="K53" s="2">
        <v>243.64</v>
      </c>
      <c r="L53" s="2">
        <v>143.9</v>
      </c>
      <c r="M53" s="144">
        <v>241.2</v>
      </c>
      <c r="N53" s="72">
        <f t="shared" si="18"/>
        <v>-4.1793313069908855E-3</v>
      </c>
      <c r="O53" s="73">
        <f t="shared" si="19"/>
        <v>-5.1588379038826071E-3</v>
      </c>
      <c r="P53" s="73">
        <f t="shared" si="20"/>
        <v>-2.2388059701492602E-2</v>
      </c>
      <c r="Q53" s="73">
        <f t="shared" si="21"/>
        <v>-4.0324310411394837E-3</v>
      </c>
      <c r="R53" s="73">
        <f t="shared" si="22"/>
        <v>-1.1945392491467643E-2</v>
      </c>
      <c r="S53" s="73">
        <f t="shared" si="23"/>
        <v>-3.5581366815263804E-3</v>
      </c>
      <c r="T53" s="73">
        <f t="shared" si="24"/>
        <v>-1.0256812511716396E-2</v>
      </c>
      <c r="U53" s="73">
        <f t="shared" si="25"/>
        <v>2.7953652829023845E-2</v>
      </c>
      <c r="V53" s="148">
        <f t="shared" si="26"/>
        <v>56.821527355623104</v>
      </c>
      <c r="W53" s="149">
        <f t="shared" si="27"/>
        <v>40.201531360304102</v>
      </c>
      <c r="X53" s="149">
        <f t="shared" si="28"/>
        <v>13.979850746268657</v>
      </c>
      <c r="Y53" s="149">
        <f t="shared" si="29"/>
        <v>225.42729955814849</v>
      </c>
      <c r="Z53" s="149">
        <f t="shared" si="30"/>
        <v>13.595631399317405</v>
      </c>
      <c r="AA53" s="149">
        <f t="shared" si="31"/>
        <v>266.99659727618501</v>
      </c>
      <c r="AB53" s="149">
        <f t="shared" si="32"/>
        <v>2643.9033521211018</v>
      </c>
      <c r="AC53" s="150">
        <f t="shared" si="33"/>
        <v>3313.7478670552437</v>
      </c>
      <c r="AD53" s="157">
        <f t="shared" si="34"/>
        <v>4769.4528875379656</v>
      </c>
      <c r="AE53" s="19">
        <f t="shared" si="35"/>
        <v>5941.3562313329894</v>
      </c>
      <c r="AF53" s="19">
        <f t="shared" si="36"/>
        <v>28429.253731343364</v>
      </c>
      <c r="AG53" s="19">
        <f t="shared" si="37"/>
        <v>3468.2616790357488</v>
      </c>
      <c r="AH53" s="19">
        <f t="shared" si="38"/>
        <v>7347.2764505119894</v>
      </c>
      <c r="AI53" s="19">
        <f t="shared" si="39"/>
        <v>5053.0344362193664</v>
      </c>
      <c r="AJ53" s="19">
        <f t="shared" si="40"/>
        <v>8219.7143636693454</v>
      </c>
      <c r="AK53" s="158">
        <f t="shared" si="41"/>
        <v>-22528.096763810936</v>
      </c>
      <c r="AL53" s="163">
        <f t="shared" si="42"/>
        <v>40700.253015839837</v>
      </c>
      <c r="AM53" s="20"/>
    </row>
    <row r="54" spans="1:39" x14ac:dyDescent="0.25">
      <c r="A54" s="13">
        <f t="shared" si="12"/>
        <v>49</v>
      </c>
      <c r="B54" s="1">
        <v>45247</v>
      </c>
      <c r="C54" s="7">
        <f t="shared" si="13"/>
        <v>2023</v>
      </c>
      <c r="D54" s="7">
        <f t="shared" si="14"/>
        <v>11</v>
      </c>
      <c r="E54" s="61">
        <v>17.206</v>
      </c>
      <c r="F54" s="65">
        <v>52.64</v>
      </c>
      <c r="G54" s="2">
        <v>36.83</v>
      </c>
      <c r="H54" s="2">
        <v>12.06</v>
      </c>
      <c r="I54" s="2">
        <v>233.11</v>
      </c>
      <c r="J54" s="2">
        <v>11.72</v>
      </c>
      <c r="K54" s="2">
        <v>244.51</v>
      </c>
      <c r="L54" s="2">
        <v>145.18</v>
      </c>
      <c r="M54" s="144">
        <v>234.3</v>
      </c>
      <c r="N54" s="72">
        <f t="shared" si="18"/>
        <v>5.1556234485392594E-3</v>
      </c>
      <c r="O54" s="73">
        <f t="shared" si="19"/>
        <v>8.1521739130430149E-4</v>
      </c>
      <c r="P54" s="73">
        <f t="shared" si="20"/>
        <v>1.3445378151260456E-2</v>
      </c>
      <c r="Q54" s="73">
        <f t="shared" si="21"/>
        <v>1.74144553072626E-2</v>
      </c>
      <c r="R54" s="73">
        <f t="shared" si="22"/>
        <v>1.736111111111116E-2</v>
      </c>
      <c r="S54" s="73">
        <f t="shared" si="23"/>
        <v>4.4066783381015329E-2</v>
      </c>
      <c r="T54" s="73">
        <f t="shared" si="24"/>
        <v>1.5414459670024527E-2</v>
      </c>
      <c r="U54" s="73">
        <f t="shared" si="25"/>
        <v>2.0145540038334353E-3</v>
      </c>
      <c r="V54" s="148">
        <f t="shared" si="26"/>
        <v>57.354179873973649</v>
      </c>
      <c r="W54" s="149">
        <f t="shared" si="27"/>
        <v>40.4429429347826</v>
      </c>
      <c r="X54" s="149">
        <f t="shared" si="28"/>
        <v>14.492268907563025</v>
      </c>
      <c r="Y54" s="149">
        <f t="shared" si="29"/>
        <v>230.28158781424582</v>
      </c>
      <c r="Z54" s="149">
        <f t="shared" si="30"/>
        <v>13.998888888888889</v>
      </c>
      <c r="AA54" s="149">
        <f t="shared" si="31"/>
        <v>279.75769460694306</v>
      </c>
      <c r="AB54" s="149">
        <f t="shared" si="32"/>
        <v>2712.4790831112391</v>
      </c>
      <c r="AC54" s="150">
        <f t="shared" si="33"/>
        <v>3230.1296677631335</v>
      </c>
      <c r="AD54" s="157">
        <f t="shared" si="34"/>
        <v>-5883.5974794729391</v>
      </c>
      <c r="AE54" s="19">
        <f t="shared" si="35"/>
        <v>-938.87364130420178</v>
      </c>
      <c r="AF54" s="19">
        <f t="shared" si="36"/>
        <v>-17073.478991596545</v>
      </c>
      <c r="AG54" s="19">
        <f t="shared" si="37"/>
        <v>-14978.033694134121</v>
      </c>
      <c r="AH54" s="19">
        <f t="shared" si="38"/>
        <v>-10678.333333333336</v>
      </c>
      <c r="AI54" s="19">
        <f t="shared" si="39"/>
        <v>-62580.781416798287</v>
      </c>
      <c r="AJ54" s="19">
        <f t="shared" si="40"/>
        <v>-12353.004933371858</v>
      </c>
      <c r="AK54" s="158">
        <f t="shared" si="41"/>
        <v>-1623.5469407833989</v>
      </c>
      <c r="AL54" s="163">
        <f t="shared" si="42"/>
        <v>-126109.65043079469</v>
      </c>
      <c r="AM54" s="20"/>
    </row>
    <row r="55" spans="1:39" x14ac:dyDescent="0.25">
      <c r="A55" s="13">
        <f t="shared" si="12"/>
        <v>50</v>
      </c>
      <c r="B55" s="1">
        <v>45246</v>
      </c>
      <c r="C55" s="7">
        <f t="shared" si="13"/>
        <v>2023</v>
      </c>
      <c r="D55" s="7">
        <f t="shared" si="14"/>
        <v>11</v>
      </c>
      <c r="E55" s="61">
        <v>17.223600000000001</v>
      </c>
      <c r="F55" s="65">
        <v>52.37</v>
      </c>
      <c r="G55" s="2">
        <v>36.799999999999997</v>
      </c>
      <c r="H55" s="2">
        <v>11.9</v>
      </c>
      <c r="I55" s="2">
        <v>229.12</v>
      </c>
      <c r="J55" s="2">
        <v>11.52</v>
      </c>
      <c r="K55" s="2">
        <v>234.19</v>
      </c>
      <c r="L55" s="2">
        <v>142.83000000000001</v>
      </c>
      <c r="M55" s="144">
        <v>233.59</v>
      </c>
      <c r="N55" s="72">
        <f t="shared" si="18"/>
        <v>-6.2618595825427725E-3</v>
      </c>
      <c r="O55" s="73">
        <f t="shared" si="19"/>
        <v>-2.9802221620156555E-3</v>
      </c>
      <c r="P55" s="73">
        <f t="shared" si="20"/>
        <v>-2.3789991796554499E-2</v>
      </c>
      <c r="Q55" s="73">
        <f t="shared" si="21"/>
        <v>-2.4938292620648506E-2</v>
      </c>
      <c r="R55" s="73">
        <f t="shared" si="22"/>
        <v>4.3591979075849885E-3</v>
      </c>
      <c r="S55" s="73">
        <f t="shared" si="23"/>
        <v>2.0391268354320147E-2</v>
      </c>
      <c r="T55" s="73">
        <f t="shared" si="24"/>
        <v>-6.6842627183903991E-3</v>
      </c>
      <c r="U55" s="73">
        <f t="shared" si="25"/>
        <v>-4.2045415053736823E-2</v>
      </c>
      <c r="V55" s="148">
        <f t="shared" si="26"/>
        <v>56.702698292220113</v>
      </c>
      <c r="W55" s="149">
        <f t="shared" si="27"/>
        <v>40.289569222432945</v>
      </c>
      <c r="X55" s="149">
        <f t="shared" si="28"/>
        <v>13.959803117309271</v>
      </c>
      <c r="Y55" s="149">
        <f t="shared" si="29"/>
        <v>220.69546684824243</v>
      </c>
      <c r="Z55" s="149">
        <f t="shared" si="30"/>
        <v>13.819982563208368</v>
      </c>
      <c r="AA55" s="149">
        <f t="shared" si="31"/>
        <v>273.41384035554006</v>
      </c>
      <c r="AB55" s="149">
        <f t="shared" si="32"/>
        <v>2653.4467129581326</v>
      </c>
      <c r="AC55" s="150">
        <f t="shared" si="33"/>
        <v>3088.0963882614478</v>
      </c>
      <c r="AD55" s="157">
        <f t="shared" si="34"/>
        <v>7146.0341555977893</v>
      </c>
      <c r="AE55" s="19">
        <f t="shared" si="35"/>
        <v>3432.2771606609663</v>
      </c>
      <c r="AF55" s="19">
        <f t="shared" si="36"/>
        <v>30209.483182936823</v>
      </c>
      <c r="AG55" s="19">
        <f t="shared" si="37"/>
        <v>21449.225976678768</v>
      </c>
      <c r="AH55" s="19">
        <f t="shared" si="38"/>
        <v>-2681.2205754140759</v>
      </c>
      <c r="AI55" s="19">
        <f t="shared" si="39"/>
        <v>-28958.353884362379</v>
      </c>
      <c r="AJ55" s="19">
        <f t="shared" si="40"/>
        <v>5356.7061125600958</v>
      </c>
      <c r="AK55" s="158">
        <f t="shared" si="41"/>
        <v>33884.772934638022</v>
      </c>
      <c r="AL55" s="163">
        <f t="shared" si="42"/>
        <v>69838.925063296017</v>
      </c>
      <c r="AM55" s="20"/>
    </row>
    <row r="56" spans="1:39" x14ac:dyDescent="0.25">
      <c r="A56" s="13">
        <f t="shared" si="12"/>
        <v>51</v>
      </c>
      <c r="B56" s="1">
        <v>45245</v>
      </c>
      <c r="C56" s="7">
        <f t="shared" si="13"/>
        <v>2023</v>
      </c>
      <c r="D56" s="7">
        <f t="shared" si="14"/>
        <v>11</v>
      </c>
      <c r="E56" s="61">
        <v>17.294699999999999</v>
      </c>
      <c r="F56" s="65">
        <v>52.7</v>
      </c>
      <c r="G56" s="2">
        <v>36.909999999999997</v>
      </c>
      <c r="H56" s="2">
        <v>12.19</v>
      </c>
      <c r="I56" s="2">
        <v>234.98</v>
      </c>
      <c r="J56" s="2">
        <v>11.47</v>
      </c>
      <c r="K56" s="2">
        <v>229.51</v>
      </c>
      <c r="L56" s="2">
        <v>143.19999999999999</v>
      </c>
      <c r="M56" s="144">
        <v>242.84</v>
      </c>
      <c r="N56" s="72">
        <f t="shared" si="18"/>
        <v>5.1497234407782422E-3</v>
      </c>
      <c r="O56" s="73">
        <f t="shared" si="19"/>
        <v>-8.0623488309595759E-3</v>
      </c>
      <c r="P56" s="73">
        <f t="shared" si="20"/>
        <v>-1.2955465587044523E-2</v>
      </c>
      <c r="Q56" s="73">
        <f t="shared" si="21"/>
        <v>3.3696991025866652E-2</v>
      </c>
      <c r="R56" s="73">
        <f t="shared" si="22"/>
        <v>1.2356575463371655E-2</v>
      </c>
      <c r="S56" s="73">
        <f t="shared" si="23"/>
        <v>1.5665796344647376E-2</v>
      </c>
      <c r="T56" s="73">
        <f t="shared" si="24"/>
        <v>-2.0342020189506038E-2</v>
      </c>
      <c r="U56" s="73">
        <f t="shared" si="25"/>
        <v>2.0258455145981236E-2</v>
      </c>
      <c r="V56" s="148">
        <f t="shared" si="26"/>
        <v>57.353843219530809</v>
      </c>
      <c r="W56" s="149">
        <f t="shared" si="27"/>
        <v>40.084200483740922</v>
      </c>
      <c r="X56" s="149">
        <f t="shared" si="28"/>
        <v>14.114736842105264</v>
      </c>
      <c r="Y56" s="149">
        <f t="shared" si="29"/>
        <v>233.96697694879467</v>
      </c>
      <c r="Z56" s="149">
        <f t="shared" si="30"/>
        <v>13.930026478375995</v>
      </c>
      <c r="AA56" s="149">
        <f t="shared" si="31"/>
        <v>272.14765013054824</v>
      </c>
      <c r="AB56" s="149">
        <f t="shared" si="32"/>
        <v>2616.9627126469236</v>
      </c>
      <c r="AC56" s="150">
        <f t="shared" si="33"/>
        <v>3288.9413547785734</v>
      </c>
      <c r="AD56" s="157">
        <f t="shared" si="34"/>
        <v>-5876.8643906161342</v>
      </c>
      <c r="AE56" s="19">
        <f t="shared" si="35"/>
        <v>9285.2862133836243</v>
      </c>
      <c r="AF56" s="19">
        <f t="shared" si="36"/>
        <v>16451.36842105259</v>
      </c>
      <c r="AG56" s="19">
        <f t="shared" si="37"/>
        <v>-28982.512405419722</v>
      </c>
      <c r="AH56" s="19">
        <f t="shared" si="38"/>
        <v>-7600.1835834069689</v>
      </c>
      <c r="AI56" s="19">
        <f t="shared" si="39"/>
        <v>-22247.545691905747</v>
      </c>
      <c r="AJ56" s="19">
        <f t="shared" si="40"/>
        <v>16301.906205922796</v>
      </c>
      <c r="AK56" s="158">
        <f t="shared" si="41"/>
        <v>-16326.468694643381</v>
      </c>
      <c r="AL56" s="163">
        <f t="shared" si="42"/>
        <v>-38995.013925632942</v>
      </c>
      <c r="AM56" s="20"/>
    </row>
    <row r="57" spans="1:39" x14ac:dyDescent="0.25">
      <c r="A57" s="13">
        <f t="shared" si="12"/>
        <v>52</v>
      </c>
      <c r="B57" s="1">
        <v>45244</v>
      </c>
      <c r="C57" s="7">
        <f t="shared" si="13"/>
        <v>2023</v>
      </c>
      <c r="D57" s="7">
        <f t="shared" si="14"/>
        <v>11</v>
      </c>
      <c r="E57" s="61">
        <v>17.338999999999999</v>
      </c>
      <c r="F57" s="65">
        <v>52.43</v>
      </c>
      <c r="G57" s="2">
        <v>37.21</v>
      </c>
      <c r="H57" s="2">
        <v>12.35</v>
      </c>
      <c r="I57" s="2">
        <v>227.32</v>
      </c>
      <c r="J57" s="2">
        <v>11.33</v>
      </c>
      <c r="K57" s="2">
        <v>225.97</v>
      </c>
      <c r="L57" s="2">
        <v>145.80000000000001</v>
      </c>
      <c r="M57" s="144">
        <v>237.41</v>
      </c>
      <c r="N57" s="72">
        <f t="shared" si="18"/>
        <v>2.7837678886492911E-2</v>
      </c>
      <c r="O57" s="73">
        <f t="shared" si="19"/>
        <v>6.4917500676224815E-3</v>
      </c>
      <c r="P57" s="73">
        <f t="shared" si="20"/>
        <v>1.9818331957060398E-2</v>
      </c>
      <c r="Q57" s="73">
        <f t="shared" si="21"/>
        <v>4.5726377771644122E-2</v>
      </c>
      <c r="R57" s="73">
        <f t="shared" si="22"/>
        <v>5.4934823091247642E-2</v>
      </c>
      <c r="S57" s="73">
        <f t="shared" si="23"/>
        <v>1.0102364668544084E-2</v>
      </c>
      <c r="T57" s="73">
        <f t="shared" si="24"/>
        <v>7.5777029255208461E-3</v>
      </c>
      <c r="U57" s="73">
        <f t="shared" si="25"/>
        <v>4.5739959592939305E-2</v>
      </c>
      <c r="V57" s="148">
        <f t="shared" si="26"/>
        <v>58.648417957263291</v>
      </c>
      <c r="W57" s="149">
        <f t="shared" si="27"/>
        <v>40.672331620232619</v>
      </c>
      <c r="X57" s="149">
        <f t="shared" si="28"/>
        <v>14.583402146985964</v>
      </c>
      <c r="Y57" s="149">
        <f t="shared" si="29"/>
        <v>236.68970834483395</v>
      </c>
      <c r="Z57" s="149">
        <f t="shared" si="30"/>
        <v>14.515903165735567</v>
      </c>
      <c r="AA57" s="149">
        <f t="shared" si="31"/>
        <v>270.65692861293638</v>
      </c>
      <c r="AB57" s="149">
        <f t="shared" si="32"/>
        <v>2691.5447360114304</v>
      </c>
      <c r="AC57" s="150">
        <f t="shared" si="33"/>
        <v>3371.0844365975654</v>
      </c>
      <c r="AD57" s="157">
        <f t="shared" si="34"/>
        <v>-31768.359145265778</v>
      </c>
      <c r="AE57" s="19">
        <f t="shared" si="35"/>
        <v>-7476.4511766297337</v>
      </c>
      <c r="AF57" s="19">
        <f t="shared" si="36"/>
        <v>-25166.110652353564</v>
      </c>
      <c r="AG57" s="19">
        <f t="shared" si="37"/>
        <v>-39328.891710368982</v>
      </c>
      <c r="AH57" s="19">
        <f t="shared" si="38"/>
        <v>-33788.871508379867</v>
      </c>
      <c r="AI57" s="19">
        <f t="shared" si="39"/>
        <v>-14346.721648562891</v>
      </c>
      <c r="AJ57" s="19">
        <f t="shared" si="40"/>
        <v>-6072.7008034292339</v>
      </c>
      <c r="AK57" s="158">
        <f t="shared" si="41"/>
        <v>-36862.239149391375</v>
      </c>
      <c r="AL57" s="163">
        <f t="shared" si="42"/>
        <v>-194810.34579438146</v>
      </c>
      <c r="AM57" s="20"/>
    </row>
    <row r="58" spans="1:39" x14ac:dyDescent="0.25">
      <c r="A58" s="13">
        <f t="shared" si="12"/>
        <v>53</v>
      </c>
      <c r="B58" s="1">
        <v>45243</v>
      </c>
      <c r="C58" s="7">
        <f t="shared" si="13"/>
        <v>2023</v>
      </c>
      <c r="D58" s="7">
        <f t="shared" si="14"/>
        <v>11</v>
      </c>
      <c r="E58" s="61">
        <v>17.596</v>
      </c>
      <c r="F58" s="65">
        <v>51.01</v>
      </c>
      <c r="G58" s="2">
        <v>36.97</v>
      </c>
      <c r="H58" s="2">
        <v>12.11</v>
      </c>
      <c r="I58" s="2">
        <v>217.38</v>
      </c>
      <c r="J58" s="2">
        <v>10.74</v>
      </c>
      <c r="K58" s="2">
        <v>223.71</v>
      </c>
      <c r="L58" s="2">
        <v>142.59</v>
      </c>
      <c r="M58" s="144">
        <v>223.71</v>
      </c>
      <c r="N58" s="72">
        <f t="shared" si="18"/>
        <v>-3.5163117796445098E-3</v>
      </c>
      <c r="O58" s="73">
        <f t="shared" si="19"/>
        <v>5.4127198917441888E-4</v>
      </c>
      <c r="P58" s="73">
        <f t="shared" si="20"/>
        <v>-1.2234910277324706E-2</v>
      </c>
      <c r="Q58" s="73">
        <f t="shared" si="21"/>
        <v>-7.5785244704162924E-3</v>
      </c>
      <c r="R58" s="73">
        <f t="shared" si="22"/>
        <v>-3.7634408602150504E-2</v>
      </c>
      <c r="S58" s="73">
        <f t="shared" si="23"/>
        <v>-5.8077197998573915E-4</v>
      </c>
      <c r="T58" s="73">
        <f t="shared" si="24"/>
        <v>-8.7847034875165875E-3</v>
      </c>
      <c r="U58" s="73">
        <f t="shared" si="25"/>
        <v>4.0080325334408862E-2</v>
      </c>
      <c r="V58" s="148">
        <f t="shared" si="26"/>
        <v>56.859359249853483</v>
      </c>
      <c r="W58" s="149">
        <f t="shared" si="27"/>
        <v>40.431872801082534</v>
      </c>
      <c r="X58" s="149">
        <f t="shared" si="28"/>
        <v>14.125040783034258</v>
      </c>
      <c r="Y58" s="149">
        <f t="shared" si="29"/>
        <v>224.62467677136598</v>
      </c>
      <c r="Z58" s="149">
        <f t="shared" si="30"/>
        <v>13.242150537634409</v>
      </c>
      <c r="AA58" s="149">
        <f t="shared" si="31"/>
        <v>267.79438214796284</v>
      </c>
      <c r="AB58" s="149">
        <f t="shared" si="32"/>
        <v>2647.8358004905081</v>
      </c>
      <c r="AC58" s="150">
        <f t="shared" si="33"/>
        <v>3352.8398387979432</v>
      </c>
      <c r="AD58" s="157">
        <f t="shared" si="34"/>
        <v>4012.8150029303811</v>
      </c>
      <c r="AE58" s="19">
        <f t="shared" si="35"/>
        <v>-623.37483085231327</v>
      </c>
      <c r="AF58" s="19">
        <f t="shared" si="36"/>
        <v>15536.378466557941</v>
      </c>
      <c r="AG58" s="19">
        <f t="shared" si="37"/>
        <v>6518.2282688092755</v>
      </c>
      <c r="AH58" s="19">
        <f t="shared" si="38"/>
        <v>23147.870967741925</v>
      </c>
      <c r="AI58" s="19">
        <f t="shared" si="39"/>
        <v>824.7746157969118</v>
      </c>
      <c r="AJ58" s="19">
        <f t="shared" si="40"/>
        <v>7039.9798528474548</v>
      </c>
      <c r="AK58" s="158">
        <f t="shared" si="41"/>
        <v>-32301.089699485827</v>
      </c>
      <c r="AL58" s="163">
        <f t="shared" si="42"/>
        <v>24155.582644345748</v>
      </c>
      <c r="AM58" s="20"/>
    </row>
    <row r="59" spans="1:39" x14ac:dyDescent="0.25">
      <c r="A59" s="13">
        <f t="shared" si="12"/>
        <v>54</v>
      </c>
      <c r="B59" s="1">
        <v>45240</v>
      </c>
      <c r="C59" s="7">
        <f t="shared" si="13"/>
        <v>2023</v>
      </c>
      <c r="D59" s="7">
        <f t="shared" si="14"/>
        <v>11</v>
      </c>
      <c r="E59" s="61">
        <v>17.632000000000001</v>
      </c>
      <c r="F59" s="65">
        <v>51.19</v>
      </c>
      <c r="G59" s="2">
        <v>36.950000000000003</v>
      </c>
      <c r="H59" s="2">
        <v>12.26</v>
      </c>
      <c r="I59" s="2">
        <v>219.04</v>
      </c>
      <c r="J59" s="2">
        <v>11.16</v>
      </c>
      <c r="K59" s="2">
        <v>223.84</v>
      </c>
      <c r="L59" s="2">
        <v>143.56</v>
      </c>
      <c r="M59" s="144">
        <v>214.65</v>
      </c>
      <c r="N59" s="72">
        <f t="shared" si="18"/>
        <v>3.922337713277102E-3</v>
      </c>
      <c r="O59" s="73">
        <f t="shared" si="19"/>
        <v>2.7070925825678493E-4</v>
      </c>
      <c r="P59" s="73">
        <f t="shared" si="20"/>
        <v>-3.2520325203252431E-3</v>
      </c>
      <c r="Q59" s="73">
        <f t="shared" si="21"/>
        <v>-1.4664867296446338E-2</v>
      </c>
      <c r="R59" s="73">
        <f t="shared" si="22"/>
        <v>-9.7604259094942192E-3</v>
      </c>
      <c r="S59" s="73">
        <f t="shared" si="23"/>
        <v>-1.3399153737658653E-2</v>
      </c>
      <c r="T59" s="73">
        <f t="shared" si="24"/>
        <v>1.0961365678346935E-2</v>
      </c>
      <c r="U59" s="73">
        <f t="shared" si="25"/>
        <v>1.2137210346563787E-2</v>
      </c>
      <c r="V59" s="148">
        <f t="shared" si="26"/>
        <v>57.283808589919595</v>
      </c>
      <c r="W59" s="149">
        <f t="shared" si="27"/>
        <v>40.420939361126152</v>
      </c>
      <c r="X59" s="149">
        <f t="shared" si="28"/>
        <v>14.25349593495935</v>
      </c>
      <c r="Y59" s="149">
        <f t="shared" si="29"/>
        <v>223.02075393612233</v>
      </c>
      <c r="Z59" s="149">
        <f t="shared" si="30"/>
        <v>13.625696539485359</v>
      </c>
      <c r="AA59" s="149">
        <f t="shared" si="31"/>
        <v>264.35969675599438</v>
      </c>
      <c r="AB59" s="149">
        <f t="shared" si="32"/>
        <v>2700.5835224438456</v>
      </c>
      <c r="AC59" s="150">
        <f t="shared" si="33"/>
        <v>3262.7614219014058</v>
      </c>
      <c r="AD59" s="157">
        <f t="shared" si="34"/>
        <v>-4476.1717983918461</v>
      </c>
      <c r="AE59" s="19">
        <f t="shared" si="35"/>
        <v>-311.77179209542419</v>
      </c>
      <c r="AF59" s="19">
        <f t="shared" si="36"/>
        <v>4129.5609756097856</v>
      </c>
      <c r="AG59" s="19">
        <f t="shared" si="37"/>
        <v>12613.13504273515</v>
      </c>
      <c r="AH59" s="19">
        <f t="shared" si="38"/>
        <v>6003.3646850044397</v>
      </c>
      <c r="AI59" s="19">
        <f t="shared" si="39"/>
        <v>19028.607193229738</v>
      </c>
      <c r="AJ59" s="19">
        <f t="shared" si="40"/>
        <v>-8784.3367331538047</v>
      </c>
      <c r="AK59" s="158">
        <f t="shared" si="41"/>
        <v>-9781.4854753514737</v>
      </c>
      <c r="AL59" s="163">
        <f t="shared" si="42"/>
        <v>18420.902097586564</v>
      </c>
      <c r="AM59" s="20"/>
    </row>
    <row r="60" spans="1:39" x14ac:dyDescent="0.25">
      <c r="A60" s="13">
        <f t="shared" si="12"/>
        <v>55</v>
      </c>
      <c r="B60" s="1">
        <v>45239</v>
      </c>
      <c r="C60" s="7">
        <f t="shared" si="13"/>
        <v>2023</v>
      </c>
      <c r="D60" s="7">
        <f t="shared" si="14"/>
        <v>11</v>
      </c>
      <c r="E60" s="61">
        <v>17.808</v>
      </c>
      <c r="F60" s="65">
        <v>50.99</v>
      </c>
      <c r="G60" s="2">
        <v>36.94</v>
      </c>
      <c r="H60" s="2">
        <v>12.3</v>
      </c>
      <c r="I60" s="2">
        <v>222.3</v>
      </c>
      <c r="J60" s="2">
        <v>11.27</v>
      </c>
      <c r="K60" s="2">
        <v>226.88</v>
      </c>
      <c r="L60" s="2">
        <v>140.6</v>
      </c>
      <c r="M60" s="144">
        <v>209.98</v>
      </c>
      <c r="N60" s="72">
        <f t="shared" si="18"/>
        <v>2.753195673549591E-3</v>
      </c>
      <c r="O60" s="73">
        <f t="shared" si="19"/>
        <v>-1.3517166801839675E-3</v>
      </c>
      <c r="P60" s="73">
        <f t="shared" si="20"/>
        <v>1.0682004930156141E-2</v>
      </c>
      <c r="Q60" s="73">
        <f t="shared" si="21"/>
        <v>-2.5854513584574801E-2</v>
      </c>
      <c r="R60" s="73">
        <f t="shared" si="22"/>
        <v>-4.9747048903878599E-2</v>
      </c>
      <c r="S60" s="73">
        <f t="shared" si="23"/>
        <v>2.8288543140027045E-3</v>
      </c>
      <c r="T60" s="73">
        <f t="shared" si="24"/>
        <v>5.0874621434640055E-3</v>
      </c>
      <c r="U60" s="73">
        <f t="shared" si="25"/>
        <v>-3.9800882498481349E-2</v>
      </c>
      <c r="V60" s="148">
        <f t="shared" si="26"/>
        <v>57.217097345132743</v>
      </c>
      <c r="W60" s="149">
        <f t="shared" si="27"/>
        <v>40.355377128953762</v>
      </c>
      <c r="X60" s="149">
        <f t="shared" si="28"/>
        <v>14.452752670501233</v>
      </c>
      <c r="Y60" s="149">
        <f t="shared" si="29"/>
        <v>220.48808939526734</v>
      </c>
      <c r="Z60" s="149">
        <f t="shared" si="30"/>
        <v>13.07548060708263</v>
      </c>
      <c r="AA60" s="149">
        <f t="shared" si="31"/>
        <v>268.70799151343704</v>
      </c>
      <c r="AB60" s="149">
        <f t="shared" si="32"/>
        <v>2684.8925498337439</v>
      </c>
      <c r="AC60" s="150">
        <f t="shared" si="33"/>
        <v>3095.3319430425845</v>
      </c>
      <c r="AD60" s="157">
        <f t="shared" si="34"/>
        <v>-3141.9469026548086</v>
      </c>
      <c r="AE60" s="19">
        <f t="shared" si="35"/>
        <v>1556.7518248176812</v>
      </c>
      <c r="AF60" s="19">
        <f t="shared" si="36"/>
        <v>-13564.437140509468</v>
      </c>
      <c r="AG60" s="19">
        <f t="shared" si="37"/>
        <v>22237.260297984132</v>
      </c>
      <c r="AH60" s="19">
        <f t="shared" si="38"/>
        <v>30598.016863406421</v>
      </c>
      <c r="AI60" s="19">
        <f t="shared" si="39"/>
        <v>-4017.3550212163545</v>
      </c>
      <c r="AJ60" s="19">
        <f t="shared" si="40"/>
        <v>-4077.0449501233088</v>
      </c>
      <c r="AK60" s="158">
        <f t="shared" si="41"/>
        <v>32075.884239353854</v>
      </c>
      <c r="AL60" s="163">
        <f t="shared" si="42"/>
        <v>61667.129211058142</v>
      </c>
      <c r="AM60" s="20"/>
    </row>
    <row r="61" spans="1:39" x14ac:dyDescent="0.25">
      <c r="A61" s="13">
        <f t="shared" si="12"/>
        <v>56</v>
      </c>
      <c r="B61" s="1">
        <v>45238</v>
      </c>
      <c r="C61" s="7">
        <f t="shared" si="13"/>
        <v>2023</v>
      </c>
      <c r="D61" s="7">
        <f t="shared" si="14"/>
        <v>11</v>
      </c>
      <c r="E61" s="61">
        <v>17.533300000000001</v>
      </c>
      <c r="F61" s="65">
        <v>50.85</v>
      </c>
      <c r="G61" s="2">
        <v>36.99</v>
      </c>
      <c r="H61" s="2">
        <v>12.17</v>
      </c>
      <c r="I61" s="2">
        <v>228.2</v>
      </c>
      <c r="J61" s="2">
        <v>11.86</v>
      </c>
      <c r="K61" s="2">
        <v>226.24</v>
      </c>
      <c r="L61" s="2">
        <v>142.08000000000001</v>
      </c>
      <c r="M61" s="144">
        <v>222.11</v>
      </c>
      <c r="N61" s="72">
        <f t="shared" si="18"/>
        <v>-3.9177277179235359E-3</v>
      </c>
      <c r="O61" s="73">
        <f t="shared" si="19"/>
        <v>8.7264794109627175E-3</v>
      </c>
      <c r="P61" s="73">
        <f t="shared" si="20"/>
        <v>1.6708437761069339E-2</v>
      </c>
      <c r="Q61" s="73">
        <f t="shared" si="21"/>
        <v>2.2035112862773154E-2</v>
      </c>
      <c r="R61" s="73">
        <f t="shared" si="22"/>
        <v>3.3840947546530664E-3</v>
      </c>
      <c r="S61" s="73">
        <f t="shared" si="23"/>
        <v>-8.8929776142288031E-3</v>
      </c>
      <c r="T61" s="73">
        <f t="shared" si="24"/>
        <v>-9.2156459614944897E-4</v>
      </c>
      <c r="U61" s="73">
        <f t="shared" si="25"/>
        <v>3.1923054563058884E-3</v>
      </c>
      <c r="V61" s="148">
        <f t="shared" si="26"/>
        <v>56.836454456415282</v>
      </c>
      <c r="W61" s="149">
        <f t="shared" si="27"/>
        <v>40.762637032996999</v>
      </c>
      <c r="X61" s="149">
        <f t="shared" si="28"/>
        <v>14.538930659983292</v>
      </c>
      <c r="Y61" s="149">
        <f t="shared" si="29"/>
        <v>231.32742744536009</v>
      </c>
      <c r="Z61" s="149">
        <f t="shared" si="30"/>
        <v>13.806565143824026</v>
      </c>
      <c r="AA61" s="149">
        <f t="shared" si="31"/>
        <v>265.56712664826739</v>
      </c>
      <c r="AB61" s="149">
        <f t="shared" si="32"/>
        <v>2668.8406222825506</v>
      </c>
      <c r="AC61" s="150">
        <f t="shared" si="33"/>
        <v>3233.9263091319453</v>
      </c>
      <c r="AD61" s="157">
        <f t="shared" si="34"/>
        <v>4470.9108716944002</v>
      </c>
      <c r="AE61" s="19">
        <f t="shared" si="35"/>
        <v>-10050.155440414561</v>
      </c>
      <c r="AF61" s="19">
        <f t="shared" si="36"/>
        <v>-21217.042606516239</v>
      </c>
      <c r="AG61" s="19">
        <f t="shared" si="37"/>
        <v>-18952.224292368315</v>
      </c>
      <c r="AH61" s="19">
        <f t="shared" si="38"/>
        <v>-2081.4619289339516</v>
      </c>
      <c r="AI61" s="19">
        <f t="shared" si="39"/>
        <v>12629.228764182773</v>
      </c>
      <c r="AJ61" s="19">
        <f t="shared" si="40"/>
        <v>738.53331523469024</v>
      </c>
      <c r="AK61" s="158">
        <f t="shared" si="41"/>
        <v>-2572.7072829863573</v>
      </c>
      <c r="AL61" s="163">
        <f t="shared" si="42"/>
        <v>-37034.918600107572</v>
      </c>
      <c r="AM61" s="20"/>
    </row>
    <row r="62" spans="1:39" x14ac:dyDescent="0.25">
      <c r="A62" s="13">
        <f t="shared" si="12"/>
        <v>57</v>
      </c>
      <c r="B62" s="1">
        <v>45237</v>
      </c>
      <c r="C62" s="7">
        <f t="shared" si="13"/>
        <v>2023</v>
      </c>
      <c r="D62" s="7">
        <f t="shared" si="14"/>
        <v>11</v>
      </c>
      <c r="E62" s="61">
        <v>17.472000000000001</v>
      </c>
      <c r="F62" s="65">
        <v>51.05</v>
      </c>
      <c r="G62" s="2">
        <v>36.67</v>
      </c>
      <c r="H62" s="2">
        <v>11.97</v>
      </c>
      <c r="I62" s="2">
        <v>223.28</v>
      </c>
      <c r="J62" s="2">
        <v>11.82</v>
      </c>
      <c r="K62" s="2">
        <v>228.27</v>
      </c>
      <c r="L62" s="2">
        <v>142.71</v>
      </c>
      <c r="M62" s="144">
        <v>222.18</v>
      </c>
      <c r="N62" s="72">
        <f t="shared" si="18"/>
        <v>-8.7378640776699656E-3</v>
      </c>
      <c r="O62" s="73">
        <f t="shared" si="19"/>
        <v>-1.1590296495956887E-2</v>
      </c>
      <c r="P62" s="73">
        <f t="shared" si="20"/>
        <v>1.0126582278481067E-2</v>
      </c>
      <c r="Q62" s="73">
        <f t="shared" si="21"/>
        <v>-2.2587988093153544E-2</v>
      </c>
      <c r="R62" s="73">
        <f t="shared" si="22"/>
        <v>6.9683257918552011E-2</v>
      </c>
      <c r="S62" s="73">
        <f t="shared" si="23"/>
        <v>-1.7009732150546797E-2</v>
      </c>
      <c r="T62" s="73">
        <f t="shared" si="24"/>
        <v>1.7114742657021731E-2</v>
      </c>
      <c r="U62" s="73">
        <f t="shared" si="25"/>
        <v>9.1646468907782275E-3</v>
      </c>
      <c r="V62" s="148">
        <f t="shared" si="26"/>
        <v>56.561417475728156</v>
      </c>
      <c r="W62" s="149">
        <f t="shared" si="27"/>
        <v>39.941636118598382</v>
      </c>
      <c r="X62" s="149">
        <f t="shared" si="28"/>
        <v>14.444810126582279</v>
      </c>
      <c r="Y62" s="149">
        <f t="shared" si="29"/>
        <v>221.22743477499563</v>
      </c>
      <c r="Z62" s="149">
        <f t="shared" si="30"/>
        <v>14.718841628959275</v>
      </c>
      <c r="AA62" s="149">
        <f t="shared" si="31"/>
        <v>263.39224227026097</v>
      </c>
      <c r="AB62" s="149">
        <f t="shared" si="32"/>
        <v>2717.021053135084</v>
      </c>
      <c r="AC62" s="150">
        <f t="shared" si="33"/>
        <v>3253.1789608787844</v>
      </c>
      <c r="AD62" s="157">
        <f t="shared" si="34"/>
        <v>9971.650485436925</v>
      </c>
      <c r="AE62" s="19">
        <f t="shared" si="35"/>
        <v>13348.370619946025</v>
      </c>
      <c r="AF62" s="19">
        <f t="shared" si="36"/>
        <v>-12859.139240506334</v>
      </c>
      <c r="AG62" s="19">
        <f t="shared" si="37"/>
        <v>19427.747855016623</v>
      </c>
      <c r="AH62" s="19">
        <f t="shared" si="38"/>
        <v>-42860.22081447961</v>
      </c>
      <c r="AI62" s="19">
        <f t="shared" si="39"/>
        <v>24156.115967616824</v>
      </c>
      <c r="AJ62" s="19">
        <f t="shared" si="40"/>
        <v>-13715.595940525327</v>
      </c>
      <c r="AK62" s="158">
        <f t="shared" si="41"/>
        <v>-7385.8702196961303</v>
      </c>
      <c r="AL62" s="163">
        <f t="shared" si="42"/>
        <v>-9916.9412871910063</v>
      </c>
      <c r="AM62" s="20"/>
    </row>
    <row r="63" spans="1:39" x14ac:dyDescent="0.25">
      <c r="A63" s="13">
        <f t="shared" si="12"/>
        <v>58</v>
      </c>
      <c r="B63" s="1">
        <v>45236</v>
      </c>
      <c r="C63" s="7">
        <f t="shared" si="13"/>
        <v>2023</v>
      </c>
      <c r="D63" s="7">
        <f t="shared" si="14"/>
        <v>11</v>
      </c>
      <c r="E63" s="61">
        <v>17.543099999999999</v>
      </c>
      <c r="F63" s="65">
        <v>51.5</v>
      </c>
      <c r="G63" s="2">
        <v>37.1</v>
      </c>
      <c r="H63" s="2">
        <v>11.85</v>
      </c>
      <c r="I63" s="2">
        <v>228.44</v>
      </c>
      <c r="J63" s="2">
        <v>11.05</v>
      </c>
      <c r="K63" s="2">
        <v>232.22</v>
      </c>
      <c r="L63" s="2">
        <v>139.74</v>
      </c>
      <c r="M63" s="144">
        <v>219.27</v>
      </c>
      <c r="N63" s="72">
        <f t="shared" si="18"/>
        <v>7.0394994133751165E-3</v>
      </c>
      <c r="O63" s="73">
        <f t="shared" si="19"/>
        <v>9.52380952380949E-3</v>
      </c>
      <c r="P63" s="73">
        <f t="shared" si="20"/>
        <v>1.2820512820512775E-2</v>
      </c>
      <c r="Q63" s="73">
        <f t="shared" si="21"/>
        <v>4.996093211380237E-2</v>
      </c>
      <c r="R63" s="73">
        <f t="shared" si="22"/>
        <v>-3.3245844269466196E-2</v>
      </c>
      <c r="S63" s="73">
        <f t="shared" si="23"/>
        <v>3.5402175851614093E-2</v>
      </c>
      <c r="T63" s="73">
        <f t="shared" si="24"/>
        <v>1.366232426522429E-2</v>
      </c>
      <c r="U63" s="73">
        <f t="shared" si="25"/>
        <v>2.2390081583558707E-3</v>
      </c>
      <c r="V63" s="148">
        <f t="shared" si="26"/>
        <v>57.46167383652719</v>
      </c>
      <c r="W63" s="149">
        <f t="shared" si="27"/>
        <v>40.79485714285714</v>
      </c>
      <c r="X63" s="149">
        <f t="shared" si="28"/>
        <v>14.483333333333334</v>
      </c>
      <c r="Y63" s="149">
        <f t="shared" si="29"/>
        <v>237.64815737463803</v>
      </c>
      <c r="Z63" s="149">
        <f t="shared" si="30"/>
        <v>13.302537182852145</v>
      </c>
      <c r="AA63" s="149">
        <f t="shared" si="31"/>
        <v>277.43601301944</v>
      </c>
      <c r="AB63" s="149">
        <f t="shared" si="32"/>
        <v>2707.7985995992713</v>
      </c>
      <c r="AC63" s="150">
        <f t="shared" si="33"/>
        <v>3230.8532261392852</v>
      </c>
      <c r="AD63" s="157">
        <f t="shared" si="34"/>
        <v>-8033.4767305437535</v>
      </c>
      <c r="AE63" s="19">
        <f t="shared" si="35"/>
        <v>-10968.428571428582</v>
      </c>
      <c r="AF63" s="19">
        <f t="shared" si="36"/>
        <v>-16280.000000000022</v>
      </c>
      <c r="AG63" s="19">
        <f t="shared" si="37"/>
        <v>-42970.99802362451</v>
      </c>
      <c r="AH63" s="19">
        <f t="shared" si="38"/>
        <v>20448.587926509106</v>
      </c>
      <c r="AI63" s="19">
        <f t="shared" si="39"/>
        <v>-50275.869003032043</v>
      </c>
      <c r="AJ63" s="19">
        <f t="shared" si="40"/>
        <v>-10948.859879781503</v>
      </c>
      <c r="AK63" s="158">
        <f t="shared" si="41"/>
        <v>-1804.4365348213205</v>
      </c>
      <c r="AL63" s="163">
        <f t="shared" si="42"/>
        <v>-120833.48081672263</v>
      </c>
      <c r="AM63" s="20"/>
    </row>
    <row r="64" spans="1:39" x14ac:dyDescent="0.25">
      <c r="A64" s="13">
        <f t="shared" si="12"/>
        <v>59</v>
      </c>
      <c r="B64" s="1">
        <v>45233</v>
      </c>
      <c r="C64" s="7">
        <f t="shared" si="13"/>
        <v>2023</v>
      </c>
      <c r="D64" s="7">
        <f t="shared" si="14"/>
        <v>11</v>
      </c>
      <c r="E64" s="61">
        <v>17.449000000000002</v>
      </c>
      <c r="F64" s="65">
        <v>51.14</v>
      </c>
      <c r="G64" s="2">
        <v>36.75</v>
      </c>
      <c r="H64" s="2">
        <v>11.7</v>
      </c>
      <c r="I64" s="2">
        <v>217.57</v>
      </c>
      <c r="J64" s="2">
        <v>11.43</v>
      </c>
      <c r="K64" s="2">
        <v>224.28</v>
      </c>
      <c r="L64" s="2">
        <v>138.6</v>
      </c>
      <c r="M64" s="144">
        <v>219.96</v>
      </c>
      <c r="N64" s="72">
        <f t="shared" si="18"/>
        <v>3.1464300121016642E-2</v>
      </c>
      <c r="O64" s="73">
        <f t="shared" si="19"/>
        <v>1.6597510373443924E-2</v>
      </c>
      <c r="P64" s="73">
        <f t="shared" si="20"/>
        <v>6.8493150684931559E-2</v>
      </c>
      <c r="Q64" s="73">
        <f t="shared" si="21"/>
        <v>8.5191281360666338E-2</v>
      </c>
      <c r="R64" s="73">
        <f t="shared" si="22"/>
        <v>0.11295034079844202</v>
      </c>
      <c r="S64" s="73">
        <f t="shared" si="23"/>
        <v>5.5882491408125734E-2</v>
      </c>
      <c r="T64" s="73">
        <f t="shared" si="24"/>
        <v>-6.2999126579207365E-3</v>
      </c>
      <c r="U64" s="73">
        <f t="shared" si="25"/>
        <v>5.0525368577610363E-2</v>
      </c>
      <c r="V64" s="148">
        <f t="shared" si="26"/>
        <v>58.855352964905215</v>
      </c>
      <c r="W64" s="149">
        <f t="shared" si="27"/>
        <v>41.080705394190865</v>
      </c>
      <c r="X64" s="149">
        <f t="shared" si="28"/>
        <v>15.279452054794522</v>
      </c>
      <c r="Y64" s="149">
        <f t="shared" si="29"/>
        <v>245.62219462317321</v>
      </c>
      <c r="Z64" s="149">
        <f t="shared" si="30"/>
        <v>15.314196689386561</v>
      </c>
      <c r="AA64" s="149">
        <f t="shared" si="31"/>
        <v>282.92371357280729</v>
      </c>
      <c r="AB64" s="149">
        <f t="shared" si="32"/>
        <v>2654.4734281971055</v>
      </c>
      <c r="AC64" s="150">
        <f t="shared" si="33"/>
        <v>3386.5108507868617</v>
      </c>
      <c r="AD64" s="157">
        <f t="shared" si="34"/>
        <v>-35907.059298104257</v>
      </c>
      <c r="AE64" s="19">
        <f t="shared" si="35"/>
        <v>-19115.103734439745</v>
      </c>
      <c r="AF64" s="19">
        <f t="shared" si="36"/>
        <v>-86975.342465753478</v>
      </c>
      <c r="AG64" s="19">
        <f t="shared" si="37"/>
        <v>-73272.339568058203</v>
      </c>
      <c r="AH64" s="19">
        <f t="shared" si="38"/>
        <v>-69472.592015579285</v>
      </c>
      <c r="AI64" s="19">
        <f t="shared" si="39"/>
        <v>-79360.681935878689</v>
      </c>
      <c r="AJ64" s="19">
        <f t="shared" si="40"/>
        <v>5048.6915408682307</v>
      </c>
      <c r="AK64" s="158">
        <f t="shared" si="41"/>
        <v>-40718.842696715452</v>
      </c>
      <c r="AL64" s="163">
        <f t="shared" si="42"/>
        <v>-399773.27017366089</v>
      </c>
      <c r="AM64" s="20"/>
    </row>
    <row r="65" spans="1:39" x14ac:dyDescent="0.25">
      <c r="A65" s="13">
        <f t="shared" si="12"/>
        <v>60</v>
      </c>
      <c r="B65" s="1">
        <v>45231</v>
      </c>
      <c r="C65" s="7">
        <f t="shared" si="13"/>
        <v>2023</v>
      </c>
      <c r="D65" s="7">
        <f t="shared" si="14"/>
        <v>11</v>
      </c>
      <c r="E65" s="61">
        <v>17.764700000000001</v>
      </c>
      <c r="F65" s="65">
        <v>49.58</v>
      </c>
      <c r="G65" s="2">
        <v>36.15</v>
      </c>
      <c r="H65" s="2">
        <v>10.95</v>
      </c>
      <c r="I65" s="2">
        <v>200.49</v>
      </c>
      <c r="J65" s="2">
        <v>10.27</v>
      </c>
      <c r="K65" s="2">
        <v>212.41</v>
      </c>
      <c r="L65" s="2">
        <v>137</v>
      </c>
      <c r="M65" s="144">
        <v>205.66</v>
      </c>
      <c r="N65" s="72">
        <f t="shared" si="18"/>
        <v>1.4735980352026168E-2</v>
      </c>
      <c r="O65" s="73">
        <f t="shared" si="19"/>
        <v>5.5632823365785455E-3</v>
      </c>
      <c r="P65" s="73">
        <f t="shared" si="20"/>
        <v>1.1080332409972193E-2</v>
      </c>
      <c r="Q65" s="73">
        <f t="shared" si="21"/>
        <v>-3.875391265464323E-3</v>
      </c>
      <c r="R65" s="73">
        <f t="shared" si="22"/>
        <v>-9.7276264591439343E-4</v>
      </c>
      <c r="S65" s="73">
        <f t="shared" si="23"/>
        <v>9.9852598545004945E-3</v>
      </c>
      <c r="T65" s="73">
        <f t="shared" si="24"/>
        <v>1.3838348904808839E-2</v>
      </c>
      <c r="U65" s="73">
        <f t="shared" si="25"/>
        <v>8.5401479004127978E-3</v>
      </c>
      <c r="V65" s="148">
        <f t="shared" si="26"/>
        <v>57.900835038886612</v>
      </c>
      <c r="W65" s="149">
        <f t="shared" si="27"/>
        <v>40.634812239221134</v>
      </c>
      <c r="X65" s="149">
        <f t="shared" si="28"/>
        <v>14.458448753462603</v>
      </c>
      <c r="Y65" s="149">
        <f t="shared" si="29"/>
        <v>225.46284394097481</v>
      </c>
      <c r="Z65" s="149">
        <f t="shared" si="30"/>
        <v>13.746614785992218</v>
      </c>
      <c r="AA65" s="149">
        <f t="shared" si="31"/>
        <v>270.62555037801337</v>
      </c>
      <c r="AB65" s="149">
        <f t="shared" si="32"/>
        <v>2708.268814641453</v>
      </c>
      <c r="AC65" s="150">
        <f t="shared" si="33"/>
        <v>3251.1658037762181</v>
      </c>
      <c r="AD65" s="157">
        <f t="shared" si="34"/>
        <v>-16816.700777732192</v>
      </c>
      <c r="AE65" s="19">
        <f t="shared" si="35"/>
        <v>-6407.1488178024083</v>
      </c>
      <c r="AF65" s="19">
        <f t="shared" si="36"/>
        <v>-14070.249307479098</v>
      </c>
      <c r="AG65" s="19">
        <f t="shared" si="37"/>
        <v>3333.1930242957469</v>
      </c>
      <c r="AH65" s="19">
        <f t="shared" si="38"/>
        <v>598.31906614784191</v>
      </c>
      <c r="AI65" s="19">
        <f t="shared" si="39"/>
        <v>-14180.417003470933</v>
      </c>
      <c r="AJ65" s="19">
        <f t="shared" si="40"/>
        <v>-11089.924392436023</v>
      </c>
      <c r="AK65" s="158">
        <f t="shared" si="41"/>
        <v>-6882.5809440545527</v>
      </c>
      <c r="AL65" s="163">
        <f t="shared" si="42"/>
        <v>-65515.509152531624</v>
      </c>
      <c r="AM65" s="20"/>
    </row>
    <row r="66" spans="1:39" x14ac:dyDescent="0.25">
      <c r="A66" s="13">
        <f t="shared" si="12"/>
        <v>61</v>
      </c>
      <c r="B66" s="1">
        <v>45230</v>
      </c>
      <c r="C66" s="7">
        <f t="shared" si="13"/>
        <v>2023</v>
      </c>
      <c r="D66" s="7">
        <f t="shared" si="14"/>
        <v>10</v>
      </c>
      <c r="E66" s="61">
        <v>18.036999999999999</v>
      </c>
      <c r="F66" s="65">
        <v>48.86</v>
      </c>
      <c r="G66" s="2">
        <v>35.950000000000003</v>
      </c>
      <c r="H66" s="2">
        <v>10.83</v>
      </c>
      <c r="I66" s="2">
        <v>201.27</v>
      </c>
      <c r="J66" s="2">
        <v>10.28</v>
      </c>
      <c r="K66" s="2">
        <v>210.31</v>
      </c>
      <c r="L66" s="2">
        <v>133.09</v>
      </c>
      <c r="M66" s="144">
        <v>200.84</v>
      </c>
      <c r="N66" s="72">
        <f t="shared" si="18"/>
        <v>-3.4672649398327371E-3</v>
      </c>
      <c r="O66" s="73">
        <f t="shared" si="19"/>
        <v>-1.1114198388441077E-3</v>
      </c>
      <c r="P66" s="73">
        <f t="shared" si="20"/>
        <v>7.4418604651163012E-3</v>
      </c>
      <c r="Q66" s="73">
        <f t="shared" si="21"/>
        <v>-1.8195121951219417E-2</v>
      </c>
      <c r="R66" s="73">
        <f t="shared" si="22"/>
        <v>-6.375227686703111E-2</v>
      </c>
      <c r="S66" s="73">
        <f t="shared" si="23"/>
        <v>2.60025368328618E-2</v>
      </c>
      <c r="T66" s="73">
        <f t="shared" si="24"/>
        <v>2.424335920620857E-3</v>
      </c>
      <c r="U66" s="73">
        <f t="shared" si="25"/>
        <v>1.7187235938687762E-2</v>
      </c>
      <c r="V66" s="148">
        <f t="shared" si="26"/>
        <v>56.862157862533145</v>
      </c>
      <c r="W66" s="149">
        <f t="shared" si="27"/>
        <v>40.365087524312308</v>
      </c>
      <c r="X66" s="149">
        <f t="shared" si="28"/>
        <v>14.406418604651163</v>
      </c>
      <c r="Y66" s="149">
        <f t="shared" si="29"/>
        <v>222.221716097561</v>
      </c>
      <c r="Z66" s="149">
        <f t="shared" si="30"/>
        <v>12.882768670309652</v>
      </c>
      <c r="AA66" s="149">
        <f t="shared" si="31"/>
        <v>274.91737974436529</v>
      </c>
      <c r="AB66" s="149">
        <f t="shared" si="32"/>
        <v>2677.7785343631604</v>
      </c>
      <c r="AC66" s="150">
        <f t="shared" si="33"/>
        <v>3279.040863575085</v>
      </c>
      <c r="AD66" s="157">
        <f t="shared" si="34"/>
        <v>3956.8427493371419</v>
      </c>
      <c r="AE66" s="19">
        <f t="shared" si="35"/>
        <v>1280.0055570991199</v>
      </c>
      <c r="AF66" s="19">
        <f t="shared" si="36"/>
        <v>-9449.9720930232379</v>
      </c>
      <c r="AG66" s="19">
        <f t="shared" si="37"/>
        <v>15649.478829268213</v>
      </c>
      <c r="AH66" s="19">
        <f t="shared" si="38"/>
        <v>39212.240437158558</v>
      </c>
      <c r="AI66" s="19">
        <f t="shared" si="39"/>
        <v>-36927.112645136105</v>
      </c>
      <c r="AJ66" s="19">
        <f t="shared" si="40"/>
        <v>-1942.8403089482345</v>
      </c>
      <c r="AK66" s="158">
        <f t="shared" si="41"/>
        <v>-13851.345893771282</v>
      </c>
      <c r="AL66" s="163">
        <f t="shared" si="42"/>
        <v>-2072.7033680158274</v>
      </c>
      <c r="AM66" s="20"/>
    </row>
    <row r="67" spans="1:39" x14ac:dyDescent="0.25">
      <c r="A67" s="13">
        <f t="shared" si="12"/>
        <v>62</v>
      </c>
      <c r="B67" s="1">
        <v>45229</v>
      </c>
      <c r="C67" s="7">
        <f t="shared" si="13"/>
        <v>2023</v>
      </c>
      <c r="D67" s="7">
        <f t="shared" si="14"/>
        <v>10</v>
      </c>
      <c r="E67" s="61">
        <v>18.044899999999998</v>
      </c>
      <c r="F67" s="65">
        <v>49.03</v>
      </c>
      <c r="G67" s="2">
        <v>35.99</v>
      </c>
      <c r="H67" s="2">
        <v>10.75</v>
      </c>
      <c r="I67" s="2">
        <v>205</v>
      </c>
      <c r="J67" s="2">
        <v>10.98</v>
      </c>
      <c r="K67" s="2">
        <v>204.98</v>
      </c>
      <c r="L67" s="2">
        <v>132.71</v>
      </c>
      <c r="M67" s="144">
        <v>197.36</v>
      </c>
      <c r="N67" s="72">
        <f t="shared" si="18"/>
        <v>5.7435897435897942E-3</v>
      </c>
      <c r="O67" s="73">
        <f t="shared" si="19"/>
        <v>8.1232492997198591E-3</v>
      </c>
      <c r="P67" s="73">
        <f t="shared" si="20"/>
        <v>-2.7829313543599188E-3</v>
      </c>
      <c r="Q67" s="73">
        <f t="shared" si="21"/>
        <v>8.5604644297943011E-3</v>
      </c>
      <c r="R67" s="73">
        <f t="shared" si="22"/>
        <v>1.9498607242339983E-2</v>
      </c>
      <c r="S67" s="73">
        <f t="shared" si="23"/>
        <v>4.6243364638627993E-2</v>
      </c>
      <c r="T67" s="73">
        <f t="shared" si="24"/>
        <v>3.5001144157629005E-2</v>
      </c>
      <c r="U67" s="73">
        <f t="shared" si="25"/>
        <v>-5.1529283296273043E-2</v>
      </c>
      <c r="V67" s="148">
        <f t="shared" si="26"/>
        <v>57.387729230769239</v>
      </c>
      <c r="W67" s="149">
        <f t="shared" si="27"/>
        <v>40.738260504201676</v>
      </c>
      <c r="X67" s="149">
        <f t="shared" si="28"/>
        <v>14.260204081632654</v>
      </c>
      <c r="Y67" s="149">
        <f t="shared" si="29"/>
        <v>228.27757551903966</v>
      </c>
      <c r="Z67" s="149">
        <f t="shared" si="30"/>
        <v>14.028300835654598</v>
      </c>
      <c r="AA67" s="149">
        <f t="shared" si="31"/>
        <v>280.34090955492036</v>
      </c>
      <c r="AB67" s="149">
        <f t="shared" si="32"/>
        <v>2764.8010403910198</v>
      </c>
      <c r="AC67" s="150">
        <f t="shared" si="33"/>
        <v>3057.5238541071626</v>
      </c>
      <c r="AD67" s="157">
        <f t="shared" si="34"/>
        <v>-6554.5846153847269</v>
      </c>
      <c r="AE67" s="19">
        <f t="shared" si="35"/>
        <v>-9355.4243697478723</v>
      </c>
      <c r="AF67" s="19">
        <f t="shared" si="36"/>
        <v>3533.8775510203618</v>
      </c>
      <c r="AG67" s="19">
        <f t="shared" si="37"/>
        <v>-7362.7869723506874</v>
      </c>
      <c r="AH67" s="19">
        <f t="shared" si="38"/>
        <v>-11993.047353760528</v>
      </c>
      <c r="AI67" s="19">
        <f t="shared" si="39"/>
        <v>-65671.820641077953</v>
      </c>
      <c r="AJ67" s="19">
        <f t="shared" si="40"/>
        <v>-28049.592117306063</v>
      </c>
      <c r="AK67" s="158">
        <f t="shared" si="41"/>
        <v>41527.906473209325</v>
      </c>
      <c r="AL67" s="163">
        <f t="shared" si="42"/>
        <v>-83925.472045398143</v>
      </c>
      <c r="AM67" s="20"/>
    </row>
    <row r="68" spans="1:39" x14ac:dyDescent="0.25">
      <c r="A68" s="13">
        <f t="shared" si="12"/>
        <v>63</v>
      </c>
      <c r="B68" s="1">
        <v>45226</v>
      </c>
      <c r="C68" s="7">
        <f t="shared" si="13"/>
        <v>2023</v>
      </c>
      <c r="D68" s="7">
        <f t="shared" si="14"/>
        <v>10</v>
      </c>
      <c r="E68" s="61">
        <v>18.113</v>
      </c>
      <c r="F68" s="65">
        <v>48.75</v>
      </c>
      <c r="G68" s="2">
        <v>35.700000000000003</v>
      </c>
      <c r="H68" s="2">
        <v>10.78</v>
      </c>
      <c r="I68" s="2">
        <v>203.26</v>
      </c>
      <c r="J68" s="2">
        <v>10.77</v>
      </c>
      <c r="K68" s="2">
        <v>195.92</v>
      </c>
      <c r="L68" s="2">
        <v>127.74</v>
      </c>
      <c r="M68" s="144">
        <v>207.3</v>
      </c>
      <c r="N68" s="72">
        <f t="shared" si="18"/>
        <v>-9.1463414634146423E-3</v>
      </c>
      <c r="O68" s="73">
        <f t="shared" si="19"/>
        <v>-1.6257922292642446E-2</v>
      </c>
      <c r="P68" s="73">
        <f t="shared" si="20"/>
        <v>-4.6861184792219346E-2</v>
      </c>
      <c r="Q68" s="73">
        <f t="shared" si="21"/>
        <v>1.6755371575005729E-3</v>
      </c>
      <c r="R68" s="73">
        <f t="shared" si="22"/>
        <v>1.1267605633802802E-2</v>
      </c>
      <c r="S68" s="73">
        <f t="shared" si="23"/>
        <v>-2.2160111798762316E-2</v>
      </c>
      <c r="T68" s="73">
        <f t="shared" si="24"/>
        <v>6.6162065214690147E-2</v>
      </c>
      <c r="U68" s="73">
        <f t="shared" si="25"/>
        <v>5.441702102566115E-3</v>
      </c>
      <c r="V68" s="148">
        <f t="shared" si="26"/>
        <v>56.538109756097562</v>
      </c>
      <c r="W68" s="149">
        <f t="shared" si="27"/>
        <v>39.753017360154317</v>
      </c>
      <c r="X68" s="149">
        <f t="shared" si="28"/>
        <v>13.629885057471265</v>
      </c>
      <c r="Y68" s="149">
        <f t="shared" si="29"/>
        <v>226.71924108022867</v>
      </c>
      <c r="Z68" s="149">
        <f t="shared" si="30"/>
        <v>13.915042253521126</v>
      </c>
      <c r="AA68" s="149">
        <f t="shared" si="31"/>
        <v>262.01219804352161</v>
      </c>
      <c r="AB68" s="149">
        <f t="shared" si="32"/>
        <v>2848.0412835969578</v>
      </c>
      <c r="AC68" s="150">
        <f t="shared" si="33"/>
        <v>3241.1775439694225</v>
      </c>
      <c r="AD68" s="157">
        <f t="shared" si="34"/>
        <v>10437.804878048808</v>
      </c>
      <c r="AE68" s="19">
        <f t="shared" si="35"/>
        <v>18724.005235601871</v>
      </c>
      <c r="AF68" s="19">
        <f t="shared" si="36"/>
        <v>59506.206896551739</v>
      </c>
      <c r="AG68" s="19">
        <f t="shared" si="37"/>
        <v>-1441.1161048689337</v>
      </c>
      <c r="AH68" s="19">
        <f t="shared" si="38"/>
        <v>-6930.3887323943218</v>
      </c>
      <c r="AI68" s="19">
        <f t="shared" si="39"/>
        <v>31470.350369335421</v>
      </c>
      <c r="AJ68" s="19">
        <f t="shared" si="40"/>
        <v>-53021.665079087463</v>
      </c>
      <c r="AK68" s="158">
        <f t="shared" si="41"/>
        <v>-4385.5159923556357</v>
      </c>
      <c r="AL68" s="163">
        <f t="shared" si="42"/>
        <v>54359.681470831485</v>
      </c>
      <c r="AM68" s="20"/>
    </row>
    <row r="69" spans="1:39" x14ac:dyDescent="0.25">
      <c r="A69" s="13">
        <f t="shared" ref="A69:A132" si="43">+A70-1</f>
        <v>64</v>
      </c>
      <c r="B69" s="1">
        <v>45225</v>
      </c>
      <c r="C69" s="7">
        <f t="shared" ref="C69:C132" si="44">+YEAR(B69)</f>
        <v>2023</v>
      </c>
      <c r="D69" s="7">
        <f t="shared" ref="D69:D132" si="45">+MONTH(B69)</f>
        <v>10</v>
      </c>
      <c r="E69" s="61">
        <v>18.149799999999999</v>
      </c>
      <c r="F69" s="65">
        <v>49.2</v>
      </c>
      <c r="G69" s="2">
        <v>36.29</v>
      </c>
      <c r="H69" s="2">
        <v>11.31</v>
      </c>
      <c r="I69" s="2">
        <v>202.92</v>
      </c>
      <c r="J69" s="2">
        <v>10.65</v>
      </c>
      <c r="K69" s="2">
        <v>200.36</v>
      </c>
      <c r="L69" s="2">
        <v>119.57</v>
      </c>
      <c r="M69" s="144">
        <v>205.76</v>
      </c>
      <c r="N69" s="72">
        <f t="shared" si="18"/>
        <v>9.8522167487684609E-3</v>
      </c>
      <c r="O69" s="73">
        <f t="shared" si="19"/>
        <v>1.6811431773606111E-2</v>
      </c>
      <c r="P69" s="73">
        <f t="shared" si="20"/>
        <v>2.0758122743682383E-2</v>
      </c>
      <c r="Q69" s="73">
        <f t="shared" si="21"/>
        <v>-1.4807981744914378E-2</v>
      </c>
      <c r="R69" s="73">
        <f t="shared" si="22"/>
        <v>-2.2038567493112948E-2</v>
      </c>
      <c r="S69" s="73">
        <f t="shared" si="23"/>
        <v>-4.6948580126528028E-2</v>
      </c>
      <c r="T69" s="73">
        <f t="shared" si="24"/>
        <v>-2.3611136593695292E-2</v>
      </c>
      <c r="U69" s="73">
        <f t="shared" si="25"/>
        <v>-3.9827980088086301E-2</v>
      </c>
      <c r="V69" s="148">
        <f t="shared" si="26"/>
        <v>57.622167487684727</v>
      </c>
      <c r="W69" s="149">
        <f t="shared" si="27"/>
        <v>41.089349957971422</v>
      </c>
      <c r="X69" s="149">
        <f t="shared" si="28"/>
        <v>14.596841155234658</v>
      </c>
      <c r="Y69" s="149">
        <f t="shared" si="29"/>
        <v>222.98836141185609</v>
      </c>
      <c r="Z69" s="149">
        <f t="shared" si="30"/>
        <v>13.456749311294766</v>
      </c>
      <c r="AA69" s="149">
        <f t="shared" si="31"/>
        <v>255.37012795509679</v>
      </c>
      <c r="AB69" s="149">
        <f t="shared" si="32"/>
        <v>2608.2299141505337</v>
      </c>
      <c r="AC69" s="150">
        <f t="shared" si="33"/>
        <v>3095.2445902913114</v>
      </c>
      <c r="AD69" s="157">
        <f t="shared" si="34"/>
        <v>-11243.349753694503</v>
      </c>
      <c r="AE69" s="19">
        <f t="shared" si="35"/>
        <v>-19361.473802185614</v>
      </c>
      <c r="AF69" s="19">
        <f t="shared" si="36"/>
        <v>-26359.494584837605</v>
      </c>
      <c r="AG69" s="19">
        <f t="shared" si="37"/>
        <v>12736.226634946872</v>
      </c>
      <c r="AH69" s="19">
        <f t="shared" si="38"/>
        <v>13555.305785123939</v>
      </c>
      <c r="AI69" s="19">
        <f t="shared" si="39"/>
        <v>66673.32183798695</v>
      </c>
      <c r="AJ69" s="19">
        <f t="shared" si="40"/>
        <v>18921.745754839776</v>
      </c>
      <c r="AK69" s="158">
        <f t="shared" si="41"/>
        <v>32097.722427172128</v>
      </c>
      <c r="AL69" s="163">
        <f t="shared" si="42"/>
        <v>87020.004299351946</v>
      </c>
      <c r="AM69" s="20"/>
    </row>
    <row r="70" spans="1:39" x14ac:dyDescent="0.25">
      <c r="A70" s="13">
        <f t="shared" si="43"/>
        <v>65</v>
      </c>
      <c r="B70" s="1">
        <v>45224</v>
      </c>
      <c r="C70" s="7">
        <f t="shared" si="44"/>
        <v>2023</v>
      </c>
      <c r="D70" s="7">
        <f t="shared" si="45"/>
        <v>10</v>
      </c>
      <c r="E70" s="61">
        <v>18.309999999999999</v>
      </c>
      <c r="F70" s="65">
        <v>48.72</v>
      </c>
      <c r="G70" s="2">
        <v>35.69</v>
      </c>
      <c r="H70" s="2">
        <v>11.08</v>
      </c>
      <c r="I70" s="2">
        <v>205.97</v>
      </c>
      <c r="J70" s="2">
        <v>10.89</v>
      </c>
      <c r="K70" s="2">
        <v>210.23</v>
      </c>
      <c r="L70" s="2">
        <v>121.39</v>
      </c>
      <c r="M70" s="144">
        <v>212.42</v>
      </c>
      <c r="N70" s="72">
        <f t="shared" ref="N70:N133" si="46" xml:space="preserve"> (F70/F71) - 1</f>
        <v>9.1135045567523054E-3</v>
      </c>
      <c r="O70" s="73">
        <f t="shared" ref="O70:O133" si="47" xml:space="preserve"> (G70/G71) - 1</f>
        <v>8.4769708957330714E-3</v>
      </c>
      <c r="P70" s="73">
        <f t="shared" ref="P70:P133" si="48" xml:space="preserve"> (H70/H71) - 1</f>
        <v>2.3084025854108958E-2</v>
      </c>
      <c r="Q70" s="73">
        <f t="shared" ref="Q70:Q133" si="49" xml:space="preserve"> (I70/I71) - 1</f>
        <v>2.0158494304110874E-2</v>
      </c>
      <c r="R70" s="73">
        <f t="shared" ref="R70:R133" si="50" xml:space="preserve"> (J70/J71) - 1</f>
        <v>1.8399264029440587E-3</v>
      </c>
      <c r="S70" s="73">
        <f t="shared" ref="S70:S133" si="51" xml:space="preserve"> (K70/K71) - 1</f>
        <v>-3.743720974315301E-3</v>
      </c>
      <c r="T70" s="73">
        <f t="shared" ref="T70:T133" si="52" xml:space="preserve"> (E70*L70) / (E71*L71) - 1</f>
        <v>-5.2563483016406676E-2</v>
      </c>
      <c r="U70" s="73">
        <f t="shared" ref="U70:U133" si="53" xml:space="preserve"> (E70*M70) / (E71*M71) - 1</f>
        <v>-1.560259966487576E-2</v>
      </c>
      <c r="V70" s="148">
        <f t="shared" ref="V70:V133" si="54" xml:space="preserve"> F$5 * ( 1+N70 )</f>
        <v>57.58001657000829</v>
      </c>
      <c r="W70" s="149">
        <f t="shared" ref="W70:W133" si="55" xml:space="preserve"> G$5 * ( 1+O70 )</f>
        <v>40.752554393896567</v>
      </c>
      <c r="X70" s="149">
        <f t="shared" ref="X70:X133" si="56" xml:space="preserve"> H$5 * ( 1+P70 )</f>
        <v>14.630101569713759</v>
      </c>
      <c r="Y70" s="149">
        <f t="shared" ref="Y70:Y133" si="57" xml:space="preserve"> I$5 * ( 1+Q70 )</f>
        <v>230.90267360079247</v>
      </c>
      <c r="Z70" s="149">
        <f t="shared" ref="Z70:Z133" si="58" xml:space="preserve"> J$5 * ( 1+R70 )</f>
        <v>13.785317387304509</v>
      </c>
      <c r="AA70" s="149">
        <f t="shared" ref="AA70:AA133" si="59" xml:space="preserve"> K$5 * ( 1+S70 )</f>
        <v>266.9468699649322</v>
      </c>
      <c r="AB70" s="149">
        <f t="shared" ref="AB70:AB133" si="60" xml:space="preserve"> (L$5*E$5) * (1 + T70)</f>
        <v>2530.8894416659132</v>
      </c>
      <c r="AC70" s="150">
        <f t="shared" ref="AC70:AC133" si="61" xml:space="preserve"> (M$5*E$5) * (1 + U70)</f>
        <v>3173.3383861400703</v>
      </c>
      <c r="AD70" s="157">
        <f t="shared" ref="AD70:AD133" si="62" xml:space="preserve"> (F$5 - V70) * AD$2</f>
        <v>-10400.331400165755</v>
      </c>
      <c r="AE70" s="19">
        <f t="shared" ref="AE70:AE133" si="63" xml:space="preserve"> (G$5 - W70) * AE$2</f>
        <v>-9762.8002260522535</v>
      </c>
      <c r="AF70" s="19">
        <f t="shared" ref="AF70:AF133" si="64" xml:space="preserve"> (H$5 - X70) * AF$2</f>
        <v>-29313.019390581703</v>
      </c>
      <c r="AG70" s="19">
        <f t="shared" ref="AG70:AG133" si="65" xml:space="preserve"> (I$5 - Y70) * AG$2</f>
        <v>-17338.159683011367</v>
      </c>
      <c r="AH70" s="19">
        <f t="shared" ref="AH70:AH133" si="66" xml:space="preserve"> (J$5 - Z70) * AH$2</f>
        <v>-1131.6872125115794</v>
      </c>
      <c r="AI70" s="19">
        <f t="shared" ref="AI70:AI133" si="67" xml:space="preserve"> (K$5 - AA70) * AI$2</f>
        <v>5316.5891858592549</v>
      </c>
      <c r="AJ70" s="19">
        <f t="shared" ref="AJ70:AJ133" si="68" xml:space="preserve"> (E$5 *L$5 - AB70) * AJ$2</f>
        <v>42123.887500225916</v>
      </c>
      <c r="AK70" s="158">
        <f t="shared" ref="AK70:AK133" si="69" xml:space="preserve"> (E$5 *M$5 - AC70) * AK$2</f>
        <v>12574.273464982412</v>
      </c>
      <c r="AL70" s="163">
        <f t="shared" ref="AL70:AL133" si="70" xml:space="preserve"> SUM(AD70:AK70)</f>
        <v>-7931.247761255072</v>
      </c>
      <c r="AM70" s="20"/>
    </row>
    <row r="71" spans="1:39" x14ac:dyDescent="0.25">
      <c r="A71" s="13">
        <f t="shared" si="43"/>
        <v>66</v>
      </c>
      <c r="B71" s="1">
        <v>45223</v>
      </c>
      <c r="C71" s="7">
        <f t="shared" si="44"/>
        <v>2023</v>
      </c>
      <c r="D71" s="7">
        <f t="shared" si="45"/>
        <v>10</v>
      </c>
      <c r="E71" s="61">
        <v>18.248000000000001</v>
      </c>
      <c r="F71" s="65">
        <v>48.28</v>
      </c>
      <c r="G71" s="2">
        <v>35.39</v>
      </c>
      <c r="H71" s="2">
        <v>10.83</v>
      </c>
      <c r="I71" s="2">
        <v>201.9</v>
      </c>
      <c r="J71" s="2">
        <v>10.87</v>
      </c>
      <c r="K71" s="2">
        <v>211.02</v>
      </c>
      <c r="L71" s="2">
        <v>128.56</v>
      </c>
      <c r="M71" s="144">
        <v>216.52</v>
      </c>
      <c r="N71" s="72">
        <f t="shared" si="46"/>
        <v>4.1442188147544634E-4</v>
      </c>
      <c r="O71" s="73">
        <f t="shared" si="47"/>
        <v>2.8336639274582076E-3</v>
      </c>
      <c r="P71" s="73">
        <f t="shared" si="48"/>
        <v>0</v>
      </c>
      <c r="Q71" s="73">
        <f t="shared" si="49"/>
        <v>2.7315619567918059E-3</v>
      </c>
      <c r="R71" s="73">
        <f t="shared" si="50"/>
        <v>-3.0330062444246297E-2</v>
      </c>
      <c r="S71" s="73">
        <f t="shared" si="51"/>
        <v>-6.6902498341808503E-2</v>
      </c>
      <c r="T71" s="73">
        <f t="shared" si="52"/>
        <v>2.1906894149122058E-2</v>
      </c>
      <c r="U71" s="73">
        <f t="shared" si="53"/>
        <v>2.7070452159649427E-2</v>
      </c>
      <c r="V71" s="148">
        <f t="shared" si="54"/>
        <v>57.083646912556993</v>
      </c>
      <c r="W71" s="149">
        <f t="shared" si="55"/>
        <v>40.524508359308584</v>
      </c>
      <c r="X71" s="149">
        <f t="shared" si="56"/>
        <v>14.3</v>
      </c>
      <c r="Y71" s="149">
        <f t="shared" si="57"/>
        <v>226.95826173330025</v>
      </c>
      <c r="Z71" s="149">
        <f t="shared" si="58"/>
        <v>13.342658340767171</v>
      </c>
      <c r="AA71" s="149">
        <f t="shared" si="59"/>
        <v>250.02347556931241</v>
      </c>
      <c r="AB71" s="149">
        <f t="shared" si="60"/>
        <v>2729.8223389170953</v>
      </c>
      <c r="AC71" s="150">
        <f t="shared" si="61"/>
        <v>3310.9007500414882</v>
      </c>
      <c r="AD71" s="157">
        <f t="shared" si="62"/>
        <v>-472.9382511398228</v>
      </c>
      <c r="AE71" s="19">
        <f t="shared" si="63"/>
        <v>-3263.4882402947342</v>
      </c>
      <c r="AF71" s="19">
        <f t="shared" si="64"/>
        <v>0</v>
      </c>
      <c r="AG71" s="19">
        <f t="shared" si="65"/>
        <v>-2349.3945865409273</v>
      </c>
      <c r="AH71" s="19">
        <f t="shared" si="66"/>
        <v>18655.172167707446</v>
      </c>
      <c r="AI71" s="19">
        <f t="shared" si="67"/>
        <v>95010.579482644171</v>
      </c>
      <c r="AJ71" s="19">
        <f t="shared" si="68"/>
        <v>-17555.981675128714</v>
      </c>
      <c r="AK71" s="158">
        <f t="shared" si="69"/>
        <v>-21816.317510372071</v>
      </c>
      <c r="AL71" s="163">
        <f t="shared" si="70"/>
        <v>68207.63138687535</v>
      </c>
      <c r="AM71" s="20"/>
    </row>
    <row r="72" spans="1:39" x14ac:dyDescent="0.25">
      <c r="A72" s="13">
        <f t="shared" si="43"/>
        <v>67</v>
      </c>
      <c r="B72" s="1">
        <v>45222</v>
      </c>
      <c r="C72" s="7">
        <f t="shared" si="44"/>
        <v>2023</v>
      </c>
      <c r="D72" s="7">
        <f t="shared" si="45"/>
        <v>10</v>
      </c>
      <c r="E72" s="61">
        <v>18.138999999999999</v>
      </c>
      <c r="F72" s="65">
        <v>48.26</v>
      </c>
      <c r="G72" s="2">
        <v>35.29</v>
      </c>
      <c r="H72" s="2">
        <v>10.83</v>
      </c>
      <c r="I72" s="2">
        <v>201.35</v>
      </c>
      <c r="J72" s="2">
        <v>11.21</v>
      </c>
      <c r="K72" s="2">
        <v>226.15</v>
      </c>
      <c r="L72" s="2">
        <v>126.56</v>
      </c>
      <c r="M72" s="144">
        <v>212.08</v>
      </c>
      <c r="N72" s="72">
        <f t="shared" si="46"/>
        <v>-1.8614270941055278E-3</v>
      </c>
      <c r="O72" s="73">
        <f t="shared" si="47"/>
        <v>0</v>
      </c>
      <c r="P72" s="73">
        <f t="shared" si="48"/>
        <v>-1.0958904109588996E-2</v>
      </c>
      <c r="Q72" s="73">
        <f t="shared" si="49"/>
        <v>-3.1039461020211823E-2</v>
      </c>
      <c r="R72" s="73">
        <f t="shared" si="50"/>
        <v>4.0854224698235964E-2</v>
      </c>
      <c r="S72" s="73">
        <f t="shared" si="51"/>
        <v>-1.4167393199651213E-2</v>
      </c>
      <c r="T72" s="73">
        <f t="shared" si="52"/>
        <v>6.4441493082003642E-3</v>
      </c>
      <c r="U72" s="73">
        <f t="shared" si="53"/>
        <v>-4.1869680010381272E-3</v>
      </c>
      <c r="V72" s="148">
        <f t="shared" si="54"/>
        <v>56.953786970010341</v>
      </c>
      <c r="W72" s="149">
        <f t="shared" si="55"/>
        <v>40.409999999999997</v>
      </c>
      <c r="X72" s="149">
        <f t="shared" si="56"/>
        <v>14.143287671232878</v>
      </c>
      <c r="Y72" s="149">
        <f t="shared" si="57"/>
        <v>219.31452839268525</v>
      </c>
      <c r="Z72" s="149">
        <f t="shared" si="58"/>
        <v>14.322154131847727</v>
      </c>
      <c r="AA72" s="149">
        <f t="shared" si="59"/>
        <v>264.15384699215343</v>
      </c>
      <c r="AB72" s="149">
        <f t="shared" si="60"/>
        <v>2688.5166715129535</v>
      </c>
      <c r="AC72" s="150">
        <f t="shared" si="61"/>
        <v>3210.1382213982288</v>
      </c>
      <c r="AD72" s="157">
        <f t="shared" si="62"/>
        <v>2124.2605997932174</v>
      </c>
      <c r="AE72" s="19">
        <f t="shared" si="63"/>
        <v>0</v>
      </c>
      <c r="AF72" s="19">
        <f t="shared" si="64"/>
        <v>13916.054794520487</v>
      </c>
      <c r="AG72" s="19">
        <f t="shared" si="65"/>
        <v>26696.792107796075</v>
      </c>
      <c r="AH72" s="19">
        <f t="shared" si="66"/>
        <v>-25128.289693593397</v>
      </c>
      <c r="AI72" s="19">
        <f t="shared" si="67"/>
        <v>20119.610941586747</v>
      </c>
      <c r="AJ72" s="19">
        <f t="shared" si="68"/>
        <v>-5164.2814538861785</v>
      </c>
      <c r="AK72" s="158">
        <f t="shared" si="69"/>
        <v>3374.3146504427841</v>
      </c>
      <c r="AL72" s="163">
        <f t="shared" si="70"/>
        <v>35938.461946659736</v>
      </c>
      <c r="AM72" s="20"/>
    </row>
    <row r="73" spans="1:39" x14ac:dyDescent="0.25">
      <c r="A73" s="13">
        <f t="shared" si="43"/>
        <v>68</v>
      </c>
      <c r="B73" s="1">
        <v>45219</v>
      </c>
      <c r="C73" s="7">
        <f t="shared" si="44"/>
        <v>2023</v>
      </c>
      <c r="D73" s="7">
        <f t="shared" si="45"/>
        <v>10</v>
      </c>
      <c r="E73" s="61">
        <v>18.222999999999999</v>
      </c>
      <c r="F73" s="65">
        <v>48.35</v>
      </c>
      <c r="G73" s="2">
        <v>35.29</v>
      </c>
      <c r="H73" s="2">
        <v>10.95</v>
      </c>
      <c r="I73" s="2">
        <v>207.8</v>
      </c>
      <c r="J73" s="2">
        <v>10.77</v>
      </c>
      <c r="K73" s="2">
        <v>229.4</v>
      </c>
      <c r="L73" s="2">
        <v>125.17</v>
      </c>
      <c r="M73" s="144">
        <v>211.99</v>
      </c>
      <c r="N73" s="72">
        <f t="shared" si="46"/>
        <v>-1.0235414534288667E-2</v>
      </c>
      <c r="O73" s="73">
        <f t="shared" si="47"/>
        <v>-3.6702428006776255E-3</v>
      </c>
      <c r="P73" s="73">
        <f t="shared" si="48"/>
        <v>-9.9457504520796824E-3</v>
      </c>
      <c r="Q73" s="73">
        <f t="shared" si="49"/>
        <v>1.3114913948612861E-2</v>
      </c>
      <c r="R73" s="73">
        <f t="shared" si="50"/>
        <v>-4.0961709706144322E-2</v>
      </c>
      <c r="S73" s="73">
        <f t="shared" si="51"/>
        <v>-1.6379384272360853E-2</v>
      </c>
      <c r="T73" s="73">
        <f t="shared" si="52"/>
        <v>-2.9946675777876353E-2</v>
      </c>
      <c r="U73" s="73">
        <f t="shared" si="53"/>
        <v>-4.1623886557041634E-2</v>
      </c>
      <c r="V73" s="148">
        <f t="shared" si="54"/>
        <v>56.475967246673491</v>
      </c>
      <c r="W73" s="149">
        <f t="shared" si="55"/>
        <v>40.261685488424611</v>
      </c>
      <c r="X73" s="149">
        <f t="shared" si="56"/>
        <v>14.157775768535261</v>
      </c>
      <c r="Y73" s="149">
        <f t="shared" si="57"/>
        <v>229.30842962312903</v>
      </c>
      <c r="Z73" s="149">
        <f t="shared" si="58"/>
        <v>13.196366874443454</v>
      </c>
      <c r="AA73" s="149">
        <f t="shared" si="59"/>
        <v>263.56114398422091</v>
      </c>
      <c r="AB73" s="149">
        <f t="shared" si="60"/>
        <v>2591.3057731225367</v>
      </c>
      <c r="AC73" s="150">
        <f t="shared" si="61"/>
        <v>3089.4552424792255</v>
      </c>
      <c r="AD73" s="157">
        <f t="shared" si="62"/>
        <v>11680.65506653022</v>
      </c>
      <c r="AE73" s="19">
        <f t="shared" si="63"/>
        <v>4226.9635798984918</v>
      </c>
      <c r="AF73" s="19">
        <f t="shared" si="64"/>
        <v>12629.511754068868</v>
      </c>
      <c r="AG73" s="19">
        <f t="shared" si="65"/>
        <v>-11280.032567890299</v>
      </c>
      <c r="AH73" s="19">
        <f t="shared" si="66"/>
        <v>25194.400712377599</v>
      </c>
      <c r="AI73" s="19">
        <f t="shared" si="67"/>
        <v>23260.936883629143</v>
      </c>
      <c r="AJ73" s="19">
        <f t="shared" si="68"/>
        <v>23998.988063238859</v>
      </c>
      <c r="AK73" s="158">
        <f t="shared" si="69"/>
        <v>33545.059380193605</v>
      </c>
      <c r="AL73" s="163">
        <f t="shared" si="70"/>
        <v>123256.48287204649</v>
      </c>
      <c r="AM73" s="20"/>
    </row>
    <row r="74" spans="1:39" x14ac:dyDescent="0.25">
      <c r="A74" s="13">
        <f t="shared" si="43"/>
        <v>69</v>
      </c>
      <c r="B74" s="1">
        <v>45218</v>
      </c>
      <c r="C74" s="7">
        <f t="shared" si="44"/>
        <v>2023</v>
      </c>
      <c r="D74" s="7">
        <f t="shared" si="45"/>
        <v>10</v>
      </c>
      <c r="E74" s="61">
        <v>18.312999999999999</v>
      </c>
      <c r="F74" s="65">
        <v>48.85</v>
      </c>
      <c r="G74" s="2">
        <v>35.42</v>
      </c>
      <c r="H74" s="2">
        <v>11.06</v>
      </c>
      <c r="I74" s="2">
        <v>205.11</v>
      </c>
      <c r="J74" s="2">
        <v>11.23</v>
      </c>
      <c r="K74" s="2">
        <v>233.22</v>
      </c>
      <c r="L74" s="2">
        <v>128.4</v>
      </c>
      <c r="M74" s="144">
        <v>220.11</v>
      </c>
      <c r="N74" s="72">
        <f t="shared" si="46"/>
        <v>-8.9267599918847473E-3</v>
      </c>
      <c r="O74" s="73">
        <f t="shared" si="47"/>
        <v>-4.2170368287882676E-3</v>
      </c>
      <c r="P74" s="73">
        <f t="shared" si="48"/>
        <v>-9.8478066248880447E-3</v>
      </c>
      <c r="Q74" s="73">
        <f t="shared" si="49"/>
        <v>-1.0564399421128745E-2</v>
      </c>
      <c r="R74" s="73">
        <f t="shared" si="50"/>
        <v>-7.9505300353356345E-3</v>
      </c>
      <c r="S74" s="73">
        <f t="shared" si="51"/>
        <v>-2.6749572257229848E-2</v>
      </c>
      <c r="T74" s="73">
        <f t="shared" si="52"/>
        <v>6.1178613825596528E-3</v>
      </c>
      <c r="U74" s="73">
        <f t="shared" si="53"/>
        <v>-8.9373155194624854E-2</v>
      </c>
      <c r="V74" s="148">
        <f t="shared" si="54"/>
        <v>56.550639074863057</v>
      </c>
      <c r="W74" s="149">
        <f t="shared" si="55"/>
        <v>40.239589541748664</v>
      </c>
      <c r="X74" s="149">
        <f t="shared" si="56"/>
        <v>14.159176365264102</v>
      </c>
      <c r="Y74" s="149">
        <f t="shared" si="57"/>
        <v>223.94885383502174</v>
      </c>
      <c r="Z74" s="149">
        <f t="shared" si="58"/>
        <v>13.650600706713782</v>
      </c>
      <c r="AA74" s="149">
        <f t="shared" si="59"/>
        <v>260.78245211367528</v>
      </c>
      <c r="AB74" s="149">
        <f t="shared" si="60"/>
        <v>2687.6450577940986</v>
      </c>
      <c r="AC74" s="150">
        <f t="shared" si="61"/>
        <v>2935.5290059550612</v>
      </c>
      <c r="AD74" s="157">
        <f t="shared" si="62"/>
        <v>10187.218502738915</v>
      </c>
      <c r="AE74" s="19">
        <f t="shared" si="63"/>
        <v>4856.698060162973</v>
      </c>
      <c r="AF74" s="19">
        <f t="shared" si="64"/>
        <v>12505.138764547801</v>
      </c>
      <c r="AG74" s="19">
        <f t="shared" si="65"/>
        <v>9086.3554269174128</v>
      </c>
      <c r="AH74" s="19">
        <f t="shared" si="66"/>
        <v>4890.1484098939545</v>
      </c>
      <c r="AI74" s="19">
        <f t="shared" si="67"/>
        <v>37988.003797520978</v>
      </c>
      <c r="AJ74" s="19">
        <f t="shared" si="68"/>
        <v>-4902.7973382297205</v>
      </c>
      <c r="AK74" s="158">
        <f t="shared" si="69"/>
        <v>72026.618511234687</v>
      </c>
      <c r="AL74" s="163">
        <f t="shared" si="70"/>
        <v>146637.38413478702</v>
      </c>
      <c r="AM74" s="20"/>
    </row>
    <row r="75" spans="1:39" x14ac:dyDescent="0.25">
      <c r="A75" s="13">
        <f t="shared" si="43"/>
        <v>70</v>
      </c>
      <c r="B75" s="1">
        <v>45217</v>
      </c>
      <c r="C75" s="7">
        <f t="shared" si="44"/>
        <v>2023</v>
      </c>
      <c r="D75" s="7">
        <f t="shared" si="45"/>
        <v>10</v>
      </c>
      <c r="E75" s="61">
        <v>18.239999999999998</v>
      </c>
      <c r="F75" s="65">
        <v>49.29</v>
      </c>
      <c r="G75" s="2">
        <v>35.57</v>
      </c>
      <c r="H75" s="2">
        <v>11.17</v>
      </c>
      <c r="I75" s="2">
        <v>207.3</v>
      </c>
      <c r="J75" s="2">
        <v>11.32</v>
      </c>
      <c r="K75" s="2">
        <v>239.63</v>
      </c>
      <c r="L75" s="2">
        <v>128.13</v>
      </c>
      <c r="M75" s="144">
        <v>242.68</v>
      </c>
      <c r="N75" s="72">
        <f t="shared" si="46"/>
        <v>-7.4506645187273346E-3</v>
      </c>
      <c r="O75" s="73">
        <f t="shared" si="47"/>
        <v>-2.3070585004119626E-2</v>
      </c>
      <c r="P75" s="73">
        <f t="shared" si="48"/>
        <v>-3.038194444444442E-2</v>
      </c>
      <c r="Q75" s="73">
        <f t="shared" si="49"/>
        <v>-9.2716497801567099E-3</v>
      </c>
      <c r="R75" s="73">
        <f t="shared" si="50"/>
        <v>-6.4462809917355313E-2</v>
      </c>
      <c r="S75" s="73">
        <f t="shared" si="51"/>
        <v>8.3531721171103968E-4</v>
      </c>
      <c r="T75" s="73">
        <f t="shared" si="52"/>
        <v>-1.2903983848951861E-2</v>
      </c>
      <c r="U75" s="73">
        <f t="shared" si="53"/>
        <v>-3.553919201539768E-2</v>
      </c>
      <c r="V75" s="148">
        <f t="shared" si="54"/>
        <v>56.634865082561419</v>
      </c>
      <c r="W75" s="149">
        <f t="shared" si="55"/>
        <v>39.477717659983526</v>
      </c>
      <c r="X75" s="149">
        <f t="shared" si="56"/>
        <v>13.865538194444445</v>
      </c>
      <c r="Y75" s="149">
        <f t="shared" si="57"/>
        <v>224.24145478875934</v>
      </c>
      <c r="Z75" s="149">
        <f t="shared" si="58"/>
        <v>12.872991735537191</v>
      </c>
      <c r="AA75" s="149">
        <f t="shared" si="59"/>
        <v>268.17382324687799</v>
      </c>
      <c r="AB75" s="149">
        <f t="shared" si="60"/>
        <v>2636.8319569747332</v>
      </c>
      <c r="AC75" s="150">
        <f t="shared" si="61"/>
        <v>3109.0700796886313</v>
      </c>
      <c r="AD75" s="157">
        <f t="shared" si="62"/>
        <v>8502.6983487716734</v>
      </c>
      <c r="AE75" s="19">
        <f t="shared" si="63"/>
        <v>26570.046690469419</v>
      </c>
      <c r="AF75" s="19">
        <f t="shared" si="64"/>
        <v>38580.208333333314</v>
      </c>
      <c r="AG75" s="19">
        <f t="shared" si="65"/>
        <v>7974.4718027145154</v>
      </c>
      <c r="AH75" s="19">
        <f t="shared" si="66"/>
        <v>39649.269421487552</v>
      </c>
      <c r="AI75" s="19">
        <f t="shared" si="67"/>
        <v>-1186.2632084533914</v>
      </c>
      <c r="AJ75" s="19">
        <f t="shared" si="68"/>
        <v>10341.132907579913</v>
      </c>
      <c r="AK75" s="158">
        <f t="shared" si="69"/>
        <v>28641.350077842162</v>
      </c>
      <c r="AL75" s="163">
        <f t="shared" si="70"/>
        <v>159072.91437374515</v>
      </c>
      <c r="AM75" s="20"/>
    </row>
    <row r="76" spans="1:39" x14ac:dyDescent="0.25">
      <c r="A76" s="13">
        <f t="shared" si="43"/>
        <v>71</v>
      </c>
      <c r="B76" s="1">
        <v>45216</v>
      </c>
      <c r="C76" s="7">
        <f t="shared" si="44"/>
        <v>2023</v>
      </c>
      <c r="D76" s="7">
        <f t="shared" si="45"/>
        <v>10</v>
      </c>
      <c r="E76" s="61">
        <v>18.009</v>
      </c>
      <c r="F76" s="65">
        <v>49.66</v>
      </c>
      <c r="G76" s="2">
        <v>36.409999999999997</v>
      </c>
      <c r="H76" s="2">
        <v>11.52</v>
      </c>
      <c r="I76" s="2">
        <v>209.24</v>
      </c>
      <c r="J76" s="2">
        <v>12.1</v>
      </c>
      <c r="K76" s="2">
        <v>239.43</v>
      </c>
      <c r="L76" s="2">
        <v>131.47</v>
      </c>
      <c r="M76" s="144">
        <v>254.85</v>
      </c>
      <c r="N76" s="72">
        <f t="shared" si="46"/>
        <v>-3.6115569823436111E-3</v>
      </c>
      <c r="O76" s="73">
        <f t="shared" si="47"/>
        <v>1.0998075336816626E-3</v>
      </c>
      <c r="P76" s="73">
        <f t="shared" si="48"/>
        <v>-5.1813471502590858E-3</v>
      </c>
      <c r="Q76" s="73">
        <f t="shared" si="49"/>
        <v>3.8248231019322176E-4</v>
      </c>
      <c r="R76" s="73">
        <f t="shared" si="50"/>
        <v>-2.1827000808407382E-2</v>
      </c>
      <c r="S76" s="73">
        <f t="shared" si="51"/>
        <v>-2.5677545373158583E-2</v>
      </c>
      <c r="T76" s="73">
        <f t="shared" si="52"/>
        <v>-5.4470500988301751E-4</v>
      </c>
      <c r="U76" s="73">
        <f t="shared" si="53"/>
        <v>1.1356268975516892E-2</v>
      </c>
      <c r="V76" s="148">
        <f t="shared" si="54"/>
        <v>56.853924558587472</v>
      </c>
      <c r="W76" s="149">
        <f t="shared" si="55"/>
        <v>40.454443222436069</v>
      </c>
      <c r="X76" s="149">
        <f t="shared" si="56"/>
        <v>14.225906735751296</v>
      </c>
      <c r="Y76" s="149">
        <f t="shared" si="57"/>
        <v>226.42657104608915</v>
      </c>
      <c r="Z76" s="149">
        <f t="shared" si="58"/>
        <v>13.459660468876315</v>
      </c>
      <c r="AA76" s="149">
        <f t="shared" si="59"/>
        <v>261.06970171726215</v>
      </c>
      <c r="AB76" s="149">
        <f t="shared" si="60"/>
        <v>2669.8473281998072</v>
      </c>
      <c r="AC76" s="150">
        <f t="shared" si="61"/>
        <v>3260.2439515898996</v>
      </c>
      <c r="AD76" s="157">
        <f t="shared" si="62"/>
        <v>4121.5088282505976</v>
      </c>
      <c r="AE76" s="19">
        <f t="shared" si="63"/>
        <v>-1266.6318394280652</v>
      </c>
      <c r="AF76" s="19">
        <f t="shared" si="64"/>
        <v>6579.4818652849344</v>
      </c>
      <c r="AG76" s="19">
        <f t="shared" si="65"/>
        <v>-328.96997513876158</v>
      </c>
      <c r="AH76" s="19">
        <f t="shared" si="66"/>
        <v>13425.177041228708</v>
      </c>
      <c r="AI76" s="19">
        <f t="shared" si="67"/>
        <v>36465.580898510554</v>
      </c>
      <c r="AJ76" s="19">
        <f t="shared" si="68"/>
        <v>436.5215400577199</v>
      </c>
      <c r="AK76" s="158">
        <f t="shared" si="69"/>
        <v>-9152.1178974749091</v>
      </c>
      <c r="AL76" s="163">
        <f t="shared" si="70"/>
        <v>50280.550461290783</v>
      </c>
      <c r="AM76" s="20"/>
    </row>
    <row r="77" spans="1:39" x14ac:dyDescent="0.25">
      <c r="A77" s="13">
        <f t="shared" si="43"/>
        <v>72</v>
      </c>
      <c r="B77" s="1">
        <v>45215</v>
      </c>
      <c r="C77" s="7">
        <f t="shared" si="44"/>
        <v>2023</v>
      </c>
      <c r="D77" s="7">
        <f t="shared" si="45"/>
        <v>10</v>
      </c>
      <c r="E77" s="61">
        <v>17.872</v>
      </c>
      <c r="F77" s="65">
        <v>49.84</v>
      </c>
      <c r="G77" s="2">
        <v>36.369999999999997</v>
      </c>
      <c r="H77" s="2">
        <v>11.58</v>
      </c>
      <c r="I77" s="2">
        <v>209.16</v>
      </c>
      <c r="J77" s="2">
        <v>12.37</v>
      </c>
      <c r="K77" s="2">
        <v>245.74</v>
      </c>
      <c r="L77" s="2">
        <v>132.55000000000001</v>
      </c>
      <c r="M77" s="144">
        <v>253.92</v>
      </c>
      <c r="N77" s="72">
        <f t="shared" si="46"/>
        <v>9.1111561044745493E-3</v>
      </c>
      <c r="O77" s="73">
        <f t="shared" si="47"/>
        <v>-8.2417582417582125E-4</v>
      </c>
      <c r="P77" s="73">
        <f t="shared" si="48"/>
        <v>3.8565022421524597E-2</v>
      </c>
      <c r="Q77" s="73">
        <f t="shared" si="49"/>
        <v>3.0649453040307417E-2</v>
      </c>
      <c r="R77" s="73">
        <f t="shared" si="50"/>
        <v>2.1469859620148579E-2</v>
      </c>
      <c r="S77" s="73">
        <f t="shared" si="51"/>
        <v>1.1608760085624947E-2</v>
      </c>
      <c r="T77" s="73">
        <f t="shared" si="52"/>
        <v>1.0522103587365494E-2</v>
      </c>
      <c r="U77" s="73">
        <f t="shared" si="53"/>
        <v>5.1343450503504862E-4</v>
      </c>
      <c r="V77" s="148">
        <f t="shared" si="54"/>
        <v>57.57988256732132</v>
      </c>
      <c r="W77" s="149">
        <f t="shared" si="55"/>
        <v>40.376695054945053</v>
      </c>
      <c r="X77" s="149">
        <f t="shared" si="56"/>
        <v>14.851479820627803</v>
      </c>
      <c r="Y77" s="149">
        <f t="shared" si="57"/>
        <v>233.2771972011432</v>
      </c>
      <c r="Z77" s="149">
        <f t="shared" si="58"/>
        <v>14.055425268373245</v>
      </c>
      <c r="AA77" s="149">
        <f t="shared" si="59"/>
        <v>271.06056726494319</v>
      </c>
      <c r="AB77" s="149">
        <f t="shared" si="60"/>
        <v>2699.4101205659776</v>
      </c>
      <c r="AC77" s="150">
        <f t="shared" si="61"/>
        <v>3225.290605687087</v>
      </c>
      <c r="AD77" s="157">
        <f t="shared" si="62"/>
        <v>-10397.651346426357</v>
      </c>
      <c r="AE77" s="19">
        <f t="shared" si="63"/>
        <v>949.19093406589991</v>
      </c>
      <c r="AF77" s="19">
        <f t="shared" si="64"/>
        <v>-48971.408071748876</v>
      </c>
      <c r="AG77" s="19">
        <f t="shared" si="65"/>
        <v>-26361.349364344129</v>
      </c>
      <c r="AH77" s="19">
        <f t="shared" si="66"/>
        <v>-13205.509496284061</v>
      </c>
      <c r="AI77" s="19">
        <f t="shared" si="67"/>
        <v>-16486.006504198958</v>
      </c>
      <c r="AJ77" s="19">
        <f t="shared" si="68"/>
        <v>-8432.3161697934211</v>
      </c>
      <c r="AK77" s="158">
        <f t="shared" si="69"/>
        <v>-413.78142177177324</v>
      </c>
      <c r="AL77" s="163">
        <f t="shared" si="70"/>
        <v>-123318.83144050169</v>
      </c>
      <c r="AM77" s="20"/>
    </row>
    <row r="78" spans="1:39" x14ac:dyDescent="0.25">
      <c r="A78" s="13">
        <f t="shared" si="43"/>
        <v>73</v>
      </c>
      <c r="B78" s="1">
        <v>45212</v>
      </c>
      <c r="C78" s="7">
        <f t="shared" si="44"/>
        <v>2023</v>
      </c>
      <c r="D78" s="7">
        <f t="shared" si="45"/>
        <v>10</v>
      </c>
      <c r="E78" s="61">
        <v>18.062000000000001</v>
      </c>
      <c r="F78" s="65">
        <v>49.39</v>
      </c>
      <c r="G78" s="2">
        <v>36.4</v>
      </c>
      <c r="H78" s="2">
        <v>11.15</v>
      </c>
      <c r="I78" s="2">
        <v>202.94</v>
      </c>
      <c r="J78" s="2">
        <v>12.11</v>
      </c>
      <c r="K78" s="2">
        <v>242.92</v>
      </c>
      <c r="L78" s="2">
        <v>129.79</v>
      </c>
      <c r="M78" s="144">
        <v>251.12</v>
      </c>
      <c r="N78" s="72">
        <f t="shared" si="46"/>
        <v>-8.0337417152038793E-3</v>
      </c>
      <c r="O78" s="73">
        <f t="shared" si="47"/>
        <v>-8.7145969498910736E-3</v>
      </c>
      <c r="P78" s="73">
        <f t="shared" si="48"/>
        <v>8.9766606822250239E-4</v>
      </c>
      <c r="Q78" s="73">
        <f t="shared" si="49"/>
        <v>1.3281406031555809E-2</v>
      </c>
      <c r="R78" s="73">
        <f t="shared" si="50"/>
        <v>-1.1428571428571455E-2</v>
      </c>
      <c r="S78" s="73">
        <f t="shared" si="51"/>
        <v>-1.4763140817650955E-2</v>
      </c>
      <c r="T78" s="73">
        <f t="shared" si="52"/>
        <v>-1.400845671576445E-2</v>
      </c>
      <c r="U78" s="73">
        <f t="shared" si="53"/>
        <v>-2.4808630444148605E-2</v>
      </c>
      <c r="V78" s="148">
        <f t="shared" si="54"/>
        <v>56.601594697730469</v>
      </c>
      <c r="W78" s="149">
        <f t="shared" si="55"/>
        <v>40.057843137254899</v>
      </c>
      <c r="X78" s="149">
        <f t="shared" si="56"/>
        <v>14.312836624775583</v>
      </c>
      <c r="Y78" s="149">
        <f t="shared" si="57"/>
        <v>229.34611344118235</v>
      </c>
      <c r="Z78" s="149">
        <f t="shared" si="58"/>
        <v>13.602742857142857</v>
      </c>
      <c r="AA78" s="149">
        <f t="shared" si="59"/>
        <v>263.99421641791042</v>
      </c>
      <c r="AB78" s="149">
        <f t="shared" si="60"/>
        <v>2633.881575954882</v>
      </c>
      <c r="AC78" s="150">
        <f t="shared" si="61"/>
        <v>3143.6614986900345</v>
      </c>
      <c r="AD78" s="157">
        <f t="shared" si="62"/>
        <v>9168.1060453906575</v>
      </c>
      <c r="AE78" s="19">
        <f t="shared" si="63"/>
        <v>10036.470588235279</v>
      </c>
      <c r="AF78" s="19">
        <f t="shared" si="64"/>
        <v>-1139.8922800717216</v>
      </c>
      <c r="AG78" s="19">
        <f t="shared" si="65"/>
        <v>-11423.231076492932</v>
      </c>
      <c r="AH78" s="19">
        <f t="shared" si="66"/>
        <v>7029.394285714272</v>
      </c>
      <c r="AI78" s="19">
        <f t="shared" si="67"/>
        <v>20965.652985074699</v>
      </c>
      <c r="AJ78" s="19">
        <f t="shared" si="68"/>
        <v>11226.247213535271</v>
      </c>
      <c r="AK78" s="158">
        <f t="shared" si="69"/>
        <v>19993.495327491361</v>
      </c>
      <c r="AL78" s="163">
        <f t="shared" si="70"/>
        <v>65856.243088876887</v>
      </c>
      <c r="AM78" s="20"/>
    </row>
    <row r="79" spans="1:39" x14ac:dyDescent="0.25">
      <c r="A79" s="13">
        <f t="shared" si="43"/>
        <v>74</v>
      </c>
      <c r="B79" s="1">
        <v>45211</v>
      </c>
      <c r="C79" s="7">
        <f t="shared" si="44"/>
        <v>2023</v>
      </c>
      <c r="D79" s="7">
        <f t="shared" si="45"/>
        <v>10</v>
      </c>
      <c r="E79" s="61">
        <v>17.966999999999999</v>
      </c>
      <c r="F79" s="65">
        <v>49.79</v>
      </c>
      <c r="G79" s="2">
        <v>36.72</v>
      </c>
      <c r="H79" s="2">
        <v>11.14</v>
      </c>
      <c r="I79" s="2">
        <v>200.28</v>
      </c>
      <c r="J79" s="2">
        <v>12.25</v>
      </c>
      <c r="K79" s="2">
        <v>246.56</v>
      </c>
      <c r="L79" s="2">
        <v>132.33000000000001</v>
      </c>
      <c r="M79" s="144">
        <v>258.87</v>
      </c>
      <c r="N79" s="72">
        <f t="shared" si="46"/>
        <v>-7.7720207253886286E-3</v>
      </c>
      <c r="O79" s="73">
        <f t="shared" si="47"/>
        <v>-2.0538810349426617E-2</v>
      </c>
      <c r="P79" s="73">
        <f t="shared" si="48"/>
        <v>-2.707423580786017E-2</v>
      </c>
      <c r="Q79" s="73">
        <f t="shared" si="49"/>
        <v>-1.5952143569292199E-3</v>
      </c>
      <c r="R79" s="73">
        <f t="shared" si="50"/>
        <v>1.6353229762877675E-3</v>
      </c>
      <c r="S79" s="73">
        <f t="shared" si="51"/>
        <v>-2.9482385357213148E-2</v>
      </c>
      <c r="T79" s="73">
        <f t="shared" si="52"/>
        <v>1.1585013974237501E-2</v>
      </c>
      <c r="U79" s="73">
        <f t="shared" si="53"/>
        <v>-8.0247989440355161E-3</v>
      </c>
      <c r="V79" s="148">
        <f t="shared" si="54"/>
        <v>56.616528497409327</v>
      </c>
      <c r="W79" s="149">
        <f t="shared" si="55"/>
        <v>39.58002667377967</v>
      </c>
      <c r="X79" s="149">
        <f t="shared" si="56"/>
        <v>13.9128384279476</v>
      </c>
      <c r="Y79" s="149">
        <f t="shared" si="57"/>
        <v>225.97893918245265</v>
      </c>
      <c r="Z79" s="149">
        <f t="shared" si="58"/>
        <v>13.78250204415372</v>
      </c>
      <c r="AA79" s="149">
        <f t="shared" si="59"/>
        <v>260.05019484353471</v>
      </c>
      <c r="AB79" s="149">
        <f t="shared" si="60"/>
        <v>2702.2494756334136</v>
      </c>
      <c r="AC79" s="150">
        <f t="shared" si="61"/>
        <v>3197.7664534041405</v>
      </c>
      <c r="AD79" s="157">
        <f t="shared" si="62"/>
        <v>8869.4300518135096</v>
      </c>
      <c r="AE79" s="19">
        <f t="shared" si="63"/>
        <v>23654.239797279297</v>
      </c>
      <c r="AF79" s="19">
        <f t="shared" si="64"/>
        <v>34379.947598253195</v>
      </c>
      <c r="AG79" s="19">
        <f t="shared" si="65"/>
        <v>1372.0311066799468</v>
      </c>
      <c r="AH79" s="19">
        <f t="shared" si="66"/>
        <v>-1005.8413736712856</v>
      </c>
      <c r="AI79" s="19">
        <f t="shared" si="67"/>
        <v>41868.967329265965</v>
      </c>
      <c r="AJ79" s="19">
        <f t="shared" si="68"/>
        <v>-9284.1226900241963</v>
      </c>
      <c r="AK79" s="158">
        <f t="shared" si="69"/>
        <v>6467.2566489648489</v>
      </c>
      <c r="AL79" s="163">
        <f t="shared" si="70"/>
        <v>106321.90846856126</v>
      </c>
      <c r="AM79" s="20"/>
    </row>
    <row r="80" spans="1:39" x14ac:dyDescent="0.25">
      <c r="A80" s="13">
        <f t="shared" si="43"/>
        <v>75</v>
      </c>
      <c r="B80" s="1">
        <v>45210</v>
      </c>
      <c r="C80" s="7">
        <f t="shared" si="44"/>
        <v>2023</v>
      </c>
      <c r="D80" s="7">
        <f t="shared" si="45"/>
        <v>10</v>
      </c>
      <c r="E80" s="61">
        <v>17.828600000000002</v>
      </c>
      <c r="F80" s="65">
        <v>50.18</v>
      </c>
      <c r="G80" s="2">
        <v>37.49</v>
      </c>
      <c r="H80" s="2">
        <v>11.45</v>
      </c>
      <c r="I80" s="2">
        <v>200.6</v>
      </c>
      <c r="J80" s="2">
        <v>12.23</v>
      </c>
      <c r="K80" s="2">
        <v>254.05</v>
      </c>
      <c r="L80" s="2">
        <v>131.83000000000001</v>
      </c>
      <c r="M80" s="144">
        <v>262.99</v>
      </c>
      <c r="N80" s="72">
        <f t="shared" si="46"/>
        <v>1.396926761125572E-3</v>
      </c>
      <c r="O80" s="73">
        <f t="shared" si="47"/>
        <v>1.1057173678532983E-2</v>
      </c>
      <c r="P80" s="73">
        <f t="shared" si="48"/>
        <v>4.3755697356426593E-2</v>
      </c>
      <c r="Q80" s="73">
        <f t="shared" si="49"/>
        <v>5.1610963571679935E-3</v>
      </c>
      <c r="R80" s="73">
        <f t="shared" si="50"/>
        <v>-1.6326530612245094E-3</v>
      </c>
      <c r="S80" s="73">
        <f t="shared" si="51"/>
        <v>8.5751717019335594E-3</v>
      </c>
      <c r="T80" s="73">
        <f t="shared" si="52"/>
        <v>1.2357676429185949E-2</v>
      </c>
      <c r="U80" s="73">
        <f t="shared" si="53"/>
        <v>-8.0648082479138905E-3</v>
      </c>
      <c r="V80" s="148">
        <f t="shared" si="54"/>
        <v>57.139708640989831</v>
      </c>
      <c r="W80" s="149">
        <f t="shared" si="55"/>
        <v>40.856820388349512</v>
      </c>
      <c r="X80" s="149">
        <f t="shared" si="56"/>
        <v>14.9257064721969</v>
      </c>
      <c r="Y80" s="149">
        <f t="shared" si="57"/>
        <v>227.5081625494814</v>
      </c>
      <c r="Z80" s="149">
        <f t="shared" si="58"/>
        <v>13.737534693877551</v>
      </c>
      <c r="AA80" s="149">
        <f t="shared" si="59"/>
        <v>270.24771725753311</v>
      </c>
      <c r="AB80" s="149">
        <f t="shared" si="60"/>
        <v>2704.3134907037074</v>
      </c>
      <c r="AC80" s="150">
        <f t="shared" si="61"/>
        <v>3197.6374779926282</v>
      </c>
      <c r="AD80" s="157">
        <f t="shared" si="62"/>
        <v>-1594.1728197965688</v>
      </c>
      <c r="AE80" s="19">
        <f t="shared" si="63"/>
        <v>-12734.381067961178</v>
      </c>
      <c r="AF80" s="19">
        <f t="shared" si="64"/>
        <v>-55562.734731084674</v>
      </c>
      <c r="AG80" s="19">
        <f t="shared" si="65"/>
        <v>-4439.0176880292984</v>
      </c>
      <c r="AH80" s="19">
        <f t="shared" si="66"/>
        <v>1004.199183673456</v>
      </c>
      <c r="AI80" s="19">
        <f t="shared" si="67"/>
        <v>-12177.901464925548</v>
      </c>
      <c r="AJ80" s="19">
        <f t="shared" si="68"/>
        <v>-9903.3272111123551</v>
      </c>
      <c r="AK80" s="158">
        <f t="shared" si="69"/>
        <v>6499.500501842931</v>
      </c>
      <c r="AL80" s="163">
        <f t="shared" si="70"/>
        <v>-88907.83529739322</v>
      </c>
      <c r="AM80" s="20"/>
    </row>
    <row r="81" spans="1:39" x14ac:dyDescent="0.25">
      <c r="A81" s="13">
        <f t="shared" si="43"/>
        <v>76</v>
      </c>
      <c r="B81" s="1">
        <v>45209</v>
      </c>
      <c r="C81" s="7">
        <f t="shared" si="44"/>
        <v>2023</v>
      </c>
      <c r="D81" s="7">
        <f t="shared" si="45"/>
        <v>10</v>
      </c>
      <c r="E81" s="61">
        <v>17.930599999999998</v>
      </c>
      <c r="F81" s="65">
        <v>50.11</v>
      </c>
      <c r="G81" s="2">
        <v>37.08</v>
      </c>
      <c r="H81" s="2">
        <v>10.97</v>
      </c>
      <c r="I81" s="2">
        <v>199.57</v>
      </c>
      <c r="J81" s="2">
        <v>12.25</v>
      </c>
      <c r="K81" s="2">
        <v>251.89</v>
      </c>
      <c r="L81" s="2">
        <v>129.47999999999999</v>
      </c>
      <c r="M81" s="144">
        <v>263.62</v>
      </c>
      <c r="N81" s="72">
        <f t="shared" si="46"/>
        <v>2.1194212349704422E-2</v>
      </c>
      <c r="O81" s="73">
        <f t="shared" si="47"/>
        <v>8.9795918367345795E-3</v>
      </c>
      <c r="P81" s="73">
        <f t="shared" si="48"/>
        <v>2.0465116279069884E-2</v>
      </c>
      <c r="Q81" s="73">
        <f t="shared" si="49"/>
        <v>1.7331905999897979E-2</v>
      </c>
      <c r="R81" s="73">
        <f t="shared" si="50"/>
        <v>4.4330775788576249E-2</v>
      </c>
      <c r="S81" s="73">
        <f t="shared" si="51"/>
        <v>4.5837658293543582E-2</v>
      </c>
      <c r="T81" s="73">
        <f t="shared" si="52"/>
        <v>-4.7365693514418439E-3</v>
      </c>
      <c r="U81" s="73">
        <f t="shared" si="53"/>
        <v>8.8266973597495024E-4</v>
      </c>
      <c r="V81" s="148">
        <f t="shared" si="54"/>
        <v>58.269341756674137</v>
      </c>
      <c r="W81" s="149">
        <f t="shared" si="55"/>
        <v>40.772865306122441</v>
      </c>
      <c r="X81" s="149">
        <f t="shared" si="56"/>
        <v>14.5926511627907</v>
      </c>
      <c r="Y81" s="149">
        <f t="shared" si="57"/>
        <v>230.26290360401691</v>
      </c>
      <c r="Z81" s="149">
        <f t="shared" si="58"/>
        <v>14.369991474850808</v>
      </c>
      <c r="AA81" s="149">
        <f t="shared" si="59"/>
        <v>280.23220053975501</v>
      </c>
      <c r="AB81" s="149">
        <f t="shared" si="60"/>
        <v>2658.6495909237265</v>
      </c>
      <c r="AC81" s="150">
        <f t="shared" si="61"/>
        <v>3226.4808854780108</v>
      </c>
      <c r="AD81" s="157">
        <f t="shared" si="62"/>
        <v>-24186.835133482702</v>
      </c>
      <c r="AE81" s="19">
        <f t="shared" si="63"/>
        <v>-10341.661224489655</v>
      </c>
      <c r="AF81" s="19">
        <f t="shared" si="64"/>
        <v>-25987.423255814105</v>
      </c>
      <c r="AG81" s="19">
        <f t="shared" si="65"/>
        <v>-14907.033695264256</v>
      </c>
      <c r="AH81" s="19">
        <f t="shared" si="66"/>
        <v>-27266.618925831135</v>
      </c>
      <c r="AI81" s="19">
        <f t="shared" si="67"/>
        <v>-65095.662860701632</v>
      </c>
      <c r="AJ81" s="19">
        <f t="shared" si="68"/>
        <v>3795.8427228819346</v>
      </c>
      <c r="AK81" s="158">
        <f t="shared" si="69"/>
        <v>-711.35136950272226</v>
      </c>
      <c r="AL81" s="163">
        <f t="shared" si="70"/>
        <v>-164700.74374220427</v>
      </c>
      <c r="AM81" s="20"/>
    </row>
    <row r="82" spans="1:39" x14ac:dyDescent="0.25">
      <c r="A82" s="13">
        <f t="shared" si="43"/>
        <v>77</v>
      </c>
      <c r="B82" s="1">
        <v>45208</v>
      </c>
      <c r="C82" s="7">
        <f t="shared" si="44"/>
        <v>2023</v>
      </c>
      <c r="D82" s="7">
        <f t="shared" si="45"/>
        <v>10</v>
      </c>
      <c r="E82" s="61">
        <v>18.1873</v>
      </c>
      <c r="F82" s="65">
        <v>49.07</v>
      </c>
      <c r="G82" s="2">
        <v>36.75</v>
      </c>
      <c r="H82" s="2">
        <v>10.75</v>
      </c>
      <c r="I82" s="2">
        <v>196.17</v>
      </c>
      <c r="J82" s="2">
        <v>11.73</v>
      </c>
      <c r="K82" s="2">
        <v>240.85</v>
      </c>
      <c r="L82" s="2">
        <v>128.26</v>
      </c>
      <c r="M82" s="144">
        <v>259.67</v>
      </c>
      <c r="N82" s="72">
        <f t="shared" si="46"/>
        <v>-8.0857085102081783E-3</v>
      </c>
      <c r="O82" s="73">
        <f t="shared" si="47"/>
        <v>-2.9842647856754834E-3</v>
      </c>
      <c r="P82" s="73">
        <f t="shared" si="48"/>
        <v>7.4976569821931793E-3</v>
      </c>
      <c r="Q82" s="73">
        <f t="shared" si="49"/>
        <v>-1.1202199704669624E-3</v>
      </c>
      <c r="R82" s="73">
        <f t="shared" si="50"/>
        <v>-5.7073954983922759E-2</v>
      </c>
      <c r="S82" s="73">
        <f t="shared" si="51"/>
        <v>7.0633205916559305E-4</v>
      </c>
      <c r="T82" s="73">
        <f t="shared" si="52"/>
        <v>3.641298038704166E-3</v>
      </c>
      <c r="U82" s="73">
        <f t="shared" si="53"/>
        <v>-2.0114520101325306E-3</v>
      </c>
      <c r="V82" s="148">
        <f t="shared" si="54"/>
        <v>56.598629472407524</v>
      </c>
      <c r="W82" s="149">
        <f t="shared" si="55"/>
        <v>40.289405860010852</v>
      </c>
      <c r="X82" s="149">
        <f t="shared" si="56"/>
        <v>14.407216494845363</v>
      </c>
      <c r="Y82" s="149">
        <f t="shared" si="57"/>
        <v>226.0864494118845</v>
      </c>
      <c r="Z82" s="149">
        <f t="shared" si="58"/>
        <v>12.974662379421222</v>
      </c>
      <c r="AA82" s="149">
        <f t="shared" si="59"/>
        <v>268.13926167525341</v>
      </c>
      <c r="AB82" s="149">
        <f t="shared" si="60"/>
        <v>2681.0294081899051</v>
      </c>
      <c r="AC82" s="150">
        <f t="shared" si="61"/>
        <v>3217.1512919338193</v>
      </c>
      <c r="AD82" s="157">
        <f t="shared" si="62"/>
        <v>9227.4105518495726</v>
      </c>
      <c r="AE82" s="19">
        <f t="shared" si="63"/>
        <v>3436.9329896906142</v>
      </c>
      <c r="AF82" s="19">
        <f t="shared" si="64"/>
        <v>-9520.8247422681652</v>
      </c>
      <c r="AG82" s="19">
        <f t="shared" si="65"/>
        <v>963.49223483890682</v>
      </c>
      <c r="AH82" s="19">
        <f t="shared" si="66"/>
        <v>35104.591639871374</v>
      </c>
      <c r="AI82" s="19">
        <f t="shared" si="67"/>
        <v>-1003.0868788431235</v>
      </c>
      <c r="AJ82" s="19">
        <f t="shared" si="68"/>
        <v>-2918.1024569716556</v>
      </c>
      <c r="AK82" s="158">
        <f t="shared" si="69"/>
        <v>1621.0470165451625</v>
      </c>
      <c r="AL82" s="163">
        <f t="shared" si="70"/>
        <v>36911.460354712683</v>
      </c>
      <c r="AM82" s="20"/>
    </row>
    <row r="83" spans="1:39" x14ac:dyDescent="0.25">
      <c r="A83" s="13">
        <f t="shared" si="43"/>
        <v>78</v>
      </c>
      <c r="B83" s="1">
        <v>45205</v>
      </c>
      <c r="C83" s="7">
        <f t="shared" si="44"/>
        <v>2023</v>
      </c>
      <c r="D83" s="7">
        <f t="shared" si="45"/>
        <v>10</v>
      </c>
      <c r="E83" s="61">
        <v>18.163799999999998</v>
      </c>
      <c r="F83" s="65">
        <v>49.47</v>
      </c>
      <c r="G83" s="2">
        <v>36.86</v>
      </c>
      <c r="H83" s="2">
        <v>10.67</v>
      </c>
      <c r="I83" s="2">
        <v>196.39</v>
      </c>
      <c r="J83" s="2">
        <v>12.44</v>
      </c>
      <c r="K83" s="2">
        <v>240.68</v>
      </c>
      <c r="L83" s="2">
        <v>127.96</v>
      </c>
      <c r="M83" s="144">
        <v>260.52999999999997</v>
      </c>
      <c r="N83" s="72">
        <f t="shared" si="46"/>
        <v>4.467005076142172E-3</v>
      </c>
      <c r="O83" s="73">
        <f t="shared" si="47"/>
        <v>9.0336709553791028E-3</v>
      </c>
      <c r="P83" s="73">
        <f t="shared" si="48"/>
        <v>-4.6641791044776948E-3</v>
      </c>
      <c r="Q83" s="73">
        <f t="shared" si="49"/>
        <v>1.6353568286497921E-2</v>
      </c>
      <c r="R83" s="73">
        <f t="shared" si="50"/>
        <v>7.3339085418464123E-2</v>
      </c>
      <c r="S83" s="73">
        <f t="shared" si="51"/>
        <v>5.3811462848636138E-2</v>
      </c>
      <c r="T83" s="73">
        <f t="shared" si="52"/>
        <v>1.1290342269886233E-2</v>
      </c>
      <c r="U83" s="73">
        <f t="shared" si="53"/>
        <v>-2.6785455719948725E-3</v>
      </c>
      <c r="V83" s="148">
        <f t="shared" si="54"/>
        <v>57.314887309644675</v>
      </c>
      <c r="W83" s="149">
        <f t="shared" si="55"/>
        <v>40.775050643306869</v>
      </c>
      <c r="X83" s="149">
        <f t="shared" si="56"/>
        <v>14.233302238805969</v>
      </c>
      <c r="Y83" s="149">
        <f t="shared" si="57"/>
        <v>230.04146664596595</v>
      </c>
      <c r="Z83" s="149">
        <f t="shared" si="58"/>
        <v>14.769145815358065</v>
      </c>
      <c r="AA83" s="149">
        <f t="shared" si="59"/>
        <v>282.36878147029205</v>
      </c>
      <c r="AB83" s="149">
        <f t="shared" si="60"/>
        <v>2701.4623184023681</v>
      </c>
      <c r="AC83" s="150">
        <f t="shared" si="61"/>
        <v>3215.0008254593204</v>
      </c>
      <c r="AD83" s="157">
        <f t="shared" si="62"/>
        <v>-5097.7461928934536</v>
      </c>
      <c r="AE83" s="19">
        <f t="shared" si="63"/>
        <v>-10403.943334245874</v>
      </c>
      <c r="AF83" s="19">
        <f t="shared" si="64"/>
        <v>5922.7611940300249</v>
      </c>
      <c r="AG83" s="19">
        <f t="shared" si="65"/>
        <v>-14065.573254670613</v>
      </c>
      <c r="AH83" s="19">
        <f t="shared" si="66"/>
        <v>-45108.817946505536</v>
      </c>
      <c r="AI83" s="19">
        <f t="shared" si="67"/>
        <v>-76419.541792547927</v>
      </c>
      <c r="AJ83" s="19">
        <f t="shared" si="68"/>
        <v>-9047.9755207105427</v>
      </c>
      <c r="AK83" s="158">
        <f t="shared" si="69"/>
        <v>2158.6636351698871</v>
      </c>
      <c r="AL83" s="163">
        <f t="shared" si="70"/>
        <v>-152062.17321237404</v>
      </c>
      <c r="AM83" s="20"/>
    </row>
    <row r="84" spans="1:39" x14ac:dyDescent="0.25">
      <c r="A84" s="13">
        <f t="shared" si="43"/>
        <v>79</v>
      </c>
      <c r="B84" s="1">
        <v>45204</v>
      </c>
      <c r="C84" s="7">
        <f t="shared" si="44"/>
        <v>2023</v>
      </c>
      <c r="D84" s="7">
        <f t="shared" si="45"/>
        <v>10</v>
      </c>
      <c r="E84" s="61">
        <v>18.246200000000002</v>
      </c>
      <c r="F84" s="65">
        <v>49.25</v>
      </c>
      <c r="G84" s="2">
        <v>36.53</v>
      </c>
      <c r="H84" s="2">
        <v>10.72</v>
      </c>
      <c r="I84" s="2">
        <v>193.23</v>
      </c>
      <c r="J84" s="2">
        <v>11.59</v>
      </c>
      <c r="K84" s="2">
        <v>228.39</v>
      </c>
      <c r="L84" s="2">
        <v>125.96</v>
      </c>
      <c r="M84" s="144">
        <v>260.05</v>
      </c>
      <c r="N84" s="72">
        <f t="shared" si="46"/>
        <v>-2.4559318676965813E-2</v>
      </c>
      <c r="O84" s="73">
        <f t="shared" si="47"/>
        <v>-5.445140212360311E-3</v>
      </c>
      <c r="P84" s="73">
        <f t="shared" si="48"/>
        <v>-4.6263345195729499E-2</v>
      </c>
      <c r="Q84" s="73">
        <f t="shared" si="49"/>
        <v>-4.1230737514817983E-3</v>
      </c>
      <c r="R84" s="73">
        <f t="shared" si="50"/>
        <v>-3.0125523012552224E-2</v>
      </c>
      <c r="S84" s="73">
        <f t="shared" si="51"/>
        <v>-0.22276671771311907</v>
      </c>
      <c r="T84" s="73">
        <f t="shared" si="52"/>
        <v>8.2334558589669538E-3</v>
      </c>
      <c r="U84" s="73">
        <f t="shared" si="53"/>
        <v>1.2237381435245442E-2</v>
      </c>
      <c r="V84" s="148">
        <f t="shared" si="54"/>
        <v>55.658645276292333</v>
      </c>
      <c r="W84" s="149">
        <f t="shared" si="55"/>
        <v>40.189961884018516</v>
      </c>
      <c r="X84" s="149">
        <f t="shared" si="56"/>
        <v>13.638434163701069</v>
      </c>
      <c r="Y84" s="149">
        <f t="shared" si="57"/>
        <v>225.40678348708963</v>
      </c>
      <c r="Z84" s="149">
        <f t="shared" si="58"/>
        <v>13.345472803347281</v>
      </c>
      <c r="AA84" s="149">
        <f t="shared" si="59"/>
        <v>208.25965798876973</v>
      </c>
      <c r="AB84" s="149">
        <f t="shared" si="60"/>
        <v>2693.2964503963522</v>
      </c>
      <c r="AC84" s="150">
        <f t="shared" si="61"/>
        <v>3263.0843369769505</v>
      </c>
      <c r="AD84" s="157">
        <f t="shared" si="62"/>
        <v>28027.094474153386</v>
      </c>
      <c r="AE84" s="19">
        <f t="shared" si="63"/>
        <v>6271.0863054722095</v>
      </c>
      <c r="AF84" s="19">
        <f t="shared" si="64"/>
        <v>58747.046263345146</v>
      </c>
      <c r="AG84" s="19">
        <f t="shared" si="65"/>
        <v>3546.2227490594332</v>
      </c>
      <c r="AH84" s="19">
        <f t="shared" si="66"/>
        <v>18529.365690376522</v>
      </c>
      <c r="AI84" s="19">
        <f t="shared" si="67"/>
        <v>316358.81265952036</v>
      </c>
      <c r="AJ84" s="19">
        <f t="shared" si="68"/>
        <v>-6598.2151189057731</v>
      </c>
      <c r="AK84" s="158">
        <f t="shared" si="69"/>
        <v>-9862.2142442376353</v>
      </c>
      <c r="AL84" s="163">
        <f t="shared" si="70"/>
        <v>415019.19877878367</v>
      </c>
      <c r="AM84" s="20"/>
    </row>
    <row r="85" spans="1:39" x14ac:dyDescent="0.25">
      <c r="A85" s="13">
        <f t="shared" si="43"/>
        <v>80</v>
      </c>
      <c r="B85" s="1">
        <v>45203</v>
      </c>
      <c r="C85" s="7">
        <f t="shared" si="44"/>
        <v>2023</v>
      </c>
      <c r="D85" s="7">
        <f t="shared" si="45"/>
        <v>10</v>
      </c>
      <c r="E85" s="61">
        <v>17.949000000000002</v>
      </c>
      <c r="F85" s="65">
        <v>50.49</v>
      </c>
      <c r="G85" s="2">
        <v>36.729999999999997</v>
      </c>
      <c r="H85" s="2">
        <v>11.24</v>
      </c>
      <c r="I85" s="2">
        <v>194.03</v>
      </c>
      <c r="J85" s="2">
        <v>11.95</v>
      </c>
      <c r="K85" s="2">
        <v>293.85000000000002</v>
      </c>
      <c r="L85" s="2">
        <v>127</v>
      </c>
      <c r="M85" s="144">
        <v>261.16000000000003</v>
      </c>
      <c r="N85" s="72">
        <f t="shared" si="46"/>
        <v>6.5789473684212396E-3</v>
      </c>
      <c r="O85" s="73">
        <f t="shared" si="47"/>
        <v>3.8261820169442906E-3</v>
      </c>
      <c r="P85" s="73">
        <f t="shared" si="48"/>
        <v>1.7194570135746545E-2</v>
      </c>
      <c r="Q85" s="73">
        <f t="shared" si="49"/>
        <v>-6.044772296501244E-3</v>
      </c>
      <c r="R85" s="73">
        <f t="shared" si="50"/>
        <v>6.7917783735478077E-2</v>
      </c>
      <c r="S85" s="73">
        <f t="shared" si="51"/>
        <v>2.4795982423101215E-2</v>
      </c>
      <c r="T85" s="73">
        <f t="shared" si="52"/>
        <v>1.1725504667024156E-2</v>
      </c>
      <c r="U85" s="73">
        <f t="shared" si="53"/>
        <v>5.2523893840884295E-2</v>
      </c>
      <c r="V85" s="148">
        <f t="shared" si="54"/>
        <v>57.43539473684212</v>
      </c>
      <c r="W85" s="149">
        <f t="shared" si="55"/>
        <v>40.564616015304715</v>
      </c>
      <c r="X85" s="149">
        <f t="shared" si="56"/>
        <v>14.545882352941176</v>
      </c>
      <c r="Y85" s="149">
        <f t="shared" si="57"/>
        <v>224.9718262384099</v>
      </c>
      <c r="Z85" s="149">
        <f t="shared" si="58"/>
        <v>14.694548704200178</v>
      </c>
      <c r="AA85" s="149">
        <f t="shared" si="59"/>
        <v>274.59408349026995</v>
      </c>
      <c r="AB85" s="149">
        <f t="shared" si="60"/>
        <v>2702.6247687582322</v>
      </c>
      <c r="AC85" s="150">
        <f t="shared" si="61"/>
        <v>3392.9533677332279</v>
      </c>
      <c r="AD85" s="157">
        <f t="shared" si="62"/>
        <v>-7507.8947368423596</v>
      </c>
      <c r="AE85" s="19">
        <f t="shared" si="63"/>
        <v>-4406.5564361844699</v>
      </c>
      <c r="AF85" s="19">
        <f t="shared" si="64"/>
        <v>-21834.35294117633</v>
      </c>
      <c r="AG85" s="19">
        <f t="shared" si="65"/>
        <v>5199.0602940423796</v>
      </c>
      <c r="AH85" s="19">
        <f t="shared" si="66"/>
        <v>-41774.327077747985</v>
      </c>
      <c r="AI85" s="19">
        <f t="shared" si="67"/>
        <v>-35213.642498430803</v>
      </c>
      <c r="AJ85" s="19">
        <f t="shared" si="68"/>
        <v>-9396.7106274697926</v>
      </c>
      <c r="AK85" s="158">
        <f t="shared" si="69"/>
        <v>-42329.471933306988</v>
      </c>
      <c r="AL85" s="163">
        <f t="shared" si="70"/>
        <v>-157263.89595711633</v>
      </c>
      <c r="AM85" s="20"/>
    </row>
    <row r="86" spans="1:39" x14ac:dyDescent="0.25">
      <c r="A86" s="13">
        <f t="shared" si="43"/>
        <v>81</v>
      </c>
      <c r="B86" s="1">
        <v>45202</v>
      </c>
      <c r="C86" s="7">
        <f t="shared" si="44"/>
        <v>2023</v>
      </c>
      <c r="D86" s="7">
        <f t="shared" si="45"/>
        <v>10</v>
      </c>
      <c r="E86" s="61">
        <v>18.065300000000001</v>
      </c>
      <c r="F86" s="65">
        <v>50.16</v>
      </c>
      <c r="G86" s="2">
        <v>36.590000000000003</v>
      </c>
      <c r="H86" s="2">
        <v>11.05</v>
      </c>
      <c r="I86" s="2">
        <v>195.21</v>
      </c>
      <c r="J86" s="2">
        <v>11.19</v>
      </c>
      <c r="K86" s="2">
        <v>286.74</v>
      </c>
      <c r="L86" s="2">
        <v>124.72</v>
      </c>
      <c r="M86" s="144">
        <v>246.53</v>
      </c>
      <c r="N86" s="72">
        <f t="shared" si="46"/>
        <v>-1.6856134849078885E-2</v>
      </c>
      <c r="O86" s="73">
        <f t="shared" si="47"/>
        <v>-7.0556309362278524E-3</v>
      </c>
      <c r="P86" s="73">
        <f t="shared" si="48"/>
        <v>-3.6617262423713992E-2</v>
      </c>
      <c r="Q86" s="73">
        <f t="shared" si="49"/>
        <v>-1.2279355333844055E-3</v>
      </c>
      <c r="R86" s="73">
        <f t="shared" si="50"/>
        <v>-6.2166962699822248E-3</v>
      </c>
      <c r="S86" s="73">
        <f t="shared" si="51"/>
        <v>-2.1164743633508509E-2</v>
      </c>
      <c r="T86" s="73">
        <f t="shared" si="52"/>
        <v>-1.4726909800352406E-2</v>
      </c>
      <c r="U86" s="73">
        <f t="shared" si="53"/>
        <v>2.1096884378384306E-3</v>
      </c>
      <c r="V86" s="148">
        <f t="shared" si="54"/>
        <v>56.098188945511559</v>
      </c>
      <c r="W86" s="149">
        <f t="shared" si="55"/>
        <v>40.124881953867032</v>
      </c>
      <c r="X86" s="149">
        <f t="shared" si="56"/>
        <v>13.776373147340891</v>
      </c>
      <c r="Y86" s="149">
        <f t="shared" si="57"/>
        <v>226.06206907137377</v>
      </c>
      <c r="Z86" s="149">
        <f t="shared" si="58"/>
        <v>13.674458259325045</v>
      </c>
      <c r="AA86" s="149">
        <f t="shared" si="59"/>
        <v>262.27890694340141</v>
      </c>
      <c r="AB86" s="149">
        <f t="shared" si="60"/>
        <v>2631.9623705057347</v>
      </c>
      <c r="AC86" s="150">
        <f t="shared" si="61"/>
        <v>3230.4363464999615</v>
      </c>
      <c r="AD86" s="157">
        <f t="shared" si="62"/>
        <v>19236.22108976886</v>
      </c>
      <c r="AE86" s="19">
        <f t="shared" si="63"/>
        <v>8125.8643147894954</v>
      </c>
      <c r="AF86" s="19">
        <f t="shared" si="64"/>
        <v>46498.064516128943</v>
      </c>
      <c r="AG86" s="19">
        <f t="shared" si="65"/>
        <v>1056.1375287796864</v>
      </c>
      <c r="AH86" s="19">
        <f t="shared" si="66"/>
        <v>3823.7158081704993</v>
      </c>
      <c r="AI86" s="19">
        <f t="shared" si="67"/>
        <v>30056.793199972468</v>
      </c>
      <c r="AJ86" s="19">
        <f t="shared" si="68"/>
        <v>11802.008848279456</v>
      </c>
      <c r="AK86" s="158">
        <f t="shared" si="69"/>
        <v>-1700.2166249903894</v>
      </c>
      <c r="AL86" s="163">
        <f t="shared" si="70"/>
        <v>118898.588680899</v>
      </c>
      <c r="AM86" s="20"/>
    </row>
    <row r="87" spans="1:39" x14ac:dyDescent="0.25">
      <c r="A87" s="13">
        <f t="shared" si="43"/>
        <v>82</v>
      </c>
      <c r="B87" s="1">
        <v>45201</v>
      </c>
      <c r="C87" s="7">
        <f t="shared" si="44"/>
        <v>2023</v>
      </c>
      <c r="D87" s="7">
        <f t="shared" si="45"/>
        <v>10</v>
      </c>
      <c r="E87" s="61">
        <v>17.664000000000001</v>
      </c>
      <c r="F87" s="65">
        <v>51.02</v>
      </c>
      <c r="G87" s="2">
        <v>36.85</v>
      </c>
      <c r="H87" s="2">
        <v>11.47</v>
      </c>
      <c r="I87" s="2">
        <v>195.45</v>
      </c>
      <c r="J87" s="2">
        <v>11.26</v>
      </c>
      <c r="K87" s="2">
        <v>292.94</v>
      </c>
      <c r="L87" s="2">
        <v>129.46</v>
      </c>
      <c r="M87" s="144">
        <v>251.6</v>
      </c>
      <c r="N87" s="72">
        <f t="shared" si="46"/>
        <v>7.5039494470774404E-3</v>
      </c>
      <c r="O87" s="73">
        <f t="shared" si="47"/>
        <v>7.1057666028968569E-3</v>
      </c>
      <c r="P87" s="73">
        <f t="shared" si="48"/>
        <v>8.7950747581355682E-3</v>
      </c>
      <c r="Q87" s="73">
        <f t="shared" si="49"/>
        <v>-4.867364322219514E-2</v>
      </c>
      <c r="R87" s="73">
        <f t="shared" si="50"/>
        <v>-4.9789029535864948E-2</v>
      </c>
      <c r="S87" s="73">
        <f t="shared" si="51"/>
        <v>2.2692361402038896E-2</v>
      </c>
      <c r="T87" s="73">
        <f t="shared" si="52"/>
        <v>3.4037790634894982E-2</v>
      </c>
      <c r="U87" s="73">
        <f t="shared" si="53"/>
        <v>2.0947263941788918E-2</v>
      </c>
      <c r="V87" s="148">
        <f t="shared" si="54"/>
        <v>57.488175355450238</v>
      </c>
      <c r="W87" s="149">
        <f t="shared" si="55"/>
        <v>40.697144028423061</v>
      </c>
      <c r="X87" s="149">
        <f t="shared" si="56"/>
        <v>14.425769569041339</v>
      </c>
      <c r="Y87" s="149">
        <f t="shared" si="57"/>
        <v>215.32320759308834</v>
      </c>
      <c r="Z87" s="149">
        <f t="shared" si="58"/>
        <v>13.074902953586498</v>
      </c>
      <c r="AA87" s="149">
        <f t="shared" si="59"/>
        <v>274.03041823767632</v>
      </c>
      <c r="AB87" s="149">
        <f t="shared" si="60"/>
        <v>2762.2276318136919</v>
      </c>
      <c r="AC87" s="150">
        <f t="shared" si="61"/>
        <v>3291.1618232516753</v>
      </c>
      <c r="AD87" s="157">
        <f t="shared" si="62"/>
        <v>-8563.5071090047168</v>
      </c>
      <c r="AE87" s="19">
        <f t="shared" si="63"/>
        <v>-8183.6048100573362</v>
      </c>
      <c r="AF87" s="19">
        <f t="shared" si="64"/>
        <v>-11168.33773087086</v>
      </c>
      <c r="AG87" s="19">
        <f t="shared" si="65"/>
        <v>41863.811146264314</v>
      </c>
      <c r="AH87" s="19">
        <f t="shared" si="66"/>
        <v>30623.837974683509</v>
      </c>
      <c r="AI87" s="19">
        <f t="shared" si="67"/>
        <v>-32226.216659684531</v>
      </c>
      <c r="AJ87" s="19">
        <f t="shared" si="68"/>
        <v>-27277.5695441077</v>
      </c>
      <c r="AK87" s="158">
        <f t="shared" si="69"/>
        <v>-16881.585812918842</v>
      </c>
      <c r="AL87" s="163">
        <f t="shared" si="70"/>
        <v>-31813.172545696158</v>
      </c>
      <c r="AM87" s="20"/>
    </row>
    <row r="88" spans="1:39" x14ac:dyDescent="0.25">
      <c r="A88" s="13">
        <f t="shared" si="43"/>
        <v>83</v>
      </c>
      <c r="B88" s="1">
        <v>45198</v>
      </c>
      <c r="C88" s="7">
        <f t="shared" si="44"/>
        <v>2023</v>
      </c>
      <c r="D88" s="7">
        <f t="shared" si="45"/>
        <v>9</v>
      </c>
      <c r="E88" s="61">
        <v>17.396999999999998</v>
      </c>
      <c r="F88" s="65">
        <v>50.64</v>
      </c>
      <c r="G88" s="2">
        <v>36.590000000000003</v>
      </c>
      <c r="H88" s="2">
        <v>11.37</v>
      </c>
      <c r="I88" s="2">
        <v>205.45</v>
      </c>
      <c r="J88" s="2">
        <v>11.85</v>
      </c>
      <c r="K88" s="2">
        <v>286.44</v>
      </c>
      <c r="L88" s="2">
        <v>127.12</v>
      </c>
      <c r="M88" s="144">
        <v>250.22</v>
      </c>
      <c r="N88" s="72">
        <f t="shared" si="46"/>
        <v>-1.3442431326709525E-2</v>
      </c>
      <c r="O88" s="73">
        <f t="shared" si="47"/>
        <v>-2.2963951935914495E-2</v>
      </c>
      <c r="P88" s="73">
        <f t="shared" si="48"/>
        <v>-2.487135506003435E-2</v>
      </c>
      <c r="Q88" s="73">
        <f t="shared" si="49"/>
        <v>-1.5714080390935692E-2</v>
      </c>
      <c r="R88" s="73">
        <f t="shared" si="50"/>
        <v>-5.9523809523809534E-2</v>
      </c>
      <c r="S88" s="73">
        <f t="shared" si="51"/>
        <v>-6.2757672927164498E-2</v>
      </c>
      <c r="T88" s="73">
        <f t="shared" si="52"/>
        <v>8.2248670989581996E-4</v>
      </c>
      <c r="U88" s="73">
        <f t="shared" si="53"/>
        <v>7.3058202035716224E-3</v>
      </c>
      <c r="V88" s="148">
        <f t="shared" si="54"/>
        <v>56.292974868497957</v>
      </c>
      <c r="W88" s="149">
        <f t="shared" si="55"/>
        <v>39.482026702269692</v>
      </c>
      <c r="X88" s="149">
        <f t="shared" si="56"/>
        <v>13.944339622641509</v>
      </c>
      <c r="Y88" s="149">
        <f t="shared" si="57"/>
        <v>222.78327504431562</v>
      </c>
      <c r="Z88" s="149">
        <f t="shared" si="58"/>
        <v>12.94095238095238</v>
      </c>
      <c r="AA88" s="149">
        <f t="shared" si="59"/>
        <v>251.13408153916626</v>
      </c>
      <c r="AB88" s="149">
        <f t="shared" si="60"/>
        <v>2673.4995107221125</v>
      </c>
      <c r="AC88" s="150">
        <f t="shared" si="61"/>
        <v>3247.1867812187343</v>
      </c>
      <c r="AD88" s="157">
        <f t="shared" si="62"/>
        <v>15340.502630040903</v>
      </c>
      <c r="AE88" s="19">
        <f t="shared" si="63"/>
        <v>26447.238985313666</v>
      </c>
      <c r="AF88" s="19">
        <f t="shared" si="64"/>
        <v>31582.641509434037</v>
      </c>
      <c r="AG88" s="19">
        <f t="shared" si="65"/>
        <v>13515.554831600673</v>
      </c>
      <c r="AH88" s="19">
        <f t="shared" si="66"/>
        <v>36611.428571428602</v>
      </c>
      <c r="AI88" s="19">
        <f t="shared" si="67"/>
        <v>89124.367842418767</v>
      </c>
      <c r="AJ88" s="19">
        <f t="shared" si="68"/>
        <v>-659.1332166338816</v>
      </c>
      <c r="AK88" s="158">
        <f t="shared" si="69"/>
        <v>-5887.825304683588</v>
      </c>
      <c r="AL88" s="163">
        <f t="shared" si="70"/>
        <v>206074.77584891918</v>
      </c>
      <c r="AM88" s="20"/>
    </row>
    <row r="89" spans="1:39" x14ac:dyDescent="0.25">
      <c r="A89" s="13">
        <f t="shared" si="43"/>
        <v>84</v>
      </c>
      <c r="B89" s="1">
        <v>45197</v>
      </c>
      <c r="C89" s="7">
        <f t="shared" si="44"/>
        <v>2023</v>
      </c>
      <c r="D89" s="7">
        <f t="shared" si="45"/>
        <v>9</v>
      </c>
      <c r="E89" s="61">
        <v>17.54</v>
      </c>
      <c r="F89" s="65">
        <v>51.33</v>
      </c>
      <c r="G89" s="2">
        <v>37.450000000000003</v>
      </c>
      <c r="H89" s="2">
        <v>11.66</v>
      </c>
      <c r="I89" s="2">
        <v>208.73</v>
      </c>
      <c r="J89" s="2">
        <v>12.6</v>
      </c>
      <c r="K89" s="2">
        <v>305.62</v>
      </c>
      <c r="L89" s="2">
        <v>125.98</v>
      </c>
      <c r="M89" s="144">
        <v>246.38</v>
      </c>
      <c r="N89" s="72">
        <f t="shared" si="46"/>
        <v>2.3432923257176164E-3</v>
      </c>
      <c r="O89" s="73">
        <f t="shared" si="47"/>
        <v>-1.0669511869831894E-3</v>
      </c>
      <c r="P89" s="73">
        <f t="shared" si="48"/>
        <v>4.3066322136089408E-3</v>
      </c>
      <c r="Q89" s="73">
        <f t="shared" si="49"/>
        <v>-5.4319340544146666E-3</v>
      </c>
      <c r="R89" s="73">
        <f t="shared" si="50"/>
        <v>-1.945525291828798E-2</v>
      </c>
      <c r="S89" s="73">
        <f t="shared" si="51"/>
        <v>1.8028649162487032E-3</v>
      </c>
      <c r="T89" s="73">
        <f t="shared" si="52"/>
        <v>-7.1492049834996907E-3</v>
      </c>
      <c r="U89" s="73">
        <f t="shared" si="53"/>
        <v>1.712506809216352E-2</v>
      </c>
      <c r="V89" s="148">
        <f t="shared" si="54"/>
        <v>57.193708260105453</v>
      </c>
      <c r="W89" s="149">
        <f t="shared" si="55"/>
        <v>40.366884502534006</v>
      </c>
      <c r="X89" s="149">
        <f t="shared" si="56"/>
        <v>14.361584840654608</v>
      </c>
      <c r="Y89" s="149">
        <f t="shared" si="57"/>
        <v>225.1105360461238</v>
      </c>
      <c r="Z89" s="149">
        <f t="shared" si="58"/>
        <v>13.492295719844357</v>
      </c>
      <c r="AA89" s="149">
        <f t="shared" si="59"/>
        <v>268.43307765430882</v>
      </c>
      <c r="AB89" s="149">
        <f t="shared" si="60"/>
        <v>2652.204711569485</v>
      </c>
      <c r="AC89" s="150">
        <f t="shared" si="61"/>
        <v>3278.8404570993143</v>
      </c>
      <c r="AD89" s="157">
        <f t="shared" si="62"/>
        <v>-2674.165202109009</v>
      </c>
      <c r="AE89" s="19">
        <f t="shared" si="63"/>
        <v>1228.7916777807268</v>
      </c>
      <c r="AF89" s="19">
        <f t="shared" si="64"/>
        <v>-5468.7338501291124</v>
      </c>
      <c r="AG89" s="19">
        <f t="shared" si="65"/>
        <v>4671.9630247295809</v>
      </c>
      <c r="AH89" s="19">
        <f t="shared" si="66"/>
        <v>11966.381322957235</v>
      </c>
      <c r="AI89" s="19">
        <f t="shared" si="67"/>
        <v>-2560.311567836794</v>
      </c>
      <c r="AJ89" s="19">
        <f t="shared" si="68"/>
        <v>5729.3065291543826</v>
      </c>
      <c r="AK89" s="158">
        <f t="shared" si="69"/>
        <v>-13801.244274828605</v>
      </c>
      <c r="AL89" s="163">
        <f t="shared" si="70"/>
        <v>-908.01234028159524</v>
      </c>
      <c r="AM89" s="20"/>
    </row>
    <row r="90" spans="1:39" x14ac:dyDescent="0.25">
      <c r="A90" s="13">
        <f t="shared" si="43"/>
        <v>85</v>
      </c>
      <c r="B90" s="1">
        <v>45196</v>
      </c>
      <c r="C90" s="7">
        <f t="shared" si="44"/>
        <v>2023</v>
      </c>
      <c r="D90" s="7">
        <f t="shared" si="45"/>
        <v>9</v>
      </c>
      <c r="E90" s="61">
        <v>17.6663</v>
      </c>
      <c r="F90" s="65">
        <v>51.21</v>
      </c>
      <c r="G90" s="2">
        <v>37.49</v>
      </c>
      <c r="H90" s="2">
        <v>11.61</v>
      </c>
      <c r="I90" s="2">
        <v>209.87</v>
      </c>
      <c r="J90" s="2">
        <v>12.85</v>
      </c>
      <c r="K90" s="2">
        <v>305.07</v>
      </c>
      <c r="L90" s="2">
        <v>125.98</v>
      </c>
      <c r="M90" s="144">
        <v>240.5</v>
      </c>
      <c r="N90" s="72">
        <f t="shared" si="46"/>
        <v>5.6952081696779455E-3</v>
      </c>
      <c r="O90" s="73">
        <f t="shared" si="47"/>
        <v>1.9581180310035418E-2</v>
      </c>
      <c r="P90" s="73">
        <f t="shared" si="48"/>
        <v>9.565217391304337E-3</v>
      </c>
      <c r="Q90" s="73">
        <f t="shared" si="49"/>
        <v>-1.8381665107577216E-2</v>
      </c>
      <c r="R90" s="73">
        <f t="shared" si="50"/>
        <v>4.5565500406834936E-2</v>
      </c>
      <c r="S90" s="73">
        <f t="shared" si="51"/>
        <v>2.5303976339139389E-3</v>
      </c>
      <c r="T90" s="73">
        <f t="shared" si="52"/>
        <v>8.1202921707370646E-3</v>
      </c>
      <c r="U90" s="73">
        <f t="shared" si="53"/>
        <v>-6.8288945311227867E-3</v>
      </c>
      <c r="V90" s="148">
        <f t="shared" si="54"/>
        <v>57.384968578161825</v>
      </c>
      <c r="W90" s="149">
        <f t="shared" si="55"/>
        <v>41.201275496328527</v>
      </c>
      <c r="X90" s="149">
        <f t="shared" si="56"/>
        <v>14.436782608695653</v>
      </c>
      <c r="Y90" s="149">
        <f t="shared" si="57"/>
        <v>222.17949391955096</v>
      </c>
      <c r="Z90" s="149">
        <f t="shared" si="58"/>
        <v>14.386981285598049</v>
      </c>
      <c r="AA90" s="149">
        <f t="shared" si="59"/>
        <v>268.62802004600724</v>
      </c>
      <c r="AB90" s="149">
        <f t="shared" si="60"/>
        <v>2692.9941559643908</v>
      </c>
      <c r="AC90" s="150">
        <f t="shared" si="61"/>
        <v>3201.6216133002945</v>
      </c>
      <c r="AD90" s="157">
        <f t="shared" si="62"/>
        <v>-6499.371563236451</v>
      </c>
      <c r="AE90" s="19">
        <f t="shared" si="63"/>
        <v>-22551.351645363131</v>
      </c>
      <c r="AF90" s="19">
        <f t="shared" si="64"/>
        <v>-12146.295652173923</v>
      </c>
      <c r="AG90" s="19">
        <f t="shared" si="65"/>
        <v>15809.92310570635</v>
      </c>
      <c r="AH90" s="19">
        <f t="shared" si="66"/>
        <v>-28026.06346623279</v>
      </c>
      <c r="AI90" s="19">
        <f t="shared" si="67"/>
        <v>-3593.5062438384139</v>
      </c>
      <c r="AJ90" s="19">
        <f t="shared" si="68"/>
        <v>-6507.5267893173532</v>
      </c>
      <c r="AK90" s="158">
        <f t="shared" si="69"/>
        <v>5503.4666749263579</v>
      </c>
      <c r="AL90" s="163">
        <f t="shared" si="70"/>
        <v>-58010.725579529346</v>
      </c>
      <c r="AM90" s="20"/>
    </row>
    <row r="91" spans="1:39" x14ac:dyDescent="0.25">
      <c r="A91" s="13">
        <f t="shared" si="43"/>
        <v>86</v>
      </c>
      <c r="B91" s="1">
        <v>45195</v>
      </c>
      <c r="C91" s="7">
        <f t="shared" si="44"/>
        <v>2023</v>
      </c>
      <c r="D91" s="7">
        <f t="shared" si="45"/>
        <v>9</v>
      </c>
      <c r="E91" s="61">
        <v>17.524000000000001</v>
      </c>
      <c r="F91" s="65">
        <v>50.92</v>
      </c>
      <c r="G91" s="2">
        <v>36.770000000000003</v>
      </c>
      <c r="H91" s="2">
        <v>11.5</v>
      </c>
      <c r="I91" s="2">
        <v>213.8</v>
      </c>
      <c r="J91" s="2">
        <v>12.29</v>
      </c>
      <c r="K91" s="2">
        <v>304.3</v>
      </c>
      <c r="L91" s="2">
        <v>125.98</v>
      </c>
      <c r="M91" s="144">
        <v>244.12</v>
      </c>
      <c r="N91" s="72">
        <f t="shared" si="46"/>
        <v>-5.2744676694665982E-3</v>
      </c>
      <c r="O91" s="73">
        <f t="shared" si="47"/>
        <v>4.0961223375206579E-3</v>
      </c>
      <c r="P91" s="73">
        <f t="shared" si="48"/>
        <v>-8.6206896551723755E-3</v>
      </c>
      <c r="Q91" s="73">
        <f t="shared" si="49"/>
        <v>2.2971262481834565E-3</v>
      </c>
      <c r="R91" s="73">
        <f t="shared" si="50"/>
        <v>-5.1697530864197705E-2</v>
      </c>
      <c r="S91" s="73">
        <f t="shared" si="51"/>
        <v>-1.230160018176496E-2</v>
      </c>
      <c r="T91" s="73">
        <f t="shared" si="52"/>
        <v>-3.2864637291407095E-2</v>
      </c>
      <c r="U91" s="73">
        <f t="shared" si="53"/>
        <v>-3.9637703291257598E-3</v>
      </c>
      <c r="V91" s="148">
        <f t="shared" si="54"/>
        <v>56.759038874780238</v>
      </c>
      <c r="W91" s="149">
        <f t="shared" si="55"/>
        <v>40.575524303659208</v>
      </c>
      <c r="X91" s="149">
        <f t="shared" si="56"/>
        <v>14.176724137931036</v>
      </c>
      <c r="Y91" s="149">
        <f t="shared" si="57"/>
        <v>226.85993155501384</v>
      </c>
      <c r="Z91" s="149">
        <f t="shared" si="58"/>
        <v>13.048641975308639</v>
      </c>
      <c r="AA91" s="149">
        <f t="shared" si="59"/>
        <v>264.65378623129607</v>
      </c>
      <c r="AB91" s="149">
        <f t="shared" si="60"/>
        <v>2583.5110155283342</v>
      </c>
      <c r="AC91" s="150">
        <f t="shared" si="61"/>
        <v>3210.8577293324588</v>
      </c>
      <c r="AD91" s="157">
        <f t="shared" si="62"/>
        <v>6019.2225043952876</v>
      </c>
      <c r="AE91" s="19">
        <f t="shared" si="63"/>
        <v>-4717.4426542875171</v>
      </c>
      <c r="AF91" s="19">
        <f t="shared" si="64"/>
        <v>10946.896551724103</v>
      </c>
      <c r="AG91" s="19">
        <f t="shared" si="65"/>
        <v>-1975.7399090525951</v>
      </c>
      <c r="AH91" s="19">
        <f t="shared" si="66"/>
        <v>31797.703703703821</v>
      </c>
      <c r="AI91" s="19">
        <f t="shared" si="67"/>
        <v>17469.932974130785</v>
      </c>
      <c r="AJ91" s="19">
        <f t="shared" si="68"/>
        <v>26337.415341499625</v>
      </c>
      <c r="AK91" s="158">
        <f t="shared" si="69"/>
        <v>3194.4376668852783</v>
      </c>
      <c r="AL91" s="163">
        <f t="shared" si="70"/>
        <v>89072.426178998794</v>
      </c>
      <c r="AM91" s="20"/>
    </row>
    <row r="92" spans="1:39" x14ac:dyDescent="0.25">
      <c r="A92" s="13">
        <f t="shared" si="43"/>
        <v>87</v>
      </c>
      <c r="B92" s="1">
        <v>45194</v>
      </c>
      <c r="C92" s="7">
        <f t="shared" si="44"/>
        <v>2023</v>
      </c>
      <c r="D92" s="7">
        <f t="shared" si="45"/>
        <v>9</v>
      </c>
      <c r="E92" s="61">
        <v>17.389299999999999</v>
      </c>
      <c r="F92" s="65">
        <v>51.19</v>
      </c>
      <c r="G92" s="2">
        <v>36.619999999999997</v>
      </c>
      <c r="H92" s="2">
        <v>11.6</v>
      </c>
      <c r="I92" s="2">
        <v>213.31</v>
      </c>
      <c r="J92" s="2">
        <v>12.96</v>
      </c>
      <c r="K92" s="2">
        <v>308.08999999999997</v>
      </c>
      <c r="L92" s="2">
        <v>131.27000000000001</v>
      </c>
      <c r="M92" s="144">
        <v>246.99</v>
      </c>
      <c r="N92" s="72">
        <f t="shared" si="46"/>
        <v>-6.019417475728206E-3</v>
      </c>
      <c r="O92" s="73">
        <f t="shared" si="47"/>
        <v>-2.1798365122617236E-3</v>
      </c>
      <c r="P92" s="73">
        <f t="shared" si="48"/>
        <v>6.9444444444444198E-3</v>
      </c>
      <c r="Q92" s="73">
        <f t="shared" si="49"/>
        <v>-2.1334189759588895E-2</v>
      </c>
      <c r="R92" s="73">
        <f t="shared" si="50"/>
        <v>-5.1938551572787039E-2</v>
      </c>
      <c r="S92" s="73">
        <f t="shared" si="51"/>
        <v>1.1324842436974736E-2</v>
      </c>
      <c r="T92" s="73">
        <f t="shared" si="52"/>
        <v>2.7905989085077687E-2</v>
      </c>
      <c r="U92" s="73">
        <f t="shared" si="53"/>
        <v>1.978232901126753E-2</v>
      </c>
      <c r="V92" s="148">
        <f t="shared" si="54"/>
        <v>56.716532038834949</v>
      </c>
      <c r="W92" s="149">
        <f t="shared" si="55"/>
        <v>40.321912806539501</v>
      </c>
      <c r="X92" s="149">
        <f t="shared" si="56"/>
        <v>14.399305555555555</v>
      </c>
      <c r="Y92" s="149">
        <f t="shared" si="57"/>
        <v>221.51121948981466</v>
      </c>
      <c r="Z92" s="149">
        <f t="shared" si="58"/>
        <v>13.045325530358451</v>
      </c>
      <c r="AA92" s="149">
        <f t="shared" si="59"/>
        <v>270.98449153098738</v>
      </c>
      <c r="AB92" s="149">
        <f t="shared" si="60"/>
        <v>2745.8477356173412</v>
      </c>
      <c r="AC92" s="150">
        <f t="shared" si="61"/>
        <v>3287.4064976777554</v>
      </c>
      <c r="AD92" s="157">
        <f t="shared" si="62"/>
        <v>6869.359223301075</v>
      </c>
      <c r="AE92" s="19">
        <f t="shared" si="63"/>
        <v>2510.4850136241198</v>
      </c>
      <c r="AF92" s="19">
        <f t="shared" si="64"/>
        <v>-8818.3333333332521</v>
      </c>
      <c r="AG92" s="19">
        <f t="shared" si="65"/>
        <v>18349.36593870429</v>
      </c>
      <c r="AH92" s="19">
        <f t="shared" si="66"/>
        <v>31945.948792977251</v>
      </c>
      <c r="AI92" s="19">
        <f t="shared" si="67"/>
        <v>-16082.805114233195</v>
      </c>
      <c r="AJ92" s="19">
        <f t="shared" si="68"/>
        <v>-22363.60068520248</v>
      </c>
      <c r="AK92" s="158">
        <f t="shared" si="69"/>
        <v>-15942.75441943887</v>
      </c>
      <c r="AL92" s="163">
        <f t="shared" si="70"/>
        <v>-3532.3345836010649</v>
      </c>
      <c r="AM92" s="20"/>
    </row>
    <row r="93" spans="1:39" x14ac:dyDescent="0.25">
      <c r="A93" s="13">
        <f t="shared" si="43"/>
        <v>88</v>
      </c>
      <c r="B93" s="1">
        <v>45191</v>
      </c>
      <c r="C93" s="7">
        <f t="shared" si="44"/>
        <v>2023</v>
      </c>
      <c r="D93" s="7">
        <f t="shared" si="45"/>
        <v>9</v>
      </c>
      <c r="E93" s="61">
        <v>17.198899999999998</v>
      </c>
      <c r="F93" s="65">
        <v>51.5</v>
      </c>
      <c r="G93" s="2">
        <v>36.700000000000003</v>
      </c>
      <c r="H93" s="2">
        <v>11.52</v>
      </c>
      <c r="I93" s="2">
        <v>217.96</v>
      </c>
      <c r="J93" s="2">
        <v>13.67</v>
      </c>
      <c r="K93" s="2">
        <v>304.64</v>
      </c>
      <c r="L93" s="2">
        <v>129.12</v>
      </c>
      <c r="M93" s="144">
        <v>244.88</v>
      </c>
      <c r="N93" s="72">
        <f t="shared" si="46"/>
        <v>-4.2536736272235087E-3</v>
      </c>
      <c r="O93" s="73">
        <f t="shared" si="47"/>
        <v>7.4114740598407725E-3</v>
      </c>
      <c r="P93" s="73">
        <f t="shared" si="48"/>
        <v>-2.0408163265306145E-2</v>
      </c>
      <c r="Q93" s="73">
        <f t="shared" si="49"/>
        <v>-1.3934129569308618E-2</v>
      </c>
      <c r="R93" s="73">
        <f t="shared" si="50"/>
        <v>-5.0034746351633075E-2</v>
      </c>
      <c r="S93" s="73">
        <f t="shared" si="51"/>
        <v>-8.1396106010288571E-3</v>
      </c>
      <c r="T93" s="73">
        <f t="shared" si="52"/>
        <v>-3.0786558715254486E-3</v>
      </c>
      <c r="U93" s="73">
        <f t="shared" si="53"/>
        <v>-4.3710817422225379E-2</v>
      </c>
      <c r="V93" s="148">
        <f t="shared" si="54"/>
        <v>56.817285382830626</v>
      </c>
      <c r="W93" s="149">
        <f t="shared" si="55"/>
        <v>40.709497666758161</v>
      </c>
      <c r="X93" s="149">
        <f t="shared" si="56"/>
        <v>14.008163265306123</v>
      </c>
      <c r="Y93" s="149">
        <f t="shared" si="57"/>
        <v>223.18614911328268</v>
      </c>
      <c r="Z93" s="149">
        <f t="shared" si="58"/>
        <v>13.071521890201529</v>
      </c>
      <c r="AA93" s="149">
        <f t="shared" si="59"/>
        <v>265.76899133945432</v>
      </c>
      <c r="AB93" s="149">
        <f t="shared" si="60"/>
        <v>2663.0783791816198</v>
      </c>
      <c r="AC93" s="150">
        <f t="shared" si="61"/>
        <v>3082.7277380979122</v>
      </c>
      <c r="AD93" s="157">
        <f t="shared" si="62"/>
        <v>4854.2923433875276</v>
      </c>
      <c r="AE93" s="19">
        <f t="shared" si="63"/>
        <v>-8535.6835026076715</v>
      </c>
      <c r="AF93" s="19">
        <f t="shared" si="64"/>
        <v>25915.102040816302</v>
      </c>
      <c r="AG93" s="19">
        <f t="shared" si="65"/>
        <v>11984.633369525824</v>
      </c>
      <c r="AH93" s="19">
        <f t="shared" si="66"/>
        <v>30774.971507991639</v>
      </c>
      <c r="AI93" s="19">
        <f t="shared" si="67"/>
        <v>11559.34590089206</v>
      </c>
      <c r="AJ93" s="19">
        <f t="shared" si="68"/>
        <v>2467.2062455139439</v>
      </c>
      <c r="AK93" s="158">
        <f t="shared" si="69"/>
        <v>35226.935475521939</v>
      </c>
      <c r="AL93" s="163">
        <f t="shared" si="70"/>
        <v>114246.80338104157</v>
      </c>
      <c r="AM93" s="20"/>
    </row>
    <row r="94" spans="1:39" x14ac:dyDescent="0.25">
      <c r="A94" s="13">
        <f t="shared" si="43"/>
        <v>89</v>
      </c>
      <c r="B94" s="1">
        <v>45190</v>
      </c>
      <c r="C94" s="7">
        <f t="shared" si="44"/>
        <v>2023</v>
      </c>
      <c r="D94" s="7">
        <f t="shared" si="45"/>
        <v>9</v>
      </c>
      <c r="E94" s="61">
        <v>17.224</v>
      </c>
      <c r="F94" s="65">
        <v>51.72</v>
      </c>
      <c r="G94" s="2">
        <v>36.43</v>
      </c>
      <c r="H94" s="2">
        <v>11.76</v>
      </c>
      <c r="I94" s="2">
        <v>221.04</v>
      </c>
      <c r="J94" s="2">
        <v>14.39</v>
      </c>
      <c r="K94" s="2">
        <v>307.14</v>
      </c>
      <c r="L94" s="2">
        <v>129.33000000000001</v>
      </c>
      <c r="M94" s="144">
        <v>255.7</v>
      </c>
      <c r="N94" s="72">
        <f t="shared" si="46"/>
        <v>-1.0522288119380274E-2</v>
      </c>
      <c r="O94" s="73">
        <f t="shared" si="47"/>
        <v>-1.9116855142703337E-2</v>
      </c>
      <c r="P94" s="73">
        <f t="shared" si="48"/>
        <v>-3.6855036855036993E-2</v>
      </c>
      <c r="Q94" s="73">
        <f t="shared" si="49"/>
        <v>-7.8103959062753026E-3</v>
      </c>
      <c r="R94" s="73">
        <f t="shared" si="50"/>
        <v>-3.4875922199865794E-2</v>
      </c>
      <c r="S94" s="73">
        <f t="shared" si="51"/>
        <v>-3.2452781203349268E-3</v>
      </c>
      <c r="T94" s="73">
        <f t="shared" si="52"/>
        <v>-3.6439687539939203E-2</v>
      </c>
      <c r="U94" s="73">
        <f t="shared" si="53"/>
        <v>-1.8482905544970785E-2</v>
      </c>
      <c r="V94" s="148">
        <f t="shared" si="54"/>
        <v>56.459598239908161</v>
      </c>
      <c r="W94" s="149">
        <f t="shared" si="55"/>
        <v>39.637487883683356</v>
      </c>
      <c r="X94" s="149">
        <f t="shared" si="56"/>
        <v>13.772972972972971</v>
      </c>
      <c r="Y94" s="149">
        <f t="shared" si="57"/>
        <v>224.57219499057365</v>
      </c>
      <c r="Z94" s="149">
        <f t="shared" si="58"/>
        <v>13.280107310529846</v>
      </c>
      <c r="AA94" s="149">
        <f t="shared" si="59"/>
        <v>267.08042772765623</v>
      </c>
      <c r="AB94" s="149">
        <f t="shared" si="60"/>
        <v>2573.9609752193101</v>
      </c>
      <c r="AC94" s="150">
        <f t="shared" si="61"/>
        <v>3164.0533299117433</v>
      </c>
      <c r="AD94" s="157">
        <f t="shared" si="62"/>
        <v>12008.035201836832</v>
      </c>
      <c r="AE94" s="19">
        <f t="shared" si="63"/>
        <v>22016.595315024257</v>
      </c>
      <c r="AF94" s="19">
        <f t="shared" si="64"/>
        <v>46800.000000000255</v>
      </c>
      <c r="AG94" s="19">
        <f t="shared" si="65"/>
        <v>6717.6590358201447</v>
      </c>
      <c r="AH94" s="19">
        <f t="shared" si="66"/>
        <v>21451.203219315856</v>
      </c>
      <c r="AI94" s="19">
        <f t="shared" si="67"/>
        <v>4608.7330434219266</v>
      </c>
      <c r="AJ94" s="19">
        <f t="shared" si="68"/>
        <v>29202.427434206857</v>
      </c>
      <c r="AK94" s="158">
        <f t="shared" si="69"/>
        <v>14895.53752206416</v>
      </c>
      <c r="AL94" s="163">
        <f t="shared" si="70"/>
        <v>157700.19077169031</v>
      </c>
      <c r="AM94" s="20"/>
    </row>
    <row r="95" spans="1:39" x14ac:dyDescent="0.25">
      <c r="A95" s="13">
        <f t="shared" si="43"/>
        <v>90</v>
      </c>
      <c r="B95" s="1">
        <v>45189</v>
      </c>
      <c r="C95" s="7">
        <f t="shared" si="44"/>
        <v>2023</v>
      </c>
      <c r="D95" s="7">
        <f t="shared" si="45"/>
        <v>9</v>
      </c>
      <c r="E95" s="61">
        <v>17.087900000000001</v>
      </c>
      <c r="F95" s="65">
        <v>52.27</v>
      </c>
      <c r="G95" s="2">
        <v>37.14</v>
      </c>
      <c r="H95" s="2">
        <v>12.21</v>
      </c>
      <c r="I95" s="2">
        <v>222.78</v>
      </c>
      <c r="J95" s="2">
        <v>14.91</v>
      </c>
      <c r="K95" s="2">
        <v>308.14</v>
      </c>
      <c r="L95" s="2">
        <v>135.29</v>
      </c>
      <c r="M95" s="144">
        <v>262.58999999999997</v>
      </c>
      <c r="N95" s="72">
        <f t="shared" si="46"/>
        <v>5.1923076923077183E-3</v>
      </c>
      <c r="O95" s="73">
        <f t="shared" si="47"/>
        <v>4.0627626786214677E-2</v>
      </c>
      <c r="P95" s="73">
        <f t="shared" si="48"/>
        <v>-3.2653061224489077E-3</v>
      </c>
      <c r="Q95" s="73">
        <f t="shared" si="49"/>
        <v>8.985533291401282E-4</v>
      </c>
      <c r="R95" s="73">
        <f t="shared" si="50"/>
        <v>2.0533880903490731E-2</v>
      </c>
      <c r="S95" s="73">
        <f t="shared" si="51"/>
        <v>-2.8154428659267206E-3</v>
      </c>
      <c r="T95" s="73">
        <f t="shared" si="52"/>
        <v>-1.6397713111633516E-2</v>
      </c>
      <c r="U95" s="73">
        <f t="shared" si="53"/>
        <v>-1.4065842942509899E-2</v>
      </c>
      <c r="V95" s="148">
        <f t="shared" si="54"/>
        <v>57.356273076923081</v>
      </c>
      <c r="W95" s="149">
        <f t="shared" si="55"/>
        <v>42.051762398430931</v>
      </c>
      <c r="X95" s="149">
        <f t="shared" si="56"/>
        <v>14.253306122448981</v>
      </c>
      <c r="Y95" s="149">
        <f t="shared" si="57"/>
        <v>226.54337856051757</v>
      </c>
      <c r="Z95" s="149">
        <f t="shared" si="58"/>
        <v>14.042546201232032</v>
      </c>
      <c r="AA95" s="149">
        <f t="shared" si="59"/>
        <v>267.19560208407495</v>
      </c>
      <c r="AB95" s="149">
        <f t="shared" si="60"/>
        <v>2627.4991496103817</v>
      </c>
      <c r="AC95" s="150">
        <f t="shared" si="61"/>
        <v>3178.2923296344175</v>
      </c>
      <c r="AD95" s="157">
        <f t="shared" si="62"/>
        <v>-5925.4615384615763</v>
      </c>
      <c r="AE95" s="19">
        <f t="shared" si="63"/>
        <v>-46790.22835528163</v>
      </c>
      <c r="AF95" s="19">
        <f t="shared" si="64"/>
        <v>4146.4163265305515</v>
      </c>
      <c r="AG95" s="19">
        <f t="shared" si="65"/>
        <v>-772.83852996674227</v>
      </c>
      <c r="AH95" s="19">
        <f t="shared" si="66"/>
        <v>-12629.815195071826</v>
      </c>
      <c r="AI95" s="19">
        <f t="shared" si="67"/>
        <v>3998.3089544027107</v>
      </c>
      <c r="AJ95" s="19">
        <f t="shared" si="68"/>
        <v>13140.975116885375</v>
      </c>
      <c r="AK95" s="158">
        <f t="shared" si="69"/>
        <v>11335.787591395616</v>
      </c>
      <c r="AL95" s="163">
        <f t="shared" si="70"/>
        <v>-33496.855629567515</v>
      </c>
      <c r="AM95" s="20"/>
    </row>
    <row r="96" spans="1:39" x14ac:dyDescent="0.25">
      <c r="A96" s="13">
        <f t="shared" si="43"/>
        <v>91</v>
      </c>
      <c r="B96" s="1">
        <v>45188</v>
      </c>
      <c r="C96" s="7">
        <f t="shared" si="44"/>
        <v>2023</v>
      </c>
      <c r="D96" s="7">
        <f t="shared" si="45"/>
        <v>9</v>
      </c>
      <c r="E96" s="61">
        <v>17.077400000000001</v>
      </c>
      <c r="F96" s="65">
        <v>52</v>
      </c>
      <c r="G96" s="2">
        <v>35.69</v>
      </c>
      <c r="H96" s="2">
        <v>12.25</v>
      </c>
      <c r="I96" s="2">
        <v>222.58</v>
      </c>
      <c r="J96" s="2">
        <v>14.61</v>
      </c>
      <c r="K96" s="2">
        <v>309.01</v>
      </c>
      <c r="L96" s="2">
        <v>137.63</v>
      </c>
      <c r="M96" s="144">
        <v>266.5</v>
      </c>
      <c r="N96" s="72">
        <f t="shared" si="46"/>
        <v>1.0493587252234704E-2</v>
      </c>
      <c r="O96" s="73">
        <f t="shared" si="47"/>
        <v>-8.060033351862117E-3</v>
      </c>
      <c r="P96" s="73">
        <f t="shared" si="48"/>
        <v>2.7684563758389347E-2</v>
      </c>
      <c r="Q96" s="73">
        <f t="shared" si="49"/>
        <v>1.6200162001620555E-3</v>
      </c>
      <c r="R96" s="73">
        <f t="shared" si="50"/>
        <v>-4.0899795501022629E-3</v>
      </c>
      <c r="S96" s="73">
        <f t="shared" si="51"/>
        <v>1.718101659750948E-3</v>
      </c>
      <c r="T96" s="73">
        <f t="shared" si="52"/>
        <v>-1.9864416198819845E-2</v>
      </c>
      <c r="U96" s="73">
        <f t="shared" si="53"/>
        <v>1.4556943552626045E-3</v>
      </c>
      <c r="V96" s="148">
        <f t="shared" si="54"/>
        <v>57.658764088612514</v>
      </c>
      <c r="W96" s="149">
        <f t="shared" si="55"/>
        <v>40.084294052251245</v>
      </c>
      <c r="X96" s="149">
        <f t="shared" si="56"/>
        <v>14.695889261744968</v>
      </c>
      <c r="Y96" s="149">
        <f t="shared" si="57"/>
        <v>226.70667446674469</v>
      </c>
      <c r="Z96" s="149">
        <f t="shared" si="58"/>
        <v>13.703721881390592</v>
      </c>
      <c r="AA96" s="149">
        <f t="shared" si="59"/>
        <v>268.41036533973028</v>
      </c>
      <c r="AB96" s="149">
        <f t="shared" si="60"/>
        <v>2618.2385373334932</v>
      </c>
      <c r="AC96" s="150">
        <f t="shared" si="61"/>
        <v>3228.3281079716603</v>
      </c>
      <c r="AD96" s="157">
        <f t="shared" si="62"/>
        <v>-11975.28177225024</v>
      </c>
      <c r="AE96" s="19">
        <f t="shared" si="63"/>
        <v>9282.6195108394204</v>
      </c>
      <c r="AF96" s="19">
        <f t="shared" si="64"/>
        <v>-35154.966442953104</v>
      </c>
      <c r="AG96" s="19">
        <f t="shared" si="65"/>
        <v>-1393.3629736297974</v>
      </c>
      <c r="AH96" s="19">
        <f t="shared" si="66"/>
        <v>2515.6319018405134</v>
      </c>
      <c r="AI96" s="19">
        <f t="shared" si="67"/>
        <v>-2439.9363005705254</v>
      </c>
      <c r="AJ96" s="19">
        <f t="shared" si="68"/>
        <v>15919.158799951902</v>
      </c>
      <c r="AK96" s="158">
        <f t="shared" si="69"/>
        <v>-1173.1569929150965</v>
      </c>
      <c r="AL96" s="163">
        <f t="shared" si="70"/>
        <v>-24419.294269686925</v>
      </c>
      <c r="AM96" s="20"/>
    </row>
    <row r="97" spans="1:39" x14ac:dyDescent="0.25">
      <c r="A97" s="13">
        <f t="shared" si="43"/>
        <v>92</v>
      </c>
      <c r="B97" s="1">
        <v>45187</v>
      </c>
      <c r="C97" s="7">
        <f t="shared" si="44"/>
        <v>2023</v>
      </c>
      <c r="D97" s="7">
        <f t="shared" si="45"/>
        <v>9</v>
      </c>
      <c r="E97" s="61">
        <v>17.131</v>
      </c>
      <c r="F97" s="65">
        <v>51.46</v>
      </c>
      <c r="G97" s="2">
        <v>35.979999999999997</v>
      </c>
      <c r="H97" s="2">
        <v>11.92</v>
      </c>
      <c r="I97" s="2">
        <v>222.22</v>
      </c>
      <c r="J97" s="2">
        <v>14.67</v>
      </c>
      <c r="K97" s="2">
        <v>308.48</v>
      </c>
      <c r="L97" s="2">
        <v>139.97999999999999</v>
      </c>
      <c r="M97" s="144">
        <v>265.27999999999997</v>
      </c>
      <c r="N97" s="72">
        <f t="shared" si="46"/>
        <v>5.8639562157936087E-3</v>
      </c>
      <c r="O97" s="73">
        <f t="shared" si="47"/>
        <v>5.3087454596254524E-3</v>
      </c>
      <c r="P97" s="73">
        <f t="shared" si="48"/>
        <v>1.8803418803418959E-2</v>
      </c>
      <c r="Q97" s="73">
        <f t="shared" si="49"/>
        <v>2.255096518130939E-3</v>
      </c>
      <c r="R97" s="73">
        <f t="shared" si="50"/>
        <v>-5.1712992889463516E-2</v>
      </c>
      <c r="S97" s="73">
        <f t="shared" si="51"/>
        <v>-1.4031386837983773E-2</v>
      </c>
      <c r="T97" s="73">
        <f t="shared" si="52"/>
        <v>9.9449203639956352E-4</v>
      </c>
      <c r="U97" s="73">
        <f t="shared" si="53"/>
        <v>-2.9404883563313722E-2</v>
      </c>
      <c r="V97" s="148">
        <f t="shared" si="54"/>
        <v>57.394597341673183</v>
      </c>
      <c r="W97" s="149">
        <f t="shared" si="55"/>
        <v>40.624526404023463</v>
      </c>
      <c r="X97" s="149">
        <f t="shared" si="56"/>
        <v>14.568888888888893</v>
      </c>
      <c r="Y97" s="149">
        <f t="shared" si="57"/>
        <v>226.85041854591375</v>
      </c>
      <c r="Z97" s="149">
        <f t="shared" si="58"/>
        <v>13.048429217840981</v>
      </c>
      <c r="AA97" s="149">
        <f t="shared" si="59"/>
        <v>264.19028989676224</v>
      </c>
      <c r="AB97" s="149">
        <f t="shared" si="60"/>
        <v>2673.9589889636145</v>
      </c>
      <c r="AC97" s="150">
        <f t="shared" si="61"/>
        <v>3128.844854060033</v>
      </c>
      <c r="AD97" s="157">
        <f t="shared" si="62"/>
        <v>-6691.9468334636176</v>
      </c>
      <c r="AE97" s="19">
        <f t="shared" si="63"/>
        <v>-6114.002514668794</v>
      </c>
      <c r="AF97" s="19">
        <f t="shared" si="64"/>
        <v>-23877.333333333594</v>
      </c>
      <c r="AG97" s="19">
        <f t="shared" si="65"/>
        <v>-1939.5904744722543</v>
      </c>
      <c r="AH97" s="19">
        <f t="shared" si="66"/>
        <v>31807.213962508125</v>
      </c>
      <c r="AI97" s="19">
        <f t="shared" si="67"/>
        <v>19926.463547160081</v>
      </c>
      <c r="AJ97" s="19">
        <f t="shared" si="68"/>
        <v>-796.97668908447667</v>
      </c>
      <c r="AK97" s="158">
        <f t="shared" si="69"/>
        <v>23697.656484991741</v>
      </c>
      <c r="AL97" s="163">
        <f t="shared" si="70"/>
        <v>36011.48414963721</v>
      </c>
      <c r="AM97" s="20"/>
    </row>
    <row r="98" spans="1:39" x14ac:dyDescent="0.25">
      <c r="A98" s="13">
        <f t="shared" si="43"/>
        <v>93</v>
      </c>
      <c r="B98" s="1">
        <v>45184</v>
      </c>
      <c r="C98" s="7">
        <f t="shared" si="44"/>
        <v>2023</v>
      </c>
      <c r="D98" s="7">
        <f t="shared" si="45"/>
        <v>9</v>
      </c>
      <c r="E98" s="61">
        <v>17.064</v>
      </c>
      <c r="F98" s="65">
        <v>51.16</v>
      </c>
      <c r="G98" s="2">
        <v>35.79</v>
      </c>
      <c r="H98" s="2">
        <v>11.7</v>
      </c>
      <c r="I98" s="2">
        <v>221.72</v>
      </c>
      <c r="J98" s="2">
        <v>15.47</v>
      </c>
      <c r="K98" s="2">
        <v>312.87</v>
      </c>
      <c r="L98" s="2">
        <v>140.38999999999999</v>
      </c>
      <c r="M98" s="144">
        <v>274.39</v>
      </c>
      <c r="N98" s="72">
        <f t="shared" si="46"/>
        <v>-5.2498541707175495E-3</v>
      </c>
      <c r="O98" s="73">
        <f t="shared" si="47"/>
        <v>1.9596864501680855E-3</v>
      </c>
      <c r="P98" s="73">
        <f t="shared" si="48"/>
        <v>-3.4071550255537764E-3</v>
      </c>
      <c r="Q98" s="73">
        <f t="shared" si="49"/>
        <v>1.6597890875745147E-2</v>
      </c>
      <c r="R98" s="73">
        <f t="shared" si="50"/>
        <v>-4.9754299754299791E-2</v>
      </c>
      <c r="S98" s="73">
        <f t="shared" si="51"/>
        <v>7.2111515307600182E-3</v>
      </c>
      <c r="T98" s="73">
        <f t="shared" si="52"/>
        <v>-3.218850788154648E-2</v>
      </c>
      <c r="U98" s="73">
        <f t="shared" si="53"/>
        <v>-8.3020498784832641E-3</v>
      </c>
      <c r="V98" s="148">
        <f t="shared" si="54"/>
        <v>56.760443321018862</v>
      </c>
      <c r="W98" s="149">
        <f t="shared" si="55"/>
        <v>40.48919092945129</v>
      </c>
      <c r="X98" s="149">
        <f t="shared" si="56"/>
        <v>14.251277683134582</v>
      </c>
      <c r="Y98" s="149">
        <f t="shared" si="57"/>
        <v>230.09676662081617</v>
      </c>
      <c r="Z98" s="149">
        <f t="shared" si="58"/>
        <v>13.075380835380834</v>
      </c>
      <c r="AA98" s="149">
        <f t="shared" si="59"/>
        <v>269.88222805266713</v>
      </c>
      <c r="AB98" s="149">
        <f t="shared" si="60"/>
        <v>2585.3171616436057</v>
      </c>
      <c r="AC98" s="150">
        <f t="shared" si="61"/>
        <v>3196.8726974549918</v>
      </c>
      <c r="AD98" s="157">
        <f t="shared" si="62"/>
        <v>5991.1335796228113</v>
      </c>
      <c r="AE98" s="19">
        <f t="shared" si="63"/>
        <v>-2256.9414893618605</v>
      </c>
      <c r="AF98" s="19">
        <f t="shared" si="64"/>
        <v>4326.5417376492023</v>
      </c>
      <c r="AG98" s="19">
        <f t="shared" si="65"/>
        <v>-14275.713159101429</v>
      </c>
      <c r="AH98" s="19">
        <f t="shared" si="66"/>
        <v>30602.476658476717</v>
      </c>
      <c r="AI98" s="19">
        <f t="shared" si="67"/>
        <v>-10240.808679135853</v>
      </c>
      <c r="AJ98" s="19">
        <f t="shared" si="68"/>
        <v>25795.571506918168</v>
      </c>
      <c r="AK98" s="158">
        <f t="shared" si="69"/>
        <v>6690.6956362520305</v>
      </c>
      <c r="AL98" s="163">
        <f t="shared" si="70"/>
        <v>46632.955791319786</v>
      </c>
      <c r="AM98" s="20"/>
    </row>
    <row r="99" spans="1:39" x14ac:dyDescent="0.25">
      <c r="A99" s="13">
        <f t="shared" si="43"/>
        <v>94</v>
      </c>
      <c r="B99" s="1">
        <v>45183</v>
      </c>
      <c r="C99" s="7">
        <f t="shared" si="44"/>
        <v>2023</v>
      </c>
      <c r="D99" s="7">
        <f t="shared" si="45"/>
        <v>9</v>
      </c>
      <c r="E99" s="61">
        <v>17.103999999999999</v>
      </c>
      <c r="F99" s="65">
        <v>51.43</v>
      </c>
      <c r="G99" s="2">
        <v>35.72</v>
      </c>
      <c r="H99" s="2">
        <v>11.74</v>
      </c>
      <c r="I99" s="2">
        <v>218.1</v>
      </c>
      <c r="J99" s="2">
        <v>16.28</v>
      </c>
      <c r="K99" s="2">
        <v>310.63</v>
      </c>
      <c r="L99" s="2">
        <v>144.72</v>
      </c>
      <c r="M99" s="144">
        <v>276.04000000000002</v>
      </c>
      <c r="N99" s="72">
        <f t="shared" si="46"/>
        <v>2.1434138737335129E-3</v>
      </c>
      <c r="O99" s="73">
        <f t="shared" si="47"/>
        <v>-1.3259668508287414E-2</v>
      </c>
      <c r="P99" s="73">
        <f t="shared" si="48"/>
        <v>-9.2827004219409037E-3</v>
      </c>
      <c r="Q99" s="73">
        <f t="shared" si="49"/>
        <v>3.5071899767452841E-2</v>
      </c>
      <c r="R99" s="73">
        <f t="shared" si="50"/>
        <v>5.5589870290302379E-3</v>
      </c>
      <c r="S99" s="73">
        <f t="shared" si="51"/>
        <v>6.1542448093803159E-3</v>
      </c>
      <c r="T99" s="73">
        <f t="shared" si="52"/>
        <v>-3.402956815639846E-3</v>
      </c>
      <c r="U99" s="73">
        <f t="shared" si="53"/>
        <v>1.4919892946254842E-2</v>
      </c>
      <c r="V99" s="148">
        <f t="shared" si="54"/>
        <v>57.182303195635235</v>
      </c>
      <c r="W99" s="149">
        <f t="shared" si="55"/>
        <v>39.874176795580105</v>
      </c>
      <c r="X99" s="149">
        <f t="shared" si="56"/>
        <v>14.167257383966247</v>
      </c>
      <c r="Y99" s="149">
        <f t="shared" si="57"/>
        <v>234.27817379336528</v>
      </c>
      <c r="Z99" s="149">
        <f t="shared" si="58"/>
        <v>13.836491661519457</v>
      </c>
      <c r="AA99" s="149">
        <f t="shared" si="59"/>
        <v>269.59902989667347</v>
      </c>
      <c r="AB99" s="149">
        <f t="shared" si="60"/>
        <v>2662.2120732912845</v>
      </c>
      <c r="AC99" s="150">
        <f t="shared" si="61"/>
        <v>3271.7317762593489</v>
      </c>
      <c r="AD99" s="157">
        <f t="shared" si="62"/>
        <v>-2446.0639127046588</v>
      </c>
      <c r="AE99" s="19">
        <f t="shared" si="63"/>
        <v>15270.961325966904</v>
      </c>
      <c r="AF99" s="19">
        <f t="shared" si="64"/>
        <v>11787.544303797367</v>
      </c>
      <c r="AG99" s="19">
        <f t="shared" si="65"/>
        <v>-30165.060414788066</v>
      </c>
      <c r="AH99" s="19">
        <f t="shared" si="66"/>
        <v>-3419.1772699197213</v>
      </c>
      <c r="AI99" s="19">
        <f t="shared" si="67"/>
        <v>-8739.858452369459</v>
      </c>
      <c r="AJ99" s="19">
        <f t="shared" si="68"/>
        <v>2727.0980126145332</v>
      </c>
      <c r="AK99" s="158">
        <f t="shared" si="69"/>
        <v>-12024.074064837238</v>
      </c>
      <c r="AL99" s="163">
        <f t="shared" si="70"/>
        <v>-27008.630472240337</v>
      </c>
      <c r="AM99" s="20"/>
    </row>
    <row r="100" spans="1:39" x14ac:dyDescent="0.25">
      <c r="A100" s="13">
        <f t="shared" si="43"/>
        <v>95</v>
      </c>
      <c r="B100" s="1">
        <v>45182</v>
      </c>
      <c r="C100" s="7">
        <f t="shared" si="44"/>
        <v>2023</v>
      </c>
      <c r="D100" s="7">
        <f t="shared" si="45"/>
        <v>9</v>
      </c>
      <c r="E100" s="61">
        <v>17.146999999999998</v>
      </c>
      <c r="F100" s="65">
        <v>51.32</v>
      </c>
      <c r="G100" s="2">
        <v>36.200000000000003</v>
      </c>
      <c r="H100" s="2">
        <v>11.85</v>
      </c>
      <c r="I100" s="2">
        <v>210.71</v>
      </c>
      <c r="J100" s="2">
        <v>16.190000000000001</v>
      </c>
      <c r="K100" s="2">
        <v>308.73</v>
      </c>
      <c r="L100" s="2">
        <v>144.85</v>
      </c>
      <c r="M100" s="144">
        <v>271.3</v>
      </c>
      <c r="N100" s="72">
        <f t="shared" si="46"/>
        <v>-6.5814943863723441E-3</v>
      </c>
      <c r="O100" s="73">
        <f t="shared" si="47"/>
        <v>-3.3039647577092213E-3</v>
      </c>
      <c r="P100" s="73">
        <f t="shared" si="48"/>
        <v>-9.1973244147157684E-3</v>
      </c>
      <c r="Q100" s="73">
        <f t="shared" si="49"/>
        <v>-2.6788600988406963E-2</v>
      </c>
      <c r="R100" s="73">
        <f t="shared" si="50"/>
        <v>-5.8173356602675974E-2</v>
      </c>
      <c r="S100" s="73">
        <f t="shared" si="51"/>
        <v>-9.3845058572250561E-4</v>
      </c>
      <c r="T100" s="73">
        <f t="shared" si="52"/>
        <v>2.2531019850488443E-2</v>
      </c>
      <c r="U100" s="73">
        <f t="shared" si="53"/>
        <v>1.1214831046487239E-2</v>
      </c>
      <c r="V100" s="148">
        <f t="shared" si="54"/>
        <v>56.684459930313594</v>
      </c>
      <c r="W100" s="149">
        <f t="shared" si="55"/>
        <v>40.276486784140964</v>
      </c>
      <c r="X100" s="149">
        <f t="shared" si="56"/>
        <v>14.168478260869565</v>
      </c>
      <c r="Y100" s="149">
        <f t="shared" si="57"/>
        <v>220.27666805228398</v>
      </c>
      <c r="Z100" s="149">
        <f t="shared" si="58"/>
        <v>12.959534613147179</v>
      </c>
      <c r="AA100" s="149">
        <f t="shared" si="59"/>
        <v>267.69854216555564</v>
      </c>
      <c r="AB100" s="149">
        <f t="shared" si="60"/>
        <v>2731.4895674010568</v>
      </c>
      <c r="AC100" s="150">
        <f t="shared" si="61"/>
        <v>3259.7880072636617</v>
      </c>
      <c r="AD100" s="157">
        <f t="shared" si="62"/>
        <v>7510.8013937281721</v>
      </c>
      <c r="AE100" s="19">
        <f t="shared" si="63"/>
        <v>3805.1266519824303</v>
      </c>
      <c r="AF100" s="19">
        <f t="shared" si="64"/>
        <v>11679.130434782734</v>
      </c>
      <c r="AG100" s="19">
        <f t="shared" si="65"/>
        <v>23040.661401320885</v>
      </c>
      <c r="AH100" s="19">
        <f t="shared" si="66"/>
        <v>35780.80279232109</v>
      </c>
      <c r="AI100" s="19">
        <f t="shared" si="67"/>
        <v>1332.7265225550661</v>
      </c>
      <c r="AJ100" s="19">
        <f t="shared" si="68"/>
        <v>-18056.150220317159</v>
      </c>
      <c r="AK100" s="158">
        <f t="shared" si="69"/>
        <v>-9038.1318159154489</v>
      </c>
      <c r="AL100" s="163">
        <f t="shared" si="70"/>
        <v>56054.967160457774</v>
      </c>
      <c r="AM100" s="20"/>
    </row>
    <row r="101" spans="1:39" x14ac:dyDescent="0.25">
      <c r="A101" s="13">
        <f t="shared" si="43"/>
        <v>96</v>
      </c>
      <c r="B101" s="1">
        <v>45181</v>
      </c>
      <c r="C101" s="7">
        <f t="shared" si="44"/>
        <v>2023</v>
      </c>
      <c r="D101" s="7">
        <f t="shared" si="45"/>
        <v>9</v>
      </c>
      <c r="E101" s="61">
        <v>17.199000000000002</v>
      </c>
      <c r="F101" s="65">
        <v>51.66</v>
      </c>
      <c r="G101" s="2">
        <v>36.32</v>
      </c>
      <c r="H101" s="2">
        <v>11.96</v>
      </c>
      <c r="I101" s="2">
        <v>216.51</v>
      </c>
      <c r="J101" s="2">
        <v>17.190000000000001</v>
      </c>
      <c r="K101" s="2">
        <v>309.02</v>
      </c>
      <c r="L101" s="2">
        <v>141.22999999999999</v>
      </c>
      <c r="M101" s="144">
        <v>267.48</v>
      </c>
      <c r="N101" s="72">
        <f t="shared" si="46"/>
        <v>-7.1112819527197058E-3</v>
      </c>
      <c r="O101" s="73">
        <f t="shared" si="47"/>
        <v>-8.1922446750408717E-3</v>
      </c>
      <c r="P101" s="73">
        <f t="shared" si="48"/>
        <v>-2.1276595744680882E-2</v>
      </c>
      <c r="Q101" s="73">
        <f t="shared" si="49"/>
        <v>-2.9842720795805855E-2</v>
      </c>
      <c r="R101" s="73">
        <f t="shared" si="50"/>
        <v>-9.7926267281105428E-3</v>
      </c>
      <c r="S101" s="73">
        <f t="shared" si="51"/>
        <v>6.1522520480528087E-4</v>
      </c>
      <c r="T101" s="73">
        <f t="shared" si="52"/>
        <v>-1.68405925391647E-2</v>
      </c>
      <c r="U101" s="73">
        <f t="shared" si="53"/>
        <v>-2.6034478389286742E-2</v>
      </c>
      <c r="V101" s="148">
        <f t="shared" si="54"/>
        <v>56.654230251777818</v>
      </c>
      <c r="W101" s="149">
        <f t="shared" si="55"/>
        <v>40.078951392681596</v>
      </c>
      <c r="X101" s="149">
        <f t="shared" si="56"/>
        <v>13.995744680851065</v>
      </c>
      <c r="Y101" s="149">
        <f t="shared" si="57"/>
        <v>219.58539857507731</v>
      </c>
      <c r="Z101" s="149">
        <f t="shared" si="58"/>
        <v>13.625253456221198</v>
      </c>
      <c r="AA101" s="149">
        <f t="shared" si="59"/>
        <v>268.11484959362758</v>
      </c>
      <c r="AB101" s="149">
        <f t="shared" si="60"/>
        <v>2626.3160847327067</v>
      </c>
      <c r="AC101" s="150">
        <f t="shared" si="61"/>
        <v>3139.7098117610021</v>
      </c>
      <c r="AD101" s="157">
        <f t="shared" si="62"/>
        <v>8115.3949644436807</v>
      </c>
      <c r="AE101" s="19">
        <f t="shared" si="63"/>
        <v>9434.8853085744267</v>
      </c>
      <c r="AF101" s="19">
        <f t="shared" si="64"/>
        <v>27017.872340425525</v>
      </c>
      <c r="AG101" s="19">
        <f t="shared" si="65"/>
        <v>25667.485414706251</v>
      </c>
      <c r="AH101" s="19">
        <f t="shared" si="66"/>
        <v>6023.1705069124209</v>
      </c>
      <c r="AI101" s="19">
        <f t="shared" si="67"/>
        <v>-873.70284622624581</v>
      </c>
      <c r="AJ101" s="19">
        <f t="shared" si="68"/>
        <v>13495.89458018786</v>
      </c>
      <c r="AK101" s="158">
        <f t="shared" si="69"/>
        <v>20981.417059749445</v>
      </c>
      <c r="AL101" s="163">
        <f t="shared" si="70"/>
        <v>109862.41732877336</v>
      </c>
      <c r="AM101" s="20"/>
    </row>
    <row r="102" spans="1:39" x14ac:dyDescent="0.25">
      <c r="A102" s="13">
        <f t="shared" si="43"/>
        <v>97</v>
      </c>
      <c r="B102" s="1">
        <v>45180</v>
      </c>
      <c r="C102" s="7">
        <f t="shared" si="44"/>
        <v>2023</v>
      </c>
      <c r="D102" s="7">
        <f t="shared" si="45"/>
        <v>9</v>
      </c>
      <c r="E102" s="61">
        <v>17.265000000000001</v>
      </c>
      <c r="F102" s="65">
        <v>52.03</v>
      </c>
      <c r="G102" s="2">
        <v>36.619999999999997</v>
      </c>
      <c r="H102" s="2">
        <v>12.22</v>
      </c>
      <c r="I102" s="2">
        <v>223.17</v>
      </c>
      <c r="J102" s="2">
        <v>17.36</v>
      </c>
      <c r="K102" s="2">
        <v>308.83</v>
      </c>
      <c r="L102" s="2">
        <v>143.1</v>
      </c>
      <c r="M102" s="144">
        <v>273.58</v>
      </c>
      <c r="N102" s="72">
        <f t="shared" si="46"/>
        <v>-4.9722700325109948E-3</v>
      </c>
      <c r="O102" s="73">
        <f t="shared" si="47"/>
        <v>-1.0002703433360516E-2</v>
      </c>
      <c r="P102" s="73">
        <f t="shared" si="48"/>
        <v>-3.9308176100628978E-2</v>
      </c>
      <c r="Q102" s="73">
        <f t="shared" si="49"/>
        <v>-1.8946720590821142E-2</v>
      </c>
      <c r="R102" s="73">
        <f t="shared" si="50"/>
        <v>-4.0883977900552648E-2</v>
      </c>
      <c r="S102" s="73">
        <f t="shared" si="51"/>
        <v>1.4267648107915143E-3</v>
      </c>
      <c r="T102" s="73">
        <f t="shared" si="52"/>
        <v>1.6855297938952463E-2</v>
      </c>
      <c r="U102" s="73">
        <f t="shared" si="53"/>
        <v>8.1383608014360176E-2</v>
      </c>
      <c r="V102" s="148">
        <f t="shared" si="54"/>
        <v>56.776282271944922</v>
      </c>
      <c r="W102" s="149">
        <f t="shared" si="55"/>
        <v>40.005790754257902</v>
      </c>
      <c r="X102" s="149">
        <f t="shared" si="56"/>
        <v>13.737893081761007</v>
      </c>
      <c r="Y102" s="149">
        <f t="shared" si="57"/>
        <v>222.05159926147354</v>
      </c>
      <c r="Z102" s="149">
        <f t="shared" si="58"/>
        <v>13.197436464088396</v>
      </c>
      <c r="AA102" s="149">
        <f t="shared" si="59"/>
        <v>268.33230163105156</v>
      </c>
      <c r="AB102" s="149">
        <f t="shared" si="60"/>
        <v>2716.3279978370383</v>
      </c>
      <c r="AC102" s="150">
        <f t="shared" si="61"/>
        <v>3485.9865662855036</v>
      </c>
      <c r="AD102" s="157">
        <f t="shared" si="62"/>
        <v>5674.3545611016089</v>
      </c>
      <c r="AE102" s="19">
        <f t="shared" si="63"/>
        <v>11519.963503649706</v>
      </c>
      <c r="AF102" s="19">
        <f t="shared" si="64"/>
        <v>49915.094339622679</v>
      </c>
      <c r="AG102" s="19">
        <f t="shared" si="65"/>
        <v>16295.922806400557</v>
      </c>
      <c r="AH102" s="19">
        <f t="shared" si="66"/>
        <v>25146.590055248696</v>
      </c>
      <c r="AI102" s="19">
        <f t="shared" si="67"/>
        <v>-2026.1986445733498</v>
      </c>
      <c r="AJ102" s="19">
        <f t="shared" si="68"/>
        <v>-13507.679351111619</v>
      </c>
      <c r="AK102" s="158">
        <f t="shared" si="69"/>
        <v>-65587.771571375924</v>
      </c>
      <c r="AL102" s="163">
        <f t="shared" si="70"/>
        <v>27430.275698962359</v>
      </c>
      <c r="AM102" s="20"/>
    </row>
    <row r="103" spans="1:39" x14ac:dyDescent="0.25">
      <c r="A103" s="13">
        <f t="shared" si="43"/>
        <v>98</v>
      </c>
      <c r="B103" s="1">
        <v>45177</v>
      </c>
      <c r="C103" s="7">
        <f t="shared" si="44"/>
        <v>2023</v>
      </c>
      <c r="D103" s="7">
        <f t="shared" si="45"/>
        <v>9</v>
      </c>
      <c r="E103" s="61">
        <v>17.577000000000002</v>
      </c>
      <c r="F103" s="65">
        <v>52.29</v>
      </c>
      <c r="G103" s="2">
        <v>36.99</v>
      </c>
      <c r="H103" s="2">
        <v>12.72</v>
      </c>
      <c r="I103" s="2">
        <v>227.48</v>
      </c>
      <c r="J103" s="2">
        <v>18.100000000000001</v>
      </c>
      <c r="K103" s="2">
        <v>308.39</v>
      </c>
      <c r="L103" s="2">
        <v>138.22999999999999</v>
      </c>
      <c r="M103" s="144">
        <v>248.5</v>
      </c>
      <c r="N103" s="72">
        <f t="shared" si="46"/>
        <v>1.9127773527150005E-4</v>
      </c>
      <c r="O103" s="73">
        <f t="shared" si="47"/>
        <v>9.5524017467250033E-3</v>
      </c>
      <c r="P103" s="73">
        <f t="shared" si="48"/>
        <v>-2.304147465437778E-2</v>
      </c>
      <c r="Q103" s="73">
        <f t="shared" si="49"/>
        <v>8.7927547700594744E-5</v>
      </c>
      <c r="R103" s="73">
        <f t="shared" si="50"/>
        <v>0.12282878411910669</v>
      </c>
      <c r="S103" s="73">
        <f t="shared" si="51"/>
        <v>1.879748926329694E-2</v>
      </c>
      <c r="T103" s="73">
        <f t="shared" si="52"/>
        <v>2.9277968133010202E-3</v>
      </c>
      <c r="U103" s="73">
        <f t="shared" si="53"/>
        <v>-1.1720463551741722E-2</v>
      </c>
      <c r="V103" s="148">
        <f t="shared" si="54"/>
        <v>57.070914307574597</v>
      </c>
      <c r="W103" s="149">
        <f t="shared" si="55"/>
        <v>40.796012554585154</v>
      </c>
      <c r="X103" s="149">
        <f t="shared" si="56"/>
        <v>13.970506912442399</v>
      </c>
      <c r="Y103" s="149">
        <f t="shared" si="57"/>
        <v>226.35990152114655</v>
      </c>
      <c r="Z103" s="149">
        <f t="shared" si="58"/>
        <v>15.450124069478909</v>
      </c>
      <c r="AA103" s="149">
        <f t="shared" si="59"/>
        <v>272.98678724810043</v>
      </c>
      <c r="AB103" s="149">
        <f t="shared" si="60"/>
        <v>2679.1234306540828</v>
      </c>
      <c r="AC103" s="150">
        <f t="shared" si="61"/>
        <v>3185.8529778525585</v>
      </c>
      <c r="AD103" s="157">
        <f t="shared" si="62"/>
        <v>-218.28615149189545</v>
      </c>
      <c r="AE103" s="19">
        <f t="shared" si="63"/>
        <v>-11001.357805676986</v>
      </c>
      <c r="AF103" s="19">
        <f t="shared" si="64"/>
        <v>29258.986175115006</v>
      </c>
      <c r="AG103" s="19">
        <f t="shared" si="65"/>
        <v>-75.625780356892847</v>
      </c>
      <c r="AH103" s="19">
        <f t="shared" si="66"/>
        <v>-75548.545905707229</v>
      </c>
      <c r="AI103" s="19">
        <f t="shared" si="67"/>
        <v>-26694.972414932323</v>
      </c>
      <c r="AJ103" s="19">
        <f t="shared" si="68"/>
        <v>-2346.3091962249564</v>
      </c>
      <c r="AK103" s="158">
        <f t="shared" si="69"/>
        <v>9445.6255368603488</v>
      </c>
      <c r="AL103" s="163">
        <f t="shared" si="70"/>
        <v>-77180.485542414943</v>
      </c>
      <c r="AM103" s="20"/>
    </row>
    <row r="104" spans="1:39" x14ac:dyDescent="0.25">
      <c r="A104" s="13">
        <f t="shared" si="43"/>
        <v>99</v>
      </c>
      <c r="B104" s="1">
        <v>45176</v>
      </c>
      <c r="C104" s="7">
        <f t="shared" si="44"/>
        <v>2023</v>
      </c>
      <c r="D104" s="7">
        <f t="shared" si="45"/>
        <v>9</v>
      </c>
      <c r="E104" s="61">
        <v>17.574000000000002</v>
      </c>
      <c r="F104" s="65">
        <v>52.28</v>
      </c>
      <c r="G104" s="2">
        <v>36.64</v>
      </c>
      <c r="H104" s="2">
        <v>13.02</v>
      </c>
      <c r="I104" s="2">
        <v>227.46</v>
      </c>
      <c r="J104" s="2">
        <v>16.12</v>
      </c>
      <c r="K104" s="2">
        <v>302.7</v>
      </c>
      <c r="L104" s="2">
        <v>137.85</v>
      </c>
      <c r="M104" s="144">
        <v>251.49</v>
      </c>
      <c r="N104" s="72">
        <f t="shared" si="46"/>
        <v>-9.4732853353542978E-3</v>
      </c>
      <c r="O104" s="73">
        <f t="shared" si="47"/>
        <v>-7.3150907613112048E-3</v>
      </c>
      <c r="P104" s="73">
        <f t="shared" si="48"/>
        <v>-2.1788129226145814E-2</v>
      </c>
      <c r="Q104" s="73">
        <f t="shared" si="49"/>
        <v>4.3965706748805289E-5</v>
      </c>
      <c r="R104" s="73">
        <f t="shared" si="50"/>
        <v>-6.7775723967959944E-3</v>
      </c>
      <c r="S104" s="73">
        <f t="shared" si="51"/>
        <v>1.2238282671253042E-3</v>
      </c>
      <c r="T104" s="73">
        <f t="shared" si="52"/>
        <v>1.9613774574510412E-2</v>
      </c>
      <c r="U104" s="73">
        <f t="shared" si="53"/>
        <v>-5.1255647347892008E-4</v>
      </c>
      <c r="V104" s="148">
        <f t="shared" si="54"/>
        <v>56.519454338764689</v>
      </c>
      <c r="W104" s="149">
        <f t="shared" si="55"/>
        <v>40.114397182335409</v>
      </c>
      <c r="X104" s="149">
        <f t="shared" si="56"/>
        <v>13.988429752066116</v>
      </c>
      <c r="Y104" s="149">
        <f t="shared" si="57"/>
        <v>226.34995119806553</v>
      </c>
      <c r="Z104" s="149">
        <f t="shared" si="58"/>
        <v>13.666740603820086</v>
      </c>
      <c r="AA104" s="149">
        <f t="shared" si="59"/>
        <v>268.27792478417621</v>
      </c>
      <c r="AB104" s="149">
        <f t="shared" si="60"/>
        <v>2723.6967230939481</v>
      </c>
      <c r="AC104" s="150">
        <f t="shared" si="61"/>
        <v>3221.9831847665896</v>
      </c>
      <c r="AD104" s="157">
        <f t="shared" si="62"/>
        <v>10810.91322470627</v>
      </c>
      <c r="AE104" s="19">
        <f t="shared" si="63"/>
        <v>8424.6803034407385</v>
      </c>
      <c r="AF104" s="19">
        <f t="shared" si="64"/>
        <v>27667.438016528959</v>
      </c>
      <c r="AG104" s="19">
        <f t="shared" si="65"/>
        <v>-37.814552648984545</v>
      </c>
      <c r="AH104" s="19">
        <f t="shared" si="66"/>
        <v>4168.6950092421348</v>
      </c>
      <c r="AI104" s="19">
        <f t="shared" si="67"/>
        <v>-1738.0013561339581</v>
      </c>
      <c r="AJ104" s="19">
        <f t="shared" si="68"/>
        <v>-15718.296928184554</v>
      </c>
      <c r="AK104" s="158">
        <f t="shared" si="69"/>
        <v>413.07380835257845</v>
      </c>
      <c r="AL104" s="163">
        <f t="shared" si="70"/>
        <v>33990.687525303176</v>
      </c>
      <c r="AM104" s="20"/>
    </row>
    <row r="105" spans="1:39" x14ac:dyDescent="0.25">
      <c r="A105" s="13">
        <f t="shared" si="43"/>
        <v>100</v>
      </c>
      <c r="B105" s="1">
        <v>45175</v>
      </c>
      <c r="C105" s="7">
        <f t="shared" si="44"/>
        <v>2023</v>
      </c>
      <c r="D105" s="7">
        <f t="shared" si="45"/>
        <v>9</v>
      </c>
      <c r="E105" s="61">
        <v>17.553000000000001</v>
      </c>
      <c r="F105" s="65">
        <v>52.78</v>
      </c>
      <c r="G105" s="2">
        <v>36.909999999999997</v>
      </c>
      <c r="H105" s="2">
        <v>13.31</v>
      </c>
      <c r="I105" s="2">
        <v>227.45</v>
      </c>
      <c r="J105" s="2">
        <v>16.23</v>
      </c>
      <c r="K105" s="2">
        <v>302.33</v>
      </c>
      <c r="L105" s="2">
        <v>135.36000000000001</v>
      </c>
      <c r="M105" s="144">
        <v>251.92</v>
      </c>
      <c r="N105" s="72">
        <f t="shared" si="46"/>
        <v>1.5180265654648473E-3</v>
      </c>
      <c r="O105" s="73">
        <f t="shared" si="47"/>
        <v>9.5733041575489786E-3</v>
      </c>
      <c r="P105" s="73">
        <f t="shared" si="48"/>
        <v>-1.2611275964391711E-2</v>
      </c>
      <c r="Q105" s="73">
        <f t="shared" si="49"/>
        <v>-1.2589537660082528E-2</v>
      </c>
      <c r="R105" s="73">
        <f t="shared" si="50"/>
        <v>2.4706609017912662E-3</v>
      </c>
      <c r="S105" s="73">
        <f t="shared" si="51"/>
        <v>-1.630116483373456E-2</v>
      </c>
      <c r="T105" s="73">
        <f t="shared" si="52"/>
        <v>-5.5863303995046243E-3</v>
      </c>
      <c r="U105" s="73">
        <f t="shared" si="53"/>
        <v>-9.5225700215713083E-3</v>
      </c>
      <c r="V105" s="148">
        <f t="shared" si="54"/>
        <v>57.146618595825423</v>
      </c>
      <c r="W105" s="149">
        <f t="shared" si="55"/>
        <v>40.796857221006547</v>
      </c>
      <c r="X105" s="149">
        <f t="shared" si="56"/>
        <v>14.119658753709199</v>
      </c>
      <c r="Y105" s="149">
        <f t="shared" si="57"/>
        <v>223.49048404601692</v>
      </c>
      <c r="Z105" s="149">
        <f t="shared" si="58"/>
        <v>13.793996294008648</v>
      </c>
      <c r="AA105" s="149">
        <f t="shared" si="59"/>
        <v>263.58210288280083</v>
      </c>
      <c r="AB105" s="149">
        <f t="shared" si="60"/>
        <v>2656.3796221966099</v>
      </c>
      <c r="AC105" s="150">
        <f t="shared" si="61"/>
        <v>3192.9381854176781</v>
      </c>
      <c r="AD105" s="157">
        <f t="shared" si="62"/>
        <v>-1732.3719165084128</v>
      </c>
      <c r="AE105" s="19">
        <f t="shared" si="63"/>
        <v>-11025.430798686699</v>
      </c>
      <c r="AF105" s="19">
        <f t="shared" si="64"/>
        <v>16014.302670623163</v>
      </c>
      <c r="AG105" s="19">
        <f t="shared" si="65"/>
        <v>10828.16062513573</v>
      </c>
      <c r="AH105" s="19">
        <f t="shared" si="66"/>
        <v>-1519.6343421865959</v>
      </c>
      <c r="AI105" s="19">
        <f t="shared" si="67"/>
        <v>23149.854721155567</v>
      </c>
      <c r="AJ105" s="19">
        <f t="shared" si="68"/>
        <v>4476.8333410168907</v>
      </c>
      <c r="AK105" s="158">
        <f t="shared" si="69"/>
        <v>7674.3236455804436</v>
      </c>
      <c r="AL105" s="163">
        <f t="shared" si="70"/>
        <v>47866.037946130084</v>
      </c>
      <c r="AM105" s="20"/>
    </row>
    <row r="106" spans="1:39" x14ac:dyDescent="0.25">
      <c r="A106" s="13">
        <f t="shared" si="43"/>
        <v>101</v>
      </c>
      <c r="B106" s="1">
        <v>45174</v>
      </c>
      <c r="C106" s="7">
        <f t="shared" si="44"/>
        <v>2023</v>
      </c>
      <c r="D106" s="7">
        <f t="shared" si="45"/>
        <v>9</v>
      </c>
      <c r="E106" s="61">
        <v>17.405999999999999</v>
      </c>
      <c r="F106" s="65">
        <v>52.7</v>
      </c>
      <c r="G106" s="2">
        <v>36.56</v>
      </c>
      <c r="H106" s="2">
        <v>13.48</v>
      </c>
      <c r="I106" s="2">
        <v>230.35</v>
      </c>
      <c r="J106" s="2">
        <v>16.190000000000001</v>
      </c>
      <c r="K106" s="2">
        <v>307.33999999999997</v>
      </c>
      <c r="L106" s="2">
        <v>137.27000000000001</v>
      </c>
      <c r="M106" s="144">
        <v>256.49</v>
      </c>
      <c r="N106" s="72">
        <f t="shared" si="46"/>
        <v>-2.0829388373414526E-3</v>
      </c>
      <c r="O106" s="73">
        <f t="shared" si="47"/>
        <v>-2.0364415862808127E-2</v>
      </c>
      <c r="P106" s="73">
        <f t="shared" si="48"/>
        <v>-2.0348837209302251E-2</v>
      </c>
      <c r="Q106" s="73">
        <f t="shared" si="49"/>
        <v>-2.522110786678522E-2</v>
      </c>
      <c r="R106" s="73">
        <f t="shared" si="50"/>
        <v>-2.5285972305839732E-2</v>
      </c>
      <c r="S106" s="73">
        <f t="shared" si="51"/>
        <v>4.3462631940132113E-3</v>
      </c>
      <c r="T106" s="73">
        <f t="shared" si="52"/>
        <v>7.6236181431439398E-3</v>
      </c>
      <c r="U106" s="73">
        <f t="shared" si="53"/>
        <v>6.136778543341137E-2</v>
      </c>
      <c r="V106" s="148">
        <f t="shared" si="54"/>
        <v>56.941147509941302</v>
      </c>
      <c r="W106" s="149">
        <f t="shared" si="55"/>
        <v>39.587073954983921</v>
      </c>
      <c r="X106" s="149">
        <f t="shared" si="56"/>
        <v>14.009011627906979</v>
      </c>
      <c r="Y106" s="149">
        <f t="shared" si="57"/>
        <v>220.63145444543184</v>
      </c>
      <c r="Z106" s="149">
        <f t="shared" si="58"/>
        <v>13.412065021071646</v>
      </c>
      <c r="AA106" s="149">
        <f t="shared" si="59"/>
        <v>269.11458122283585</v>
      </c>
      <c r="AB106" s="149">
        <f t="shared" si="60"/>
        <v>2691.6673894424634</v>
      </c>
      <c r="AC106" s="150">
        <f t="shared" si="61"/>
        <v>3421.462850452172</v>
      </c>
      <c r="AD106" s="157">
        <f t="shared" si="62"/>
        <v>2377.049801173996</v>
      </c>
      <c r="AE106" s="19">
        <f t="shared" si="63"/>
        <v>23453.392282958142</v>
      </c>
      <c r="AF106" s="19">
        <f t="shared" si="64"/>
        <v>25839.767441860331</v>
      </c>
      <c r="AG106" s="19">
        <f t="shared" si="65"/>
        <v>21692.473107359012</v>
      </c>
      <c r="AH106" s="19">
        <f t="shared" si="66"/>
        <v>15552.693558097419</v>
      </c>
      <c r="AI106" s="19">
        <f t="shared" si="67"/>
        <v>-6172.2804810300768</v>
      </c>
      <c r="AJ106" s="19">
        <f t="shared" si="68"/>
        <v>-6109.4968327391598</v>
      </c>
      <c r="AK106" s="158">
        <f t="shared" si="69"/>
        <v>-49456.842613043023</v>
      </c>
      <c r="AL106" s="163">
        <f t="shared" si="70"/>
        <v>27176.75626463665</v>
      </c>
      <c r="AM106" s="20"/>
    </row>
    <row r="107" spans="1:39" x14ac:dyDescent="0.25">
      <c r="A107" s="13">
        <f t="shared" si="43"/>
        <v>102</v>
      </c>
      <c r="B107" s="1">
        <v>45173</v>
      </c>
      <c r="C107" s="7">
        <f t="shared" si="44"/>
        <v>2023</v>
      </c>
      <c r="D107" s="7">
        <f t="shared" si="45"/>
        <v>9</v>
      </c>
      <c r="E107" s="61">
        <v>17.167999999999999</v>
      </c>
      <c r="F107" s="65">
        <v>52.81</v>
      </c>
      <c r="G107" s="2">
        <v>37.32</v>
      </c>
      <c r="H107" s="2">
        <v>13.76</v>
      </c>
      <c r="I107" s="2">
        <v>236.31</v>
      </c>
      <c r="J107" s="2">
        <v>16.61</v>
      </c>
      <c r="K107" s="2">
        <v>306.01</v>
      </c>
      <c r="L107" s="2">
        <v>138.12</v>
      </c>
      <c r="M107" s="144">
        <v>245.01</v>
      </c>
      <c r="N107" s="72">
        <f t="shared" si="46"/>
        <v>-1.7013232514176968E-3</v>
      </c>
      <c r="O107" s="73">
        <f t="shared" si="47"/>
        <v>1.0560519902518273E-2</v>
      </c>
      <c r="P107" s="73">
        <f t="shared" si="48"/>
        <v>0</v>
      </c>
      <c r="Q107" s="73">
        <f t="shared" si="49"/>
        <v>-5.9209135123694523E-4</v>
      </c>
      <c r="R107" s="73">
        <f t="shared" si="50"/>
        <v>-2.4024024024023038E-3</v>
      </c>
      <c r="S107" s="73">
        <f t="shared" si="51"/>
        <v>7.0756269334562027E-3</v>
      </c>
      <c r="T107" s="73">
        <f t="shared" si="52"/>
        <v>5.3876786132585064E-3</v>
      </c>
      <c r="U107" s="73">
        <f t="shared" si="53"/>
        <v>5.3876786132582843E-3</v>
      </c>
      <c r="V107" s="148">
        <f t="shared" si="54"/>
        <v>56.962922495274107</v>
      </c>
      <c r="W107" s="149">
        <f t="shared" si="55"/>
        <v>40.836750609260761</v>
      </c>
      <c r="X107" s="149">
        <f t="shared" si="56"/>
        <v>14.3</v>
      </c>
      <c r="Y107" s="149">
        <f t="shared" si="57"/>
        <v>226.20598604356104</v>
      </c>
      <c r="Z107" s="149">
        <f t="shared" si="58"/>
        <v>13.726942942942944</v>
      </c>
      <c r="AA107" s="149">
        <f t="shared" si="59"/>
        <v>269.84591423681957</v>
      </c>
      <c r="AB107" s="149">
        <f t="shared" si="60"/>
        <v>2685.6945188100258</v>
      </c>
      <c r="AC107" s="150">
        <f t="shared" si="61"/>
        <v>3241.0033919325365</v>
      </c>
      <c r="AD107" s="157">
        <f t="shared" si="62"/>
        <v>1941.5500945179076</v>
      </c>
      <c r="AE107" s="19">
        <f t="shared" si="63"/>
        <v>-12162.392363931795</v>
      </c>
      <c r="AF107" s="19">
        <f t="shared" si="64"/>
        <v>0</v>
      </c>
      <c r="AG107" s="19">
        <f t="shared" si="65"/>
        <v>509.2530344680597</v>
      </c>
      <c r="AH107" s="19">
        <f t="shared" si="66"/>
        <v>1477.6504504503771</v>
      </c>
      <c r="AI107" s="19">
        <f t="shared" si="67"/>
        <v>-10048.345455143766</v>
      </c>
      <c r="AJ107" s="19">
        <f t="shared" si="68"/>
        <v>-4317.6356430078613</v>
      </c>
      <c r="AK107" s="158">
        <f t="shared" si="69"/>
        <v>-4341.977983134143</v>
      </c>
      <c r="AL107" s="163">
        <f t="shared" si="70"/>
        <v>-26941.897865781219</v>
      </c>
      <c r="AM107" s="20"/>
    </row>
    <row r="108" spans="1:39" x14ac:dyDescent="0.25">
      <c r="A108" s="13">
        <f t="shared" si="43"/>
        <v>103</v>
      </c>
      <c r="B108" s="1">
        <v>45170</v>
      </c>
      <c r="C108" s="7">
        <f t="shared" si="44"/>
        <v>2023</v>
      </c>
      <c r="D108" s="7">
        <f t="shared" si="45"/>
        <v>9</v>
      </c>
      <c r="E108" s="61">
        <v>17.076000000000001</v>
      </c>
      <c r="F108" s="65">
        <v>52.9</v>
      </c>
      <c r="G108" s="2">
        <v>36.93</v>
      </c>
      <c r="H108" s="2">
        <v>13.76</v>
      </c>
      <c r="I108" s="2">
        <v>236.45</v>
      </c>
      <c r="J108" s="2">
        <v>16.649999999999999</v>
      </c>
      <c r="K108" s="2">
        <v>303.86</v>
      </c>
      <c r="L108" s="2">
        <v>138.12</v>
      </c>
      <c r="M108" s="144">
        <v>245.01</v>
      </c>
      <c r="N108" s="72">
        <f t="shared" si="46"/>
        <v>1.135503406510141E-3</v>
      </c>
      <c r="O108" s="73">
        <f t="shared" si="47"/>
        <v>-1.8918918918918726E-3</v>
      </c>
      <c r="P108" s="73">
        <f t="shared" si="48"/>
        <v>2.3048327137546565E-2</v>
      </c>
      <c r="Q108" s="73">
        <f t="shared" si="49"/>
        <v>-1.9530602089898874E-2</v>
      </c>
      <c r="R108" s="73">
        <f t="shared" si="50"/>
        <v>-2.0588235294117685E-2</v>
      </c>
      <c r="S108" s="73">
        <f t="shared" si="51"/>
        <v>-3.0007022920257809E-2</v>
      </c>
      <c r="T108" s="73">
        <f t="shared" si="52"/>
        <v>3.67711975643914E-3</v>
      </c>
      <c r="U108" s="73">
        <f t="shared" si="53"/>
        <v>-4.7911169201346193E-2</v>
      </c>
      <c r="V108" s="148">
        <f t="shared" si="54"/>
        <v>57.124791824375471</v>
      </c>
      <c r="W108" s="149">
        <f t="shared" si="55"/>
        <v>40.333548648648645</v>
      </c>
      <c r="X108" s="149">
        <f t="shared" si="56"/>
        <v>14.629591078066916</v>
      </c>
      <c r="Y108" s="149">
        <f t="shared" si="57"/>
        <v>221.9194435229723</v>
      </c>
      <c r="Z108" s="149">
        <f t="shared" si="58"/>
        <v>13.47670588235294</v>
      </c>
      <c r="AA108" s="149">
        <f t="shared" si="59"/>
        <v>259.90961820851692</v>
      </c>
      <c r="AB108" s="149">
        <f t="shared" si="60"/>
        <v>2681.1250988304628</v>
      </c>
      <c r="AC108" s="150">
        <f t="shared" si="61"/>
        <v>3069.1873350742571</v>
      </c>
      <c r="AD108" s="157">
        <f t="shared" si="62"/>
        <v>-1295.8364875093764</v>
      </c>
      <c r="AE108" s="19">
        <f t="shared" si="63"/>
        <v>2178.8635135135337</v>
      </c>
      <c r="AF108" s="19">
        <f t="shared" si="64"/>
        <v>-29267.687732342081</v>
      </c>
      <c r="AG108" s="19">
        <f t="shared" si="65"/>
        <v>16798.114612705267</v>
      </c>
      <c r="AH108" s="19">
        <f t="shared" si="66"/>
        <v>12663.247058823574</v>
      </c>
      <c r="AI108" s="19">
        <f t="shared" si="67"/>
        <v>42614.023494860274</v>
      </c>
      <c r="AJ108" s="19">
        <f t="shared" si="68"/>
        <v>-2946.8096491389588</v>
      </c>
      <c r="AK108" s="158">
        <f t="shared" si="69"/>
        <v>38612.036231435697</v>
      </c>
      <c r="AL108" s="163">
        <f t="shared" si="70"/>
        <v>79355.951042347937</v>
      </c>
      <c r="AM108" s="20"/>
    </row>
    <row r="109" spans="1:39" x14ac:dyDescent="0.25">
      <c r="A109" s="13">
        <f t="shared" si="43"/>
        <v>104</v>
      </c>
      <c r="B109" s="1">
        <v>45169</v>
      </c>
      <c r="C109" s="7">
        <f t="shared" si="44"/>
        <v>2023</v>
      </c>
      <c r="D109" s="7">
        <f t="shared" si="45"/>
        <v>8</v>
      </c>
      <c r="E109" s="61">
        <v>17.027000000000001</v>
      </c>
      <c r="F109" s="65">
        <v>52.84</v>
      </c>
      <c r="G109" s="2">
        <v>37</v>
      </c>
      <c r="H109" s="2">
        <v>13.45</v>
      </c>
      <c r="I109" s="2">
        <v>241.16</v>
      </c>
      <c r="J109" s="2">
        <v>17</v>
      </c>
      <c r="K109" s="2">
        <v>313.26</v>
      </c>
      <c r="L109" s="2">
        <v>138.01</v>
      </c>
      <c r="M109" s="144">
        <v>258.08</v>
      </c>
      <c r="N109" s="72">
        <f t="shared" si="46"/>
        <v>-2.4192059095106133E-2</v>
      </c>
      <c r="O109" s="73">
        <f t="shared" si="47"/>
        <v>-2.8106120304701832E-2</v>
      </c>
      <c r="P109" s="73">
        <f t="shared" si="48"/>
        <v>-3.6532951289398374E-2</v>
      </c>
      <c r="Q109" s="73">
        <f t="shared" si="49"/>
        <v>-2.0471161657189207E-2</v>
      </c>
      <c r="R109" s="73">
        <f t="shared" si="50"/>
        <v>2.3584905660376521E-3</v>
      </c>
      <c r="S109" s="73">
        <f t="shared" si="51"/>
        <v>-2.8440281611512575E-2</v>
      </c>
      <c r="T109" s="73">
        <f t="shared" si="52"/>
        <v>4.0029773427788795E-2</v>
      </c>
      <c r="U109" s="73">
        <f t="shared" si="53"/>
        <v>2.2549550158336817E-2</v>
      </c>
      <c r="V109" s="148">
        <f t="shared" si="54"/>
        <v>55.679601108033246</v>
      </c>
      <c r="W109" s="149">
        <f t="shared" si="55"/>
        <v>39.274231678486998</v>
      </c>
      <c r="X109" s="149">
        <f t="shared" si="56"/>
        <v>13.777578796561604</v>
      </c>
      <c r="Y109" s="149">
        <f t="shared" si="57"/>
        <v>221.70655727051181</v>
      </c>
      <c r="Z109" s="149">
        <f t="shared" si="58"/>
        <v>13.792452830188678</v>
      </c>
      <c r="AA109" s="149">
        <f t="shared" si="59"/>
        <v>260.32942654219522</v>
      </c>
      <c r="AB109" s="149">
        <f t="shared" si="60"/>
        <v>2778.2340298291078</v>
      </c>
      <c r="AC109" s="150">
        <f t="shared" si="61"/>
        <v>3296.3270099484539</v>
      </c>
      <c r="AD109" s="157">
        <f t="shared" si="62"/>
        <v>27607.977839335119</v>
      </c>
      <c r="AE109" s="19">
        <f t="shared" si="63"/>
        <v>32369.397163120448</v>
      </c>
      <c r="AF109" s="19">
        <f t="shared" si="64"/>
        <v>46391.002865329596</v>
      </c>
      <c r="AG109" s="19">
        <f t="shared" si="65"/>
        <v>17607.082372055142</v>
      </c>
      <c r="AH109" s="19">
        <f t="shared" si="66"/>
        <v>-1450.6415094339043</v>
      </c>
      <c r="AI109" s="19">
        <f t="shared" si="67"/>
        <v>40389.039326365266</v>
      </c>
      <c r="AJ109" s="19">
        <f t="shared" si="68"/>
        <v>-32079.488948732476</v>
      </c>
      <c r="AK109" s="158">
        <f t="shared" si="69"/>
        <v>-18172.882487113497</v>
      </c>
      <c r="AL109" s="163">
        <f t="shared" si="70"/>
        <v>112661.48662092572</v>
      </c>
      <c r="AM109" s="20"/>
    </row>
    <row r="110" spans="1:39" x14ac:dyDescent="0.25">
      <c r="A110" s="13">
        <f t="shared" si="43"/>
        <v>105</v>
      </c>
      <c r="B110" s="1">
        <v>45168</v>
      </c>
      <c r="C110" s="7">
        <f t="shared" si="44"/>
        <v>2023</v>
      </c>
      <c r="D110" s="7">
        <f t="shared" si="45"/>
        <v>8</v>
      </c>
      <c r="E110" s="61">
        <v>16.728000000000002</v>
      </c>
      <c r="F110" s="65">
        <v>54.15</v>
      </c>
      <c r="G110" s="2">
        <v>38.07</v>
      </c>
      <c r="H110" s="2">
        <v>13.96</v>
      </c>
      <c r="I110" s="2">
        <v>246.2</v>
      </c>
      <c r="J110" s="2">
        <v>16.96</v>
      </c>
      <c r="K110" s="2">
        <v>322.43</v>
      </c>
      <c r="L110" s="2">
        <v>135.07</v>
      </c>
      <c r="M110" s="144">
        <v>256.89999999999998</v>
      </c>
      <c r="N110" s="72">
        <f t="shared" si="46"/>
        <v>2.5921125717460747E-3</v>
      </c>
      <c r="O110" s="73">
        <f t="shared" si="47"/>
        <v>-5.7456254896839365E-3</v>
      </c>
      <c r="P110" s="73">
        <f t="shared" si="48"/>
        <v>-3.5688793718771095E-3</v>
      </c>
      <c r="Q110" s="73">
        <f t="shared" si="49"/>
        <v>1.0175611357295278E-2</v>
      </c>
      <c r="R110" s="73">
        <f t="shared" si="50"/>
        <v>1.3747758517633102E-2</v>
      </c>
      <c r="S110" s="73">
        <f t="shared" si="51"/>
        <v>2.1867968180521835E-2</v>
      </c>
      <c r="T110" s="73">
        <f t="shared" si="52"/>
        <v>-2.5110777974807208E-3</v>
      </c>
      <c r="U110" s="73">
        <f t="shared" si="53"/>
        <v>-4.7773855072895666E-3</v>
      </c>
      <c r="V110" s="148">
        <f t="shared" si="54"/>
        <v>57.207905943343832</v>
      </c>
      <c r="W110" s="149">
        <f t="shared" si="55"/>
        <v>40.177819273961866</v>
      </c>
      <c r="X110" s="149">
        <f t="shared" si="56"/>
        <v>14.248965024982159</v>
      </c>
      <c r="Y110" s="149">
        <f t="shared" si="57"/>
        <v>228.64314787461021</v>
      </c>
      <c r="Z110" s="149">
        <f t="shared" si="58"/>
        <v>13.949169157202631</v>
      </c>
      <c r="AA110" s="149">
        <f t="shared" si="59"/>
        <v>273.80952207397081</v>
      </c>
      <c r="AB110" s="149">
        <f t="shared" si="60"/>
        <v>2664.5945518530025</v>
      </c>
      <c r="AC110" s="150">
        <f t="shared" si="61"/>
        <v>3208.2349305770636</v>
      </c>
      <c r="AD110" s="157">
        <f t="shared" si="62"/>
        <v>-2958.118866876589</v>
      </c>
      <c r="AE110" s="19">
        <f t="shared" si="63"/>
        <v>6617.1506920867205</v>
      </c>
      <c r="AF110" s="19">
        <f t="shared" si="64"/>
        <v>4531.9057815843735</v>
      </c>
      <c r="AG110" s="19">
        <f t="shared" si="65"/>
        <v>-8751.9619235187747</v>
      </c>
      <c r="AH110" s="19">
        <f t="shared" si="66"/>
        <v>-8455.861326957609</v>
      </c>
      <c r="AI110" s="19">
        <f t="shared" si="67"/>
        <v>-31055.46699204536</v>
      </c>
      <c r="AJ110" s="19">
        <f t="shared" si="68"/>
        <v>2012.3544440991282</v>
      </c>
      <c r="AK110" s="158">
        <f t="shared" si="69"/>
        <v>3850.1373557340912</v>
      </c>
      <c r="AL110" s="163">
        <f t="shared" si="70"/>
        <v>-34209.860835894018</v>
      </c>
      <c r="AM110" s="20"/>
    </row>
    <row r="111" spans="1:39" x14ac:dyDescent="0.25">
      <c r="A111" s="13">
        <f t="shared" si="43"/>
        <v>106</v>
      </c>
      <c r="B111" s="1">
        <v>45167</v>
      </c>
      <c r="C111" s="7">
        <f t="shared" si="44"/>
        <v>2023</v>
      </c>
      <c r="D111" s="7">
        <f t="shared" si="45"/>
        <v>8</v>
      </c>
      <c r="E111" s="61">
        <v>16.79</v>
      </c>
      <c r="F111" s="65">
        <v>54.01</v>
      </c>
      <c r="G111" s="2">
        <v>38.29</v>
      </c>
      <c r="H111" s="2">
        <v>14.01</v>
      </c>
      <c r="I111" s="2">
        <v>243.72</v>
      </c>
      <c r="J111" s="2">
        <v>16.73</v>
      </c>
      <c r="K111" s="2">
        <v>315.52999999999997</v>
      </c>
      <c r="L111" s="2">
        <v>134.91</v>
      </c>
      <c r="M111" s="144">
        <v>257.18</v>
      </c>
      <c r="N111" s="72">
        <f t="shared" si="46"/>
        <v>1.4844043592634248E-2</v>
      </c>
      <c r="O111" s="73">
        <f t="shared" si="47"/>
        <v>-1.2889920082495454E-2</v>
      </c>
      <c r="P111" s="73">
        <f t="shared" si="48"/>
        <v>1.2283236994219626E-2</v>
      </c>
      <c r="Q111" s="73">
        <f t="shared" si="49"/>
        <v>2.7184220508281731E-2</v>
      </c>
      <c r="R111" s="73">
        <f t="shared" si="50"/>
        <v>3.2078963602714339E-2</v>
      </c>
      <c r="S111" s="73">
        <f t="shared" si="51"/>
        <v>2.090141391917677E-2</v>
      </c>
      <c r="T111" s="73">
        <f t="shared" si="52"/>
        <v>1.4019007379510784E-2</v>
      </c>
      <c r="U111" s="73">
        <f t="shared" si="53"/>
        <v>7.7648190582678689E-2</v>
      </c>
      <c r="V111" s="148">
        <f t="shared" si="54"/>
        <v>57.907001127395709</v>
      </c>
      <c r="W111" s="149">
        <f t="shared" si="55"/>
        <v>39.889118329466356</v>
      </c>
      <c r="X111" s="149">
        <f t="shared" si="56"/>
        <v>14.475650289017342</v>
      </c>
      <c r="Y111" s="149">
        <f t="shared" si="57"/>
        <v>232.4928764698445</v>
      </c>
      <c r="Z111" s="149">
        <f t="shared" si="58"/>
        <v>14.20140653917335</v>
      </c>
      <c r="AA111" s="149">
        <f t="shared" si="59"/>
        <v>273.55053385964339</v>
      </c>
      <c r="AB111" s="149">
        <f t="shared" si="60"/>
        <v>2708.7514080585042</v>
      </c>
      <c r="AC111" s="150">
        <f t="shared" si="61"/>
        <v>3473.9449421201248</v>
      </c>
      <c r="AD111" s="157">
        <f t="shared" si="62"/>
        <v>-16940.022547914141</v>
      </c>
      <c r="AE111" s="19">
        <f t="shared" si="63"/>
        <v>14845.127610208749</v>
      </c>
      <c r="AF111" s="19">
        <f t="shared" si="64"/>
        <v>-15597.745664739865</v>
      </c>
      <c r="AG111" s="19">
        <f t="shared" si="65"/>
        <v>-23380.9305854091</v>
      </c>
      <c r="AH111" s="19">
        <f t="shared" si="66"/>
        <v>-19730.872301048752</v>
      </c>
      <c r="AI111" s="19">
        <f t="shared" si="67"/>
        <v>-29682.829456110052</v>
      </c>
      <c r="AJ111" s="19">
        <f t="shared" si="68"/>
        <v>-11234.702417551398</v>
      </c>
      <c r="AK111" s="158">
        <f t="shared" si="69"/>
        <v>-62577.365530031217</v>
      </c>
      <c r="AL111" s="163">
        <f t="shared" si="70"/>
        <v>-164299.34089259576</v>
      </c>
      <c r="AM111" s="20"/>
    </row>
    <row r="112" spans="1:39" x14ac:dyDescent="0.25">
      <c r="A112" s="13">
        <f t="shared" si="43"/>
        <v>107</v>
      </c>
      <c r="B112" s="1">
        <v>45166</v>
      </c>
      <c r="C112" s="7">
        <f t="shared" si="44"/>
        <v>2023</v>
      </c>
      <c r="D112" s="7">
        <f t="shared" si="45"/>
        <v>8</v>
      </c>
      <c r="E112" s="61">
        <v>16.777999999999999</v>
      </c>
      <c r="F112" s="65">
        <v>53.22</v>
      </c>
      <c r="G112" s="2">
        <v>38.79</v>
      </c>
      <c r="H112" s="2">
        <v>13.84</v>
      </c>
      <c r="I112" s="2">
        <v>237.27</v>
      </c>
      <c r="J112" s="2">
        <v>16.21</v>
      </c>
      <c r="K112" s="2">
        <v>309.07</v>
      </c>
      <c r="L112" s="2">
        <v>133.13999999999999</v>
      </c>
      <c r="M112" s="144">
        <v>238.82</v>
      </c>
      <c r="N112" s="72">
        <f t="shared" si="46"/>
        <v>4.1509433962263476E-3</v>
      </c>
      <c r="O112" s="73">
        <f t="shared" si="47"/>
        <v>2.1058173203474473E-2</v>
      </c>
      <c r="P112" s="73">
        <f t="shared" si="48"/>
        <v>1.6899338721528379E-2</v>
      </c>
      <c r="Q112" s="73">
        <f t="shared" si="49"/>
        <v>1.7147511467398235E-2</v>
      </c>
      <c r="R112" s="73">
        <f t="shared" si="50"/>
        <v>4.0436456996149062E-2</v>
      </c>
      <c r="S112" s="73">
        <f t="shared" si="51"/>
        <v>7.9246021393164501E-3</v>
      </c>
      <c r="T112" s="73">
        <f t="shared" si="52"/>
        <v>2.3854266770122479E-3</v>
      </c>
      <c r="U112" s="73">
        <f t="shared" si="53"/>
        <v>4.256050861429328E-3</v>
      </c>
      <c r="V112" s="148">
        <f t="shared" si="54"/>
        <v>57.296852830188676</v>
      </c>
      <c r="W112" s="149">
        <f t="shared" si="55"/>
        <v>41.260960779152398</v>
      </c>
      <c r="X112" s="149">
        <f t="shared" si="56"/>
        <v>14.541660543717857</v>
      </c>
      <c r="Y112" s="149">
        <f t="shared" si="57"/>
        <v>230.22116774553092</v>
      </c>
      <c r="Z112" s="149">
        <f t="shared" si="58"/>
        <v>14.316405648267011</v>
      </c>
      <c r="AA112" s="149">
        <f t="shared" si="59"/>
        <v>270.07339714322984</v>
      </c>
      <c r="AB112" s="149">
        <f t="shared" si="60"/>
        <v>2677.6745960073263</v>
      </c>
      <c r="AC112" s="150">
        <f t="shared" si="61"/>
        <v>3237.3554365615882</v>
      </c>
      <c r="AD112" s="157">
        <f t="shared" si="62"/>
        <v>-4737.0566037734816</v>
      </c>
      <c r="AE112" s="19">
        <f t="shared" si="63"/>
        <v>-24252.382205843453</v>
      </c>
      <c r="AF112" s="19">
        <f t="shared" si="64"/>
        <v>-21459.456282145617</v>
      </c>
      <c r="AG112" s="19">
        <f t="shared" si="65"/>
        <v>-14748.437433017483</v>
      </c>
      <c r="AH112" s="19">
        <f t="shared" si="66"/>
        <v>-24871.332477535412</v>
      </c>
      <c r="AI112" s="19">
        <f t="shared" si="67"/>
        <v>-11254.004859118215</v>
      </c>
      <c r="AJ112" s="19">
        <f t="shared" si="68"/>
        <v>-1911.6588021980078</v>
      </c>
      <c r="AK112" s="158">
        <f t="shared" si="69"/>
        <v>-3429.9891403970832</v>
      </c>
      <c r="AL112" s="163">
        <f t="shared" si="70"/>
        <v>-106664.31780402876</v>
      </c>
      <c r="AM112" s="20"/>
    </row>
    <row r="113" spans="1:39" x14ac:dyDescent="0.25">
      <c r="A113" s="13">
        <f t="shared" si="43"/>
        <v>108</v>
      </c>
      <c r="B113" s="1">
        <v>45163</v>
      </c>
      <c r="C113" s="7">
        <f t="shared" si="44"/>
        <v>2023</v>
      </c>
      <c r="D113" s="7">
        <f t="shared" si="45"/>
        <v>8</v>
      </c>
      <c r="E113" s="61">
        <v>16.722999999999999</v>
      </c>
      <c r="F113" s="65">
        <v>53</v>
      </c>
      <c r="G113" s="2">
        <v>37.99</v>
      </c>
      <c r="H113" s="2">
        <v>13.61</v>
      </c>
      <c r="I113" s="2">
        <v>233.27</v>
      </c>
      <c r="J113" s="2">
        <v>15.58</v>
      </c>
      <c r="K113" s="2">
        <v>306.64</v>
      </c>
      <c r="L113" s="2">
        <v>133.26</v>
      </c>
      <c r="M113" s="144">
        <v>238.59</v>
      </c>
      <c r="N113" s="72">
        <f t="shared" si="46"/>
        <v>2.8382213812676582E-3</v>
      </c>
      <c r="O113" s="73">
        <f t="shared" si="47"/>
        <v>-1.7330574236937291E-2</v>
      </c>
      <c r="P113" s="73">
        <f t="shared" si="48"/>
        <v>8.8954781319494636E-3</v>
      </c>
      <c r="Q113" s="73">
        <f t="shared" si="49"/>
        <v>-1.3532371971074486E-2</v>
      </c>
      <c r="R113" s="73">
        <f t="shared" si="50"/>
        <v>-1.5792798483891368E-2</v>
      </c>
      <c r="S113" s="73">
        <f t="shared" si="51"/>
        <v>8.1867499589018955E-3</v>
      </c>
      <c r="T113" s="73">
        <f t="shared" si="52"/>
        <v>5.3001821904075097E-3</v>
      </c>
      <c r="U113" s="73">
        <f t="shared" si="53"/>
        <v>3.1554136550266509E-2</v>
      </c>
      <c r="V113" s="148">
        <f t="shared" si="54"/>
        <v>57.221948912015137</v>
      </c>
      <c r="W113" s="149">
        <f t="shared" si="55"/>
        <v>39.70967149508536</v>
      </c>
      <c r="X113" s="149">
        <f t="shared" si="56"/>
        <v>14.427205337286878</v>
      </c>
      <c r="Y113" s="149">
        <f t="shared" si="57"/>
        <v>223.27708292806702</v>
      </c>
      <c r="Z113" s="149">
        <f t="shared" si="58"/>
        <v>13.542691092861654</v>
      </c>
      <c r="AA113" s="149">
        <f t="shared" si="59"/>
        <v>270.14363965148777</v>
      </c>
      <c r="AB113" s="149">
        <f t="shared" si="60"/>
        <v>2685.4607894056726</v>
      </c>
      <c r="AC113" s="150">
        <f t="shared" si="61"/>
        <v>3325.3545141242039</v>
      </c>
      <c r="AD113" s="157">
        <f t="shared" si="62"/>
        <v>-3238.9782403026857</v>
      </c>
      <c r="AE113" s="19">
        <f t="shared" si="63"/>
        <v>19959.362390067156</v>
      </c>
      <c r="AF113" s="19">
        <f t="shared" si="64"/>
        <v>-11295.833951074726</v>
      </c>
      <c r="AG113" s="19">
        <f t="shared" si="65"/>
        <v>11639.084873345348</v>
      </c>
      <c r="AH113" s="19">
        <f t="shared" si="66"/>
        <v>9713.7081490840592</v>
      </c>
      <c r="AI113" s="19">
        <f t="shared" si="67"/>
        <v>-11626.290152885264</v>
      </c>
      <c r="AJ113" s="19">
        <f t="shared" si="68"/>
        <v>-4247.5168217019018</v>
      </c>
      <c r="AK113" s="158">
        <f t="shared" si="69"/>
        <v>-25429.758531050993</v>
      </c>
      <c r="AL113" s="163">
        <f t="shared" si="70"/>
        <v>-14526.222284519012</v>
      </c>
      <c r="AM113" s="20"/>
    </row>
    <row r="114" spans="1:39" x14ac:dyDescent="0.25">
      <c r="A114" s="13">
        <f t="shared" si="43"/>
        <v>109</v>
      </c>
      <c r="B114" s="1">
        <v>45162</v>
      </c>
      <c r="C114" s="7">
        <f t="shared" si="44"/>
        <v>2023</v>
      </c>
      <c r="D114" s="7">
        <f t="shared" si="45"/>
        <v>8</v>
      </c>
      <c r="E114" s="61">
        <v>16.814</v>
      </c>
      <c r="F114" s="65">
        <v>52.85</v>
      </c>
      <c r="G114" s="2">
        <v>38.659999999999997</v>
      </c>
      <c r="H114" s="2">
        <v>13.49</v>
      </c>
      <c r="I114" s="2">
        <v>236.47</v>
      </c>
      <c r="J114" s="2">
        <v>15.83</v>
      </c>
      <c r="K114" s="2">
        <v>304.14999999999998</v>
      </c>
      <c r="L114" s="2">
        <v>131.84</v>
      </c>
      <c r="M114" s="144">
        <v>230.04</v>
      </c>
      <c r="N114" s="72">
        <f t="shared" si="46"/>
        <v>-9.1863517060367661E-3</v>
      </c>
      <c r="O114" s="73">
        <f t="shared" si="47"/>
        <v>1.3633980073413543E-2</v>
      </c>
      <c r="P114" s="73">
        <f t="shared" si="48"/>
        <v>-1.2445095168374776E-2</v>
      </c>
      <c r="Q114" s="73">
        <f t="shared" si="49"/>
        <v>5.5005500550042719E-4</v>
      </c>
      <c r="R114" s="73">
        <f t="shared" si="50"/>
        <v>-2.404438964241673E-2</v>
      </c>
      <c r="S114" s="73">
        <f t="shared" si="51"/>
        <v>2.6372177352891324E-3</v>
      </c>
      <c r="T114" s="73">
        <f t="shared" si="52"/>
        <v>-2.5764056724043694E-2</v>
      </c>
      <c r="U114" s="73">
        <f t="shared" si="53"/>
        <v>-2.7405115679394298E-2</v>
      </c>
      <c r="V114" s="148">
        <f t="shared" si="54"/>
        <v>56.535826771653547</v>
      </c>
      <c r="W114" s="149">
        <f t="shared" si="55"/>
        <v>40.960949134766636</v>
      </c>
      <c r="X114" s="149">
        <f t="shared" si="56"/>
        <v>14.122035139092242</v>
      </c>
      <c r="Y114" s="149">
        <f t="shared" si="57"/>
        <v>226.46449944994498</v>
      </c>
      <c r="Z114" s="149">
        <f t="shared" si="58"/>
        <v>13.429149198520346</v>
      </c>
      <c r="AA114" s="149">
        <f t="shared" si="59"/>
        <v>268.6566424921707</v>
      </c>
      <c r="AB114" s="149">
        <f t="shared" si="60"/>
        <v>2602.4788134393257</v>
      </c>
      <c r="AC114" s="150">
        <f t="shared" si="61"/>
        <v>3135.2913767624</v>
      </c>
      <c r="AD114" s="157">
        <f t="shared" si="62"/>
        <v>10483.464566929115</v>
      </c>
      <c r="AE114" s="19">
        <f t="shared" si="63"/>
        <v>-15702.050340849233</v>
      </c>
      <c r="AF114" s="19">
        <f t="shared" si="64"/>
        <v>15803.279648608968</v>
      </c>
      <c r="AG114" s="19">
        <f t="shared" si="65"/>
        <v>-473.09790979091417</v>
      </c>
      <c r="AH114" s="19">
        <f t="shared" si="66"/>
        <v>14789.030826140537</v>
      </c>
      <c r="AI114" s="19">
        <f t="shared" si="67"/>
        <v>-3745.2052085047908</v>
      </c>
      <c r="AJ114" s="19">
        <f t="shared" si="68"/>
        <v>20647.075968202171</v>
      </c>
      <c r="AK114" s="158">
        <f t="shared" si="69"/>
        <v>22086.025809399984</v>
      </c>
      <c r="AL114" s="163">
        <f t="shared" si="70"/>
        <v>63888.523360135834</v>
      </c>
      <c r="AM114" s="20"/>
    </row>
    <row r="115" spans="1:39" x14ac:dyDescent="0.25">
      <c r="A115" s="13">
        <f t="shared" si="43"/>
        <v>110</v>
      </c>
      <c r="B115" s="1">
        <v>45161</v>
      </c>
      <c r="C115" s="7">
        <f t="shared" si="44"/>
        <v>2023</v>
      </c>
      <c r="D115" s="7">
        <f t="shared" si="45"/>
        <v>8</v>
      </c>
      <c r="E115" s="61">
        <v>16.79</v>
      </c>
      <c r="F115" s="65">
        <v>53.34</v>
      </c>
      <c r="G115" s="2">
        <v>38.14</v>
      </c>
      <c r="H115" s="2">
        <v>13.66</v>
      </c>
      <c r="I115" s="2">
        <v>236.34</v>
      </c>
      <c r="J115" s="2">
        <v>16.22</v>
      </c>
      <c r="K115" s="2">
        <v>303.35000000000002</v>
      </c>
      <c r="L115" s="2">
        <v>135.52000000000001</v>
      </c>
      <c r="M115" s="144">
        <v>236.86</v>
      </c>
      <c r="N115" s="72">
        <f t="shared" si="46"/>
        <v>8.6989409984872257E-3</v>
      </c>
      <c r="O115" s="73">
        <f t="shared" si="47"/>
        <v>1.1134676564156898E-2</v>
      </c>
      <c r="P115" s="73">
        <f t="shared" si="48"/>
        <v>2.2010271460013442E-3</v>
      </c>
      <c r="Q115" s="73">
        <f t="shared" si="49"/>
        <v>3.3044846577497955E-2</v>
      </c>
      <c r="R115" s="73">
        <f t="shared" si="50"/>
        <v>-7.9510703363916413E-3</v>
      </c>
      <c r="S115" s="73">
        <f t="shared" si="51"/>
        <v>6.597394029359549E-4</v>
      </c>
      <c r="T115" s="73">
        <f t="shared" si="52"/>
        <v>2.7708421887417956E-3</v>
      </c>
      <c r="U115" s="73">
        <f t="shared" si="53"/>
        <v>9.0075160476004168E-3</v>
      </c>
      <c r="V115" s="148">
        <f t="shared" si="54"/>
        <v>57.556361573373685</v>
      </c>
      <c r="W115" s="149">
        <f t="shared" si="55"/>
        <v>40.859952279957575</v>
      </c>
      <c r="X115" s="149">
        <f t="shared" si="56"/>
        <v>14.33147468818782</v>
      </c>
      <c r="Y115" s="149">
        <f t="shared" si="57"/>
        <v>233.8193705743509</v>
      </c>
      <c r="Z115" s="149">
        <f t="shared" si="58"/>
        <v>13.650593272171252</v>
      </c>
      <c r="AA115" s="149">
        <f t="shared" si="59"/>
        <v>268.12677717301671</v>
      </c>
      <c r="AB115" s="149">
        <f t="shared" si="60"/>
        <v>2678.7041573888068</v>
      </c>
      <c r="AC115" s="150">
        <f t="shared" si="61"/>
        <v>3252.6724283177141</v>
      </c>
      <c r="AD115" s="157">
        <f t="shared" si="62"/>
        <v>-9927.2314674736608</v>
      </c>
      <c r="AE115" s="19">
        <f t="shared" si="63"/>
        <v>-12823.63997879099</v>
      </c>
      <c r="AF115" s="19">
        <f t="shared" si="64"/>
        <v>-2794.9523110783234</v>
      </c>
      <c r="AG115" s="19">
        <f t="shared" si="65"/>
        <v>-28421.6081825334</v>
      </c>
      <c r="AH115" s="19">
        <f t="shared" si="66"/>
        <v>4890.4807339450481</v>
      </c>
      <c r="AI115" s="19">
        <f t="shared" si="67"/>
        <v>-936.91901698859965</v>
      </c>
      <c r="AJ115" s="19">
        <f t="shared" si="68"/>
        <v>-2220.5272166421764</v>
      </c>
      <c r="AK115" s="158">
        <f t="shared" si="69"/>
        <v>-7259.2370794285443</v>
      </c>
      <c r="AL115" s="163">
        <f t="shared" si="70"/>
        <v>-59493.63451899065</v>
      </c>
      <c r="AM115" s="20"/>
    </row>
    <row r="116" spans="1:39" x14ac:dyDescent="0.25">
      <c r="A116" s="13">
        <f t="shared" si="43"/>
        <v>111</v>
      </c>
      <c r="B116" s="1">
        <v>45160</v>
      </c>
      <c r="C116" s="7">
        <f t="shared" si="44"/>
        <v>2023</v>
      </c>
      <c r="D116" s="7">
        <f t="shared" si="45"/>
        <v>8</v>
      </c>
      <c r="E116" s="61">
        <v>16.902000000000001</v>
      </c>
      <c r="F116" s="65">
        <v>52.88</v>
      </c>
      <c r="G116" s="2">
        <v>37.72</v>
      </c>
      <c r="H116" s="2">
        <v>13.63</v>
      </c>
      <c r="I116" s="2">
        <v>228.78</v>
      </c>
      <c r="J116" s="2">
        <v>16.350000000000001</v>
      </c>
      <c r="K116" s="2">
        <v>303.14999999999998</v>
      </c>
      <c r="L116" s="2">
        <v>134.25</v>
      </c>
      <c r="M116" s="144">
        <v>233.19</v>
      </c>
      <c r="N116" s="72">
        <f t="shared" si="46"/>
        <v>7.570022710068347E-4</v>
      </c>
      <c r="O116" s="73">
        <f t="shared" si="47"/>
        <v>-4.3852978453739033E-2</v>
      </c>
      <c r="P116" s="73">
        <f t="shared" si="48"/>
        <v>8.8823094004442105E-3</v>
      </c>
      <c r="Q116" s="73">
        <f t="shared" si="49"/>
        <v>4.5947058016732933E-2</v>
      </c>
      <c r="R116" s="73">
        <f t="shared" si="50"/>
        <v>-7.8883495145630755E-3</v>
      </c>
      <c r="S116" s="73">
        <f t="shared" si="51"/>
        <v>4.606309650053042E-3</v>
      </c>
      <c r="T116" s="73">
        <f t="shared" si="52"/>
        <v>-1.0103637747586047E-2</v>
      </c>
      <c r="U116" s="73">
        <f t="shared" si="53"/>
        <v>1.2681125548270611E-3</v>
      </c>
      <c r="V116" s="148">
        <f t="shared" si="54"/>
        <v>57.103194549583655</v>
      </c>
      <c r="W116" s="149">
        <f t="shared" si="55"/>
        <v>38.637901140684406</v>
      </c>
      <c r="X116" s="149">
        <f t="shared" si="56"/>
        <v>14.427017024426354</v>
      </c>
      <c r="Y116" s="149">
        <f t="shared" si="57"/>
        <v>236.73965711150734</v>
      </c>
      <c r="Z116" s="149">
        <f t="shared" si="58"/>
        <v>13.651456310679611</v>
      </c>
      <c r="AA116" s="149">
        <f t="shared" si="59"/>
        <v>269.1842606707317</v>
      </c>
      <c r="AB116" s="149">
        <f t="shared" si="60"/>
        <v>2644.3125282361425</v>
      </c>
      <c r="AC116" s="150">
        <f t="shared" si="61"/>
        <v>3227.7234126243739</v>
      </c>
      <c r="AD116" s="157">
        <f t="shared" si="62"/>
        <v>-863.89099167305972</v>
      </c>
      <c r="AE116" s="19">
        <f t="shared" si="63"/>
        <v>50504.817490494337</v>
      </c>
      <c r="AF116" s="19">
        <f t="shared" si="64"/>
        <v>-11279.111769060135</v>
      </c>
      <c r="AG116" s="19">
        <f t="shared" si="65"/>
        <v>-39518.697023727887</v>
      </c>
      <c r="AH116" s="19">
        <f t="shared" si="66"/>
        <v>4851.9029126213609</v>
      </c>
      <c r="AI116" s="19">
        <f t="shared" si="67"/>
        <v>-6541.5815548780865</v>
      </c>
      <c r="AJ116" s="19">
        <f t="shared" si="68"/>
        <v>8096.9615291571245</v>
      </c>
      <c r="AK116" s="158">
        <f t="shared" si="69"/>
        <v>-1021.9831560934836</v>
      </c>
      <c r="AL116" s="163">
        <f t="shared" si="70"/>
        <v>4228.4174368401709</v>
      </c>
      <c r="AM116" s="20"/>
    </row>
    <row r="117" spans="1:39" x14ac:dyDescent="0.25">
      <c r="A117" s="13">
        <f t="shared" si="43"/>
        <v>112</v>
      </c>
      <c r="B117" s="1">
        <v>45159</v>
      </c>
      <c r="C117" s="7">
        <f t="shared" si="44"/>
        <v>2023</v>
      </c>
      <c r="D117" s="7">
        <f t="shared" si="45"/>
        <v>8</v>
      </c>
      <c r="E117" s="61">
        <v>17.02</v>
      </c>
      <c r="F117" s="65">
        <v>52.84</v>
      </c>
      <c r="G117" s="2">
        <v>39.450000000000003</v>
      </c>
      <c r="H117" s="2">
        <v>13.51</v>
      </c>
      <c r="I117" s="2">
        <v>218.73</v>
      </c>
      <c r="J117" s="2">
        <v>16.48</v>
      </c>
      <c r="K117" s="2">
        <v>301.76</v>
      </c>
      <c r="L117" s="2">
        <v>134.68</v>
      </c>
      <c r="M117" s="144">
        <v>231.28</v>
      </c>
      <c r="N117" s="72">
        <f t="shared" si="46"/>
        <v>-1.5117157974300355E-3</v>
      </c>
      <c r="O117" s="73">
        <f t="shared" si="47"/>
        <v>2.3877498053464841E-2</v>
      </c>
      <c r="P117" s="73">
        <f t="shared" si="48"/>
        <v>1.8853695324283493E-2</v>
      </c>
      <c r="Q117" s="73">
        <f t="shared" si="49"/>
        <v>3.6709035011242008E-3</v>
      </c>
      <c r="R117" s="73">
        <f t="shared" si="50"/>
        <v>-2.485207100591702E-2</v>
      </c>
      <c r="S117" s="73">
        <f t="shared" si="51"/>
        <v>-4.1581413768068121E-3</v>
      </c>
      <c r="T117" s="73">
        <f t="shared" si="52"/>
        <v>1.0069125237226473E-2</v>
      </c>
      <c r="U117" s="73">
        <f t="shared" si="53"/>
        <v>7.2329800426310209E-2</v>
      </c>
      <c r="V117" s="148">
        <f t="shared" si="54"/>
        <v>56.973741496598642</v>
      </c>
      <c r="W117" s="149">
        <f t="shared" si="55"/>
        <v>41.37488969634051</v>
      </c>
      <c r="X117" s="149">
        <f t="shared" si="56"/>
        <v>14.569607843137256</v>
      </c>
      <c r="Y117" s="149">
        <f t="shared" si="57"/>
        <v>227.17087229844446</v>
      </c>
      <c r="Z117" s="149">
        <f t="shared" si="58"/>
        <v>13.418035502958581</v>
      </c>
      <c r="AA117" s="149">
        <f t="shared" si="59"/>
        <v>266.83582601808462</v>
      </c>
      <c r="AB117" s="149">
        <f t="shared" si="60"/>
        <v>2698.2000784121033</v>
      </c>
      <c r="AC117" s="150">
        <f t="shared" si="61"/>
        <v>3456.8003909155727</v>
      </c>
      <c r="AD117" s="157">
        <f t="shared" si="62"/>
        <v>1725.1700680272108</v>
      </c>
      <c r="AE117" s="19">
        <f t="shared" si="63"/>
        <v>-27499.356345704637</v>
      </c>
      <c r="AF117" s="19">
        <f t="shared" si="64"/>
        <v>-23941.176470588231</v>
      </c>
      <c r="AG117" s="19">
        <f t="shared" si="65"/>
        <v>-3157.3147340889536</v>
      </c>
      <c r="AH117" s="19">
        <f t="shared" si="66"/>
        <v>15285.813017751412</v>
      </c>
      <c r="AI117" s="19">
        <f t="shared" si="67"/>
        <v>5905.1221041514682</v>
      </c>
      <c r="AJ117" s="19">
        <f t="shared" si="68"/>
        <v>-8069.3035236311061</v>
      </c>
      <c r="AK117" s="158">
        <f t="shared" si="69"/>
        <v>-58291.227728893202</v>
      </c>
      <c r="AL117" s="163">
        <f t="shared" si="70"/>
        <v>-98042.273612976045</v>
      </c>
      <c r="AM117" s="20"/>
    </row>
    <row r="118" spans="1:39" x14ac:dyDescent="0.25">
      <c r="A118" s="13">
        <f t="shared" si="43"/>
        <v>113</v>
      </c>
      <c r="B118" s="1">
        <v>45156</v>
      </c>
      <c r="C118" s="7">
        <f t="shared" si="44"/>
        <v>2023</v>
      </c>
      <c r="D118" s="7">
        <f t="shared" si="45"/>
        <v>8</v>
      </c>
      <c r="E118" s="61">
        <v>17.035</v>
      </c>
      <c r="F118" s="65">
        <v>52.92</v>
      </c>
      <c r="G118" s="2">
        <v>38.53</v>
      </c>
      <c r="H118" s="2">
        <v>13.26</v>
      </c>
      <c r="I118" s="2">
        <v>217.93</v>
      </c>
      <c r="J118" s="2">
        <v>16.899999999999999</v>
      </c>
      <c r="K118" s="2">
        <v>303.02</v>
      </c>
      <c r="L118" s="2">
        <v>133.22</v>
      </c>
      <c r="M118" s="144">
        <v>215.49</v>
      </c>
      <c r="N118" s="72">
        <f t="shared" si="46"/>
        <v>-5.6657223796041656E-4</v>
      </c>
      <c r="O118" s="73">
        <f t="shared" si="47"/>
        <v>-2.594706798131341E-4</v>
      </c>
      <c r="P118" s="73">
        <f t="shared" si="48"/>
        <v>3.0257186081694698E-3</v>
      </c>
      <c r="Q118" s="73">
        <f t="shared" si="49"/>
        <v>1.2215513237343156E-2</v>
      </c>
      <c r="R118" s="73">
        <f t="shared" si="50"/>
        <v>-1.1820330969268822E-3</v>
      </c>
      <c r="S118" s="73">
        <f t="shared" si="51"/>
        <v>-1.0219892526291963E-3</v>
      </c>
      <c r="T118" s="73">
        <f t="shared" si="52"/>
        <v>-9.3362288234847268E-3</v>
      </c>
      <c r="U118" s="73">
        <f t="shared" si="53"/>
        <v>-2.0636818685382696E-2</v>
      </c>
      <c r="V118" s="148">
        <f t="shared" si="54"/>
        <v>57.027671388101979</v>
      </c>
      <c r="W118" s="149">
        <f t="shared" si="55"/>
        <v>40.39951478982875</v>
      </c>
      <c r="X118" s="149">
        <f t="shared" si="56"/>
        <v>14.343267776096825</v>
      </c>
      <c r="Y118" s="149">
        <f t="shared" si="57"/>
        <v>229.10485926614027</v>
      </c>
      <c r="Z118" s="149">
        <f t="shared" si="58"/>
        <v>13.743735224586286</v>
      </c>
      <c r="AA118" s="149">
        <f t="shared" si="59"/>
        <v>267.67615797975799</v>
      </c>
      <c r="AB118" s="149">
        <f t="shared" si="60"/>
        <v>2646.3625095368757</v>
      </c>
      <c r="AC118" s="150">
        <f t="shared" si="61"/>
        <v>3157.1098990914734</v>
      </c>
      <c r="AD118" s="157">
        <f t="shared" si="62"/>
        <v>646.57223796046992</v>
      </c>
      <c r="AE118" s="19">
        <f t="shared" si="63"/>
        <v>298.82848988053115</v>
      </c>
      <c r="AF118" s="19">
        <f t="shared" si="64"/>
        <v>-3842.1785173979983</v>
      </c>
      <c r="AG118" s="19">
        <f t="shared" si="65"/>
        <v>-10506.465211332999</v>
      </c>
      <c r="AH118" s="19">
        <f t="shared" si="66"/>
        <v>727.03546099298433</v>
      </c>
      <c r="AI118" s="19">
        <f t="shared" si="67"/>
        <v>1451.3627072826011</v>
      </c>
      <c r="AJ118" s="19">
        <f t="shared" si="68"/>
        <v>7481.9671389371706</v>
      </c>
      <c r="AK118" s="158">
        <f t="shared" si="69"/>
        <v>16631.395227131634</v>
      </c>
      <c r="AL118" s="163">
        <f t="shared" si="70"/>
        <v>12888.517533454391</v>
      </c>
      <c r="AM118" s="20"/>
    </row>
    <row r="119" spans="1:39" x14ac:dyDescent="0.25">
      <c r="A119" s="13">
        <f t="shared" si="43"/>
        <v>114</v>
      </c>
      <c r="B119" s="1">
        <v>45155</v>
      </c>
      <c r="C119" s="7">
        <f t="shared" si="44"/>
        <v>2023</v>
      </c>
      <c r="D119" s="7">
        <f t="shared" si="45"/>
        <v>8</v>
      </c>
      <c r="E119" s="61">
        <v>17.097999999999999</v>
      </c>
      <c r="F119" s="65">
        <v>52.95</v>
      </c>
      <c r="G119" s="2">
        <v>38.54</v>
      </c>
      <c r="H119" s="2">
        <v>13.22</v>
      </c>
      <c r="I119" s="2">
        <v>215.3</v>
      </c>
      <c r="J119" s="2">
        <v>16.920000000000002</v>
      </c>
      <c r="K119" s="2">
        <v>303.33</v>
      </c>
      <c r="L119" s="2">
        <v>133.97999999999999</v>
      </c>
      <c r="M119" s="144">
        <v>219.22</v>
      </c>
      <c r="N119" s="72">
        <f t="shared" si="46"/>
        <v>-1.1204481792716936E-2</v>
      </c>
      <c r="O119" s="73">
        <f t="shared" si="47"/>
        <v>1.5011851461680381E-2</v>
      </c>
      <c r="P119" s="73">
        <f t="shared" si="48"/>
        <v>-4.202898550724643E-2</v>
      </c>
      <c r="Q119" s="73">
        <f t="shared" si="49"/>
        <v>-4.0381529684435757E-2</v>
      </c>
      <c r="R119" s="73">
        <f t="shared" si="50"/>
        <v>-2.9259896729776136E-2</v>
      </c>
      <c r="S119" s="73">
        <f t="shared" si="51"/>
        <v>-3.42884431709648E-2</v>
      </c>
      <c r="T119" s="73">
        <f t="shared" si="52"/>
        <v>-1.0038464503000499E-2</v>
      </c>
      <c r="U119" s="73">
        <f t="shared" si="53"/>
        <v>-3.0208607590954228E-2</v>
      </c>
      <c r="V119" s="148">
        <f t="shared" si="54"/>
        <v>56.420672268907573</v>
      </c>
      <c r="W119" s="149">
        <f t="shared" si="55"/>
        <v>41.0166289175665</v>
      </c>
      <c r="X119" s="149">
        <f t="shared" si="56"/>
        <v>13.698985507246377</v>
      </c>
      <c r="Y119" s="149">
        <f t="shared" si="57"/>
        <v>217.20004457122482</v>
      </c>
      <c r="Z119" s="149">
        <f t="shared" si="58"/>
        <v>13.35738382099828</v>
      </c>
      <c r="AA119" s="149">
        <f t="shared" si="59"/>
        <v>258.76241165233995</v>
      </c>
      <c r="AB119" s="149">
        <f t="shared" si="60"/>
        <v>2644.4866256808195</v>
      </c>
      <c r="AC119" s="150">
        <f t="shared" si="61"/>
        <v>3126.2539407684026</v>
      </c>
      <c r="AD119" s="157">
        <f t="shared" si="62"/>
        <v>12786.55462184858</v>
      </c>
      <c r="AE119" s="19">
        <f t="shared" si="63"/>
        <v>-17288.924150645347</v>
      </c>
      <c r="AF119" s="19">
        <f t="shared" si="64"/>
        <v>53370.086956521794</v>
      </c>
      <c r="AG119" s="19">
        <f t="shared" si="65"/>
        <v>34731.830629345692</v>
      </c>
      <c r="AH119" s="19">
        <f t="shared" si="66"/>
        <v>17996.943201376893</v>
      </c>
      <c r="AI119" s="19">
        <f t="shared" si="67"/>
        <v>48694.21824259821</v>
      </c>
      <c r="AJ119" s="19">
        <f t="shared" si="68"/>
        <v>8044.7322957540109</v>
      </c>
      <c r="AK119" s="158">
        <f t="shared" si="69"/>
        <v>24345.384807899336</v>
      </c>
      <c r="AL119" s="163">
        <f t="shared" si="70"/>
        <v>182680.82660469919</v>
      </c>
      <c r="AM119" s="20"/>
    </row>
    <row r="120" spans="1:39" x14ac:dyDescent="0.25">
      <c r="A120" s="13">
        <f t="shared" si="43"/>
        <v>115</v>
      </c>
      <c r="B120" s="1">
        <v>45154</v>
      </c>
      <c r="C120" s="7">
        <f t="shared" si="44"/>
        <v>2023</v>
      </c>
      <c r="D120" s="7">
        <f t="shared" si="45"/>
        <v>8</v>
      </c>
      <c r="E120" s="61">
        <v>17.132000000000001</v>
      </c>
      <c r="F120" s="65">
        <v>53.55</v>
      </c>
      <c r="G120" s="2">
        <v>37.97</v>
      </c>
      <c r="H120" s="2">
        <v>13.8</v>
      </c>
      <c r="I120" s="2">
        <v>224.36</v>
      </c>
      <c r="J120" s="2">
        <v>17.43</v>
      </c>
      <c r="K120" s="2">
        <v>314.10000000000002</v>
      </c>
      <c r="L120" s="2">
        <v>135.07</v>
      </c>
      <c r="M120" s="144">
        <v>225.6</v>
      </c>
      <c r="N120" s="72">
        <f t="shared" si="46"/>
        <v>4.5019696117050145E-3</v>
      </c>
      <c r="O120" s="73">
        <f t="shared" si="47"/>
        <v>-2.541067761806981E-2</v>
      </c>
      <c r="P120" s="73">
        <f t="shared" si="48"/>
        <v>8.0350620891163071E-3</v>
      </c>
      <c r="Q120" s="73">
        <f t="shared" si="49"/>
        <v>-2.7558005156013143E-3</v>
      </c>
      <c r="R120" s="73">
        <f t="shared" si="50"/>
        <v>-1.3023782559456465E-2</v>
      </c>
      <c r="S120" s="73">
        <f t="shared" si="51"/>
        <v>-1.8748609742921252E-3</v>
      </c>
      <c r="T120" s="73">
        <f t="shared" si="52"/>
        <v>-1.9343670907694399E-2</v>
      </c>
      <c r="U120" s="73">
        <f t="shared" si="53"/>
        <v>-3.204540500339792E-2</v>
      </c>
      <c r="V120" s="148">
        <f t="shared" si="54"/>
        <v>57.316882386043893</v>
      </c>
      <c r="W120" s="149">
        <f t="shared" si="55"/>
        <v>39.383154517453796</v>
      </c>
      <c r="X120" s="149">
        <f t="shared" si="56"/>
        <v>14.414901387874364</v>
      </c>
      <c r="Y120" s="149">
        <f t="shared" si="57"/>
        <v>225.71625211129881</v>
      </c>
      <c r="Z120" s="149">
        <f t="shared" si="58"/>
        <v>13.580792751981878</v>
      </c>
      <c r="AA120" s="149">
        <f t="shared" si="59"/>
        <v>267.44763100193842</v>
      </c>
      <c r="AB120" s="149">
        <f t="shared" si="60"/>
        <v>2619.6296054794652</v>
      </c>
      <c r="AC120" s="150">
        <f t="shared" si="61"/>
        <v>3120.3327754600768</v>
      </c>
      <c r="AD120" s="157">
        <f t="shared" si="62"/>
        <v>-5137.6477208778224</v>
      </c>
      <c r="AE120" s="19">
        <f t="shared" si="63"/>
        <v>29265.096252566702</v>
      </c>
      <c r="AF120" s="19">
        <f t="shared" si="64"/>
        <v>-10203.243243243473</v>
      </c>
      <c r="AG120" s="19">
        <f t="shared" si="65"/>
        <v>2370.2419770645179</v>
      </c>
      <c r="AH120" s="19">
        <f t="shared" si="66"/>
        <v>8010.5639864100303</v>
      </c>
      <c r="AI120" s="19">
        <f t="shared" si="67"/>
        <v>2662.5556897263209</v>
      </c>
      <c r="AJ120" s="19">
        <f t="shared" si="68"/>
        <v>15501.838356160306</v>
      </c>
      <c r="AK120" s="158">
        <f t="shared" si="69"/>
        <v>25825.676134980768</v>
      </c>
      <c r="AL120" s="163">
        <f t="shared" si="70"/>
        <v>68295.081432787352</v>
      </c>
      <c r="AM120" s="20"/>
    </row>
    <row r="121" spans="1:39" x14ac:dyDescent="0.25">
      <c r="A121" s="13">
        <f t="shared" si="43"/>
        <v>116</v>
      </c>
      <c r="B121" s="1">
        <v>45153</v>
      </c>
      <c r="C121" s="7">
        <f t="shared" si="44"/>
        <v>2023</v>
      </c>
      <c r="D121" s="7">
        <f t="shared" si="45"/>
        <v>8</v>
      </c>
      <c r="E121" s="61">
        <v>17.14</v>
      </c>
      <c r="F121" s="65">
        <v>53.31</v>
      </c>
      <c r="G121" s="2">
        <v>38.96</v>
      </c>
      <c r="H121" s="2">
        <v>13.69</v>
      </c>
      <c r="I121" s="2">
        <v>224.98</v>
      </c>
      <c r="J121" s="2">
        <v>17.66</v>
      </c>
      <c r="K121" s="2">
        <v>314.69</v>
      </c>
      <c r="L121" s="2">
        <v>137.66999999999999</v>
      </c>
      <c r="M121" s="144">
        <v>232.96</v>
      </c>
      <c r="N121" s="72">
        <f t="shared" si="46"/>
        <v>4.711647191858237E-3</v>
      </c>
      <c r="O121" s="73">
        <f t="shared" si="47"/>
        <v>-2.2579026593075757E-2</v>
      </c>
      <c r="P121" s="73">
        <f t="shared" si="48"/>
        <v>7.3583517292126199E-3</v>
      </c>
      <c r="Q121" s="73">
        <f t="shared" si="49"/>
        <v>5.18273612724518E-3</v>
      </c>
      <c r="R121" s="73">
        <f t="shared" si="50"/>
        <v>-1.285634432643934E-2</v>
      </c>
      <c r="S121" s="73">
        <f t="shared" si="51"/>
        <v>1.6407738768127622E-2</v>
      </c>
      <c r="T121" s="73">
        <f t="shared" si="52"/>
        <v>-1.4767178484814014E-2</v>
      </c>
      <c r="U121" s="73">
        <f t="shared" si="53"/>
        <v>-2.2544867518847211E-2</v>
      </c>
      <c r="V121" s="148">
        <f t="shared" si="54"/>
        <v>57.328846588767433</v>
      </c>
      <c r="W121" s="149">
        <f t="shared" si="55"/>
        <v>39.497581535373804</v>
      </c>
      <c r="X121" s="149">
        <f t="shared" si="56"/>
        <v>14.405224429727742</v>
      </c>
      <c r="Y121" s="149">
        <f t="shared" si="57"/>
        <v>227.51306049504069</v>
      </c>
      <c r="Z121" s="149">
        <f t="shared" si="58"/>
        <v>13.583096702068195</v>
      </c>
      <c r="AA121" s="149">
        <f t="shared" si="59"/>
        <v>272.34645360291978</v>
      </c>
      <c r="AB121" s="149">
        <f t="shared" si="60"/>
        <v>2631.8548006722876</v>
      </c>
      <c r="AC121" s="150">
        <f t="shared" si="61"/>
        <v>3150.9590451743443</v>
      </c>
      <c r="AD121" s="157">
        <f t="shared" si="62"/>
        <v>-5376.931775348623</v>
      </c>
      <c r="AE121" s="19">
        <f t="shared" si="63"/>
        <v>26003.926241846482</v>
      </c>
      <c r="AF121" s="19">
        <f t="shared" si="64"/>
        <v>-9343.9293598234144</v>
      </c>
      <c r="AG121" s="19">
        <f t="shared" si="65"/>
        <v>-4457.6298811546112</v>
      </c>
      <c r="AH121" s="19">
        <f t="shared" si="66"/>
        <v>7907.5774175516754</v>
      </c>
      <c r="AI121" s="19">
        <f t="shared" si="67"/>
        <v>-23301.204095474895</v>
      </c>
      <c r="AJ121" s="19">
        <f t="shared" si="68"/>
        <v>11834.279798313582</v>
      </c>
      <c r="AK121" s="158">
        <f t="shared" si="69"/>
        <v>18169.108706413906</v>
      </c>
      <c r="AL121" s="163">
        <f t="shared" si="70"/>
        <v>21435.197052324103</v>
      </c>
      <c r="AM121" s="20"/>
    </row>
    <row r="122" spans="1:39" x14ac:dyDescent="0.25">
      <c r="A122" s="13">
        <f t="shared" si="43"/>
        <v>117</v>
      </c>
      <c r="B122" s="1">
        <v>45152</v>
      </c>
      <c r="C122" s="7">
        <f t="shared" si="44"/>
        <v>2023</v>
      </c>
      <c r="D122" s="7">
        <f t="shared" si="45"/>
        <v>8</v>
      </c>
      <c r="E122" s="61">
        <v>17.038</v>
      </c>
      <c r="F122" s="65">
        <v>53.06</v>
      </c>
      <c r="G122" s="2">
        <v>39.86</v>
      </c>
      <c r="H122" s="2">
        <v>13.59</v>
      </c>
      <c r="I122" s="2">
        <v>223.82</v>
      </c>
      <c r="J122" s="2">
        <v>17.89</v>
      </c>
      <c r="K122" s="2">
        <v>309.61</v>
      </c>
      <c r="L122" s="2">
        <v>140.57</v>
      </c>
      <c r="M122" s="144">
        <v>239.76</v>
      </c>
      <c r="N122" s="72">
        <f t="shared" si="46"/>
        <v>5.6571751838574436E-4</v>
      </c>
      <c r="O122" s="73">
        <f t="shared" si="47"/>
        <v>1.2559658377291338E-3</v>
      </c>
      <c r="P122" s="73">
        <f t="shared" si="48"/>
        <v>2.9545454545454541E-2</v>
      </c>
      <c r="Q122" s="73">
        <f t="shared" si="49"/>
        <v>-2.584670231729147E-3</v>
      </c>
      <c r="R122" s="73">
        <f t="shared" si="50"/>
        <v>-2.2404371584699434E-2</v>
      </c>
      <c r="S122" s="73">
        <f t="shared" si="51"/>
        <v>1.0377573997323974E-2</v>
      </c>
      <c r="T122" s="73">
        <f t="shared" si="52"/>
        <v>1.859499475075399E-2</v>
      </c>
      <c r="U122" s="73">
        <f t="shared" si="53"/>
        <v>-9.0019592259183989E-3</v>
      </c>
      <c r="V122" s="148">
        <f t="shared" si="54"/>
        <v>57.092279841599094</v>
      </c>
      <c r="W122" s="149">
        <f t="shared" si="55"/>
        <v>40.460753579502629</v>
      </c>
      <c r="X122" s="149">
        <f t="shared" si="56"/>
        <v>14.7225</v>
      </c>
      <c r="Y122" s="149">
        <f t="shared" si="57"/>
        <v>225.75498573975042</v>
      </c>
      <c r="Z122" s="149">
        <f t="shared" si="58"/>
        <v>13.451715846994535</v>
      </c>
      <c r="AA122" s="149">
        <f t="shared" si="59"/>
        <v>270.73067095258295</v>
      </c>
      <c r="AB122" s="149">
        <f t="shared" si="60"/>
        <v>2720.975254105676</v>
      </c>
      <c r="AC122" s="150">
        <f t="shared" si="61"/>
        <v>3194.6164448498162</v>
      </c>
      <c r="AD122" s="157">
        <f t="shared" si="62"/>
        <v>-645.59683198183393</v>
      </c>
      <c r="AE122" s="19">
        <f t="shared" si="63"/>
        <v>-1446.4770158250353</v>
      </c>
      <c r="AF122" s="19">
        <f t="shared" si="64"/>
        <v>-37517.999999999949</v>
      </c>
      <c r="AG122" s="19">
        <f t="shared" si="65"/>
        <v>2223.0541889484016</v>
      </c>
      <c r="AH122" s="19">
        <f t="shared" si="66"/>
        <v>13780.301639344274</v>
      </c>
      <c r="AI122" s="19">
        <f t="shared" si="67"/>
        <v>-14737.556048689719</v>
      </c>
      <c r="AJ122" s="19">
        <f t="shared" si="68"/>
        <v>-14901.856231702914</v>
      </c>
      <c r="AK122" s="158">
        <f t="shared" si="69"/>
        <v>7254.7587875459385</v>
      </c>
      <c r="AL122" s="163">
        <f t="shared" si="70"/>
        <v>-45991.371512360834</v>
      </c>
      <c r="AM122" s="20"/>
    </row>
    <row r="123" spans="1:39" x14ac:dyDescent="0.25">
      <c r="A123" s="13">
        <f t="shared" si="43"/>
        <v>118</v>
      </c>
      <c r="B123" s="1">
        <v>45149</v>
      </c>
      <c r="C123" s="7">
        <f t="shared" si="44"/>
        <v>2023</v>
      </c>
      <c r="D123" s="7">
        <f t="shared" si="45"/>
        <v>8</v>
      </c>
      <c r="E123" s="61">
        <v>16.988</v>
      </c>
      <c r="F123" s="65">
        <v>53.03</v>
      </c>
      <c r="G123" s="2">
        <v>39.81</v>
      </c>
      <c r="H123" s="2">
        <v>13.2</v>
      </c>
      <c r="I123" s="2">
        <v>224.4</v>
      </c>
      <c r="J123" s="2">
        <v>18.3</v>
      </c>
      <c r="K123" s="2">
        <v>306.43</v>
      </c>
      <c r="L123" s="2">
        <v>138.41</v>
      </c>
      <c r="M123" s="144">
        <v>242.65</v>
      </c>
      <c r="N123" s="72">
        <f t="shared" si="46"/>
        <v>-1.0449710766934128E-2</v>
      </c>
      <c r="O123" s="73">
        <f t="shared" si="47"/>
        <v>6.8285280728377362E-3</v>
      </c>
      <c r="P123" s="73">
        <f t="shared" si="48"/>
        <v>-7.5187969924812581E-3</v>
      </c>
      <c r="Q123" s="73">
        <f t="shared" si="49"/>
        <v>-1.093088857545832E-2</v>
      </c>
      <c r="R123" s="73">
        <f t="shared" si="50"/>
        <v>-4.3387349712493362E-2</v>
      </c>
      <c r="S123" s="73">
        <f t="shared" si="51"/>
        <v>-1.390185036202729E-2</v>
      </c>
      <c r="T123" s="73">
        <f t="shared" si="52"/>
        <v>-9.363140041713347E-3</v>
      </c>
      <c r="U123" s="73">
        <f t="shared" si="53"/>
        <v>-1.9163036716003168E-2</v>
      </c>
      <c r="V123" s="148">
        <f t="shared" si="54"/>
        <v>56.463739503638742</v>
      </c>
      <c r="W123" s="149">
        <f t="shared" si="55"/>
        <v>40.685940819423372</v>
      </c>
      <c r="X123" s="149">
        <f t="shared" si="56"/>
        <v>14.192481203007519</v>
      </c>
      <c r="Y123" s="149">
        <f t="shared" si="57"/>
        <v>223.86590267983075</v>
      </c>
      <c r="Z123" s="149">
        <f t="shared" si="58"/>
        <v>13.162990067956091</v>
      </c>
      <c r="AA123" s="149">
        <f t="shared" si="59"/>
        <v>264.22499919549477</v>
      </c>
      <c r="AB123" s="149">
        <f t="shared" si="60"/>
        <v>2646.2906215350345</v>
      </c>
      <c r="AC123" s="150">
        <f t="shared" si="61"/>
        <v>3161.8608349377496</v>
      </c>
      <c r="AD123" s="157">
        <f t="shared" si="62"/>
        <v>11925.209927225211</v>
      </c>
      <c r="AE123" s="19">
        <f t="shared" si="63"/>
        <v>-7864.3133535662064</v>
      </c>
      <c r="AF123" s="19">
        <f t="shared" si="64"/>
        <v>9547.6691729323629</v>
      </c>
      <c r="AG123" s="19">
        <f t="shared" si="65"/>
        <v>9401.5698166431484</v>
      </c>
      <c r="AH123" s="19">
        <f t="shared" si="66"/>
        <v>26686.343962362716</v>
      </c>
      <c r="AI123" s="19">
        <f t="shared" si="67"/>
        <v>19742.504263877636</v>
      </c>
      <c r="AJ123" s="19">
        <f t="shared" si="68"/>
        <v>7503.5335394895355</v>
      </c>
      <c r="AK123" s="158">
        <f t="shared" si="69"/>
        <v>15443.661265562583</v>
      </c>
      <c r="AL123" s="163">
        <f t="shared" si="70"/>
        <v>92386.17859452698</v>
      </c>
      <c r="AM123" s="20"/>
    </row>
    <row r="124" spans="1:39" x14ac:dyDescent="0.25">
      <c r="A124" s="13">
        <f t="shared" si="43"/>
        <v>119</v>
      </c>
      <c r="B124" s="1">
        <v>45148</v>
      </c>
      <c r="C124" s="7">
        <f t="shared" si="44"/>
        <v>2023</v>
      </c>
      <c r="D124" s="7">
        <f t="shared" si="45"/>
        <v>8</v>
      </c>
      <c r="E124" s="61">
        <v>17.13</v>
      </c>
      <c r="F124" s="65">
        <v>53.59</v>
      </c>
      <c r="G124" s="2">
        <v>39.54</v>
      </c>
      <c r="H124" s="2">
        <v>13.3</v>
      </c>
      <c r="I124" s="2">
        <v>226.88</v>
      </c>
      <c r="J124" s="2">
        <v>19.13</v>
      </c>
      <c r="K124" s="2">
        <v>310.75</v>
      </c>
      <c r="L124" s="2">
        <v>138.56</v>
      </c>
      <c r="M124" s="144">
        <v>245.34</v>
      </c>
      <c r="N124" s="72">
        <f t="shared" si="46"/>
        <v>-6.1201780415429674E-3</v>
      </c>
      <c r="O124" s="73">
        <f t="shared" si="47"/>
        <v>-1.1994002998500841E-2</v>
      </c>
      <c r="P124" s="73">
        <f t="shared" si="48"/>
        <v>-1.8450184501844991E-2</v>
      </c>
      <c r="Q124" s="73">
        <f t="shared" si="49"/>
        <v>1.5892636411796168E-3</v>
      </c>
      <c r="R124" s="73">
        <f t="shared" si="50"/>
        <v>-1.136950904392775E-2</v>
      </c>
      <c r="S124" s="73">
        <f t="shared" si="51"/>
        <v>-3.2169856844144196E-4</v>
      </c>
      <c r="T124" s="73">
        <f t="shared" si="52"/>
        <v>9.6713544738662449E-3</v>
      </c>
      <c r="U124" s="73">
        <f t="shared" si="53"/>
        <v>1.7562478598070586E-2</v>
      </c>
      <c r="V124" s="148">
        <f t="shared" si="54"/>
        <v>56.71078264094956</v>
      </c>
      <c r="W124" s="149">
        <f t="shared" si="55"/>
        <v>39.925322338830576</v>
      </c>
      <c r="X124" s="149">
        <f t="shared" si="56"/>
        <v>14.036162361623617</v>
      </c>
      <c r="Y124" s="149">
        <f t="shared" si="57"/>
        <v>226.6997139325446</v>
      </c>
      <c r="Z124" s="149">
        <f t="shared" si="58"/>
        <v>13.603555555555554</v>
      </c>
      <c r="AA124" s="149">
        <f t="shared" si="59"/>
        <v>267.86380086858611</v>
      </c>
      <c r="AB124" s="149">
        <f t="shared" si="60"/>
        <v>2697.1375124172891</v>
      </c>
      <c r="AC124" s="150">
        <f t="shared" si="61"/>
        <v>3280.2505091254811</v>
      </c>
      <c r="AD124" s="157">
        <f t="shared" si="62"/>
        <v>6984.3471810088431</v>
      </c>
      <c r="AE124" s="19">
        <f t="shared" si="63"/>
        <v>13813.313343328498</v>
      </c>
      <c r="AF124" s="19">
        <f t="shared" si="64"/>
        <v>23428.782287822847</v>
      </c>
      <c r="AG124" s="19">
        <f t="shared" si="65"/>
        <v>-1366.9129436694561</v>
      </c>
      <c r="AH124" s="19">
        <f t="shared" si="66"/>
        <v>6993.0666666667439</v>
      </c>
      <c r="AI124" s="19">
        <f t="shared" si="67"/>
        <v>456.85539649355178</v>
      </c>
      <c r="AJ124" s="19">
        <f t="shared" si="68"/>
        <v>-7750.5337251868696</v>
      </c>
      <c r="AK124" s="158">
        <f t="shared" si="69"/>
        <v>-14153.757281370305</v>
      </c>
      <c r="AL124" s="163">
        <f t="shared" si="70"/>
        <v>28405.160925093853</v>
      </c>
      <c r="AM124" s="20"/>
    </row>
    <row r="125" spans="1:39" x14ac:dyDescent="0.25">
      <c r="A125" s="13">
        <f t="shared" si="43"/>
        <v>120</v>
      </c>
      <c r="B125" s="1">
        <v>45147</v>
      </c>
      <c r="C125" s="7">
        <f t="shared" si="44"/>
        <v>2023</v>
      </c>
      <c r="D125" s="7">
        <f t="shared" si="45"/>
        <v>8</v>
      </c>
      <c r="E125" s="61">
        <v>17.0533</v>
      </c>
      <c r="F125" s="65">
        <v>53.92</v>
      </c>
      <c r="G125" s="2">
        <v>40.020000000000003</v>
      </c>
      <c r="H125" s="2">
        <v>13.55</v>
      </c>
      <c r="I125" s="2">
        <v>226.52</v>
      </c>
      <c r="J125" s="2">
        <v>19.350000000000001</v>
      </c>
      <c r="K125" s="2">
        <v>310.85000000000002</v>
      </c>
      <c r="L125" s="2">
        <v>137.85</v>
      </c>
      <c r="M125" s="144">
        <v>242.19</v>
      </c>
      <c r="N125" s="72">
        <f t="shared" si="46"/>
        <v>9.7378277153559178E-3</v>
      </c>
      <c r="O125" s="73">
        <f t="shared" si="47"/>
        <v>-3.4860557768923162E-3</v>
      </c>
      <c r="P125" s="73">
        <f t="shared" si="48"/>
        <v>2.9607698001481442E-3</v>
      </c>
      <c r="Q125" s="73">
        <f t="shared" si="49"/>
        <v>2.8234226055378953E-2</v>
      </c>
      <c r="R125" s="73">
        <f t="shared" si="50"/>
        <v>-1.1746680286006006E-2</v>
      </c>
      <c r="S125" s="73">
        <f t="shared" si="51"/>
        <v>2.5478939560086289E-3</v>
      </c>
      <c r="T125" s="73">
        <f t="shared" si="52"/>
        <v>-1.8050116337964939E-2</v>
      </c>
      <c r="U125" s="73">
        <f t="shared" si="53"/>
        <v>-3.3143353632317796E-2</v>
      </c>
      <c r="V125" s="148">
        <f t="shared" si="54"/>
        <v>57.61564044943821</v>
      </c>
      <c r="W125" s="149">
        <f t="shared" si="55"/>
        <v>40.269128486055777</v>
      </c>
      <c r="X125" s="149">
        <f t="shared" si="56"/>
        <v>14.342339008142119</v>
      </c>
      <c r="Y125" s="149">
        <f t="shared" si="57"/>
        <v>232.73053472537447</v>
      </c>
      <c r="Z125" s="149">
        <f t="shared" si="58"/>
        <v>13.598365679264557</v>
      </c>
      <c r="AA125" s="149">
        <f t="shared" si="59"/>
        <v>268.63270818551251</v>
      </c>
      <c r="AB125" s="149">
        <f t="shared" si="60"/>
        <v>2623.0850809061149</v>
      </c>
      <c r="AC125" s="150">
        <f t="shared" si="61"/>
        <v>3116.7933893046734</v>
      </c>
      <c r="AD125" s="157">
        <f t="shared" si="62"/>
        <v>-11112.808988764158</v>
      </c>
      <c r="AE125" s="19">
        <f t="shared" si="63"/>
        <v>4014.8381474102521</v>
      </c>
      <c r="AF125" s="19">
        <f t="shared" si="64"/>
        <v>-3759.7039230200976</v>
      </c>
      <c r="AG125" s="19">
        <f t="shared" si="65"/>
        <v>-24284.031956422969</v>
      </c>
      <c r="AH125" s="19">
        <f t="shared" si="66"/>
        <v>7225.0541368742988</v>
      </c>
      <c r="AI125" s="19">
        <f t="shared" si="67"/>
        <v>-3618.3533832163789</v>
      </c>
      <c r="AJ125" s="19">
        <f t="shared" si="68"/>
        <v>14465.195728165418</v>
      </c>
      <c r="AK125" s="158">
        <f t="shared" si="69"/>
        <v>26710.522673831634</v>
      </c>
      <c r="AL125" s="163">
        <f t="shared" si="70"/>
        <v>9640.7124348580001</v>
      </c>
      <c r="AM125" s="20"/>
    </row>
    <row r="126" spans="1:39" x14ac:dyDescent="0.25">
      <c r="A126" s="13">
        <f t="shared" si="43"/>
        <v>121</v>
      </c>
      <c r="B126" s="1">
        <v>45146</v>
      </c>
      <c r="C126" s="7">
        <f t="shared" si="44"/>
        <v>2023</v>
      </c>
      <c r="D126" s="7">
        <f t="shared" si="45"/>
        <v>8</v>
      </c>
      <c r="E126" s="61">
        <v>17.107399999999998</v>
      </c>
      <c r="F126" s="65">
        <v>53.4</v>
      </c>
      <c r="G126" s="2">
        <v>40.159999999999997</v>
      </c>
      <c r="H126" s="2">
        <v>13.51</v>
      </c>
      <c r="I126" s="2">
        <v>220.3</v>
      </c>
      <c r="J126" s="2">
        <v>19.579999999999998</v>
      </c>
      <c r="K126" s="2">
        <v>310.06</v>
      </c>
      <c r="L126" s="2">
        <v>139.94</v>
      </c>
      <c r="M126" s="144">
        <v>249.7</v>
      </c>
      <c r="N126" s="72">
        <f t="shared" si="46"/>
        <v>-6.8811604984192476E-3</v>
      </c>
      <c r="O126" s="73">
        <f t="shared" si="47"/>
        <v>-1.5686274509803977E-2</v>
      </c>
      <c r="P126" s="73">
        <f t="shared" si="48"/>
        <v>1.0471204188481797E-2</v>
      </c>
      <c r="Q126" s="73">
        <f t="shared" si="49"/>
        <v>-1.2638938687701606E-2</v>
      </c>
      <c r="R126" s="73">
        <f t="shared" si="50"/>
        <v>-2.2954091816367317E-2</v>
      </c>
      <c r="S126" s="73">
        <f t="shared" si="51"/>
        <v>6.4507805444424804E-5</v>
      </c>
      <c r="T126" s="73">
        <f t="shared" si="52"/>
        <v>-1.2429292550318771E-2</v>
      </c>
      <c r="U126" s="73">
        <f t="shared" si="53"/>
        <v>-3.324215006176523E-3</v>
      </c>
      <c r="V126" s="148">
        <f t="shared" si="54"/>
        <v>56.667360981960201</v>
      </c>
      <c r="W126" s="149">
        <f t="shared" si="55"/>
        <v>39.776117647058818</v>
      </c>
      <c r="X126" s="149">
        <f t="shared" si="56"/>
        <v>14.449738219895291</v>
      </c>
      <c r="Y126" s="149">
        <f t="shared" si="57"/>
        <v>223.47930261742562</v>
      </c>
      <c r="Z126" s="149">
        <f t="shared" si="58"/>
        <v>13.444151696606786</v>
      </c>
      <c r="AA126" s="149">
        <f t="shared" si="59"/>
        <v>267.96728486646884</v>
      </c>
      <c r="AB126" s="149">
        <f t="shared" si="60"/>
        <v>2638.1000009800309</v>
      </c>
      <c r="AC126" s="150">
        <f t="shared" si="61"/>
        <v>3212.9194225629408</v>
      </c>
      <c r="AD126" s="157">
        <f t="shared" si="62"/>
        <v>7852.7803607960323</v>
      </c>
      <c r="AE126" s="19">
        <f t="shared" si="63"/>
        <v>18065.647058823582</v>
      </c>
      <c r="AF126" s="19">
        <f t="shared" si="64"/>
        <v>-13296.753926701802</v>
      </c>
      <c r="AG126" s="19">
        <f t="shared" si="65"/>
        <v>10870.650053782669</v>
      </c>
      <c r="AH126" s="19">
        <f t="shared" si="66"/>
        <v>14118.419161676646</v>
      </c>
      <c r="AI126" s="19">
        <f t="shared" si="67"/>
        <v>-91.60979228493602</v>
      </c>
      <c r="AJ126" s="19">
        <f t="shared" si="68"/>
        <v>9960.7197059905957</v>
      </c>
      <c r="AK126" s="158">
        <f t="shared" si="69"/>
        <v>2679.0143592647837</v>
      </c>
      <c r="AL126" s="163">
        <f t="shared" si="70"/>
        <v>50158.866981347572</v>
      </c>
      <c r="AM126" s="20"/>
    </row>
    <row r="127" spans="1:39" x14ac:dyDescent="0.25">
      <c r="A127" s="13">
        <f t="shared" si="43"/>
        <v>122</v>
      </c>
      <c r="B127" s="1">
        <v>45145</v>
      </c>
      <c r="C127" s="7">
        <f t="shared" si="44"/>
        <v>2023</v>
      </c>
      <c r="D127" s="7">
        <f t="shared" si="45"/>
        <v>8</v>
      </c>
      <c r="E127" s="61">
        <v>17.045000000000002</v>
      </c>
      <c r="F127" s="65">
        <v>53.77</v>
      </c>
      <c r="G127" s="2">
        <v>40.799999999999997</v>
      </c>
      <c r="H127" s="2">
        <v>13.37</v>
      </c>
      <c r="I127" s="2">
        <v>223.12</v>
      </c>
      <c r="J127" s="2">
        <v>20.04</v>
      </c>
      <c r="K127" s="2">
        <v>310.04000000000002</v>
      </c>
      <c r="L127" s="2">
        <v>142.22</v>
      </c>
      <c r="M127" s="144">
        <v>251.45</v>
      </c>
      <c r="N127" s="72">
        <f t="shared" si="46"/>
        <v>7.4446305602093865E-4</v>
      </c>
      <c r="O127" s="73">
        <f t="shared" si="47"/>
        <v>1.4925373134328179E-2</v>
      </c>
      <c r="P127" s="73">
        <f t="shared" si="48"/>
        <v>2.2171253822629966E-2</v>
      </c>
      <c r="Q127" s="73">
        <f t="shared" si="49"/>
        <v>-1.7895490336435893E-3</v>
      </c>
      <c r="R127" s="73">
        <f t="shared" si="50"/>
        <v>2.0366598778003953E-2</v>
      </c>
      <c r="S127" s="73">
        <f t="shared" si="51"/>
        <v>-1.3528312826127653E-3</v>
      </c>
      <c r="T127" s="73">
        <f t="shared" si="52"/>
        <v>1.8628321568806339E-2</v>
      </c>
      <c r="U127" s="73">
        <f t="shared" si="53"/>
        <v>-9.8419664932701822E-3</v>
      </c>
      <c r="V127" s="148">
        <f t="shared" si="54"/>
        <v>57.10247906197656</v>
      </c>
      <c r="W127" s="149">
        <f t="shared" si="55"/>
        <v>41.013134328358198</v>
      </c>
      <c r="X127" s="149">
        <f t="shared" si="56"/>
        <v>14.617048929663609</v>
      </c>
      <c r="Y127" s="149">
        <f t="shared" si="57"/>
        <v>225.93495347172512</v>
      </c>
      <c r="Z127" s="149">
        <f t="shared" si="58"/>
        <v>14.040244399185335</v>
      </c>
      <c r="AA127" s="149">
        <f t="shared" si="59"/>
        <v>267.58750885782388</v>
      </c>
      <c r="AB127" s="149">
        <f t="shared" si="60"/>
        <v>2721.0642801147237</v>
      </c>
      <c r="AC127" s="150">
        <f t="shared" si="61"/>
        <v>3191.9085676193231</v>
      </c>
      <c r="AD127" s="157">
        <f t="shared" si="62"/>
        <v>-849.5812395311475</v>
      </c>
      <c r="AE127" s="19">
        <f t="shared" si="63"/>
        <v>-17189.32835820875</v>
      </c>
      <c r="AF127" s="19">
        <f t="shared" si="64"/>
        <v>-28153.944954128398</v>
      </c>
      <c r="AG127" s="19">
        <f t="shared" si="65"/>
        <v>1539.1768074445451</v>
      </c>
      <c r="AH127" s="19">
        <f t="shared" si="66"/>
        <v>-12526.924643584482</v>
      </c>
      <c r="AI127" s="19">
        <f t="shared" si="67"/>
        <v>1921.2030535333895</v>
      </c>
      <c r="AJ127" s="19">
        <f t="shared" si="68"/>
        <v>-14928.564034417241</v>
      </c>
      <c r="AK127" s="158">
        <f t="shared" si="69"/>
        <v>7931.7280951692055</v>
      </c>
      <c r="AL127" s="163">
        <f t="shared" si="70"/>
        <v>-62256.235273722879</v>
      </c>
      <c r="AM127" s="20"/>
    </row>
    <row r="128" spans="1:39" x14ac:dyDescent="0.25">
      <c r="A128" s="13">
        <f t="shared" si="43"/>
        <v>123</v>
      </c>
      <c r="B128" s="1">
        <v>45142</v>
      </c>
      <c r="C128" s="7">
        <f t="shared" si="44"/>
        <v>2023</v>
      </c>
      <c r="D128" s="7">
        <f t="shared" si="45"/>
        <v>8</v>
      </c>
      <c r="E128" s="61">
        <v>17.050999999999998</v>
      </c>
      <c r="F128" s="65">
        <v>53.73</v>
      </c>
      <c r="G128" s="2">
        <v>40.200000000000003</v>
      </c>
      <c r="H128" s="2">
        <v>13.08</v>
      </c>
      <c r="I128" s="2">
        <v>223.52</v>
      </c>
      <c r="J128" s="2">
        <v>19.64</v>
      </c>
      <c r="K128" s="2">
        <v>310.45999999999998</v>
      </c>
      <c r="L128" s="2">
        <v>139.57</v>
      </c>
      <c r="M128" s="144">
        <v>253.86</v>
      </c>
      <c r="N128" s="72">
        <f t="shared" si="46"/>
        <v>1.0152284263959421E-2</v>
      </c>
      <c r="O128" s="73">
        <f t="shared" si="47"/>
        <v>3.5281998454803176E-2</v>
      </c>
      <c r="P128" s="73">
        <f t="shared" si="48"/>
        <v>7.7041602465330872E-3</v>
      </c>
      <c r="Q128" s="73">
        <f t="shared" si="49"/>
        <v>1.5907644759567408E-2</v>
      </c>
      <c r="R128" s="73">
        <f t="shared" si="50"/>
        <v>1.8672199170124415E-2</v>
      </c>
      <c r="S128" s="73">
        <f t="shared" si="51"/>
        <v>5.6361751749156586E-3</v>
      </c>
      <c r="T128" s="73">
        <f t="shared" si="52"/>
        <v>6.5693260065580183E-2</v>
      </c>
      <c r="U128" s="73">
        <f t="shared" si="53"/>
        <v>-3.6426135721159159E-2</v>
      </c>
      <c r="V128" s="148">
        <f t="shared" si="54"/>
        <v>57.639289340101527</v>
      </c>
      <c r="W128" s="149">
        <f t="shared" si="55"/>
        <v>41.835745557558596</v>
      </c>
      <c r="X128" s="149">
        <f t="shared" si="56"/>
        <v>14.410169491525425</v>
      </c>
      <c r="Y128" s="149">
        <f t="shared" si="57"/>
        <v>229.94053631488049</v>
      </c>
      <c r="Z128" s="149">
        <f t="shared" si="58"/>
        <v>14.016929460580911</v>
      </c>
      <c r="AA128" s="149">
        <f t="shared" si="59"/>
        <v>269.46021313811866</v>
      </c>
      <c r="AB128" s="149">
        <f t="shared" si="60"/>
        <v>2846.788963277008</v>
      </c>
      <c r="AC128" s="150">
        <f t="shared" si="61"/>
        <v>3106.2108964899758</v>
      </c>
      <c r="AD128" s="157">
        <f t="shared" si="62"/>
        <v>-11585.786802030498</v>
      </c>
      <c r="AE128" s="19">
        <f t="shared" si="63"/>
        <v>-40633.748390420078</v>
      </c>
      <c r="AF128" s="19">
        <f t="shared" si="64"/>
        <v>-9783.05084745764</v>
      </c>
      <c r="AG128" s="19">
        <f t="shared" si="65"/>
        <v>-13682.037996545847</v>
      </c>
      <c r="AH128" s="19">
        <f t="shared" si="66"/>
        <v>-11484.746887966749</v>
      </c>
      <c r="AI128" s="19">
        <f t="shared" si="67"/>
        <v>-8004.129632028963</v>
      </c>
      <c r="AJ128" s="19">
        <f t="shared" si="68"/>
        <v>-52645.96898310251</v>
      </c>
      <c r="AK128" s="158">
        <f t="shared" si="69"/>
        <v>29356.145877506038</v>
      </c>
      <c r="AL128" s="163">
        <f t="shared" si="70"/>
        <v>-118463.32366204626</v>
      </c>
      <c r="AM128" s="20"/>
    </row>
    <row r="129" spans="1:39" x14ac:dyDescent="0.25">
      <c r="A129" s="13">
        <f t="shared" si="43"/>
        <v>124</v>
      </c>
      <c r="B129" s="1">
        <v>45141</v>
      </c>
      <c r="C129" s="7">
        <f t="shared" si="44"/>
        <v>2023</v>
      </c>
      <c r="D129" s="7">
        <f t="shared" si="45"/>
        <v>8</v>
      </c>
      <c r="E129" s="61">
        <v>17.323</v>
      </c>
      <c r="F129" s="65">
        <v>53.19</v>
      </c>
      <c r="G129" s="2">
        <v>38.83</v>
      </c>
      <c r="H129" s="2">
        <v>12.98</v>
      </c>
      <c r="I129" s="2">
        <v>220.02</v>
      </c>
      <c r="J129" s="2">
        <v>19.28</v>
      </c>
      <c r="K129" s="2">
        <v>308.72000000000003</v>
      </c>
      <c r="L129" s="2">
        <v>128.91</v>
      </c>
      <c r="M129" s="144">
        <v>259.32</v>
      </c>
      <c r="N129" s="72">
        <f t="shared" si="46"/>
        <v>2.4500565397662655E-3</v>
      </c>
      <c r="O129" s="73">
        <f t="shared" si="47"/>
        <v>-1.7708069820389638E-2</v>
      </c>
      <c r="P129" s="73">
        <f t="shared" si="48"/>
        <v>7.763975155279379E-3</v>
      </c>
      <c r="Q129" s="73">
        <f t="shared" si="49"/>
        <v>-1.3163269937814803E-3</v>
      </c>
      <c r="R129" s="73">
        <f t="shared" si="50"/>
        <v>-4.1322314049585529E-3</v>
      </c>
      <c r="S129" s="73">
        <f t="shared" si="51"/>
        <v>2.891206185232198E-3</v>
      </c>
      <c r="T129" s="73">
        <f t="shared" si="52"/>
        <v>2.4081607829288254E-2</v>
      </c>
      <c r="U129" s="73">
        <f t="shared" si="53"/>
        <v>3.940335651411031E-2</v>
      </c>
      <c r="V129" s="148">
        <f t="shared" si="54"/>
        <v>57.199800226159063</v>
      </c>
      <c r="W129" s="149">
        <f t="shared" si="55"/>
        <v>39.694416898558053</v>
      </c>
      <c r="X129" s="149">
        <f t="shared" si="56"/>
        <v>14.411024844720496</v>
      </c>
      <c r="Y129" s="149">
        <f t="shared" si="57"/>
        <v>226.04206254822751</v>
      </c>
      <c r="Z129" s="149">
        <f t="shared" si="58"/>
        <v>13.703140495867769</v>
      </c>
      <c r="AA129" s="149">
        <f t="shared" si="59"/>
        <v>268.72469869733294</v>
      </c>
      <c r="AB129" s="149">
        <f t="shared" si="60"/>
        <v>2735.6316567902359</v>
      </c>
      <c r="AC129" s="150">
        <f t="shared" si="61"/>
        <v>3350.6575380899749</v>
      </c>
      <c r="AD129" s="157">
        <f t="shared" si="62"/>
        <v>-2796.0045231812101</v>
      </c>
      <c r="AE129" s="19">
        <f t="shared" si="63"/>
        <v>20394.118391095388</v>
      </c>
      <c r="AF129" s="19">
        <f t="shared" si="64"/>
        <v>-9859.0062111799471</v>
      </c>
      <c r="AG129" s="19">
        <f t="shared" si="65"/>
        <v>1132.1623167354915</v>
      </c>
      <c r="AH129" s="19">
        <f t="shared" si="66"/>
        <v>2541.6198347106988</v>
      </c>
      <c r="AI129" s="19">
        <f t="shared" si="67"/>
        <v>-4105.9030958646417</v>
      </c>
      <c r="AJ129" s="19">
        <f t="shared" si="68"/>
        <v>-19298.777037070886</v>
      </c>
      <c r="AK129" s="158">
        <f t="shared" si="69"/>
        <v>-31755.514522493741</v>
      </c>
      <c r="AL129" s="163">
        <f t="shared" si="70"/>
        <v>-43747.304847248844</v>
      </c>
      <c r="AM129" s="20"/>
    </row>
    <row r="130" spans="1:39" x14ac:dyDescent="0.25">
      <c r="A130" s="13">
        <f t="shared" si="43"/>
        <v>125</v>
      </c>
      <c r="B130" s="1">
        <v>45140</v>
      </c>
      <c r="C130" s="7">
        <f t="shared" si="44"/>
        <v>2023</v>
      </c>
      <c r="D130" s="7">
        <f t="shared" si="45"/>
        <v>8</v>
      </c>
      <c r="E130" s="61">
        <v>17.007999999999999</v>
      </c>
      <c r="F130" s="65">
        <v>53.06</v>
      </c>
      <c r="G130" s="2">
        <v>39.53</v>
      </c>
      <c r="H130" s="2">
        <v>12.88</v>
      </c>
      <c r="I130" s="2">
        <v>220.31</v>
      </c>
      <c r="J130" s="2">
        <v>19.36</v>
      </c>
      <c r="K130" s="2">
        <v>307.83</v>
      </c>
      <c r="L130" s="2">
        <v>128.21</v>
      </c>
      <c r="M130" s="144">
        <v>254.11</v>
      </c>
      <c r="N130" s="72">
        <f t="shared" si="46"/>
        <v>-1.6679021497405411E-2</v>
      </c>
      <c r="O130" s="73">
        <f t="shared" si="47"/>
        <v>-3.4912109375E-2</v>
      </c>
      <c r="P130" s="73">
        <f t="shared" si="48"/>
        <v>-1.5503875968991832E-3</v>
      </c>
      <c r="Q130" s="73">
        <f t="shared" si="49"/>
        <v>-5.369185172458224E-2</v>
      </c>
      <c r="R130" s="73">
        <f t="shared" si="50"/>
        <v>-1.8753167764825163E-2</v>
      </c>
      <c r="S130" s="73">
        <f t="shared" si="51"/>
        <v>-1.8336628611518635E-2</v>
      </c>
      <c r="T130" s="73">
        <f t="shared" si="52"/>
        <v>-1.8752488869764439E-2</v>
      </c>
      <c r="U130" s="73">
        <f t="shared" si="53"/>
        <v>-1.8988151609686033E-2</v>
      </c>
      <c r="V130" s="148">
        <f t="shared" si="54"/>
        <v>56.108295033358047</v>
      </c>
      <c r="W130" s="149">
        <f t="shared" si="55"/>
        <v>38.999201660156245</v>
      </c>
      <c r="X130" s="149">
        <f t="shared" si="56"/>
        <v>14.277829457364343</v>
      </c>
      <c r="Y130" s="149">
        <f t="shared" si="57"/>
        <v>214.18738628065805</v>
      </c>
      <c r="Z130" s="149">
        <f t="shared" si="58"/>
        <v>13.501956411556005</v>
      </c>
      <c r="AA130" s="149">
        <f t="shared" si="59"/>
        <v>263.03670036354356</v>
      </c>
      <c r="AB130" s="149">
        <f t="shared" si="60"/>
        <v>2621.2088314762245</v>
      </c>
      <c r="AC130" s="150">
        <f t="shared" si="61"/>
        <v>3162.4246007713969</v>
      </c>
      <c r="AD130" s="157">
        <f t="shared" si="62"/>
        <v>19034.099332839105</v>
      </c>
      <c r="AE130" s="19">
        <f t="shared" si="63"/>
        <v>40207.752685546904</v>
      </c>
      <c r="AF130" s="19">
        <f t="shared" si="64"/>
        <v>1968.7441860464489</v>
      </c>
      <c r="AG130" s="19">
        <f t="shared" si="65"/>
        <v>46179.932133499438</v>
      </c>
      <c r="AH130" s="19">
        <f t="shared" si="66"/>
        <v>11534.548403446561</v>
      </c>
      <c r="AI130" s="19">
        <f t="shared" si="67"/>
        <v>26040.488073219076</v>
      </c>
      <c r="AJ130" s="19">
        <f t="shared" si="68"/>
        <v>15028.070557132514</v>
      </c>
      <c r="AK130" s="158">
        <f t="shared" si="69"/>
        <v>15302.719807150766</v>
      </c>
      <c r="AL130" s="163">
        <f t="shared" si="70"/>
        <v>175296.35517888083</v>
      </c>
      <c r="AM130" s="20"/>
    </row>
    <row r="131" spans="1:39" x14ac:dyDescent="0.25">
      <c r="A131" s="13">
        <f t="shared" si="43"/>
        <v>126</v>
      </c>
      <c r="B131" s="1">
        <v>45139</v>
      </c>
      <c r="C131" s="7">
        <f t="shared" si="44"/>
        <v>2023</v>
      </c>
      <c r="D131" s="7">
        <f t="shared" si="45"/>
        <v>8</v>
      </c>
      <c r="E131" s="61">
        <v>16.875</v>
      </c>
      <c r="F131" s="65">
        <v>53.96</v>
      </c>
      <c r="G131" s="2">
        <v>40.96</v>
      </c>
      <c r="H131" s="2">
        <v>12.9</v>
      </c>
      <c r="I131" s="2">
        <v>232.81</v>
      </c>
      <c r="J131" s="2">
        <v>19.73</v>
      </c>
      <c r="K131" s="2">
        <v>313.58</v>
      </c>
      <c r="L131" s="2">
        <v>131.69</v>
      </c>
      <c r="M131" s="144">
        <v>261.07</v>
      </c>
      <c r="N131" s="72">
        <f t="shared" si="46"/>
        <v>-1.1178303096939679E-2</v>
      </c>
      <c r="O131" s="73">
        <f t="shared" si="47"/>
        <v>-1.6094162863319772E-2</v>
      </c>
      <c r="P131" s="73">
        <f t="shared" si="48"/>
        <v>1.4150943396226356E-2</v>
      </c>
      <c r="Q131" s="73">
        <f t="shared" si="49"/>
        <v>-2.764899970763901E-2</v>
      </c>
      <c r="R131" s="73">
        <f t="shared" si="50"/>
        <v>-2.0357497517378365E-2</v>
      </c>
      <c r="S131" s="73">
        <f t="shared" si="51"/>
        <v>-1.7144648174267418E-2</v>
      </c>
      <c r="T131" s="73">
        <f t="shared" si="52"/>
        <v>-6.2294499509311096E-3</v>
      </c>
      <c r="U131" s="73">
        <f t="shared" si="53"/>
        <v>-1.5203250333653218E-2</v>
      </c>
      <c r="V131" s="148">
        <f t="shared" si="54"/>
        <v>56.422166025288625</v>
      </c>
      <c r="W131" s="149">
        <f t="shared" si="55"/>
        <v>39.759634878693248</v>
      </c>
      <c r="X131" s="149">
        <f t="shared" si="56"/>
        <v>14.502358490566037</v>
      </c>
      <c r="Y131" s="149">
        <f t="shared" si="57"/>
        <v>220.08192540617299</v>
      </c>
      <c r="Z131" s="149">
        <f t="shared" si="58"/>
        <v>13.479880834160873</v>
      </c>
      <c r="AA131" s="149">
        <f t="shared" si="59"/>
        <v>263.35609152170503</v>
      </c>
      <c r="AB131" s="149">
        <f t="shared" si="60"/>
        <v>2654.6616553953972</v>
      </c>
      <c r="AC131" s="150">
        <f t="shared" si="61"/>
        <v>3174.6257428131134</v>
      </c>
      <c r="AD131" s="157">
        <f t="shared" si="62"/>
        <v>12756.679494227541</v>
      </c>
      <c r="AE131" s="19">
        <f t="shared" si="63"/>
        <v>18535.405957242332</v>
      </c>
      <c r="AF131" s="19">
        <f t="shared" si="64"/>
        <v>-17969.433962264</v>
      </c>
      <c r="AG131" s="19">
        <f t="shared" si="65"/>
        <v>23780.683456542669</v>
      </c>
      <c r="AH131" s="19">
        <f t="shared" si="66"/>
        <v>12521.326713008952</v>
      </c>
      <c r="AI131" s="19">
        <f t="shared" si="67"/>
        <v>24347.714934963307</v>
      </c>
      <c r="AJ131" s="19">
        <f t="shared" si="68"/>
        <v>4992.2233813806997</v>
      </c>
      <c r="AK131" s="158">
        <f t="shared" si="69"/>
        <v>12252.434296721618</v>
      </c>
      <c r="AL131" s="163">
        <f t="shared" si="70"/>
        <v>91217.034271823126</v>
      </c>
      <c r="AM131" s="20"/>
    </row>
    <row r="132" spans="1:39" x14ac:dyDescent="0.25">
      <c r="A132" s="13">
        <f t="shared" si="43"/>
        <v>127</v>
      </c>
      <c r="B132" s="1">
        <v>45138</v>
      </c>
      <c r="C132" s="7">
        <f t="shared" si="44"/>
        <v>2023</v>
      </c>
      <c r="D132" s="7">
        <f t="shared" si="45"/>
        <v>7</v>
      </c>
      <c r="E132" s="61">
        <v>16.728000000000002</v>
      </c>
      <c r="F132" s="65">
        <v>54.57</v>
      </c>
      <c r="G132" s="2">
        <v>41.63</v>
      </c>
      <c r="H132" s="2">
        <v>12.72</v>
      </c>
      <c r="I132" s="2">
        <v>239.43</v>
      </c>
      <c r="J132" s="2">
        <v>20.14</v>
      </c>
      <c r="K132" s="2">
        <v>319.05</v>
      </c>
      <c r="L132" s="2">
        <v>133.68</v>
      </c>
      <c r="M132" s="144">
        <v>267.43</v>
      </c>
      <c r="N132" s="72">
        <f t="shared" si="46"/>
        <v>-1.0982976386600951E-3</v>
      </c>
      <c r="O132" s="73">
        <f t="shared" si="47"/>
        <v>2.5622074402562145E-2</v>
      </c>
      <c r="P132" s="73">
        <f t="shared" si="48"/>
        <v>-7.0257611241217877E-3</v>
      </c>
      <c r="Q132" s="73">
        <f t="shared" si="49"/>
        <v>2.6715265866209315E-2</v>
      </c>
      <c r="R132" s="73">
        <f t="shared" si="50"/>
        <v>-2.9865125240847834E-2</v>
      </c>
      <c r="S132" s="73">
        <f t="shared" si="51"/>
        <v>9.7158047977718986E-3</v>
      </c>
      <c r="T132" s="73">
        <f t="shared" si="52"/>
        <v>1.4454099001263376E-2</v>
      </c>
      <c r="U132" s="73">
        <f t="shared" si="53"/>
        <v>7.0266618006582515E-3</v>
      </c>
      <c r="V132" s="148">
        <f t="shared" si="54"/>
        <v>56.997331136738055</v>
      </c>
      <c r="W132" s="149">
        <f t="shared" si="55"/>
        <v>41.445388026607532</v>
      </c>
      <c r="X132" s="149">
        <f t="shared" si="56"/>
        <v>14.199531615925059</v>
      </c>
      <c r="Y132" s="149">
        <f t="shared" si="57"/>
        <v>232.38673327615783</v>
      </c>
      <c r="Z132" s="149">
        <f t="shared" si="58"/>
        <v>13.349055876685934</v>
      </c>
      <c r="AA132" s="149">
        <f t="shared" si="59"/>
        <v>270.55334989556297</v>
      </c>
      <c r="AB132" s="149">
        <f t="shared" si="60"/>
        <v>2709.9136693519122</v>
      </c>
      <c r="AC132" s="150">
        <f t="shared" si="61"/>
        <v>3246.2868762865623</v>
      </c>
      <c r="AD132" s="157">
        <f t="shared" si="62"/>
        <v>1253.377265238953</v>
      </c>
      <c r="AE132" s="19">
        <f t="shared" si="63"/>
        <v>-29508.55875831475</v>
      </c>
      <c r="AF132" s="19">
        <f t="shared" si="64"/>
        <v>8921.5925058548364</v>
      </c>
      <c r="AG132" s="19">
        <f t="shared" si="65"/>
        <v>-22977.586449399729</v>
      </c>
      <c r="AH132" s="19">
        <f t="shared" si="66"/>
        <v>18369.202312138721</v>
      </c>
      <c r="AI132" s="19">
        <f t="shared" si="67"/>
        <v>-13797.754446483821</v>
      </c>
      <c r="AJ132" s="19">
        <f t="shared" si="68"/>
        <v>-11583.380805573779</v>
      </c>
      <c r="AK132" s="158">
        <f t="shared" si="69"/>
        <v>-5662.8490716406077</v>
      </c>
      <c r="AL132" s="163">
        <f t="shared" si="70"/>
        <v>-54985.957448180168</v>
      </c>
      <c r="AM132" s="20"/>
    </row>
    <row r="133" spans="1:39" x14ac:dyDescent="0.25">
      <c r="A133" s="13">
        <f t="shared" ref="A133:A196" si="71">+A134-1</f>
        <v>128</v>
      </c>
      <c r="B133" s="1">
        <v>45135</v>
      </c>
      <c r="C133" s="7">
        <f t="shared" ref="C133:C196" si="72">+YEAR(B133)</f>
        <v>2023</v>
      </c>
      <c r="D133" s="7">
        <f t="shared" ref="D133:D196" si="73">+MONTH(B133)</f>
        <v>7</v>
      </c>
      <c r="E133" s="61">
        <v>16.672999999999998</v>
      </c>
      <c r="F133" s="65">
        <v>54.63</v>
      </c>
      <c r="G133" s="2">
        <v>40.590000000000003</v>
      </c>
      <c r="H133" s="2">
        <v>12.81</v>
      </c>
      <c r="I133" s="2">
        <v>233.2</v>
      </c>
      <c r="J133" s="2">
        <v>20.76</v>
      </c>
      <c r="K133" s="2">
        <v>315.98</v>
      </c>
      <c r="L133" s="2">
        <v>132.21</v>
      </c>
      <c r="M133" s="144">
        <v>266.44</v>
      </c>
      <c r="N133" s="72">
        <f t="shared" si="46"/>
        <v>3.1215571061329328E-3</v>
      </c>
      <c r="O133" s="73">
        <f t="shared" si="47"/>
        <v>-6.6079295154184425E-3</v>
      </c>
      <c r="P133" s="73">
        <f t="shared" si="48"/>
        <v>2.3474178403757318E-3</v>
      </c>
      <c r="Q133" s="73">
        <f t="shared" si="49"/>
        <v>4.5229377557611805E-3</v>
      </c>
      <c r="R133" s="73">
        <f t="shared" si="50"/>
        <v>-3.8387715930900956E-3</v>
      </c>
      <c r="S133" s="73">
        <f t="shared" si="51"/>
        <v>5.1213538187486751E-3</v>
      </c>
      <c r="T133" s="73">
        <f t="shared" si="52"/>
        <v>1.944338307215232E-2</v>
      </c>
      <c r="U133" s="73">
        <f t="shared" si="53"/>
        <v>3.0404846311433031E-2</v>
      </c>
      <c r="V133" s="148">
        <f t="shared" si="54"/>
        <v>57.238116048475945</v>
      </c>
      <c r="W133" s="149">
        <f t="shared" si="55"/>
        <v>40.142973568281938</v>
      </c>
      <c r="X133" s="149">
        <f t="shared" si="56"/>
        <v>14.333568075117373</v>
      </c>
      <c r="Y133" s="149">
        <f t="shared" si="57"/>
        <v>227.36372173163898</v>
      </c>
      <c r="Z133" s="149">
        <f t="shared" si="58"/>
        <v>13.70717850287908</v>
      </c>
      <c r="AA133" s="149">
        <f t="shared" si="59"/>
        <v>269.32226675573372</v>
      </c>
      <c r="AB133" s="149">
        <f t="shared" si="60"/>
        <v>2723.2415558647594</v>
      </c>
      <c r="AC133" s="150">
        <f t="shared" si="61"/>
        <v>3321.6496213334826</v>
      </c>
      <c r="AD133" s="157">
        <f t="shared" si="62"/>
        <v>-3562.3209695188507</v>
      </c>
      <c r="AE133" s="19">
        <f t="shared" si="63"/>
        <v>7610.2533039646578</v>
      </c>
      <c r="AF133" s="19">
        <f t="shared" si="64"/>
        <v>-2980.8450704226857</v>
      </c>
      <c r="AG133" s="19">
        <f t="shared" si="65"/>
        <v>-3890.1425802280928</v>
      </c>
      <c r="AH133" s="19">
        <f t="shared" si="66"/>
        <v>2361.1209213051334</v>
      </c>
      <c r="AI133" s="19">
        <f t="shared" si="67"/>
        <v>-7273.0138053887858</v>
      </c>
      <c r="AJ133" s="19">
        <f t="shared" si="68"/>
        <v>-15581.746759427961</v>
      </c>
      <c r="AK133" s="158">
        <f t="shared" si="69"/>
        <v>-24503.535333370677</v>
      </c>
      <c r="AL133" s="163">
        <f t="shared" si="70"/>
        <v>-47820.230293087261</v>
      </c>
      <c r="AM133" s="20"/>
    </row>
    <row r="134" spans="1:39" x14ac:dyDescent="0.25">
      <c r="A134" s="13">
        <f t="shared" si="71"/>
        <v>129</v>
      </c>
      <c r="B134" s="1">
        <v>45134</v>
      </c>
      <c r="C134" s="7">
        <f t="shared" si="72"/>
        <v>2023</v>
      </c>
      <c r="D134" s="7">
        <f t="shared" si="73"/>
        <v>7</v>
      </c>
      <c r="E134" s="61">
        <v>16.86</v>
      </c>
      <c r="F134" s="65">
        <v>54.46</v>
      </c>
      <c r="G134" s="2">
        <v>40.86</v>
      </c>
      <c r="H134" s="2">
        <v>12.78</v>
      </c>
      <c r="I134" s="2">
        <v>232.15</v>
      </c>
      <c r="J134" s="2">
        <v>20.84</v>
      </c>
      <c r="K134" s="2">
        <v>314.37</v>
      </c>
      <c r="L134" s="2">
        <v>128.25</v>
      </c>
      <c r="M134" s="144">
        <v>255.71</v>
      </c>
      <c r="N134" s="72">
        <f t="shared" ref="N134:N197" si="74" xml:space="preserve"> (F134/F135) - 1</f>
        <v>1.8395879323032105E-3</v>
      </c>
      <c r="O134" s="73">
        <f t="shared" ref="O134:O197" si="75" xml:space="preserve"> (G134/G135) - 1</f>
        <v>8.1421169504070079E-3</v>
      </c>
      <c r="P134" s="73">
        <f t="shared" ref="P134:P197" si="76" xml:space="preserve"> (H134/H135) - 1</f>
        <v>-3.1201248049922414E-3</v>
      </c>
      <c r="Q134" s="73">
        <f t="shared" ref="Q134:Q197" si="77" xml:space="preserve"> (I134/I135) - 1</f>
        <v>1.6395564568321142E-3</v>
      </c>
      <c r="R134" s="73">
        <f t="shared" ref="R134:R197" si="78" xml:space="preserve"> (J134/J135) - 1</f>
        <v>-4.6224256292906274E-2</v>
      </c>
      <c r="S134" s="73">
        <f t="shared" ref="S134:S197" si="79" xml:space="preserve"> (K134/K135) - 1</f>
        <v>1.1258725512272028E-2</v>
      </c>
      <c r="T134" s="73">
        <f t="shared" ref="T134:T197" si="80" xml:space="preserve"> (E134*L134) / (E135*L135) - 1</f>
        <v>2.3260340546886749E-3</v>
      </c>
      <c r="U134" s="73">
        <f t="shared" ref="U134:U197" si="81" xml:space="preserve"> (E134*M134) / (E135*M135) - 1</f>
        <v>-3.1189928585134696E-2</v>
      </c>
      <c r="V134" s="148">
        <f t="shared" ref="V134:V197" si="82" xml:space="preserve"> F$5 * ( 1+N134 )</f>
        <v>57.164966887417222</v>
      </c>
      <c r="W134" s="149">
        <f t="shared" ref="W134:W197" si="83" xml:space="preserve"> G$5 * ( 1+O134 )</f>
        <v>40.739022945965942</v>
      </c>
      <c r="X134" s="149">
        <f t="shared" ref="X134:X197" si="84" xml:space="preserve"> H$5 * ( 1+P134 )</f>
        <v>14.255382215288611</v>
      </c>
      <c r="Y134" s="149">
        <f t="shared" ref="Y134:Y197" si="85" xml:space="preserve"> I$5 * ( 1+Q134 )</f>
        <v>226.71109720843938</v>
      </c>
      <c r="Z134" s="149">
        <f t="shared" ref="Z134:Z197" si="86" xml:space="preserve"> J$5 * ( 1+R134 )</f>
        <v>13.123954233409609</v>
      </c>
      <c r="AA134" s="149">
        <f t="shared" ref="AA134:AA197" si="87" xml:space="preserve"> K$5 * ( 1+S134 )</f>
        <v>270.96677550101327</v>
      </c>
      <c r="AB134" s="149">
        <f t="shared" ref="AB134:AB197" si="88" xml:space="preserve"> (L$5*E$5) * (1 + T134)</f>
        <v>2677.5159403527709</v>
      </c>
      <c r="AC134" s="150">
        <f t="shared" ref="AC134:AC197" si="89" xml:space="preserve"> (M$5*E$5) * (1 + U134)</f>
        <v>3123.0905195942937</v>
      </c>
      <c r="AD134" s="157">
        <f t="shared" ref="AD134:AD197" si="90" xml:space="preserve"> (F$5 - V134) * AD$2</f>
        <v>-2099.3377483443965</v>
      </c>
      <c r="AE134" s="19">
        <f t="shared" ref="AE134:AE197" si="91" xml:space="preserve"> (G$5 - W134) * AE$2</f>
        <v>-9377.1539600294527</v>
      </c>
      <c r="AF134" s="19">
        <f t="shared" ref="AF134:AF197" si="92" xml:space="preserve"> (H$5 - X134) * AF$2</f>
        <v>3962.0592823714119</v>
      </c>
      <c r="AG134" s="19">
        <f t="shared" ref="AG134:AG197" si="93" xml:space="preserve"> (I$5 - Y134) * AG$2</f>
        <v>-1410.1693920696448</v>
      </c>
      <c r="AH134" s="19">
        <f t="shared" ref="AH134:AH197" si="94" xml:space="preserve"> (J$5 - Z134) * AH$2</f>
        <v>28431.245766590455</v>
      </c>
      <c r="AI134" s="19">
        <f t="shared" ref="AI134:AI197" si="95" xml:space="preserve"> (K$5 - AA134) * AI$2</f>
        <v>-15988.910155370411</v>
      </c>
      <c r="AJ134" s="19">
        <f t="shared" ref="AJ134:AJ197" si="96" xml:space="preserve"> (E$5 *L$5 - AB134) * AJ$2</f>
        <v>-1864.0621058314082</v>
      </c>
      <c r="AK134" s="158">
        <f t="shared" ref="AK134:AK197" si="97" xml:space="preserve"> (E$5 *M$5 - AC134) * AK$2</f>
        <v>25136.240101426552</v>
      </c>
      <c r="AL134" s="163">
        <f t="shared" ref="AL134:AL197" si="98" xml:space="preserve"> SUM(AD134:AK134)</f>
        <v>26789.911788743106</v>
      </c>
      <c r="AM134" s="20"/>
    </row>
    <row r="135" spans="1:39" x14ac:dyDescent="0.25">
      <c r="A135" s="13">
        <f t="shared" si="71"/>
        <v>130</v>
      </c>
      <c r="B135" s="1">
        <v>45133</v>
      </c>
      <c r="C135" s="7">
        <f t="shared" si="72"/>
        <v>2023</v>
      </c>
      <c r="D135" s="7">
        <f t="shared" si="73"/>
        <v>7</v>
      </c>
      <c r="E135" s="61">
        <v>16.834</v>
      </c>
      <c r="F135" s="65">
        <v>54.36</v>
      </c>
      <c r="G135" s="2">
        <v>40.53</v>
      </c>
      <c r="H135" s="2">
        <v>12.82</v>
      </c>
      <c r="I135" s="2">
        <v>231.77</v>
      </c>
      <c r="J135" s="2">
        <v>21.85</v>
      </c>
      <c r="K135" s="2">
        <v>310.87</v>
      </c>
      <c r="L135" s="2">
        <v>128.15</v>
      </c>
      <c r="M135" s="144">
        <v>264.35000000000002</v>
      </c>
      <c r="N135" s="72">
        <f t="shared" si="74"/>
        <v>8.7214696604194231E-3</v>
      </c>
      <c r="O135" s="73">
        <f t="shared" si="75"/>
        <v>-8.3190604355272146E-3</v>
      </c>
      <c r="P135" s="73">
        <f t="shared" si="76"/>
        <v>1.3438735177865535E-2</v>
      </c>
      <c r="Q135" s="73">
        <f t="shared" si="77"/>
        <v>-2.9398216005695255E-2</v>
      </c>
      <c r="R135" s="73">
        <f t="shared" si="78"/>
        <v>4.1360294117647189E-3</v>
      </c>
      <c r="S135" s="73">
        <f t="shared" si="79"/>
        <v>4.8253304558942611E-2</v>
      </c>
      <c r="T135" s="73">
        <f t="shared" si="80"/>
        <v>-1.2633419251111166E-2</v>
      </c>
      <c r="U135" s="73">
        <f t="shared" si="81"/>
        <v>-8.5706533905385296E-3</v>
      </c>
      <c r="V135" s="148">
        <f t="shared" si="82"/>
        <v>57.557647058823534</v>
      </c>
      <c r="W135" s="149">
        <f t="shared" si="83"/>
        <v>40.073826767800341</v>
      </c>
      <c r="X135" s="149">
        <f t="shared" si="84"/>
        <v>14.492173913043478</v>
      </c>
      <c r="Y135" s="149">
        <f t="shared" si="85"/>
        <v>219.68600778927095</v>
      </c>
      <c r="Z135" s="149">
        <f t="shared" si="86"/>
        <v>13.816911764705882</v>
      </c>
      <c r="AA135" s="149">
        <f t="shared" si="87"/>
        <v>280.87947295656863</v>
      </c>
      <c r="AB135" s="149">
        <f t="shared" si="88"/>
        <v>2637.5547168343001</v>
      </c>
      <c r="AC135" s="150">
        <f t="shared" si="89"/>
        <v>3196.0068176434775</v>
      </c>
      <c r="AD135" s="157">
        <f t="shared" si="90"/>
        <v>-9952.941176470631</v>
      </c>
      <c r="AE135" s="19">
        <f t="shared" si="91"/>
        <v>9580.9371176901841</v>
      </c>
      <c r="AF135" s="19">
        <f t="shared" si="92"/>
        <v>-17065.043478260814</v>
      </c>
      <c r="AG135" s="19">
        <f t="shared" si="93"/>
        <v>25285.170400770421</v>
      </c>
      <c r="AH135" s="19">
        <f t="shared" si="94"/>
        <v>-2543.9558823529301</v>
      </c>
      <c r="AI135" s="19">
        <f t="shared" si="95"/>
        <v>-68526.206669813822</v>
      </c>
      <c r="AJ135" s="19">
        <f t="shared" si="96"/>
        <v>10124.304949709858</v>
      </c>
      <c r="AK135" s="158">
        <f t="shared" si="97"/>
        <v>6907.1655891306136</v>
      </c>
      <c r="AL135" s="163">
        <f t="shared" si="98"/>
        <v>-46190.569149597126</v>
      </c>
      <c r="AM135" s="20"/>
    </row>
    <row r="136" spans="1:39" x14ac:dyDescent="0.25">
      <c r="A136" s="13">
        <f t="shared" si="71"/>
        <v>131</v>
      </c>
      <c r="B136" s="1">
        <v>45132</v>
      </c>
      <c r="C136" s="7">
        <f t="shared" si="72"/>
        <v>2023</v>
      </c>
      <c r="D136" s="7">
        <f t="shared" si="73"/>
        <v>7</v>
      </c>
      <c r="E136" s="61">
        <v>16.920000000000002</v>
      </c>
      <c r="F136" s="65">
        <v>53.89</v>
      </c>
      <c r="G136" s="2">
        <v>40.869999999999997</v>
      </c>
      <c r="H136" s="2">
        <v>12.65</v>
      </c>
      <c r="I136" s="2">
        <v>238.79</v>
      </c>
      <c r="J136" s="2">
        <v>21.76</v>
      </c>
      <c r="K136" s="2">
        <v>296.56</v>
      </c>
      <c r="L136" s="2">
        <v>129.13</v>
      </c>
      <c r="M136" s="144">
        <v>265.27999999999997</v>
      </c>
      <c r="N136" s="72">
        <f t="shared" si="74"/>
        <v>8.0433969322857291E-3</v>
      </c>
      <c r="O136" s="73">
        <f t="shared" si="75"/>
        <v>2.4054121773991577E-2</v>
      </c>
      <c r="P136" s="73">
        <f t="shared" si="76"/>
        <v>1.688102893890675E-2</v>
      </c>
      <c r="Q136" s="73">
        <f t="shared" si="77"/>
        <v>2.3619684499314175E-2</v>
      </c>
      <c r="R136" s="73">
        <f t="shared" si="78"/>
        <v>-5.6783701777199824E-2</v>
      </c>
      <c r="S136" s="73">
        <f t="shared" si="79"/>
        <v>-8.6578639478521735E-3</v>
      </c>
      <c r="T136" s="73">
        <f t="shared" si="80"/>
        <v>8.522647543223405E-3</v>
      </c>
      <c r="U136" s="73">
        <f t="shared" si="81"/>
        <v>-8.1871328489118156E-3</v>
      </c>
      <c r="V136" s="148">
        <f t="shared" si="82"/>
        <v>57.518956228956228</v>
      </c>
      <c r="W136" s="149">
        <f t="shared" si="83"/>
        <v>41.382027060886998</v>
      </c>
      <c r="X136" s="149">
        <f t="shared" si="84"/>
        <v>14.541398713826368</v>
      </c>
      <c r="Y136" s="149">
        <f t="shared" si="85"/>
        <v>231.68607938957479</v>
      </c>
      <c r="Z136" s="149">
        <f t="shared" si="86"/>
        <v>12.97865626354573</v>
      </c>
      <c r="AA136" s="149">
        <f t="shared" si="87"/>
        <v>265.63012535517299</v>
      </c>
      <c r="AB136" s="149">
        <f t="shared" si="88"/>
        <v>2694.0689688365665</v>
      </c>
      <c r="AC136" s="150">
        <f t="shared" si="89"/>
        <v>3197.2431480687742</v>
      </c>
      <c r="AD136" s="157">
        <f t="shared" si="90"/>
        <v>-9179.1245791245055</v>
      </c>
      <c r="AE136" s="19">
        <f t="shared" si="91"/>
        <v>-27702.771235279528</v>
      </c>
      <c r="AF136" s="19">
        <f t="shared" si="92"/>
        <v>-21436.2057877814</v>
      </c>
      <c r="AG136" s="19">
        <f t="shared" si="93"/>
        <v>-20315.101680384174</v>
      </c>
      <c r="AH136" s="19">
        <f t="shared" si="94"/>
        <v>34926.065019505855</v>
      </c>
      <c r="AI136" s="19">
        <f t="shared" si="95"/>
        <v>12295.335617583078</v>
      </c>
      <c r="AJ136" s="19">
        <f t="shared" si="96"/>
        <v>-6829.9706509700627</v>
      </c>
      <c r="AK136" s="158">
        <f t="shared" si="97"/>
        <v>6598.0829828064316</v>
      </c>
      <c r="AL136" s="163">
        <f t="shared" si="98"/>
        <v>-31643.690313644307</v>
      </c>
      <c r="AM136" s="20"/>
    </row>
    <row r="137" spans="1:39" x14ac:dyDescent="0.25">
      <c r="A137" s="13">
        <f t="shared" si="71"/>
        <v>132</v>
      </c>
      <c r="B137" s="1">
        <v>45131</v>
      </c>
      <c r="C137" s="7">
        <f t="shared" si="72"/>
        <v>2023</v>
      </c>
      <c r="D137" s="7">
        <f t="shared" si="73"/>
        <v>7</v>
      </c>
      <c r="E137" s="61">
        <v>16.82</v>
      </c>
      <c r="F137" s="65">
        <v>53.46</v>
      </c>
      <c r="G137" s="2">
        <v>39.909999999999997</v>
      </c>
      <c r="H137" s="2">
        <v>12.44</v>
      </c>
      <c r="I137" s="2">
        <v>233.28</v>
      </c>
      <c r="J137" s="2">
        <v>23.07</v>
      </c>
      <c r="K137" s="2">
        <v>299.14999999999998</v>
      </c>
      <c r="L137" s="2">
        <v>128.80000000000001</v>
      </c>
      <c r="M137" s="144">
        <v>269.06</v>
      </c>
      <c r="N137" s="72">
        <f t="shared" si="74"/>
        <v>-2.4258257137526051E-3</v>
      </c>
      <c r="O137" s="73">
        <f t="shared" si="75"/>
        <v>-1.7962598425196985E-2</v>
      </c>
      <c r="P137" s="73">
        <f t="shared" si="76"/>
        <v>-1.1128775834658211E-2</v>
      </c>
      <c r="Q137" s="73">
        <f t="shared" si="77"/>
        <v>-3.9707954399897938E-3</v>
      </c>
      <c r="R137" s="73">
        <f t="shared" si="78"/>
        <v>-1.6624040920716121E-2</v>
      </c>
      <c r="S137" s="73">
        <f t="shared" si="79"/>
        <v>-2.560177192925317E-2</v>
      </c>
      <c r="T137" s="73">
        <f t="shared" si="80"/>
        <v>-1.833538751540631E-2</v>
      </c>
      <c r="U137" s="73">
        <f t="shared" si="81"/>
        <v>2.5257627177377451E-2</v>
      </c>
      <c r="V137" s="148">
        <f t="shared" si="82"/>
        <v>56.921582384773281</v>
      </c>
      <c r="W137" s="149">
        <f t="shared" si="83"/>
        <v>39.684131397637785</v>
      </c>
      <c r="X137" s="149">
        <f t="shared" si="84"/>
        <v>14.140858505564388</v>
      </c>
      <c r="Y137" s="149">
        <f t="shared" si="85"/>
        <v>225.4412501601127</v>
      </c>
      <c r="Z137" s="149">
        <f t="shared" si="86"/>
        <v>13.531253196930946</v>
      </c>
      <c r="AA137" s="149">
        <f t="shared" si="87"/>
        <v>261.09000521155662</v>
      </c>
      <c r="AB137" s="149">
        <f t="shared" si="88"/>
        <v>2622.3230353251647</v>
      </c>
      <c r="AC137" s="150">
        <f t="shared" si="89"/>
        <v>3305.0568631096062</v>
      </c>
      <c r="AD137" s="157">
        <f t="shared" si="90"/>
        <v>2768.3523045344318</v>
      </c>
      <c r="AE137" s="19">
        <f t="shared" si="91"/>
        <v>20687.255167323037</v>
      </c>
      <c r="AF137" s="19">
        <f t="shared" si="92"/>
        <v>14131.764705882384</v>
      </c>
      <c r="AG137" s="19">
        <f t="shared" si="93"/>
        <v>3415.2493915717459</v>
      </c>
      <c r="AH137" s="19">
        <f t="shared" si="94"/>
        <v>10224.982097186716</v>
      </c>
      <c r="AI137" s="19">
        <f t="shared" si="95"/>
        <v>36357.972378749881</v>
      </c>
      <c r="AJ137" s="19">
        <f t="shared" si="96"/>
        <v>14693.809402450461</v>
      </c>
      <c r="AK137" s="158">
        <f t="shared" si="97"/>
        <v>-20355.345777401566</v>
      </c>
      <c r="AL137" s="163">
        <f t="shared" si="98"/>
        <v>81924.039670297076</v>
      </c>
      <c r="AM137" s="20"/>
    </row>
    <row r="138" spans="1:39" x14ac:dyDescent="0.25">
      <c r="A138" s="13">
        <f t="shared" si="71"/>
        <v>133</v>
      </c>
      <c r="B138" s="1">
        <v>45128</v>
      </c>
      <c r="C138" s="7">
        <f t="shared" si="72"/>
        <v>2023</v>
      </c>
      <c r="D138" s="7">
        <f t="shared" si="73"/>
        <v>7</v>
      </c>
      <c r="E138" s="61">
        <v>16.975999999999999</v>
      </c>
      <c r="F138" s="65">
        <v>53.59</v>
      </c>
      <c r="G138" s="2">
        <v>40.64</v>
      </c>
      <c r="H138" s="2">
        <v>12.58</v>
      </c>
      <c r="I138" s="2">
        <v>234.21</v>
      </c>
      <c r="J138" s="2">
        <v>23.46</v>
      </c>
      <c r="K138" s="2">
        <v>307.01</v>
      </c>
      <c r="L138" s="2">
        <v>130</v>
      </c>
      <c r="M138" s="144">
        <v>260.02</v>
      </c>
      <c r="N138" s="72">
        <f t="shared" si="74"/>
        <v>2.0568436798804601E-3</v>
      </c>
      <c r="O138" s="73">
        <f t="shared" si="75"/>
        <v>2.7819929185634917E-2</v>
      </c>
      <c r="P138" s="73">
        <f t="shared" si="76"/>
        <v>-1.5873015873015817E-3</v>
      </c>
      <c r="Q138" s="73">
        <f t="shared" si="77"/>
        <v>6.9217540842649861E-3</v>
      </c>
      <c r="R138" s="73">
        <f t="shared" si="78"/>
        <v>1.6464471403812908E-2</v>
      </c>
      <c r="S138" s="73">
        <f t="shared" si="79"/>
        <v>-2.6050994822357509E-4</v>
      </c>
      <c r="T138" s="73">
        <f t="shared" si="80"/>
        <v>6.4140930661602535E-3</v>
      </c>
      <c r="U138" s="73">
        <f t="shared" si="81"/>
        <v>-4.9171808356780478E-3</v>
      </c>
      <c r="V138" s="148">
        <f t="shared" si="82"/>
        <v>57.177363500373978</v>
      </c>
      <c r="W138" s="149">
        <f t="shared" si="83"/>
        <v>41.534203338391507</v>
      </c>
      <c r="X138" s="149">
        <f t="shared" si="84"/>
        <v>14.277301587301588</v>
      </c>
      <c r="Y138" s="149">
        <f t="shared" si="85"/>
        <v>227.90666981943255</v>
      </c>
      <c r="Z138" s="149">
        <f t="shared" si="86"/>
        <v>13.986551126516465</v>
      </c>
      <c r="AA138" s="149">
        <f t="shared" si="87"/>
        <v>267.88019635937349</v>
      </c>
      <c r="AB138" s="149">
        <f t="shared" si="88"/>
        <v>2688.436382201457</v>
      </c>
      <c r="AC138" s="150">
        <f t="shared" si="89"/>
        <v>3207.7842813965322</v>
      </c>
      <c r="AD138" s="157">
        <f t="shared" si="90"/>
        <v>-2347.270007479523</v>
      </c>
      <c r="AE138" s="19">
        <f t="shared" si="91"/>
        <v>-32039.795144158034</v>
      </c>
      <c r="AF138" s="19">
        <f t="shared" si="92"/>
        <v>2015.6190476190247</v>
      </c>
      <c r="AG138" s="19">
        <f t="shared" si="93"/>
        <v>-5953.3453138436817</v>
      </c>
      <c r="AH138" s="19">
        <f t="shared" si="94"/>
        <v>-10126.835355286006</v>
      </c>
      <c r="AI138" s="19">
        <f t="shared" si="95"/>
        <v>369.95929532046716</v>
      </c>
      <c r="AJ138" s="19">
        <f t="shared" si="96"/>
        <v>-5140.194660437237</v>
      </c>
      <c r="AK138" s="158">
        <f t="shared" si="97"/>
        <v>3962.7996508669412</v>
      </c>
      <c r="AL138" s="163">
        <f t="shared" si="98"/>
        <v>-49259.062487398049</v>
      </c>
      <c r="AM138" s="20"/>
    </row>
    <row r="139" spans="1:39" x14ac:dyDescent="0.25">
      <c r="A139" s="13">
        <f t="shared" si="71"/>
        <v>134</v>
      </c>
      <c r="B139" s="1">
        <v>45127</v>
      </c>
      <c r="C139" s="7">
        <f t="shared" si="72"/>
        <v>2023</v>
      </c>
      <c r="D139" s="7">
        <f t="shared" si="73"/>
        <v>7</v>
      </c>
      <c r="E139" s="61">
        <v>16.873000000000001</v>
      </c>
      <c r="F139" s="65">
        <v>53.48</v>
      </c>
      <c r="G139" s="2">
        <v>39.54</v>
      </c>
      <c r="H139" s="2">
        <v>12.6</v>
      </c>
      <c r="I139" s="2">
        <v>232.6</v>
      </c>
      <c r="J139" s="2">
        <v>23.08</v>
      </c>
      <c r="K139" s="2">
        <v>307.08999999999997</v>
      </c>
      <c r="L139" s="2">
        <v>129.96</v>
      </c>
      <c r="M139" s="144">
        <v>262.89999999999998</v>
      </c>
      <c r="N139" s="72">
        <f t="shared" si="74"/>
        <v>-3.3544539694372322E-3</v>
      </c>
      <c r="O139" s="73">
        <f t="shared" si="75"/>
        <v>-2.0559821649739907E-2</v>
      </c>
      <c r="P139" s="73">
        <f t="shared" si="76"/>
        <v>9.6153846153845812E-3</v>
      </c>
      <c r="Q139" s="73">
        <f t="shared" si="77"/>
        <v>-2.3468659473529496E-2</v>
      </c>
      <c r="R139" s="73">
        <f t="shared" si="78"/>
        <v>7.8602620087335762E-3</v>
      </c>
      <c r="S139" s="73">
        <f t="shared" si="79"/>
        <v>-2.0821376187743268E-2</v>
      </c>
      <c r="T139" s="73">
        <f t="shared" si="80"/>
        <v>-3.0330827337698985E-2</v>
      </c>
      <c r="U139" s="73">
        <f t="shared" si="81"/>
        <v>-8.8379730732082273E-2</v>
      </c>
      <c r="V139" s="148">
        <f t="shared" si="82"/>
        <v>56.868594856503911</v>
      </c>
      <c r="W139" s="149">
        <f t="shared" si="83"/>
        <v>39.579177607134007</v>
      </c>
      <c r="X139" s="149">
        <f t="shared" si="84"/>
        <v>14.4375</v>
      </c>
      <c r="Y139" s="149">
        <f t="shared" si="85"/>
        <v>221.02810361476133</v>
      </c>
      <c r="Z139" s="149">
        <f t="shared" si="86"/>
        <v>13.868157205240173</v>
      </c>
      <c r="AA139" s="149">
        <f t="shared" si="87"/>
        <v>262.3709122504942</v>
      </c>
      <c r="AB139" s="149">
        <f t="shared" si="88"/>
        <v>2590.2795881388188</v>
      </c>
      <c r="AC139" s="150">
        <f t="shared" si="89"/>
        <v>2938.7314442992133</v>
      </c>
      <c r="AD139" s="157">
        <f t="shared" si="90"/>
        <v>3828.1028699218214</v>
      </c>
      <c r="AE139" s="19">
        <f t="shared" si="91"/>
        <v>23678.438196680712</v>
      </c>
      <c r="AF139" s="19">
        <f t="shared" si="92"/>
        <v>-12209.999999999936</v>
      </c>
      <c r="AG139" s="19">
        <f t="shared" si="93"/>
        <v>20185.206263906941</v>
      </c>
      <c r="AH139" s="19">
        <f t="shared" si="94"/>
        <v>-4834.6270742357592</v>
      </c>
      <c r="AI139" s="19">
        <f t="shared" si="95"/>
        <v>29569.165072380678</v>
      </c>
      <c r="AJ139" s="19">
        <f t="shared" si="96"/>
        <v>24306.843558354238</v>
      </c>
      <c r="AK139" s="158">
        <f t="shared" si="97"/>
        <v>71226.008925196656</v>
      </c>
      <c r="AL139" s="163">
        <f t="shared" si="98"/>
        <v>155749.13781220536</v>
      </c>
      <c r="AM139" s="20"/>
    </row>
    <row r="140" spans="1:39" x14ac:dyDescent="0.25">
      <c r="A140" s="13">
        <f t="shared" si="71"/>
        <v>135</v>
      </c>
      <c r="B140" s="1">
        <v>45126</v>
      </c>
      <c r="C140" s="7">
        <f t="shared" si="72"/>
        <v>2023</v>
      </c>
      <c r="D140" s="7">
        <f t="shared" si="73"/>
        <v>7</v>
      </c>
      <c r="E140" s="61">
        <v>16.706600000000002</v>
      </c>
      <c r="F140" s="65">
        <v>53.66</v>
      </c>
      <c r="G140" s="2">
        <v>40.369999999999997</v>
      </c>
      <c r="H140" s="2">
        <v>12.48</v>
      </c>
      <c r="I140" s="2">
        <v>238.19</v>
      </c>
      <c r="J140" s="2">
        <v>22.9</v>
      </c>
      <c r="K140" s="2">
        <v>313.62</v>
      </c>
      <c r="L140" s="2">
        <v>135.36000000000001</v>
      </c>
      <c r="M140" s="144">
        <v>291.26</v>
      </c>
      <c r="N140" s="72">
        <f t="shared" si="74"/>
        <v>-5.5596738324685813E-3</v>
      </c>
      <c r="O140" s="73">
        <f t="shared" si="75"/>
        <v>-1.7309594460930278E-3</v>
      </c>
      <c r="P140" s="73">
        <f t="shared" si="76"/>
        <v>-3.1948881789136685E-3</v>
      </c>
      <c r="Q140" s="73">
        <f t="shared" si="77"/>
        <v>-8.5744016649323962E-3</v>
      </c>
      <c r="R140" s="73">
        <f t="shared" si="78"/>
        <v>4.8266783677051173E-3</v>
      </c>
      <c r="S140" s="73">
        <f t="shared" si="79"/>
        <v>-1.401006177163544E-3</v>
      </c>
      <c r="T140" s="73">
        <f t="shared" si="80"/>
        <v>1.7013678248290809E-2</v>
      </c>
      <c r="U140" s="73">
        <f t="shared" si="81"/>
        <v>-9.0718213556401084E-3</v>
      </c>
      <c r="V140" s="148">
        <f t="shared" si="82"/>
        <v>56.742765011119346</v>
      </c>
      <c r="W140" s="149">
        <f t="shared" si="83"/>
        <v>40.340051928783375</v>
      </c>
      <c r="X140" s="149">
        <f t="shared" si="84"/>
        <v>14.254313099041536</v>
      </c>
      <c r="Y140" s="149">
        <f t="shared" si="85"/>
        <v>224.3992699271592</v>
      </c>
      <c r="Z140" s="149">
        <f t="shared" si="86"/>
        <v>13.826415094339621</v>
      </c>
      <c r="AA140" s="149">
        <f t="shared" si="87"/>
        <v>267.57460039482902</v>
      </c>
      <c r="AB140" s="149">
        <f t="shared" si="88"/>
        <v>2716.7510795374865</v>
      </c>
      <c r="AC140" s="150">
        <f t="shared" si="89"/>
        <v>3194.3912348097369</v>
      </c>
      <c r="AD140" s="157">
        <f t="shared" si="90"/>
        <v>6344.6997776131302</v>
      </c>
      <c r="AE140" s="19">
        <f t="shared" si="91"/>
        <v>1993.5200296737285</v>
      </c>
      <c r="AF140" s="19">
        <f t="shared" si="92"/>
        <v>4056.9968051116975</v>
      </c>
      <c r="AG140" s="19">
        <f t="shared" si="93"/>
        <v>7374.7742767950685</v>
      </c>
      <c r="AH140" s="19">
        <f t="shared" si="94"/>
        <v>-2968.7547169810837</v>
      </c>
      <c r="AI140" s="19">
        <f t="shared" si="95"/>
        <v>1989.6179074061365</v>
      </c>
      <c r="AJ140" s="19">
        <f t="shared" si="96"/>
        <v>-13634.603861246069</v>
      </c>
      <c r="AK140" s="158">
        <f t="shared" si="97"/>
        <v>7311.0612975657432</v>
      </c>
      <c r="AL140" s="163">
        <f t="shared" si="98"/>
        <v>12467.311515938352</v>
      </c>
      <c r="AM140" s="20"/>
    </row>
    <row r="141" spans="1:39" x14ac:dyDescent="0.25">
      <c r="A141" s="13">
        <f t="shared" si="71"/>
        <v>136</v>
      </c>
      <c r="B141" s="1">
        <v>45125</v>
      </c>
      <c r="C141" s="7">
        <f t="shared" si="72"/>
        <v>2023</v>
      </c>
      <c r="D141" s="7">
        <f t="shared" si="73"/>
        <v>7</v>
      </c>
      <c r="E141" s="61">
        <v>16.739999999999998</v>
      </c>
      <c r="F141" s="65">
        <v>53.96</v>
      </c>
      <c r="G141" s="2">
        <v>40.44</v>
      </c>
      <c r="H141" s="2">
        <v>12.52</v>
      </c>
      <c r="I141" s="2">
        <v>240.25</v>
      </c>
      <c r="J141" s="2">
        <v>22.79</v>
      </c>
      <c r="K141" s="2">
        <v>314.06</v>
      </c>
      <c r="L141" s="2">
        <v>132.83000000000001</v>
      </c>
      <c r="M141" s="144">
        <v>293.33999999999997</v>
      </c>
      <c r="N141" s="72">
        <f t="shared" si="74"/>
        <v>8.2212257100149344E-3</v>
      </c>
      <c r="O141" s="73">
        <f t="shared" si="75"/>
        <v>-1.1246943765281237E-2</v>
      </c>
      <c r="P141" s="73">
        <f t="shared" si="76"/>
        <v>1.3765182186234792E-2</v>
      </c>
      <c r="Q141" s="73">
        <f t="shared" si="77"/>
        <v>4.5806612809196068E-4</v>
      </c>
      <c r="R141" s="73">
        <f t="shared" si="78"/>
        <v>1.0195035460992985E-2</v>
      </c>
      <c r="S141" s="73">
        <f t="shared" si="79"/>
        <v>1.5947983049202641E-2</v>
      </c>
      <c r="T141" s="73">
        <f t="shared" si="80"/>
        <v>-4.276073975676753E-3</v>
      </c>
      <c r="U141" s="73">
        <f t="shared" si="81"/>
        <v>1.1401904977836219E-2</v>
      </c>
      <c r="V141" s="148">
        <f t="shared" si="82"/>
        <v>57.529103139013458</v>
      </c>
      <c r="W141" s="149">
        <f t="shared" si="83"/>
        <v>39.955511002444979</v>
      </c>
      <c r="X141" s="149">
        <f t="shared" si="84"/>
        <v>14.496842105263159</v>
      </c>
      <c r="Y141" s="149">
        <f t="shared" si="85"/>
        <v>226.44367868743234</v>
      </c>
      <c r="Z141" s="149">
        <f t="shared" si="86"/>
        <v>13.900283687943263</v>
      </c>
      <c r="AA141" s="149">
        <f t="shared" si="87"/>
        <v>272.22326205803381</v>
      </c>
      <c r="AB141" s="149">
        <f t="shared" si="88"/>
        <v>2659.8797133261969</v>
      </c>
      <c r="AC141" s="150">
        <f t="shared" si="89"/>
        <v>3260.3910654261413</v>
      </c>
      <c r="AD141" s="157">
        <f t="shared" si="90"/>
        <v>-9382.0627802691088</v>
      </c>
      <c r="AE141" s="19">
        <f t="shared" si="91"/>
        <v>12952.936430318005</v>
      </c>
      <c r="AF141" s="19">
        <f t="shared" si="92"/>
        <v>-17479.578947368464</v>
      </c>
      <c r="AG141" s="19">
        <f t="shared" si="93"/>
        <v>-393.97901224287466</v>
      </c>
      <c r="AH141" s="19">
        <f t="shared" si="94"/>
        <v>-6270.6808510638739</v>
      </c>
      <c r="AI141" s="19">
        <f t="shared" si="95"/>
        <v>-22648.288907579255</v>
      </c>
      <c r="AJ141" s="19">
        <f t="shared" si="96"/>
        <v>3426.8060021408019</v>
      </c>
      <c r="AK141" s="158">
        <f t="shared" si="97"/>
        <v>-9188.896356535337</v>
      </c>
      <c r="AL141" s="163">
        <f t="shared" si="98"/>
        <v>-48983.74442260011</v>
      </c>
      <c r="AM141" s="20"/>
    </row>
    <row r="142" spans="1:39" x14ac:dyDescent="0.25">
      <c r="A142" s="13">
        <f t="shared" si="71"/>
        <v>137</v>
      </c>
      <c r="B142" s="1">
        <v>45124</v>
      </c>
      <c r="C142" s="7">
        <f t="shared" si="72"/>
        <v>2023</v>
      </c>
      <c r="D142" s="7">
        <f t="shared" si="73"/>
        <v>7</v>
      </c>
      <c r="E142" s="61">
        <v>16.72</v>
      </c>
      <c r="F142" s="65">
        <v>53.52</v>
      </c>
      <c r="G142" s="2">
        <v>40.9</v>
      </c>
      <c r="H142" s="2">
        <v>12.35</v>
      </c>
      <c r="I142" s="2">
        <v>240.14</v>
      </c>
      <c r="J142" s="2">
        <v>22.56</v>
      </c>
      <c r="K142" s="2">
        <v>309.13</v>
      </c>
      <c r="L142" s="2">
        <v>133.56</v>
      </c>
      <c r="M142" s="144">
        <v>290.38</v>
      </c>
      <c r="N142" s="72">
        <f t="shared" si="74"/>
        <v>-2.0510908073839706E-3</v>
      </c>
      <c r="O142" s="73">
        <f t="shared" si="75"/>
        <v>1.5140233308513329E-2</v>
      </c>
      <c r="P142" s="73">
        <f t="shared" si="76"/>
        <v>1.0638297872340274E-2</v>
      </c>
      <c r="Q142" s="73">
        <f t="shared" si="77"/>
        <v>-4.931007334355586E-3</v>
      </c>
      <c r="R142" s="73">
        <f t="shared" si="78"/>
        <v>-6.6050198150595651E-3</v>
      </c>
      <c r="S142" s="73">
        <f t="shared" si="79"/>
        <v>2.6921829386961083E-3</v>
      </c>
      <c r="T142" s="73">
        <f t="shared" si="80"/>
        <v>-9.2640809658017798E-3</v>
      </c>
      <c r="U142" s="73">
        <f t="shared" si="81"/>
        <v>3.0998614177842443E-2</v>
      </c>
      <c r="V142" s="148">
        <f t="shared" si="82"/>
        <v>56.942964758530671</v>
      </c>
      <c r="W142" s="149">
        <f t="shared" si="83"/>
        <v>41.021816827997021</v>
      </c>
      <c r="X142" s="149">
        <f t="shared" si="84"/>
        <v>14.452127659574467</v>
      </c>
      <c r="Y142" s="149">
        <f t="shared" si="85"/>
        <v>225.22391579994195</v>
      </c>
      <c r="Z142" s="149">
        <f t="shared" si="86"/>
        <v>13.669114927344781</v>
      </c>
      <c r="AA142" s="149">
        <f t="shared" si="87"/>
        <v>268.67137041842363</v>
      </c>
      <c r="AB142" s="149">
        <f t="shared" si="88"/>
        <v>2646.5552382822589</v>
      </c>
      <c r="AC142" s="150">
        <f t="shared" si="89"/>
        <v>3323.5637124945238</v>
      </c>
      <c r="AD142" s="157">
        <f t="shared" si="90"/>
        <v>2340.7048293866237</v>
      </c>
      <c r="AE142" s="19">
        <f t="shared" si="91"/>
        <v>-17436.779597915207</v>
      </c>
      <c r="AF142" s="19">
        <f t="shared" si="92"/>
        <v>-13508.936170212606</v>
      </c>
      <c r="AG142" s="19">
        <f t="shared" si="93"/>
        <v>4241.119960220607</v>
      </c>
      <c r="AH142" s="19">
        <f t="shared" si="94"/>
        <v>4062.5627476882819</v>
      </c>
      <c r="AI142" s="19">
        <f t="shared" si="95"/>
        <v>-3823.2632176453253</v>
      </c>
      <c r="AJ142" s="19">
        <f t="shared" si="96"/>
        <v>7424.1485153222129</v>
      </c>
      <c r="AK142" s="158">
        <f t="shared" si="97"/>
        <v>-24982.058123630963</v>
      </c>
      <c r="AL142" s="163">
        <f t="shared" si="98"/>
        <v>-41682.501056786372</v>
      </c>
      <c r="AM142" s="20"/>
    </row>
    <row r="143" spans="1:39" x14ac:dyDescent="0.25">
      <c r="A143" s="13">
        <f t="shared" si="71"/>
        <v>138</v>
      </c>
      <c r="B143" s="1">
        <v>45121</v>
      </c>
      <c r="C143" s="7">
        <f t="shared" si="72"/>
        <v>2023</v>
      </c>
      <c r="D143" s="7">
        <f t="shared" si="73"/>
        <v>7</v>
      </c>
      <c r="E143" s="61">
        <v>16.736000000000001</v>
      </c>
      <c r="F143" s="65">
        <v>53.63</v>
      </c>
      <c r="G143" s="2">
        <v>40.29</v>
      </c>
      <c r="H143" s="2">
        <v>12.22</v>
      </c>
      <c r="I143" s="2">
        <v>241.33</v>
      </c>
      <c r="J143" s="2">
        <v>22.71</v>
      </c>
      <c r="K143" s="2">
        <v>308.3</v>
      </c>
      <c r="L143" s="2">
        <v>134.68</v>
      </c>
      <c r="M143" s="144">
        <v>281.38</v>
      </c>
      <c r="N143" s="72">
        <f t="shared" si="74"/>
        <v>-9.0539541759052655E-3</v>
      </c>
      <c r="O143" s="73">
        <f t="shared" si="75"/>
        <v>1.7938352703385618E-2</v>
      </c>
      <c r="P143" s="73">
        <f t="shared" si="76"/>
        <v>-1.3720742534301889E-2</v>
      </c>
      <c r="Q143" s="73">
        <f t="shared" si="77"/>
        <v>-1.2238048461034601E-2</v>
      </c>
      <c r="R143" s="73">
        <f t="shared" si="78"/>
        <v>-3.811944091486652E-2</v>
      </c>
      <c r="S143" s="73">
        <f t="shared" si="79"/>
        <v>-1.952677776364331E-2</v>
      </c>
      <c r="T143" s="73">
        <f t="shared" si="80"/>
        <v>-3.192100690771027E-3</v>
      </c>
      <c r="U143" s="73">
        <f t="shared" si="81"/>
        <v>6.4427006067835357E-3</v>
      </c>
      <c r="V143" s="148">
        <f t="shared" si="82"/>
        <v>56.543381374722848</v>
      </c>
      <c r="W143" s="149">
        <f t="shared" si="83"/>
        <v>41.134888832743812</v>
      </c>
      <c r="X143" s="149">
        <f t="shared" si="84"/>
        <v>14.103793381759484</v>
      </c>
      <c r="Y143" s="149">
        <f t="shared" si="85"/>
        <v>223.57004011132943</v>
      </c>
      <c r="Z143" s="149">
        <f t="shared" si="86"/>
        <v>13.235476493011436</v>
      </c>
      <c r="AA143" s="149">
        <f t="shared" si="87"/>
        <v>262.71779989823176</v>
      </c>
      <c r="AB143" s="149">
        <f t="shared" si="88"/>
        <v>2662.7753337637014</v>
      </c>
      <c r="AC143" s="150">
        <f t="shared" si="89"/>
        <v>3244.4043982630446</v>
      </c>
      <c r="AD143" s="157">
        <f t="shared" si="90"/>
        <v>10332.372505543077</v>
      </c>
      <c r="AE143" s="19">
        <f t="shared" si="91"/>
        <v>-20659.331733198735</v>
      </c>
      <c r="AF143" s="19">
        <f t="shared" si="92"/>
        <v>17423.147699757879</v>
      </c>
      <c r="AG143" s="19">
        <f t="shared" si="93"/>
        <v>10525.847576948167</v>
      </c>
      <c r="AH143" s="19">
        <f t="shared" si="94"/>
        <v>23446.200762388784</v>
      </c>
      <c r="AI143" s="19">
        <f t="shared" si="95"/>
        <v>27730.660539371609</v>
      </c>
      <c r="AJ143" s="19">
        <f t="shared" si="96"/>
        <v>2558.119870889459</v>
      </c>
      <c r="AK143" s="158">
        <f t="shared" si="97"/>
        <v>-5192.2295657611812</v>
      </c>
      <c r="AL143" s="163">
        <f t="shared" si="98"/>
        <v>66164.787655939072</v>
      </c>
      <c r="AM143" s="20"/>
    </row>
    <row r="144" spans="1:39" x14ac:dyDescent="0.25">
      <c r="A144" s="13">
        <f t="shared" si="71"/>
        <v>139</v>
      </c>
      <c r="B144" s="1">
        <v>45120</v>
      </c>
      <c r="C144" s="7">
        <f t="shared" si="72"/>
        <v>2023</v>
      </c>
      <c r="D144" s="7">
        <f t="shared" si="73"/>
        <v>7</v>
      </c>
      <c r="E144" s="61">
        <v>16.8371</v>
      </c>
      <c r="F144" s="65">
        <v>54.12</v>
      </c>
      <c r="G144" s="2">
        <v>39.58</v>
      </c>
      <c r="H144" s="2">
        <v>12.39</v>
      </c>
      <c r="I144" s="2">
        <v>244.32</v>
      </c>
      <c r="J144" s="2">
        <v>23.61</v>
      </c>
      <c r="K144" s="2">
        <v>314.44</v>
      </c>
      <c r="L144" s="2">
        <v>134.30000000000001</v>
      </c>
      <c r="M144" s="144">
        <v>277.89999999999998</v>
      </c>
      <c r="N144" s="72">
        <f t="shared" si="74"/>
        <v>7.2585147962032082E-3</v>
      </c>
      <c r="O144" s="73">
        <f t="shared" si="75"/>
        <v>1.0209290454313402E-2</v>
      </c>
      <c r="P144" s="73">
        <f t="shared" si="76"/>
        <v>4.2929292929292817E-2</v>
      </c>
      <c r="Q144" s="73">
        <f t="shared" si="77"/>
        <v>1.0798063795457225E-2</v>
      </c>
      <c r="R144" s="73">
        <f t="shared" si="78"/>
        <v>1.3304721030042765E-2</v>
      </c>
      <c r="S144" s="73">
        <f t="shared" si="79"/>
        <v>3.6066515591586246E-3</v>
      </c>
      <c r="T144" s="73">
        <f t="shared" si="80"/>
        <v>2.390630309208297E-2</v>
      </c>
      <c r="U144" s="73">
        <f t="shared" si="81"/>
        <v>1.8890604638242214E-2</v>
      </c>
      <c r="V144" s="148">
        <f t="shared" si="82"/>
        <v>57.474170854271357</v>
      </c>
      <c r="W144" s="149">
        <f t="shared" si="83"/>
        <v>40.822557427258801</v>
      </c>
      <c r="X144" s="149">
        <f t="shared" si="84"/>
        <v>14.913888888888888</v>
      </c>
      <c r="Y144" s="149">
        <f t="shared" si="85"/>
        <v>228.7840337594638</v>
      </c>
      <c r="Z144" s="149">
        <f t="shared" si="86"/>
        <v>13.943072961373389</v>
      </c>
      <c r="AA144" s="149">
        <f t="shared" si="87"/>
        <v>268.91640228527655</v>
      </c>
      <c r="AB144" s="149">
        <f t="shared" si="88"/>
        <v>2735.1633648250081</v>
      </c>
      <c r="AC144" s="150">
        <f t="shared" si="89"/>
        <v>3284.5319033504902</v>
      </c>
      <c r="AD144" s="157">
        <f t="shared" si="90"/>
        <v>-8283.4170854270888</v>
      </c>
      <c r="AE144" s="19">
        <f t="shared" si="91"/>
        <v>-11757.886676875913</v>
      </c>
      <c r="AF144" s="19">
        <f t="shared" si="92"/>
        <v>-54513.333333333176</v>
      </c>
      <c r="AG144" s="19">
        <f t="shared" si="93"/>
        <v>-9287.3282859624105</v>
      </c>
      <c r="AH144" s="19">
        <f t="shared" si="94"/>
        <v>-8183.3613733904895</v>
      </c>
      <c r="AI144" s="19">
        <f t="shared" si="95"/>
        <v>-5121.9321119657598</v>
      </c>
      <c r="AJ144" s="19">
        <f t="shared" si="96"/>
        <v>-19158.289447502557</v>
      </c>
      <c r="AK144" s="158">
        <f t="shared" si="97"/>
        <v>-15224.105837622574</v>
      </c>
      <c r="AL144" s="163">
        <f t="shared" si="98"/>
        <v>-131529.65415207998</v>
      </c>
      <c r="AM144" s="20"/>
    </row>
    <row r="145" spans="1:39" x14ac:dyDescent="0.25">
      <c r="A145" s="13">
        <f t="shared" si="71"/>
        <v>140</v>
      </c>
      <c r="B145" s="1">
        <v>45119</v>
      </c>
      <c r="C145" s="7">
        <f t="shared" si="72"/>
        <v>2023</v>
      </c>
      <c r="D145" s="7">
        <f t="shared" si="73"/>
        <v>7</v>
      </c>
      <c r="E145" s="61">
        <v>16.884</v>
      </c>
      <c r="F145" s="65">
        <v>53.73</v>
      </c>
      <c r="G145" s="2">
        <v>39.18</v>
      </c>
      <c r="H145" s="2">
        <v>11.88</v>
      </c>
      <c r="I145" s="2">
        <v>241.71</v>
      </c>
      <c r="J145" s="2">
        <v>23.3</v>
      </c>
      <c r="K145" s="2">
        <v>313.31</v>
      </c>
      <c r="L145" s="2">
        <v>130.80000000000001</v>
      </c>
      <c r="M145" s="144">
        <v>271.99</v>
      </c>
      <c r="N145" s="72">
        <f t="shared" si="74"/>
        <v>-3.8932146829810943E-3</v>
      </c>
      <c r="O145" s="73">
        <f t="shared" si="75"/>
        <v>1.0575187000257946E-2</v>
      </c>
      <c r="P145" s="73">
        <f t="shared" si="76"/>
        <v>-1.6806722689075571E-3</v>
      </c>
      <c r="Q145" s="73">
        <f t="shared" si="77"/>
        <v>1.8626996502170368E-2</v>
      </c>
      <c r="R145" s="73">
        <f t="shared" si="78"/>
        <v>-7.6660988074956915E-3</v>
      </c>
      <c r="S145" s="73">
        <f t="shared" si="79"/>
        <v>-8.6695143173548539E-3</v>
      </c>
      <c r="T145" s="73">
        <f t="shared" si="80"/>
        <v>6.5111766060887977E-3</v>
      </c>
      <c r="U145" s="73">
        <f t="shared" si="81"/>
        <v>-9.5197071804820066E-4</v>
      </c>
      <c r="V145" s="148">
        <f t="shared" si="82"/>
        <v>56.837853170189099</v>
      </c>
      <c r="W145" s="149">
        <f t="shared" si="83"/>
        <v>40.837343306680417</v>
      </c>
      <c r="X145" s="149">
        <f t="shared" si="84"/>
        <v>14.275966386554623</v>
      </c>
      <c r="Y145" s="149">
        <f t="shared" si="85"/>
        <v>230.55603438830124</v>
      </c>
      <c r="Z145" s="149">
        <f t="shared" si="86"/>
        <v>13.654514480408858</v>
      </c>
      <c r="AA145" s="149">
        <f t="shared" si="87"/>
        <v>265.62700363866475</v>
      </c>
      <c r="AB145" s="149">
        <f t="shared" si="88"/>
        <v>2688.6957216946685</v>
      </c>
      <c r="AC145" s="150">
        <f t="shared" si="89"/>
        <v>3220.5666734173788</v>
      </c>
      <c r="AD145" s="157">
        <f t="shared" si="90"/>
        <v>4442.9365962180609</v>
      </c>
      <c r="AE145" s="19">
        <f t="shared" si="91"/>
        <v>-12179.284240391975</v>
      </c>
      <c r="AF145" s="19">
        <f t="shared" si="92"/>
        <v>2134.184873949509</v>
      </c>
      <c r="AG145" s="19">
        <f t="shared" si="93"/>
        <v>-16020.930675544707</v>
      </c>
      <c r="AH145" s="19">
        <f t="shared" si="94"/>
        <v>4715.2027257240252</v>
      </c>
      <c r="AI145" s="19">
        <f t="shared" si="95"/>
        <v>12311.880715076784</v>
      </c>
      <c r="AJ145" s="19">
        <f t="shared" si="96"/>
        <v>-5217.9965084006653</v>
      </c>
      <c r="AK145" s="158">
        <f t="shared" si="97"/>
        <v>767.20164565529103</v>
      </c>
      <c r="AL145" s="163">
        <f t="shared" si="98"/>
        <v>-9046.8048677136758</v>
      </c>
      <c r="AM145" s="20"/>
    </row>
    <row r="146" spans="1:39" x14ac:dyDescent="0.25">
      <c r="A146" s="13">
        <f t="shared" si="71"/>
        <v>141</v>
      </c>
      <c r="B146" s="1">
        <v>45118</v>
      </c>
      <c r="C146" s="7">
        <f t="shared" si="72"/>
        <v>2023</v>
      </c>
      <c r="D146" s="7">
        <f t="shared" si="73"/>
        <v>7</v>
      </c>
      <c r="E146" s="61">
        <v>17.0379</v>
      </c>
      <c r="F146" s="65">
        <v>53.94</v>
      </c>
      <c r="G146" s="2">
        <v>38.770000000000003</v>
      </c>
      <c r="H146" s="2">
        <v>11.9</v>
      </c>
      <c r="I146" s="2">
        <v>237.29</v>
      </c>
      <c r="J146" s="2">
        <v>23.48</v>
      </c>
      <c r="K146" s="2">
        <v>316.05</v>
      </c>
      <c r="L146" s="2">
        <v>128.78</v>
      </c>
      <c r="M146" s="144">
        <v>269.79000000000002</v>
      </c>
      <c r="N146" s="72">
        <f t="shared" si="74"/>
        <v>1.0301554598239226E-2</v>
      </c>
      <c r="O146" s="73">
        <f t="shared" si="75"/>
        <v>-7.6785257230610471E-3</v>
      </c>
      <c r="P146" s="73">
        <f t="shared" si="76"/>
        <v>1.7094017094017255E-2</v>
      </c>
      <c r="Q146" s="73">
        <f t="shared" si="77"/>
        <v>1.662310954971935E-2</v>
      </c>
      <c r="R146" s="73">
        <f t="shared" si="78"/>
        <v>2.4879965080750743E-2</v>
      </c>
      <c r="S146" s="73">
        <f t="shared" si="79"/>
        <v>-3.7825059101654901E-3</v>
      </c>
      <c r="T146" s="73">
        <f t="shared" si="80"/>
        <v>1.2854001615292265E-2</v>
      </c>
      <c r="U146" s="73">
        <f t="shared" si="81"/>
        <v>5.4430930749749251E-4</v>
      </c>
      <c r="V146" s="148">
        <f t="shared" si="82"/>
        <v>57.64780670537553</v>
      </c>
      <c r="W146" s="149">
        <f t="shared" si="83"/>
        <v>40.099710775531101</v>
      </c>
      <c r="X146" s="149">
        <f t="shared" si="84"/>
        <v>14.544444444444448</v>
      </c>
      <c r="Y146" s="149">
        <f t="shared" si="85"/>
        <v>230.10247461548349</v>
      </c>
      <c r="Z146" s="149">
        <f t="shared" si="86"/>
        <v>14.10234831951113</v>
      </c>
      <c r="AA146" s="149">
        <f t="shared" si="87"/>
        <v>266.93647754137112</v>
      </c>
      <c r="AB146" s="149">
        <f t="shared" si="88"/>
        <v>2705.6393253645338</v>
      </c>
      <c r="AC146" s="150">
        <f t="shared" si="89"/>
        <v>3225.3901347957431</v>
      </c>
      <c r="AD146" s="157">
        <f t="shared" si="90"/>
        <v>-11756.134107510548</v>
      </c>
      <c r="AE146" s="19">
        <f t="shared" si="91"/>
        <v>8843.2428973635342</v>
      </c>
      <c r="AF146" s="19">
        <f t="shared" si="92"/>
        <v>-21706.666666666904</v>
      </c>
      <c r="AG146" s="19">
        <f t="shared" si="93"/>
        <v>-14297.403538837239</v>
      </c>
      <c r="AH146" s="19">
        <f t="shared" si="94"/>
        <v>-15302.969882147505</v>
      </c>
      <c r="AI146" s="19">
        <f t="shared" si="95"/>
        <v>5371.6690307330109</v>
      </c>
      <c r="AJ146" s="19">
        <f t="shared" si="96"/>
        <v>-10301.077609360254</v>
      </c>
      <c r="AK146" s="158">
        <f t="shared" si="97"/>
        <v>-438.66369893578394</v>
      </c>
      <c r="AL146" s="163">
        <f t="shared" si="98"/>
        <v>-59588.003575361683</v>
      </c>
      <c r="AM146" s="20"/>
    </row>
    <row r="147" spans="1:39" x14ac:dyDescent="0.25">
      <c r="A147" s="13">
        <f t="shared" si="71"/>
        <v>142</v>
      </c>
      <c r="B147" s="1">
        <v>45117</v>
      </c>
      <c r="C147" s="7">
        <f t="shared" si="72"/>
        <v>2023</v>
      </c>
      <c r="D147" s="7">
        <f t="shared" si="73"/>
        <v>7</v>
      </c>
      <c r="E147" s="61">
        <v>17.04</v>
      </c>
      <c r="F147" s="65">
        <v>53.39</v>
      </c>
      <c r="G147" s="2">
        <v>39.07</v>
      </c>
      <c r="H147" s="2">
        <v>11.7</v>
      </c>
      <c r="I147" s="2">
        <v>233.41</v>
      </c>
      <c r="J147" s="2">
        <v>22.91</v>
      </c>
      <c r="K147" s="2">
        <v>317.25</v>
      </c>
      <c r="L147" s="2">
        <v>127.13</v>
      </c>
      <c r="M147" s="144">
        <v>269.61</v>
      </c>
      <c r="N147" s="72">
        <f t="shared" si="74"/>
        <v>-6.1429635145197059E-3</v>
      </c>
      <c r="O147" s="73">
        <f t="shared" si="75"/>
        <v>-5.0929462694169203E-3</v>
      </c>
      <c r="P147" s="73">
        <f t="shared" si="76"/>
        <v>1.3864818024263537E-2</v>
      </c>
      <c r="Q147" s="73">
        <f t="shared" si="77"/>
        <v>2.10372660140834E-3</v>
      </c>
      <c r="R147" s="73">
        <f t="shared" si="78"/>
        <v>-1.7160017160017138E-2</v>
      </c>
      <c r="S147" s="73">
        <f t="shared" si="79"/>
        <v>-7.2908192002002492E-3</v>
      </c>
      <c r="T147" s="73">
        <f t="shared" si="80"/>
        <v>-2.5907018686654903E-2</v>
      </c>
      <c r="U147" s="73">
        <f t="shared" si="81"/>
        <v>-2.3067522384823902E-2</v>
      </c>
      <c r="V147" s="148">
        <f t="shared" si="82"/>
        <v>56.709482501861508</v>
      </c>
      <c r="W147" s="149">
        <f t="shared" si="83"/>
        <v>40.204194041252862</v>
      </c>
      <c r="X147" s="149">
        <f t="shared" si="84"/>
        <v>14.498266897746969</v>
      </c>
      <c r="Y147" s="149">
        <f t="shared" si="85"/>
        <v>226.81615747896277</v>
      </c>
      <c r="Z147" s="149">
        <f t="shared" si="86"/>
        <v>13.523878163878164</v>
      </c>
      <c r="AA147" s="149">
        <f t="shared" si="87"/>
        <v>265.99642499530631</v>
      </c>
      <c r="AB147" s="149">
        <f t="shared" si="88"/>
        <v>2602.0969188054937</v>
      </c>
      <c r="AC147" s="150">
        <f t="shared" si="89"/>
        <v>3149.2741964045872</v>
      </c>
      <c r="AD147" s="157">
        <f t="shared" si="90"/>
        <v>7010.3499627698793</v>
      </c>
      <c r="AE147" s="19">
        <f t="shared" si="91"/>
        <v>5865.4698242933418</v>
      </c>
      <c r="AF147" s="19">
        <f t="shared" si="92"/>
        <v>-17606.100519930813</v>
      </c>
      <c r="AG147" s="19">
        <f t="shared" si="93"/>
        <v>-1809.3984200584941</v>
      </c>
      <c r="AH147" s="19">
        <f t="shared" si="94"/>
        <v>10554.646074646051</v>
      </c>
      <c r="AI147" s="19">
        <f t="shared" si="95"/>
        <v>10353.947524876479</v>
      </c>
      <c r="AJ147" s="19">
        <f t="shared" si="96"/>
        <v>20761.644358351761</v>
      </c>
      <c r="AK147" s="158">
        <f t="shared" si="97"/>
        <v>18590.320898853177</v>
      </c>
      <c r="AL147" s="163">
        <f t="shared" si="98"/>
        <v>53720.87970380138</v>
      </c>
      <c r="AM147" s="20"/>
    </row>
    <row r="148" spans="1:39" x14ac:dyDescent="0.25">
      <c r="A148" s="13">
        <f t="shared" si="71"/>
        <v>143</v>
      </c>
      <c r="B148" s="1">
        <v>45114</v>
      </c>
      <c r="C148" s="7">
        <f t="shared" si="72"/>
        <v>2023</v>
      </c>
      <c r="D148" s="7">
        <f t="shared" si="73"/>
        <v>7</v>
      </c>
      <c r="E148" s="61">
        <v>17.135999999999999</v>
      </c>
      <c r="F148" s="65">
        <v>53.72</v>
      </c>
      <c r="G148" s="2">
        <v>39.270000000000003</v>
      </c>
      <c r="H148" s="2">
        <v>11.54</v>
      </c>
      <c r="I148" s="2">
        <v>232.92</v>
      </c>
      <c r="J148" s="2">
        <v>23.31</v>
      </c>
      <c r="K148" s="2">
        <v>319.58</v>
      </c>
      <c r="L148" s="2">
        <v>129.78</v>
      </c>
      <c r="M148" s="144">
        <v>274.43</v>
      </c>
      <c r="N148" s="72">
        <f t="shared" si="74"/>
        <v>9.205335337215903E-3</v>
      </c>
      <c r="O148" s="73">
        <f t="shared" si="75"/>
        <v>3.7790697674418672E-2</v>
      </c>
      <c r="P148" s="73">
        <f t="shared" si="76"/>
        <v>1.6740088105726914E-2</v>
      </c>
      <c r="Q148" s="73">
        <f t="shared" si="77"/>
        <v>-1.1150184406897301E-3</v>
      </c>
      <c r="R148" s="73">
        <f t="shared" si="78"/>
        <v>9.9653379549393684E-3</v>
      </c>
      <c r="S148" s="73">
        <f t="shared" si="79"/>
        <v>1.9816829945431769E-2</v>
      </c>
      <c r="T148" s="73">
        <f t="shared" si="80"/>
        <v>5.721793477786008E-3</v>
      </c>
      <c r="U148" s="73">
        <f t="shared" si="81"/>
        <v>-1.2872100052641611E-2</v>
      </c>
      <c r="V148" s="148">
        <f t="shared" si="82"/>
        <v>57.585256434341545</v>
      </c>
      <c r="W148" s="149">
        <f t="shared" si="83"/>
        <v>41.937122093023255</v>
      </c>
      <c r="X148" s="149">
        <f t="shared" si="84"/>
        <v>14.539383259911896</v>
      </c>
      <c r="Y148" s="149">
        <f t="shared" si="85"/>
        <v>226.08762672613429</v>
      </c>
      <c r="Z148" s="149">
        <f t="shared" si="86"/>
        <v>13.897123050259966</v>
      </c>
      <c r="AA148" s="149">
        <f t="shared" si="87"/>
        <v>273.25991958387846</v>
      </c>
      <c r="AB148" s="149">
        <f t="shared" si="88"/>
        <v>2686.5870406495137</v>
      </c>
      <c r="AC148" s="150">
        <f t="shared" si="89"/>
        <v>3182.1405215681943</v>
      </c>
      <c r="AD148" s="157">
        <f t="shared" si="90"/>
        <v>-10505.128686830858</v>
      </c>
      <c r="AE148" s="19">
        <f t="shared" si="91"/>
        <v>-43522.979651162874</v>
      </c>
      <c r="AF148" s="19">
        <f t="shared" si="92"/>
        <v>-21257.233480176259</v>
      </c>
      <c r="AG148" s="19">
        <f t="shared" si="93"/>
        <v>959.01844068971513</v>
      </c>
      <c r="AH148" s="19">
        <f t="shared" si="94"/>
        <v>-6129.4003466204731</v>
      </c>
      <c r="AI148" s="19">
        <f t="shared" si="95"/>
        <v>-28142.573794555879</v>
      </c>
      <c r="AJ148" s="19">
        <f t="shared" si="96"/>
        <v>-4585.3921948542393</v>
      </c>
      <c r="AK148" s="158">
        <f t="shared" si="97"/>
        <v>10373.739607951393</v>
      </c>
      <c r="AL148" s="163">
        <f t="shared" si="98"/>
        <v>-102809.95010555949</v>
      </c>
      <c r="AM148" s="20"/>
    </row>
    <row r="149" spans="1:39" x14ac:dyDescent="0.25">
      <c r="A149" s="13">
        <f t="shared" si="71"/>
        <v>144</v>
      </c>
      <c r="B149" s="1">
        <v>45113</v>
      </c>
      <c r="C149" s="7">
        <f t="shared" si="72"/>
        <v>2023</v>
      </c>
      <c r="D149" s="7">
        <f t="shared" si="73"/>
        <v>7</v>
      </c>
      <c r="E149" s="61">
        <v>17.227</v>
      </c>
      <c r="F149" s="65">
        <v>53.23</v>
      </c>
      <c r="G149" s="2">
        <v>37.840000000000003</v>
      </c>
      <c r="H149" s="2">
        <v>11.35</v>
      </c>
      <c r="I149" s="2">
        <v>233.18</v>
      </c>
      <c r="J149" s="2">
        <v>23.08</v>
      </c>
      <c r="K149" s="2">
        <v>313.37</v>
      </c>
      <c r="L149" s="2">
        <v>128.36000000000001</v>
      </c>
      <c r="M149" s="144">
        <v>276.54000000000002</v>
      </c>
      <c r="N149" s="72">
        <f t="shared" si="74"/>
        <v>-1.0410857036623922E-2</v>
      </c>
      <c r="O149" s="73">
        <f t="shared" si="75"/>
        <v>-1.3041210224308819E-2</v>
      </c>
      <c r="P149" s="73">
        <f t="shared" si="76"/>
        <v>-4.6218487394958041E-2</v>
      </c>
      <c r="Q149" s="73">
        <f t="shared" si="77"/>
        <v>-3.5050693151251755E-2</v>
      </c>
      <c r="R149" s="73">
        <f t="shared" si="78"/>
        <v>-2.9436501261564496E-2</v>
      </c>
      <c r="S149" s="73">
        <f t="shared" si="79"/>
        <v>-1.2385754806177096E-2</v>
      </c>
      <c r="T149" s="73">
        <f t="shared" si="80"/>
        <v>-2.4996709354325741E-3</v>
      </c>
      <c r="U149" s="73">
        <f t="shared" si="81"/>
        <v>-8.1075835460460155E-3</v>
      </c>
      <c r="V149" s="148">
        <f t="shared" si="82"/>
        <v>56.465956497490239</v>
      </c>
      <c r="W149" s="149">
        <f t="shared" si="83"/>
        <v>39.883004694835677</v>
      </c>
      <c r="X149" s="149">
        <f t="shared" si="84"/>
        <v>13.639075630252101</v>
      </c>
      <c r="Y149" s="149">
        <f t="shared" si="85"/>
        <v>218.40662611214569</v>
      </c>
      <c r="Z149" s="149">
        <f t="shared" si="86"/>
        <v>13.354953742640872</v>
      </c>
      <c r="AA149" s="149">
        <f t="shared" si="87"/>
        <v>264.63123699968486</v>
      </c>
      <c r="AB149" s="149">
        <f t="shared" si="88"/>
        <v>2664.6250230309684</v>
      </c>
      <c r="AC149" s="150">
        <f t="shared" si="89"/>
        <v>3197.4995860239019</v>
      </c>
      <c r="AD149" s="157">
        <f t="shared" si="90"/>
        <v>11880.870050195255</v>
      </c>
      <c r="AE149" s="19">
        <f t="shared" si="91"/>
        <v>15019.366197183117</v>
      </c>
      <c r="AF149" s="19">
        <f t="shared" si="92"/>
        <v>58690.084033613472</v>
      </c>
      <c r="AG149" s="19">
        <f t="shared" si="93"/>
        <v>30146.820773846401</v>
      </c>
      <c r="AH149" s="19">
        <f t="shared" si="94"/>
        <v>18105.567703953031</v>
      </c>
      <c r="AI149" s="19">
        <f t="shared" si="95"/>
        <v>17589.443901670187</v>
      </c>
      <c r="AJ149" s="19">
        <f t="shared" si="96"/>
        <v>2003.2130907093688</v>
      </c>
      <c r="AK149" s="158">
        <f t="shared" si="97"/>
        <v>6533.973494024508</v>
      </c>
      <c r="AL149" s="163">
        <f t="shared" si="98"/>
        <v>159969.33924519536</v>
      </c>
      <c r="AM149" s="20"/>
    </row>
    <row r="150" spans="1:39" x14ac:dyDescent="0.25">
      <c r="A150" s="13">
        <f t="shared" si="71"/>
        <v>145</v>
      </c>
      <c r="B150" s="1">
        <v>45112</v>
      </c>
      <c r="C150" s="7">
        <f t="shared" si="72"/>
        <v>2023</v>
      </c>
      <c r="D150" s="7">
        <f t="shared" si="73"/>
        <v>7</v>
      </c>
      <c r="E150" s="61">
        <v>17.002600000000001</v>
      </c>
      <c r="F150" s="65">
        <v>53.79</v>
      </c>
      <c r="G150" s="2">
        <v>38.340000000000003</v>
      </c>
      <c r="H150" s="2">
        <v>11.9</v>
      </c>
      <c r="I150" s="2">
        <v>241.65</v>
      </c>
      <c r="J150" s="2">
        <v>23.78</v>
      </c>
      <c r="K150" s="2">
        <v>317.3</v>
      </c>
      <c r="L150" s="2">
        <v>130.38</v>
      </c>
      <c r="M150" s="144">
        <v>282.48</v>
      </c>
      <c r="N150" s="72">
        <f t="shared" si="74"/>
        <v>1.6759776536312554E-3</v>
      </c>
      <c r="O150" s="73">
        <f t="shared" si="75"/>
        <v>3.4022507197069007E-3</v>
      </c>
      <c r="P150" s="73">
        <f t="shared" si="76"/>
        <v>-1.7341040462427681E-2</v>
      </c>
      <c r="Q150" s="73">
        <f t="shared" si="77"/>
        <v>2.2812111157197723E-3</v>
      </c>
      <c r="R150" s="73">
        <f t="shared" si="78"/>
        <v>-8.340283569641338E-3</v>
      </c>
      <c r="S150" s="73">
        <f t="shared" si="79"/>
        <v>8.0376147663374642E-3</v>
      </c>
      <c r="T150" s="73">
        <f t="shared" si="80"/>
        <v>-2.1868304503134262E-3</v>
      </c>
      <c r="U150" s="73">
        <f t="shared" si="81"/>
        <v>6.0623537057253873E-3</v>
      </c>
      <c r="V150" s="148">
        <f t="shared" si="82"/>
        <v>57.155631284916204</v>
      </c>
      <c r="W150" s="149">
        <f t="shared" si="83"/>
        <v>40.54748495158335</v>
      </c>
      <c r="X150" s="149">
        <f t="shared" si="84"/>
        <v>14.052023121387284</v>
      </c>
      <c r="Y150" s="149">
        <f t="shared" si="85"/>
        <v>226.85632932393202</v>
      </c>
      <c r="Z150" s="149">
        <f t="shared" si="86"/>
        <v>13.645237698081734</v>
      </c>
      <c r="AA150" s="149">
        <f t="shared" si="87"/>
        <v>270.10367887664012</v>
      </c>
      <c r="AB150" s="149">
        <f t="shared" si="88"/>
        <v>2665.4607145696841</v>
      </c>
      <c r="AC150" s="150">
        <f t="shared" si="89"/>
        <v>3243.178298498086</v>
      </c>
      <c r="AD150" s="157">
        <f t="shared" si="90"/>
        <v>-1912.6256983240353</v>
      </c>
      <c r="AE150" s="19">
        <f t="shared" si="91"/>
        <v>-3918.3211201255654</v>
      </c>
      <c r="AF150" s="19">
        <f t="shared" si="92"/>
        <v>22020.346820809209</v>
      </c>
      <c r="AG150" s="19">
        <f t="shared" si="93"/>
        <v>-1962.0514309416478</v>
      </c>
      <c r="AH150" s="19">
        <f t="shared" si="94"/>
        <v>5129.8748957464595</v>
      </c>
      <c r="AI150" s="19">
        <f t="shared" si="95"/>
        <v>-11414.498046192683</v>
      </c>
      <c r="AJ150" s="19">
        <f t="shared" si="96"/>
        <v>1752.5056290946395</v>
      </c>
      <c r="AK150" s="158">
        <f t="shared" si="97"/>
        <v>-4885.7046245215088</v>
      </c>
      <c r="AL150" s="163">
        <f t="shared" si="98"/>
        <v>4809.5264255448665</v>
      </c>
      <c r="AM150" s="20"/>
    </row>
    <row r="151" spans="1:39" x14ac:dyDescent="0.25">
      <c r="A151" s="13">
        <f t="shared" si="71"/>
        <v>146</v>
      </c>
      <c r="B151" s="1">
        <v>45111</v>
      </c>
      <c r="C151" s="7">
        <f t="shared" si="72"/>
        <v>2023</v>
      </c>
      <c r="D151" s="7">
        <f t="shared" si="73"/>
        <v>7</v>
      </c>
      <c r="E151" s="61">
        <v>17.0608</v>
      </c>
      <c r="F151" s="65">
        <v>53.7</v>
      </c>
      <c r="G151" s="2">
        <v>38.21</v>
      </c>
      <c r="H151" s="2">
        <v>12.11</v>
      </c>
      <c r="I151" s="2">
        <v>241.1</v>
      </c>
      <c r="J151" s="2">
        <v>23.98</v>
      </c>
      <c r="K151" s="2">
        <v>314.77</v>
      </c>
      <c r="L151" s="2">
        <v>130.22</v>
      </c>
      <c r="M151" s="144">
        <v>279.82</v>
      </c>
      <c r="N151" s="72">
        <f t="shared" si="74"/>
        <v>-8.8593576965669829E-3</v>
      </c>
      <c r="O151" s="73">
        <f t="shared" si="75"/>
        <v>-5.2314935914188343E-4</v>
      </c>
      <c r="P151" s="73">
        <f t="shared" si="76"/>
        <v>-2.4711696869852418E-3</v>
      </c>
      <c r="Q151" s="73">
        <f t="shared" si="77"/>
        <v>3.6215293676893356E-3</v>
      </c>
      <c r="R151" s="73">
        <f t="shared" si="78"/>
        <v>-4.1684035014577514E-4</v>
      </c>
      <c r="S151" s="73">
        <f t="shared" si="79"/>
        <v>-3.4003375786404888E-2</v>
      </c>
      <c r="T151" s="73">
        <f t="shared" si="80"/>
        <v>1.1031569064663405E-3</v>
      </c>
      <c r="U151" s="73">
        <f t="shared" si="81"/>
        <v>1.1031569064663405E-3</v>
      </c>
      <c r="V151" s="148">
        <f t="shared" si="82"/>
        <v>56.554485049833893</v>
      </c>
      <c r="W151" s="149">
        <f t="shared" si="83"/>
        <v>40.388859534397071</v>
      </c>
      <c r="X151" s="149">
        <f t="shared" si="84"/>
        <v>14.264662273476112</v>
      </c>
      <c r="Y151" s="149">
        <f t="shared" si="85"/>
        <v>227.15969695708282</v>
      </c>
      <c r="Z151" s="149">
        <f t="shared" si="86"/>
        <v>13.754264276781994</v>
      </c>
      <c r="AA151" s="149">
        <f t="shared" si="87"/>
        <v>258.83879545803279</v>
      </c>
      <c r="AB151" s="149">
        <f t="shared" si="88"/>
        <v>2674.2492656918198</v>
      </c>
      <c r="AC151" s="150">
        <f t="shared" si="89"/>
        <v>3227.1916557436916</v>
      </c>
      <c r="AD151" s="157">
        <f t="shared" si="90"/>
        <v>10110.299003322183</v>
      </c>
      <c r="AE151" s="19">
        <f t="shared" si="91"/>
        <v>602.50326968338891</v>
      </c>
      <c r="AF151" s="19">
        <f t="shared" si="92"/>
        <v>3137.9901153212841</v>
      </c>
      <c r="AG151" s="19">
        <f t="shared" si="93"/>
        <v>-3114.8484369146845</v>
      </c>
      <c r="AH151" s="19">
        <f t="shared" si="94"/>
        <v>256.38682784486696</v>
      </c>
      <c r="AI151" s="19">
        <f t="shared" si="95"/>
        <v>48289.384072426146</v>
      </c>
      <c r="AJ151" s="19">
        <f t="shared" si="96"/>
        <v>-884.05970754606642</v>
      </c>
      <c r="AK151" s="158">
        <f t="shared" si="97"/>
        <v>-889.04393592292763</v>
      </c>
      <c r="AL151" s="163">
        <f t="shared" si="98"/>
        <v>57508.611208214184</v>
      </c>
      <c r="AM151" s="20"/>
    </row>
    <row r="152" spans="1:39" x14ac:dyDescent="0.25">
      <c r="A152" s="13">
        <f t="shared" si="71"/>
        <v>147</v>
      </c>
      <c r="B152" s="1">
        <v>45110</v>
      </c>
      <c r="C152" s="7">
        <f t="shared" si="72"/>
        <v>2023</v>
      </c>
      <c r="D152" s="7">
        <f t="shared" si="73"/>
        <v>7</v>
      </c>
      <c r="E152" s="61">
        <v>17.042000000000002</v>
      </c>
      <c r="F152" s="65">
        <v>54.18</v>
      </c>
      <c r="G152" s="2">
        <v>38.229999999999997</v>
      </c>
      <c r="H152" s="2">
        <v>12.14</v>
      </c>
      <c r="I152" s="2">
        <v>240.23</v>
      </c>
      <c r="J152" s="2">
        <v>23.99</v>
      </c>
      <c r="K152" s="2">
        <v>325.85000000000002</v>
      </c>
      <c r="L152" s="2">
        <v>130.22</v>
      </c>
      <c r="M152" s="144">
        <v>279.82</v>
      </c>
      <c r="N152" s="72">
        <f t="shared" si="74"/>
        <v>1.593849615600984E-2</v>
      </c>
      <c r="O152" s="73">
        <f t="shared" si="75"/>
        <v>1.5944724953494305E-2</v>
      </c>
      <c r="P152" s="73">
        <f t="shared" si="76"/>
        <v>3.3057851239670644E-3</v>
      </c>
      <c r="Q152" s="73">
        <f t="shared" si="77"/>
        <v>-8.3184294805149772E-4</v>
      </c>
      <c r="R152" s="73">
        <f t="shared" si="78"/>
        <v>8.343763037128582E-4</v>
      </c>
      <c r="S152" s="73">
        <f t="shared" si="79"/>
        <v>6.0606060606060552E-2</v>
      </c>
      <c r="T152" s="73">
        <f t="shared" si="80"/>
        <v>-5.2474502556989489E-3</v>
      </c>
      <c r="U152" s="73">
        <f t="shared" si="81"/>
        <v>6.4487585893033605E-2</v>
      </c>
      <c r="V152" s="148">
        <f t="shared" si="82"/>
        <v>57.969450590661921</v>
      </c>
      <c r="W152" s="149">
        <f t="shared" si="83"/>
        <v>41.054326335370703</v>
      </c>
      <c r="X152" s="149">
        <f t="shared" si="84"/>
        <v>14.347272727272729</v>
      </c>
      <c r="Y152" s="149">
        <f t="shared" si="85"/>
        <v>226.15172066713802</v>
      </c>
      <c r="Z152" s="149">
        <f t="shared" si="86"/>
        <v>13.771481017939088</v>
      </c>
      <c r="AA152" s="149">
        <f t="shared" si="87"/>
        <v>284.18939393939394</v>
      </c>
      <c r="AB152" s="149">
        <f t="shared" si="88"/>
        <v>2657.2848735380703</v>
      </c>
      <c r="AC152" s="150">
        <f t="shared" si="89"/>
        <v>3431.5199499043306</v>
      </c>
      <c r="AD152" s="157">
        <f t="shared" si="90"/>
        <v>-18189.01181323838</v>
      </c>
      <c r="AE152" s="19">
        <f t="shared" si="91"/>
        <v>-18363.300558065141</v>
      </c>
      <c r="AF152" s="19">
        <f t="shared" si="92"/>
        <v>-4197.8181818183075</v>
      </c>
      <c r="AG152" s="19">
        <f t="shared" si="93"/>
        <v>715.46146487552846</v>
      </c>
      <c r="AH152" s="19">
        <f t="shared" si="94"/>
        <v>-513.20150187724653</v>
      </c>
      <c r="AI152" s="19">
        <f t="shared" si="95"/>
        <v>-86068.787878787931</v>
      </c>
      <c r="AJ152" s="19">
        <f t="shared" si="96"/>
        <v>4205.2579385787794</v>
      </c>
      <c r="AK152" s="158">
        <f t="shared" si="97"/>
        <v>-51971.117476082669</v>
      </c>
      <c r="AL152" s="163">
        <f t="shared" si="98"/>
        <v>-174382.51800641534</v>
      </c>
      <c r="AM152" s="20"/>
    </row>
    <row r="153" spans="1:39" x14ac:dyDescent="0.25">
      <c r="A153" s="13">
        <f t="shared" si="71"/>
        <v>148</v>
      </c>
      <c r="B153" s="1">
        <v>45107</v>
      </c>
      <c r="C153" s="7">
        <f t="shared" si="72"/>
        <v>2023</v>
      </c>
      <c r="D153" s="7">
        <f t="shared" si="73"/>
        <v>6</v>
      </c>
      <c r="E153" s="61">
        <v>17.113499999999998</v>
      </c>
      <c r="F153" s="65">
        <v>53.33</v>
      </c>
      <c r="G153" s="2">
        <v>37.630000000000003</v>
      </c>
      <c r="H153" s="2">
        <v>12.1</v>
      </c>
      <c r="I153" s="2">
        <v>240.43</v>
      </c>
      <c r="J153" s="2">
        <v>23.97</v>
      </c>
      <c r="K153" s="2">
        <v>307.23</v>
      </c>
      <c r="L153" s="2">
        <v>130.36000000000001</v>
      </c>
      <c r="M153" s="144">
        <v>261.77</v>
      </c>
      <c r="N153" s="72">
        <f t="shared" si="74"/>
        <v>-1.1238059561715641E-3</v>
      </c>
      <c r="O153" s="73">
        <f t="shared" si="75"/>
        <v>-3.5128205128205026E-2</v>
      </c>
      <c r="P153" s="73">
        <f t="shared" si="76"/>
        <v>1.0860484544694904E-2</v>
      </c>
      <c r="Q153" s="73">
        <f t="shared" si="77"/>
        <v>1.8751562630219265E-3</v>
      </c>
      <c r="R153" s="73">
        <f t="shared" si="78"/>
        <v>-6.6307501036054761E-3</v>
      </c>
      <c r="S153" s="73">
        <f t="shared" si="79"/>
        <v>9.9937539038101875E-3</v>
      </c>
      <c r="T153" s="73">
        <f t="shared" si="80"/>
        <v>1.8662346900541582E-2</v>
      </c>
      <c r="U153" s="73">
        <f t="shared" si="81"/>
        <v>1.6012581198860509E-2</v>
      </c>
      <c r="V153" s="148">
        <f t="shared" si="82"/>
        <v>56.995875632140852</v>
      </c>
      <c r="W153" s="149">
        <f t="shared" si="83"/>
        <v>38.990469230769229</v>
      </c>
      <c r="X153" s="149">
        <f t="shared" si="84"/>
        <v>14.455304928989138</v>
      </c>
      <c r="Y153" s="149">
        <f t="shared" si="85"/>
        <v>226.76442286857238</v>
      </c>
      <c r="Z153" s="149">
        <f t="shared" si="86"/>
        <v>13.668760878574389</v>
      </c>
      <c r="AA153" s="149">
        <f t="shared" si="87"/>
        <v>270.62782635852591</v>
      </c>
      <c r="AB153" s="149">
        <f t="shared" si="88"/>
        <v>2721.1551720650486</v>
      </c>
      <c r="AC153" s="150">
        <f t="shared" si="89"/>
        <v>3275.2542048790274</v>
      </c>
      <c r="AD153" s="157">
        <f t="shared" si="90"/>
        <v>1282.4873571830153</v>
      </c>
      <c r="AE153" s="19">
        <f t="shared" si="91"/>
        <v>40456.626923076888</v>
      </c>
      <c r="AF153" s="19">
        <f t="shared" si="92"/>
        <v>-13791.077694235391</v>
      </c>
      <c r="AG153" s="19">
        <f t="shared" si="93"/>
        <v>-1612.8069005750376</v>
      </c>
      <c r="AH153" s="19">
        <f t="shared" si="94"/>
        <v>4078.3887277248004</v>
      </c>
      <c r="AI153" s="19">
        <f t="shared" si="95"/>
        <v>-14192.479700187374</v>
      </c>
      <c r="AJ153" s="19">
        <f t="shared" si="96"/>
        <v>-14955.83161951472</v>
      </c>
      <c r="AK153" s="158">
        <f t="shared" si="97"/>
        <v>-12904.681219756867</v>
      </c>
      <c r="AL153" s="163">
        <f t="shared" si="98"/>
        <v>-11639.374126284683</v>
      </c>
      <c r="AM153" s="20"/>
    </row>
    <row r="154" spans="1:39" x14ac:dyDescent="0.25">
      <c r="A154" s="13">
        <f t="shared" si="71"/>
        <v>149</v>
      </c>
      <c r="B154" s="1">
        <v>45106</v>
      </c>
      <c r="C154" s="7">
        <f t="shared" si="72"/>
        <v>2023</v>
      </c>
      <c r="D154" s="7">
        <f t="shared" si="73"/>
        <v>6</v>
      </c>
      <c r="E154" s="61">
        <v>17.123100000000001</v>
      </c>
      <c r="F154" s="65">
        <v>53.39</v>
      </c>
      <c r="G154" s="2">
        <v>39</v>
      </c>
      <c r="H154" s="2">
        <v>11.97</v>
      </c>
      <c r="I154" s="2">
        <v>239.98</v>
      </c>
      <c r="J154" s="2">
        <v>24.13</v>
      </c>
      <c r="K154" s="2">
        <v>304.19</v>
      </c>
      <c r="L154" s="2">
        <v>127.9</v>
      </c>
      <c r="M154" s="144">
        <v>257.5</v>
      </c>
      <c r="N154" s="72">
        <f t="shared" si="74"/>
        <v>2.4408561772437665E-3</v>
      </c>
      <c r="O154" s="73">
        <f t="shared" si="75"/>
        <v>0</v>
      </c>
      <c r="P154" s="73">
        <f t="shared" si="76"/>
        <v>7.575757575757569E-3</v>
      </c>
      <c r="Q154" s="73">
        <f t="shared" si="77"/>
        <v>-6.9930069930069783E-3</v>
      </c>
      <c r="R154" s="73">
        <f t="shared" si="78"/>
        <v>-4.9484536082474717E-3</v>
      </c>
      <c r="S154" s="73">
        <f t="shared" si="79"/>
        <v>-3.8641647837049931E-3</v>
      </c>
      <c r="T154" s="73">
        <f t="shared" si="80"/>
        <v>-5.7512309366883896E-3</v>
      </c>
      <c r="U154" s="73">
        <f t="shared" si="81"/>
        <v>8.0432818639379899E-3</v>
      </c>
      <c r="V154" s="148">
        <f t="shared" si="82"/>
        <v>57.19927525347353</v>
      </c>
      <c r="W154" s="149">
        <f t="shared" si="83"/>
        <v>40.409999999999997</v>
      </c>
      <c r="X154" s="149">
        <f t="shared" si="84"/>
        <v>14.408333333333333</v>
      </c>
      <c r="Y154" s="149">
        <f t="shared" si="85"/>
        <v>224.75720279720281</v>
      </c>
      <c r="Z154" s="149">
        <f t="shared" si="86"/>
        <v>13.691909278350515</v>
      </c>
      <c r="AA154" s="149">
        <f t="shared" si="87"/>
        <v>266.91459704620621</v>
      </c>
      <c r="AB154" s="149">
        <f t="shared" si="88"/>
        <v>2655.9391229958696</v>
      </c>
      <c r="AC154" s="150">
        <f t="shared" si="89"/>
        <v>3249.5640887922309</v>
      </c>
      <c r="AD154" s="157">
        <f t="shared" si="90"/>
        <v>-2785.5050694705596</v>
      </c>
      <c r="AE154" s="19">
        <f t="shared" si="91"/>
        <v>0</v>
      </c>
      <c r="AF154" s="19">
        <f t="shared" si="92"/>
        <v>-9619.9999999999272</v>
      </c>
      <c r="AG154" s="19">
        <f t="shared" si="93"/>
        <v>6014.6293706293418</v>
      </c>
      <c r="AH154" s="19">
        <f t="shared" si="94"/>
        <v>3043.6552577319712</v>
      </c>
      <c r="AI154" s="19">
        <f t="shared" si="95"/>
        <v>5487.6356551070221</v>
      </c>
      <c r="AJ154" s="19">
        <f t="shared" si="96"/>
        <v>4608.9831012389823</v>
      </c>
      <c r="AK154" s="158">
        <f t="shared" si="97"/>
        <v>-6482.1521980577472</v>
      </c>
      <c r="AL154" s="163">
        <f t="shared" si="98"/>
        <v>267.24611717908192</v>
      </c>
      <c r="AM154" s="20"/>
    </row>
    <row r="155" spans="1:39" x14ac:dyDescent="0.25">
      <c r="A155" s="13">
        <f t="shared" si="71"/>
        <v>150</v>
      </c>
      <c r="B155" s="1">
        <v>45105</v>
      </c>
      <c r="C155" s="7">
        <f t="shared" si="72"/>
        <v>2023</v>
      </c>
      <c r="D155" s="7">
        <f t="shared" si="73"/>
        <v>6</v>
      </c>
      <c r="E155" s="61">
        <v>17.07</v>
      </c>
      <c r="F155" s="65">
        <v>53.26</v>
      </c>
      <c r="G155" s="2">
        <v>39</v>
      </c>
      <c r="H155" s="2">
        <v>11.88</v>
      </c>
      <c r="I155" s="2">
        <v>241.67</v>
      </c>
      <c r="J155" s="2">
        <v>24.25</v>
      </c>
      <c r="K155" s="2">
        <v>305.37</v>
      </c>
      <c r="L155" s="2">
        <v>129.04</v>
      </c>
      <c r="M155" s="144">
        <v>256.24</v>
      </c>
      <c r="N155" s="72">
        <f t="shared" si="74"/>
        <v>-1.6980435585086773E-2</v>
      </c>
      <c r="O155" s="73">
        <f t="shared" si="75"/>
        <v>-8.1383519837232576E-3</v>
      </c>
      <c r="P155" s="73">
        <f t="shared" si="76"/>
        <v>-1.7369727047146344E-2</v>
      </c>
      <c r="Q155" s="73">
        <f t="shared" si="77"/>
        <v>-8.8992782152231831E-3</v>
      </c>
      <c r="R155" s="73">
        <f t="shared" si="78"/>
        <v>1.652209830648399E-3</v>
      </c>
      <c r="S155" s="73">
        <f t="shared" si="79"/>
        <v>-8.957258300068105E-3</v>
      </c>
      <c r="T155" s="73">
        <f t="shared" si="80"/>
        <v>-1.6510692673705751E-3</v>
      </c>
      <c r="U155" s="73">
        <f t="shared" si="81"/>
        <v>2.3518143668549873E-2</v>
      </c>
      <c r="V155" s="148">
        <f t="shared" si="82"/>
        <v>56.091096345514948</v>
      </c>
      <c r="W155" s="149">
        <f t="shared" si="83"/>
        <v>40.081129196337741</v>
      </c>
      <c r="X155" s="149">
        <f t="shared" si="84"/>
        <v>14.051612903225807</v>
      </c>
      <c r="Y155" s="149">
        <f t="shared" si="85"/>
        <v>224.3257373687664</v>
      </c>
      <c r="Z155" s="149">
        <f t="shared" si="86"/>
        <v>13.782734407269722</v>
      </c>
      <c r="AA155" s="149">
        <f t="shared" si="87"/>
        <v>265.54990263849675</v>
      </c>
      <c r="AB155" s="149">
        <f t="shared" si="88"/>
        <v>2666.8918947035063</v>
      </c>
      <c r="AC155" s="150">
        <f t="shared" si="89"/>
        <v>3299.4494023536745</v>
      </c>
      <c r="AD155" s="157">
        <f t="shared" si="90"/>
        <v>19378.073089701076</v>
      </c>
      <c r="AE155" s="19">
        <f t="shared" si="91"/>
        <v>9372.817904374273</v>
      </c>
      <c r="AF155" s="19">
        <f t="shared" si="92"/>
        <v>22056.774193548361</v>
      </c>
      <c r="AG155" s="19">
        <f t="shared" si="93"/>
        <v>7654.1979986877041</v>
      </c>
      <c r="AH155" s="19">
        <f t="shared" si="94"/>
        <v>-1016.2280049565626</v>
      </c>
      <c r="AI155" s="19">
        <f t="shared" si="95"/>
        <v>12720.516015967183</v>
      </c>
      <c r="AJ155" s="19">
        <f t="shared" si="96"/>
        <v>1323.1515889479851</v>
      </c>
      <c r="AK155" s="158">
        <f t="shared" si="97"/>
        <v>-18953.480588418643</v>
      </c>
      <c r="AL155" s="163">
        <f t="shared" si="98"/>
        <v>52535.822197851398</v>
      </c>
      <c r="AM155" s="20"/>
    </row>
    <row r="156" spans="1:39" x14ac:dyDescent="0.25">
      <c r="A156" s="13">
        <f t="shared" si="71"/>
        <v>151</v>
      </c>
      <c r="B156" s="1">
        <v>45104</v>
      </c>
      <c r="C156" s="7">
        <f t="shared" si="72"/>
        <v>2023</v>
      </c>
      <c r="D156" s="7">
        <f t="shared" si="73"/>
        <v>6</v>
      </c>
      <c r="E156" s="61">
        <v>17.079699999999999</v>
      </c>
      <c r="F156" s="65">
        <v>54.18</v>
      </c>
      <c r="G156" s="2">
        <v>39.32</v>
      </c>
      <c r="H156" s="2">
        <v>12.09</v>
      </c>
      <c r="I156" s="2">
        <v>243.84</v>
      </c>
      <c r="J156" s="2">
        <v>24.21</v>
      </c>
      <c r="K156" s="2">
        <v>308.13</v>
      </c>
      <c r="L156" s="2">
        <v>129.18</v>
      </c>
      <c r="M156" s="144">
        <v>250.21</v>
      </c>
      <c r="N156" s="72">
        <f t="shared" si="74"/>
        <v>1.100951670087702E-2</v>
      </c>
      <c r="O156" s="73">
        <f t="shared" si="75"/>
        <v>2.4225058609012695E-2</v>
      </c>
      <c r="P156" s="73">
        <f t="shared" si="76"/>
        <v>2.1114864864864913E-2</v>
      </c>
      <c r="Q156" s="73">
        <f t="shared" si="77"/>
        <v>-1.0269107440029179E-2</v>
      </c>
      <c r="R156" s="73">
        <f t="shared" si="78"/>
        <v>1.0012515644555853E-2</v>
      </c>
      <c r="S156" s="73">
        <f t="shared" si="79"/>
        <v>6.5331721817527555E-3</v>
      </c>
      <c r="T156" s="73">
        <f t="shared" si="80"/>
        <v>1.1373021070403055E-2</v>
      </c>
      <c r="U156" s="73">
        <f t="shared" si="81"/>
        <v>3.4771241787335594E-2</v>
      </c>
      <c r="V156" s="148">
        <f t="shared" si="82"/>
        <v>57.688203022952045</v>
      </c>
      <c r="W156" s="149">
        <f t="shared" si="83"/>
        <v>41.388934618390202</v>
      </c>
      <c r="X156" s="149">
        <f t="shared" si="84"/>
        <v>14.601942567567569</v>
      </c>
      <c r="Y156" s="149">
        <f t="shared" si="85"/>
        <v>224.01569022202381</v>
      </c>
      <c r="Z156" s="149">
        <f t="shared" si="86"/>
        <v>13.897772215269088</v>
      </c>
      <c r="AA156" s="149">
        <f t="shared" si="87"/>
        <v>269.70056348610063</v>
      </c>
      <c r="AB156" s="149">
        <f t="shared" si="88"/>
        <v>2701.6831784806177</v>
      </c>
      <c r="AC156" s="150">
        <f t="shared" si="89"/>
        <v>3335.7252887093136</v>
      </c>
      <c r="AD156" s="157">
        <f t="shared" si="90"/>
        <v>-12564.06045904086</v>
      </c>
      <c r="AE156" s="19">
        <f t="shared" si="91"/>
        <v>-27899.636624120856</v>
      </c>
      <c r="AF156" s="19">
        <f t="shared" si="92"/>
        <v>-26812.500000000076</v>
      </c>
      <c r="AG156" s="19">
        <f t="shared" si="93"/>
        <v>8832.377156309547</v>
      </c>
      <c r="AH156" s="19">
        <f t="shared" si="94"/>
        <v>-6158.4180225282289</v>
      </c>
      <c r="AI156" s="19">
        <f t="shared" si="95"/>
        <v>-9277.9864763334226</v>
      </c>
      <c r="AJ156" s="19">
        <f t="shared" si="96"/>
        <v>-9114.2335441854357</v>
      </c>
      <c r="AK156" s="158">
        <f t="shared" si="97"/>
        <v>-28022.452177328432</v>
      </c>
      <c r="AL156" s="163">
        <f t="shared" si="98"/>
        <v>-111016.91014722777</v>
      </c>
      <c r="AM156" s="20"/>
    </row>
    <row r="157" spans="1:39" x14ac:dyDescent="0.25">
      <c r="A157" s="13">
        <f t="shared" si="71"/>
        <v>152</v>
      </c>
      <c r="B157" s="1">
        <v>45103</v>
      </c>
      <c r="C157" s="7">
        <f t="shared" si="72"/>
        <v>2023</v>
      </c>
      <c r="D157" s="7">
        <f t="shared" si="73"/>
        <v>6</v>
      </c>
      <c r="E157" s="61">
        <v>17.132999999999999</v>
      </c>
      <c r="F157" s="65">
        <v>53.59</v>
      </c>
      <c r="G157" s="2">
        <v>38.39</v>
      </c>
      <c r="H157" s="2">
        <v>11.84</v>
      </c>
      <c r="I157" s="2">
        <v>246.37</v>
      </c>
      <c r="J157" s="2">
        <v>23.97</v>
      </c>
      <c r="K157" s="2">
        <v>306.13</v>
      </c>
      <c r="L157" s="2">
        <v>127.33</v>
      </c>
      <c r="M157" s="144">
        <v>241.05</v>
      </c>
      <c r="N157" s="72">
        <f t="shared" si="74"/>
        <v>5.6011949215828416E-4</v>
      </c>
      <c r="O157" s="73">
        <f t="shared" si="75"/>
        <v>4.7108086888250078E-3</v>
      </c>
      <c r="P157" s="73">
        <f t="shared" si="76"/>
        <v>-4.205214465937801E-3</v>
      </c>
      <c r="Q157" s="73">
        <f t="shared" si="77"/>
        <v>-2.6717402744605989E-3</v>
      </c>
      <c r="R157" s="73">
        <f t="shared" si="78"/>
        <v>-4.1701417848216682E-4</v>
      </c>
      <c r="S157" s="73">
        <f t="shared" si="79"/>
        <v>-5.0053628888094837E-3</v>
      </c>
      <c r="T157" s="73">
        <f t="shared" si="80"/>
        <v>-1.6841529846745473E-2</v>
      </c>
      <c r="U157" s="73">
        <f t="shared" si="81"/>
        <v>-6.1914231553979793E-2</v>
      </c>
      <c r="V157" s="148">
        <f t="shared" si="82"/>
        <v>57.091960418222556</v>
      </c>
      <c r="W157" s="149">
        <f t="shared" si="83"/>
        <v>40.600363779115412</v>
      </c>
      <c r="X157" s="149">
        <f t="shared" si="84"/>
        <v>14.239865433137091</v>
      </c>
      <c r="Y157" s="149">
        <f t="shared" si="85"/>
        <v>225.73527830627859</v>
      </c>
      <c r="Z157" s="149">
        <f t="shared" si="86"/>
        <v>13.754261884904086</v>
      </c>
      <c r="AA157" s="149">
        <f t="shared" si="87"/>
        <v>266.60881301394346</v>
      </c>
      <c r="AB157" s="149">
        <f t="shared" si="88"/>
        <v>2626.3135809007167</v>
      </c>
      <c r="AC157" s="150">
        <f t="shared" si="89"/>
        <v>3024.0465664456551</v>
      </c>
      <c r="AD157" s="157">
        <f t="shared" si="90"/>
        <v>-639.20836445106488</v>
      </c>
      <c r="AE157" s="19">
        <f t="shared" si="91"/>
        <v>-5425.3677047893379</v>
      </c>
      <c r="AF157" s="19">
        <f t="shared" si="92"/>
        <v>5339.9495374264152</v>
      </c>
      <c r="AG157" s="19">
        <f t="shared" si="93"/>
        <v>2297.9424361413803</v>
      </c>
      <c r="AH157" s="19">
        <f t="shared" si="94"/>
        <v>256.49374478736269</v>
      </c>
      <c r="AI157" s="19">
        <f t="shared" si="95"/>
        <v>7108.2910260995959</v>
      </c>
      <c r="AJ157" s="19">
        <f t="shared" si="96"/>
        <v>13496.645729784859</v>
      </c>
      <c r="AK157" s="158">
        <f t="shared" si="97"/>
        <v>49897.228388586198</v>
      </c>
      <c r="AL157" s="163">
        <f t="shared" si="98"/>
        <v>72331.97479358541</v>
      </c>
      <c r="AM157" s="20"/>
    </row>
    <row r="158" spans="1:39" x14ac:dyDescent="0.25">
      <c r="A158" s="13">
        <f t="shared" si="71"/>
        <v>153</v>
      </c>
      <c r="B158" s="1">
        <v>45100</v>
      </c>
      <c r="C158" s="7">
        <f t="shared" si="72"/>
        <v>2023</v>
      </c>
      <c r="D158" s="7">
        <f t="shared" si="73"/>
        <v>6</v>
      </c>
      <c r="E158" s="61">
        <v>17.157</v>
      </c>
      <c r="F158" s="65">
        <v>53.56</v>
      </c>
      <c r="G158" s="2">
        <v>38.21</v>
      </c>
      <c r="H158" s="2">
        <v>11.89</v>
      </c>
      <c r="I158" s="2">
        <v>247.03</v>
      </c>
      <c r="J158" s="2">
        <v>23.98</v>
      </c>
      <c r="K158" s="2">
        <v>307.67</v>
      </c>
      <c r="L158" s="2">
        <v>129.33000000000001</v>
      </c>
      <c r="M158" s="144">
        <v>256.60000000000002</v>
      </c>
      <c r="N158" s="72">
        <f t="shared" si="74"/>
        <v>-4.8309178743960457E-3</v>
      </c>
      <c r="O158" s="73">
        <f t="shared" si="75"/>
        <v>-2.0256410256410229E-2</v>
      </c>
      <c r="P158" s="73">
        <f t="shared" si="76"/>
        <v>2.5295109612142319E-3</v>
      </c>
      <c r="Q158" s="73">
        <f t="shared" si="77"/>
        <v>-2.9061553985872957E-3</v>
      </c>
      <c r="R158" s="73">
        <f t="shared" si="78"/>
        <v>-7.8609846917666593E-3</v>
      </c>
      <c r="S158" s="73">
        <f t="shared" si="79"/>
        <v>-2.1436977195381846E-2</v>
      </c>
      <c r="T158" s="73">
        <f t="shared" si="80"/>
        <v>-6.7635508514396481E-3</v>
      </c>
      <c r="U158" s="73">
        <f t="shared" si="81"/>
        <v>-3.0722921255496027E-2</v>
      </c>
      <c r="V158" s="148">
        <f t="shared" si="82"/>
        <v>56.784347826086965</v>
      </c>
      <c r="W158" s="149">
        <f t="shared" si="83"/>
        <v>39.591438461538459</v>
      </c>
      <c r="X158" s="149">
        <f t="shared" si="84"/>
        <v>14.336172006745365</v>
      </c>
      <c r="Y158" s="149">
        <f t="shared" si="85"/>
        <v>225.68222078708376</v>
      </c>
      <c r="Z158" s="149">
        <f t="shared" si="86"/>
        <v>13.651832850641291</v>
      </c>
      <c r="AA158" s="149">
        <f t="shared" si="87"/>
        <v>262.2059619604974</v>
      </c>
      <c r="AB158" s="149">
        <f t="shared" si="88"/>
        <v>2653.2349103780266</v>
      </c>
      <c r="AC158" s="150">
        <f t="shared" si="89"/>
        <v>3124.5959809915366</v>
      </c>
      <c r="AD158" s="157">
        <f t="shared" si="90"/>
        <v>5513.0434782607554</v>
      </c>
      <c r="AE158" s="19">
        <f t="shared" si="91"/>
        <v>23329.003846153817</v>
      </c>
      <c r="AF158" s="19">
        <f t="shared" si="92"/>
        <v>-3212.0741989883159</v>
      </c>
      <c r="AG158" s="19">
        <f t="shared" si="93"/>
        <v>2499.5610090817081</v>
      </c>
      <c r="AH158" s="19">
        <f t="shared" si="94"/>
        <v>4835.071576334266</v>
      </c>
      <c r="AI158" s="19">
        <f t="shared" si="95"/>
        <v>30443.401609363696</v>
      </c>
      <c r="AJ158" s="19">
        <f t="shared" si="96"/>
        <v>5420.2468865918945</v>
      </c>
      <c r="AK158" s="158">
        <f t="shared" si="97"/>
        <v>24759.874752115822</v>
      </c>
      <c r="AL158" s="163">
        <f t="shared" si="98"/>
        <v>93588.128958913643</v>
      </c>
      <c r="AM158" s="20"/>
    </row>
    <row r="159" spans="1:39" x14ac:dyDescent="0.25">
      <c r="A159" s="13">
        <f t="shared" si="71"/>
        <v>154</v>
      </c>
      <c r="B159" s="1">
        <v>45099</v>
      </c>
      <c r="C159" s="7">
        <f t="shared" si="72"/>
        <v>2023</v>
      </c>
      <c r="D159" s="7">
        <f t="shared" si="73"/>
        <v>6</v>
      </c>
      <c r="E159" s="61">
        <v>17.164999999999999</v>
      </c>
      <c r="F159" s="65">
        <v>53.82</v>
      </c>
      <c r="G159" s="2">
        <v>39</v>
      </c>
      <c r="H159" s="2">
        <v>11.86</v>
      </c>
      <c r="I159" s="2">
        <v>247.75</v>
      </c>
      <c r="J159" s="2">
        <v>24.17</v>
      </c>
      <c r="K159" s="2">
        <v>314.41000000000003</v>
      </c>
      <c r="L159" s="2">
        <v>130.15</v>
      </c>
      <c r="M159" s="144">
        <v>264.61</v>
      </c>
      <c r="N159" s="72">
        <f t="shared" si="74"/>
        <v>-8.6572112727942852E-3</v>
      </c>
      <c r="O159" s="73">
        <f t="shared" si="75"/>
        <v>-1.2658227848101222E-2</v>
      </c>
      <c r="P159" s="73">
        <f t="shared" si="76"/>
        <v>-1.6583747927031545E-2</v>
      </c>
      <c r="Q159" s="73">
        <f t="shared" si="77"/>
        <v>-4.1474832669168626E-2</v>
      </c>
      <c r="R159" s="73">
        <f t="shared" si="78"/>
        <v>-8.267879288962332E-4</v>
      </c>
      <c r="S159" s="73">
        <f t="shared" si="79"/>
        <v>-7.4502004609020567E-3</v>
      </c>
      <c r="T159" s="73">
        <f t="shared" si="80"/>
        <v>4.5602786323637234E-2</v>
      </c>
      <c r="U159" s="73">
        <f t="shared" si="81"/>
        <v>2.276855924200305E-2</v>
      </c>
      <c r="V159" s="148">
        <f t="shared" si="82"/>
        <v>56.566019524774362</v>
      </c>
      <c r="W159" s="149">
        <f t="shared" si="83"/>
        <v>39.898481012658223</v>
      </c>
      <c r="X159" s="149">
        <f t="shared" si="84"/>
        <v>14.062852404643449</v>
      </c>
      <c r="Y159" s="149">
        <f t="shared" si="85"/>
        <v>216.95258637366038</v>
      </c>
      <c r="Z159" s="149">
        <f t="shared" si="86"/>
        <v>13.748623398098388</v>
      </c>
      <c r="AA159" s="149">
        <f t="shared" si="87"/>
        <v>265.95371878650127</v>
      </c>
      <c r="AB159" s="149">
        <f t="shared" si="88"/>
        <v>2793.1212325530187</v>
      </c>
      <c r="AC159" s="150">
        <f t="shared" si="89"/>
        <v>3297.033015401003</v>
      </c>
      <c r="AD159" s="157">
        <f t="shared" si="90"/>
        <v>9879.6095045128131</v>
      </c>
      <c r="AE159" s="19">
        <f t="shared" si="91"/>
        <v>14578.29113924054</v>
      </c>
      <c r="AF159" s="19">
        <f t="shared" si="92"/>
        <v>21058.706467661803</v>
      </c>
      <c r="AG159" s="19">
        <f t="shared" si="93"/>
        <v>35672.171780090568</v>
      </c>
      <c r="AH159" s="19">
        <f t="shared" si="94"/>
        <v>508.53410500203375</v>
      </c>
      <c r="AI159" s="19">
        <f t="shared" si="95"/>
        <v>10580.29043154321</v>
      </c>
      <c r="AJ159" s="19">
        <f t="shared" si="96"/>
        <v>-36545.649765905728</v>
      </c>
      <c r="AK159" s="158">
        <f t="shared" si="97"/>
        <v>-18349.383850250775</v>
      </c>
      <c r="AL159" s="163">
        <f t="shared" si="98"/>
        <v>37382.569811894471</v>
      </c>
      <c r="AM159" s="20"/>
    </row>
    <row r="160" spans="1:39" x14ac:dyDescent="0.25">
      <c r="A160" s="13">
        <f t="shared" si="71"/>
        <v>155</v>
      </c>
      <c r="B160" s="1">
        <v>45098</v>
      </c>
      <c r="C160" s="7">
        <f t="shared" si="72"/>
        <v>2023</v>
      </c>
      <c r="D160" s="7">
        <f t="shared" si="73"/>
        <v>6</v>
      </c>
      <c r="E160" s="61">
        <v>17.116</v>
      </c>
      <c r="F160" s="65">
        <v>54.29</v>
      </c>
      <c r="G160" s="2">
        <v>39.5</v>
      </c>
      <c r="H160" s="2">
        <v>12.06</v>
      </c>
      <c r="I160" s="2">
        <v>258.47000000000003</v>
      </c>
      <c r="J160" s="2">
        <v>24.19</v>
      </c>
      <c r="K160" s="2">
        <v>316.77</v>
      </c>
      <c r="L160" s="2">
        <v>124.83</v>
      </c>
      <c r="M160" s="144">
        <v>259.45999999999998</v>
      </c>
      <c r="N160" s="72">
        <f t="shared" si="74"/>
        <v>-4.9486803519062095E-3</v>
      </c>
      <c r="O160" s="73">
        <f t="shared" si="75"/>
        <v>-7.0387129210658372E-3</v>
      </c>
      <c r="P160" s="73">
        <f t="shared" si="76"/>
        <v>-1.6556291390728006E-3</v>
      </c>
      <c r="Q160" s="73">
        <f t="shared" si="77"/>
        <v>-2.7796584668622559E-2</v>
      </c>
      <c r="R160" s="73">
        <f t="shared" si="78"/>
        <v>-1.1846405228758128E-2</v>
      </c>
      <c r="S160" s="73">
        <f t="shared" si="79"/>
        <v>-2.7389497544390018E-3</v>
      </c>
      <c r="T160" s="73">
        <f t="shared" si="80"/>
        <v>-1.2571930737156345E-2</v>
      </c>
      <c r="U160" s="73">
        <f t="shared" si="81"/>
        <v>-5.9399366075055471E-2</v>
      </c>
      <c r="V160" s="148">
        <f t="shared" si="82"/>
        <v>56.777628299120231</v>
      </c>
      <c r="W160" s="149">
        <f t="shared" si="83"/>
        <v>40.125565610859724</v>
      </c>
      <c r="X160" s="149">
        <f t="shared" si="84"/>
        <v>14.27632450331126</v>
      </c>
      <c r="Y160" s="149">
        <f t="shared" si="85"/>
        <v>220.04852102610397</v>
      </c>
      <c r="Z160" s="149">
        <f t="shared" si="86"/>
        <v>13.596993464052288</v>
      </c>
      <c r="AA160" s="149">
        <f t="shared" si="87"/>
        <v>267.21609841329808</v>
      </c>
      <c r="AB160" s="149">
        <f t="shared" si="88"/>
        <v>2637.7189712492</v>
      </c>
      <c r="AC160" s="150">
        <f t="shared" si="89"/>
        <v>3032.153576030943</v>
      </c>
      <c r="AD160" s="157">
        <f t="shared" si="90"/>
        <v>5647.4340175954294</v>
      </c>
      <c r="AE160" s="19">
        <f t="shared" si="91"/>
        <v>8106.3800904977797</v>
      </c>
      <c r="AF160" s="19">
        <f t="shared" si="92"/>
        <v>2102.3841059601737</v>
      </c>
      <c r="AG160" s="19">
        <f t="shared" si="93"/>
        <v>23907.620100804928</v>
      </c>
      <c r="AH160" s="19">
        <f t="shared" si="94"/>
        <v>7286.3921568627347</v>
      </c>
      <c r="AI160" s="19">
        <f t="shared" si="95"/>
        <v>3889.6784095200928</v>
      </c>
      <c r="AJ160" s="19">
        <f t="shared" si="96"/>
        <v>10075.028625239884</v>
      </c>
      <c r="AK160" s="158">
        <f t="shared" si="97"/>
        <v>47870.475992264233</v>
      </c>
      <c r="AL160" s="163">
        <f t="shared" si="98"/>
        <v>108885.39349874525</v>
      </c>
      <c r="AM160" s="20"/>
    </row>
    <row r="161" spans="1:39" x14ac:dyDescent="0.25">
      <c r="A161" s="13">
        <f t="shared" si="71"/>
        <v>156</v>
      </c>
      <c r="B161" s="1">
        <v>45097</v>
      </c>
      <c r="C161" s="7">
        <f t="shared" si="72"/>
        <v>2023</v>
      </c>
      <c r="D161" s="7">
        <f t="shared" si="73"/>
        <v>6</v>
      </c>
      <c r="E161" s="61">
        <v>17.202999999999999</v>
      </c>
      <c r="F161" s="65">
        <v>54.56</v>
      </c>
      <c r="G161" s="2">
        <v>39.78</v>
      </c>
      <c r="H161" s="2">
        <v>12.08</v>
      </c>
      <c r="I161" s="2">
        <v>265.86</v>
      </c>
      <c r="J161" s="2">
        <v>24.48</v>
      </c>
      <c r="K161" s="2">
        <v>317.64</v>
      </c>
      <c r="L161" s="2">
        <v>125.78</v>
      </c>
      <c r="M161" s="144">
        <v>274.45</v>
      </c>
      <c r="N161" s="72">
        <f t="shared" si="74"/>
        <v>-1.087744742567065E-2</v>
      </c>
      <c r="O161" s="73">
        <f t="shared" si="75"/>
        <v>2.01511335012583E-3</v>
      </c>
      <c r="P161" s="73">
        <f t="shared" si="76"/>
        <v>-2.1069692058346856E-2</v>
      </c>
      <c r="Q161" s="73">
        <f t="shared" si="77"/>
        <v>1.4313695946963634E-3</v>
      </c>
      <c r="R161" s="73">
        <f t="shared" si="78"/>
        <v>-1.7656500802568309E-2</v>
      </c>
      <c r="S161" s="73">
        <f t="shared" si="79"/>
        <v>-2.1049711837766383E-2</v>
      </c>
      <c r="T161" s="73">
        <f t="shared" si="80"/>
        <v>1.0120393669002858E-2</v>
      </c>
      <c r="U161" s="73">
        <f t="shared" si="81"/>
        <v>6.1596540356518625E-2</v>
      </c>
      <c r="V161" s="148">
        <f t="shared" si="82"/>
        <v>56.439332849891237</v>
      </c>
      <c r="W161" s="149">
        <f t="shared" si="83"/>
        <v>40.491430730478584</v>
      </c>
      <c r="X161" s="149">
        <f t="shared" si="84"/>
        <v>13.99870340356564</v>
      </c>
      <c r="Y161" s="149">
        <f t="shared" si="85"/>
        <v>226.66397619406357</v>
      </c>
      <c r="Z161" s="149">
        <f t="shared" si="86"/>
        <v>13.51704654895666</v>
      </c>
      <c r="AA161" s="149">
        <f t="shared" si="87"/>
        <v>262.30972971307051</v>
      </c>
      <c r="AB161" s="149">
        <f t="shared" si="88"/>
        <v>2698.3370318969519</v>
      </c>
      <c r="AC161" s="150">
        <f t="shared" si="89"/>
        <v>3422.2002729385254</v>
      </c>
      <c r="AD161" s="157">
        <f t="shared" si="90"/>
        <v>12413.34300217531</v>
      </c>
      <c r="AE161" s="19">
        <f t="shared" si="91"/>
        <v>-2320.7758186397314</v>
      </c>
      <c r="AF161" s="19">
        <f t="shared" si="92"/>
        <v>26755.1377633712</v>
      </c>
      <c r="AG161" s="19">
        <f t="shared" si="93"/>
        <v>-1231.1095374415345</v>
      </c>
      <c r="AH161" s="19">
        <f t="shared" si="94"/>
        <v>10860.019261637277</v>
      </c>
      <c r="AI161" s="19">
        <f t="shared" si="95"/>
        <v>29893.432520726237</v>
      </c>
      <c r="AJ161" s="19">
        <f t="shared" si="96"/>
        <v>-8110.3895690856916</v>
      </c>
      <c r="AK161" s="158">
        <f t="shared" si="97"/>
        <v>-49641.19823463136</v>
      </c>
      <c r="AL161" s="163">
        <f t="shared" si="98"/>
        <v>18618.459388111703</v>
      </c>
      <c r="AM161" s="20"/>
    </row>
    <row r="162" spans="1:39" x14ac:dyDescent="0.25">
      <c r="A162" s="13">
        <f t="shared" si="71"/>
        <v>157</v>
      </c>
      <c r="B162" s="1">
        <v>45096</v>
      </c>
      <c r="C162" s="7">
        <f t="shared" si="72"/>
        <v>2023</v>
      </c>
      <c r="D162" s="7">
        <f t="shared" si="73"/>
        <v>6</v>
      </c>
      <c r="E162" s="61">
        <v>17.07</v>
      </c>
      <c r="F162" s="65">
        <v>55.16</v>
      </c>
      <c r="G162" s="2">
        <v>39.700000000000003</v>
      </c>
      <c r="H162" s="2">
        <v>12.34</v>
      </c>
      <c r="I162" s="2">
        <v>265.48</v>
      </c>
      <c r="J162" s="2">
        <v>24.92</v>
      </c>
      <c r="K162" s="2">
        <v>324.47000000000003</v>
      </c>
      <c r="L162" s="2">
        <v>125.49</v>
      </c>
      <c r="M162" s="144">
        <v>260.54000000000002</v>
      </c>
      <c r="N162" s="72">
        <f t="shared" si="74"/>
        <v>5.4416832940318294E-4</v>
      </c>
      <c r="O162" s="73">
        <f t="shared" si="75"/>
        <v>7.5623897151499975E-4</v>
      </c>
      <c r="P162" s="73">
        <f t="shared" si="76"/>
        <v>-4.8387096774193949E-3</v>
      </c>
      <c r="Q162" s="73">
        <f t="shared" si="77"/>
        <v>-4.275748255944789E-3</v>
      </c>
      <c r="R162" s="73">
        <f t="shared" si="78"/>
        <v>-2.4019215372297342E-3</v>
      </c>
      <c r="S162" s="73">
        <f t="shared" si="79"/>
        <v>-2.0408779398001342E-2</v>
      </c>
      <c r="T162" s="73">
        <f t="shared" si="80"/>
        <v>4.688782088850818E-4</v>
      </c>
      <c r="U162" s="73">
        <f t="shared" si="81"/>
        <v>4.6887820888530385E-4</v>
      </c>
      <c r="V162" s="148">
        <f t="shared" si="82"/>
        <v>57.091050244875746</v>
      </c>
      <c r="W162" s="149">
        <f t="shared" si="83"/>
        <v>40.440559616838918</v>
      </c>
      <c r="X162" s="149">
        <f t="shared" si="84"/>
        <v>14.230806451612903</v>
      </c>
      <c r="Y162" s="149">
        <f t="shared" si="85"/>
        <v>225.37222713974947</v>
      </c>
      <c r="Z162" s="149">
        <f t="shared" si="86"/>
        <v>13.726949559647718</v>
      </c>
      <c r="AA162" s="149">
        <f t="shared" si="87"/>
        <v>262.48146756030553</v>
      </c>
      <c r="AB162" s="149">
        <f t="shared" si="88"/>
        <v>2672.5549154847022</v>
      </c>
      <c r="AC162" s="150">
        <f t="shared" si="89"/>
        <v>3225.1469724299614</v>
      </c>
      <c r="AD162" s="157">
        <f t="shared" si="90"/>
        <v>-621.00489751486521</v>
      </c>
      <c r="AE162" s="19">
        <f t="shared" si="91"/>
        <v>-870.94907990926276</v>
      </c>
      <c r="AF162" s="19">
        <f t="shared" si="92"/>
        <v>6144.3870967742841</v>
      </c>
      <c r="AG162" s="19">
        <f t="shared" si="93"/>
        <v>3677.5368689520292</v>
      </c>
      <c r="AH162" s="19">
        <f t="shared" si="94"/>
        <v>1477.3546837470053</v>
      </c>
      <c r="AI162" s="19">
        <f t="shared" si="95"/>
        <v>28983.22193038062</v>
      </c>
      <c r="AJ162" s="19">
        <f t="shared" si="96"/>
        <v>-375.75464541077963</v>
      </c>
      <c r="AK162" s="158">
        <f t="shared" si="97"/>
        <v>-377.87310749035896</v>
      </c>
      <c r="AL162" s="163">
        <f t="shared" si="98"/>
        <v>38036.918849528665</v>
      </c>
      <c r="AM162" s="20"/>
    </row>
    <row r="163" spans="1:39" x14ac:dyDescent="0.25">
      <c r="A163" s="13">
        <f t="shared" si="71"/>
        <v>158</v>
      </c>
      <c r="B163" s="1">
        <v>45093</v>
      </c>
      <c r="C163" s="7">
        <f t="shared" si="72"/>
        <v>2023</v>
      </c>
      <c r="D163" s="7">
        <f t="shared" si="73"/>
        <v>6</v>
      </c>
      <c r="E163" s="61">
        <v>17.062000000000001</v>
      </c>
      <c r="F163" s="65">
        <v>55.13</v>
      </c>
      <c r="G163" s="2">
        <v>39.67</v>
      </c>
      <c r="H163" s="2">
        <v>12.4</v>
      </c>
      <c r="I163" s="2">
        <v>266.62</v>
      </c>
      <c r="J163" s="2">
        <v>24.98</v>
      </c>
      <c r="K163" s="2">
        <v>331.23</v>
      </c>
      <c r="L163" s="2">
        <v>125.49</v>
      </c>
      <c r="M163" s="144">
        <v>260.54000000000002</v>
      </c>
      <c r="N163" s="72">
        <f t="shared" si="74"/>
        <v>-7.2033135242210999E-3</v>
      </c>
      <c r="O163" s="73">
        <f t="shared" si="75"/>
        <v>-1.0073029463610883E-3</v>
      </c>
      <c r="P163" s="73">
        <f t="shared" si="76"/>
        <v>-1.1164274322168932E-2</v>
      </c>
      <c r="Q163" s="73">
        <f t="shared" si="77"/>
        <v>-1.2920661952537937E-2</v>
      </c>
      <c r="R163" s="73">
        <f t="shared" si="78"/>
        <v>-4.7808764940239223E-3</v>
      </c>
      <c r="S163" s="73">
        <f t="shared" si="79"/>
        <v>1.0587014888943314E-2</v>
      </c>
      <c r="T163" s="73">
        <f t="shared" si="80"/>
        <v>-1.522671235300832E-2</v>
      </c>
      <c r="U163" s="73">
        <f t="shared" si="81"/>
        <v>1.5572616047882182E-2</v>
      </c>
      <c r="V163" s="148">
        <f t="shared" si="82"/>
        <v>56.648978930307948</v>
      </c>
      <c r="W163" s="149">
        <f t="shared" si="83"/>
        <v>40.369294887937542</v>
      </c>
      <c r="X163" s="149">
        <f t="shared" si="84"/>
        <v>14.140350877192985</v>
      </c>
      <c r="Y163" s="149">
        <f t="shared" si="85"/>
        <v>223.41553737366257</v>
      </c>
      <c r="Z163" s="149">
        <f t="shared" si="86"/>
        <v>13.69421513944223</v>
      </c>
      <c r="AA163" s="149">
        <f t="shared" si="87"/>
        <v>270.78679063949232</v>
      </c>
      <c r="AB163" s="149">
        <f t="shared" si="88"/>
        <v>2630.6272467472986</v>
      </c>
      <c r="AC163" s="150">
        <f t="shared" si="89"/>
        <v>3273.8359176083704</v>
      </c>
      <c r="AD163" s="157">
        <f t="shared" si="90"/>
        <v>8220.421393841094</v>
      </c>
      <c r="AE163" s="19">
        <f t="shared" si="91"/>
        <v>1160.095693779951</v>
      </c>
      <c r="AF163" s="19">
        <f t="shared" si="92"/>
        <v>14176.842105263024</v>
      </c>
      <c r="AG163" s="19">
        <f t="shared" si="93"/>
        <v>11112.957980082234</v>
      </c>
      <c r="AH163" s="19">
        <f t="shared" si="94"/>
        <v>2940.583266932309</v>
      </c>
      <c r="AI163" s="19">
        <f t="shared" si="95"/>
        <v>-15034.990389309376</v>
      </c>
      <c r="AJ163" s="19">
        <f t="shared" si="96"/>
        <v>12202.54597581029</v>
      </c>
      <c r="AK163" s="158">
        <f t="shared" si="97"/>
        <v>-12550.10940209263</v>
      </c>
      <c r="AL163" s="163">
        <f t="shared" si="98"/>
        <v>22228.346624306891</v>
      </c>
      <c r="AM163" s="20"/>
    </row>
    <row r="164" spans="1:39" x14ac:dyDescent="0.25">
      <c r="A164" s="13">
        <f t="shared" si="71"/>
        <v>159</v>
      </c>
      <c r="B164" s="1">
        <v>45092</v>
      </c>
      <c r="C164" s="7">
        <f t="shared" si="72"/>
        <v>2023</v>
      </c>
      <c r="D164" s="7">
        <f t="shared" si="73"/>
        <v>6</v>
      </c>
      <c r="E164" s="61">
        <v>17.105</v>
      </c>
      <c r="F164" s="65">
        <v>55.53</v>
      </c>
      <c r="G164" s="2">
        <v>39.71</v>
      </c>
      <c r="H164" s="2">
        <v>12.54</v>
      </c>
      <c r="I164" s="2">
        <v>270.11</v>
      </c>
      <c r="J164" s="2">
        <v>25.1</v>
      </c>
      <c r="K164" s="2">
        <v>327.76</v>
      </c>
      <c r="L164" s="2">
        <v>127.11</v>
      </c>
      <c r="M164" s="144">
        <v>255.9</v>
      </c>
      <c r="N164" s="72">
        <f t="shared" si="74"/>
        <v>3.9775809076116886E-3</v>
      </c>
      <c r="O164" s="73">
        <f t="shared" si="75"/>
        <v>-2.7624309392264568E-3</v>
      </c>
      <c r="P164" s="73">
        <f t="shared" si="76"/>
        <v>3.1999999999998696E-3</v>
      </c>
      <c r="Q164" s="73">
        <f t="shared" si="77"/>
        <v>-2.2532505910165535E-3</v>
      </c>
      <c r="R164" s="73">
        <f t="shared" si="78"/>
        <v>-1.5300117693212933E-2</v>
      </c>
      <c r="S164" s="73">
        <f t="shared" si="79"/>
        <v>4.7823421213979422E-3</v>
      </c>
      <c r="T164" s="73">
        <f t="shared" si="80"/>
        <v>5.6343726634857649E-3</v>
      </c>
      <c r="U164" s="73">
        <f t="shared" si="81"/>
        <v>-3.291056946883697E-3</v>
      </c>
      <c r="V164" s="148">
        <f t="shared" si="82"/>
        <v>57.286960766588322</v>
      </c>
      <c r="W164" s="149">
        <f t="shared" si="83"/>
        <v>40.298370165745858</v>
      </c>
      <c r="X164" s="149">
        <f t="shared" si="84"/>
        <v>14.345759999999999</v>
      </c>
      <c r="Y164" s="149">
        <f t="shared" si="85"/>
        <v>225.82999926122932</v>
      </c>
      <c r="Z164" s="149">
        <f t="shared" si="86"/>
        <v>13.54947038054139</v>
      </c>
      <c r="AA164" s="149">
        <f t="shared" si="87"/>
        <v>269.23142857142858</v>
      </c>
      <c r="AB164" s="149">
        <f t="shared" si="88"/>
        <v>2686.3535132184634</v>
      </c>
      <c r="AC164" s="150">
        <f t="shared" si="89"/>
        <v>3213.0263120593249</v>
      </c>
      <c r="AD164" s="157">
        <f t="shared" si="90"/>
        <v>-4539.2153317663997</v>
      </c>
      <c r="AE164" s="19">
        <f t="shared" si="91"/>
        <v>3181.4502762429447</v>
      </c>
      <c r="AF164" s="19">
        <f t="shared" si="92"/>
        <v>-4063.4879999998047</v>
      </c>
      <c r="AG164" s="19">
        <f t="shared" si="93"/>
        <v>1938.0028073286041</v>
      </c>
      <c r="AH164" s="19">
        <f t="shared" si="94"/>
        <v>9410.6739897998632</v>
      </c>
      <c r="AI164" s="19">
        <f t="shared" si="95"/>
        <v>-6791.5714285715349</v>
      </c>
      <c r="AJ164" s="19">
        <f t="shared" si="96"/>
        <v>-4515.3339655391392</v>
      </c>
      <c r="AK164" s="158">
        <f t="shared" si="97"/>
        <v>2652.2919851687448</v>
      </c>
      <c r="AL164" s="163">
        <f t="shared" si="98"/>
        <v>-2727.1896673367219</v>
      </c>
      <c r="AM164" s="20"/>
    </row>
    <row r="165" spans="1:39" x14ac:dyDescent="0.25">
      <c r="A165" s="13">
        <f t="shared" si="71"/>
        <v>160</v>
      </c>
      <c r="B165" s="1">
        <v>45091</v>
      </c>
      <c r="C165" s="7">
        <f t="shared" si="72"/>
        <v>2023</v>
      </c>
      <c r="D165" s="7">
        <f t="shared" si="73"/>
        <v>6</v>
      </c>
      <c r="E165" s="61">
        <v>17.102</v>
      </c>
      <c r="F165" s="65">
        <v>55.31</v>
      </c>
      <c r="G165" s="2">
        <v>39.82</v>
      </c>
      <c r="H165" s="2">
        <v>12.5</v>
      </c>
      <c r="I165" s="2">
        <v>270.72000000000003</v>
      </c>
      <c r="J165" s="2">
        <v>25.49</v>
      </c>
      <c r="K165" s="2">
        <v>326.2</v>
      </c>
      <c r="L165" s="2">
        <v>126.42</v>
      </c>
      <c r="M165" s="144">
        <v>256.79000000000002</v>
      </c>
      <c r="N165" s="72">
        <f t="shared" si="74"/>
        <v>1.0412860796492618E-2</v>
      </c>
      <c r="O165" s="73">
        <f t="shared" si="75"/>
        <v>1.0659898477157315E-2</v>
      </c>
      <c r="P165" s="73">
        <f t="shared" si="76"/>
        <v>1.5434606011372809E-2</v>
      </c>
      <c r="Q165" s="73">
        <f t="shared" si="77"/>
        <v>-1.6672115070284321E-2</v>
      </c>
      <c r="R165" s="73">
        <f t="shared" si="78"/>
        <v>1.5537848605577498E-2</v>
      </c>
      <c r="S165" s="73">
        <f t="shared" si="79"/>
        <v>2.0076302457939788E-2</v>
      </c>
      <c r="T165" s="73">
        <f t="shared" si="80"/>
        <v>-7.6394102102234074E-3</v>
      </c>
      <c r="U165" s="73">
        <f t="shared" si="81"/>
        <v>-1.3134202534952455E-2</v>
      </c>
      <c r="V165" s="148">
        <f t="shared" si="82"/>
        <v>57.654157837047869</v>
      </c>
      <c r="W165" s="149">
        <f t="shared" si="83"/>
        <v>40.840766497461921</v>
      </c>
      <c r="X165" s="149">
        <f t="shared" si="84"/>
        <v>14.520714865962631</v>
      </c>
      <c r="Y165" s="149">
        <f t="shared" si="85"/>
        <v>222.56643347499184</v>
      </c>
      <c r="Z165" s="149">
        <f t="shared" si="86"/>
        <v>13.973800796812746</v>
      </c>
      <c r="AA165" s="149">
        <f t="shared" si="87"/>
        <v>273.32944524360494</v>
      </c>
      <c r="AB165" s="149">
        <f t="shared" si="88"/>
        <v>2650.8952251708452</v>
      </c>
      <c r="AC165" s="150">
        <f t="shared" si="89"/>
        <v>3181.2955987068212</v>
      </c>
      <c r="AD165" s="157">
        <f t="shared" si="90"/>
        <v>-11883.156740957333</v>
      </c>
      <c r="AE165" s="19">
        <f t="shared" si="91"/>
        <v>-12276.845177664844</v>
      </c>
      <c r="AF165" s="19">
        <f t="shared" si="92"/>
        <v>-19599.480097481595</v>
      </c>
      <c r="AG165" s="19">
        <f t="shared" si="93"/>
        <v>14339.552795031022</v>
      </c>
      <c r="AH165" s="19">
        <f t="shared" si="94"/>
        <v>-9556.8956175297662</v>
      </c>
      <c r="AI165" s="19">
        <f t="shared" si="95"/>
        <v>-28511.059791106225</v>
      </c>
      <c r="AJ165" s="19">
        <f t="shared" si="96"/>
        <v>6122.1524487463284</v>
      </c>
      <c r="AK165" s="158">
        <f t="shared" si="97"/>
        <v>10584.97032329467</v>
      </c>
      <c r="AL165" s="163">
        <f t="shared" si="98"/>
        <v>-50780.761857667741</v>
      </c>
      <c r="AM165" s="20"/>
    </row>
    <row r="166" spans="1:39" x14ac:dyDescent="0.25">
      <c r="A166" s="13">
        <f t="shared" si="71"/>
        <v>161</v>
      </c>
      <c r="B166" s="1">
        <v>45090</v>
      </c>
      <c r="C166" s="7">
        <f t="shared" si="72"/>
        <v>2023</v>
      </c>
      <c r="D166" s="7">
        <f t="shared" si="73"/>
        <v>6</v>
      </c>
      <c r="E166" s="61">
        <v>17.201000000000001</v>
      </c>
      <c r="F166" s="65">
        <v>54.74</v>
      </c>
      <c r="G166" s="2">
        <v>39.4</v>
      </c>
      <c r="H166" s="2">
        <v>12.31</v>
      </c>
      <c r="I166" s="2">
        <v>275.31</v>
      </c>
      <c r="J166" s="2">
        <v>25.1</v>
      </c>
      <c r="K166" s="2">
        <v>319.77999999999997</v>
      </c>
      <c r="L166" s="2">
        <v>126.66</v>
      </c>
      <c r="M166" s="144">
        <v>258.70999999999998</v>
      </c>
      <c r="N166" s="72">
        <f t="shared" si="74"/>
        <v>4.9568569854967492E-3</v>
      </c>
      <c r="O166" s="73">
        <f t="shared" si="75"/>
        <v>1.0162601626015899E-3</v>
      </c>
      <c r="P166" s="73">
        <f t="shared" si="76"/>
        <v>2.6688907422852459E-2</v>
      </c>
      <c r="Q166" s="73">
        <f t="shared" si="77"/>
        <v>-1.1418722395777237E-2</v>
      </c>
      <c r="R166" s="73">
        <f t="shared" si="78"/>
        <v>2.3961661341853624E-3</v>
      </c>
      <c r="S166" s="73">
        <f t="shared" si="79"/>
        <v>1.1962025316455627E-2</v>
      </c>
      <c r="T166" s="73">
        <f t="shared" si="80"/>
        <v>-3.28713969794725E-3</v>
      </c>
      <c r="U166" s="73">
        <f t="shared" si="81"/>
        <v>3.1406790317473732E-2</v>
      </c>
      <c r="V166" s="148">
        <f t="shared" si="82"/>
        <v>57.342838259592448</v>
      </c>
      <c r="W166" s="149">
        <f t="shared" si="83"/>
        <v>40.451067073170726</v>
      </c>
      <c r="X166" s="149">
        <f t="shared" si="84"/>
        <v>14.681651376146791</v>
      </c>
      <c r="Y166" s="149">
        <f t="shared" si="85"/>
        <v>223.75548637293977</v>
      </c>
      <c r="Z166" s="149">
        <f t="shared" si="86"/>
        <v>13.79297124600639</v>
      </c>
      <c r="AA166" s="149">
        <f t="shared" si="87"/>
        <v>271.15522468354425</v>
      </c>
      <c r="AB166" s="149">
        <f t="shared" si="88"/>
        <v>2662.5214558357379</v>
      </c>
      <c r="AC166" s="150">
        <f t="shared" si="89"/>
        <v>3324.8795235803286</v>
      </c>
      <c r="AD166" s="157">
        <f t="shared" si="90"/>
        <v>-5656.7651918489046</v>
      </c>
      <c r="AE166" s="19">
        <f t="shared" si="91"/>
        <v>-1170.4115853658018</v>
      </c>
      <c r="AF166" s="19">
        <f t="shared" si="92"/>
        <v>-33890.64220183494</v>
      </c>
      <c r="AG166" s="19">
        <f t="shared" si="93"/>
        <v>9821.1517828288834</v>
      </c>
      <c r="AH166" s="19">
        <f t="shared" si="94"/>
        <v>-1473.8146964856433</v>
      </c>
      <c r="AI166" s="19">
        <f t="shared" si="95"/>
        <v>-16987.690822784571</v>
      </c>
      <c r="AJ166" s="19">
        <f t="shared" si="96"/>
        <v>2634.2832492784964</v>
      </c>
      <c r="AK166" s="158">
        <f t="shared" si="97"/>
        <v>-25311.010895082178</v>
      </c>
      <c r="AL166" s="163">
        <f t="shared" si="98"/>
        <v>-72034.900361294654</v>
      </c>
      <c r="AM166" s="20"/>
    </row>
    <row r="167" spans="1:39" x14ac:dyDescent="0.25">
      <c r="A167" s="13">
        <f t="shared" si="71"/>
        <v>162</v>
      </c>
      <c r="B167" s="1">
        <v>45089</v>
      </c>
      <c r="C167" s="7">
        <f t="shared" si="72"/>
        <v>2023</v>
      </c>
      <c r="D167" s="7">
        <f t="shared" si="73"/>
        <v>6</v>
      </c>
      <c r="E167" s="61">
        <v>17.27</v>
      </c>
      <c r="F167" s="65">
        <v>54.47</v>
      </c>
      <c r="G167" s="2">
        <v>39.36</v>
      </c>
      <c r="H167" s="2">
        <v>11.99</v>
      </c>
      <c r="I167" s="2">
        <v>278.49</v>
      </c>
      <c r="J167" s="2">
        <v>25.04</v>
      </c>
      <c r="K167" s="2">
        <v>316</v>
      </c>
      <c r="L167" s="2">
        <v>126.57</v>
      </c>
      <c r="M167" s="144">
        <v>249.83</v>
      </c>
      <c r="N167" s="72">
        <f t="shared" si="74"/>
        <v>-4.0226732492228967E-3</v>
      </c>
      <c r="O167" s="73">
        <f t="shared" si="75"/>
        <v>-5.3070507960576441E-3</v>
      </c>
      <c r="P167" s="73">
        <f t="shared" si="76"/>
        <v>-5.8043117744610573E-3</v>
      </c>
      <c r="Q167" s="73">
        <f t="shared" si="77"/>
        <v>-4.6789430449069025E-2</v>
      </c>
      <c r="R167" s="73">
        <f t="shared" si="78"/>
        <v>-1.1838989739542227E-2</v>
      </c>
      <c r="S167" s="73">
        <f t="shared" si="79"/>
        <v>2.8578868563244431E-2</v>
      </c>
      <c r="T167" s="73">
        <f t="shared" si="80"/>
        <v>2.4964724904049218E-2</v>
      </c>
      <c r="U167" s="73">
        <f t="shared" si="81"/>
        <v>2.1744372236512266E-2</v>
      </c>
      <c r="V167" s="148">
        <f t="shared" si="82"/>
        <v>56.830466264399341</v>
      </c>
      <c r="W167" s="149">
        <f t="shared" si="83"/>
        <v>40.195542077331304</v>
      </c>
      <c r="X167" s="149">
        <f t="shared" si="84"/>
        <v>14.216998341625208</v>
      </c>
      <c r="Y167" s="149">
        <f t="shared" si="85"/>
        <v>215.74968031215772</v>
      </c>
      <c r="Z167" s="149">
        <f t="shared" si="86"/>
        <v>13.597095501183899</v>
      </c>
      <c r="AA167" s="149">
        <f t="shared" si="87"/>
        <v>275.60770783152134</v>
      </c>
      <c r="AB167" s="149">
        <f t="shared" si="88"/>
        <v>2737.9907295515259</v>
      </c>
      <c r="AC167" s="150">
        <f t="shared" si="89"/>
        <v>3293.731409831948</v>
      </c>
      <c r="AD167" s="157">
        <f t="shared" si="90"/>
        <v>4590.674712013225</v>
      </c>
      <c r="AE167" s="19">
        <f t="shared" si="91"/>
        <v>6112.0507960577479</v>
      </c>
      <c r="AF167" s="19">
        <f t="shared" si="92"/>
        <v>7370.5472636815603</v>
      </c>
      <c r="AG167" s="19">
        <f t="shared" si="93"/>
        <v>40243.214813800674</v>
      </c>
      <c r="AH167" s="19">
        <f t="shared" si="94"/>
        <v>7281.8310970796965</v>
      </c>
      <c r="AI167" s="19">
        <f t="shared" si="95"/>
        <v>-40585.851507063155</v>
      </c>
      <c r="AJ167" s="19">
        <f t="shared" si="96"/>
        <v>-20006.498865457888</v>
      </c>
      <c r="AK167" s="158">
        <f t="shared" si="97"/>
        <v>-17523.982457987018</v>
      </c>
      <c r="AL167" s="163">
        <f t="shared" si="98"/>
        <v>-12518.014147875158</v>
      </c>
      <c r="AM167" s="20"/>
    </row>
    <row r="168" spans="1:39" x14ac:dyDescent="0.25">
      <c r="A168" s="13">
        <f t="shared" si="71"/>
        <v>163</v>
      </c>
      <c r="B168" s="1">
        <v>45086</v>
      </c>
      <c r="C168" s="7">
        <f t="shared" si="72"/>
        <v>2023</v>
      </c>
      <c r="D168" s="7">
        <f t="shared" si="73"/>
        <v>6</v>
      </c>
      <c r="E168" s="61">
        <v>17.277999999999999</v>
      </c>
      <c r="F168" s="65">
        <v>54.69</v>
      </c>
      <c r="G168" s="2">
        <v>39.57</v>
      </c>
      <c r="H168" s="2">
        <v>12.06</v>
      </c>
      <c r="I168" s="2">
        <v>292.16000000000003</v>
      </c>
      <c r="J168" s="2">
        <v>25.34</v>
      </c>
      <c r="K168" s="2">
        <v>307.22000000000003</v>
      </c>
      <c r="L168" s="2">
        <v>123.43</v>
      </c>
      <c r="M168" s="144">
        <v>244.4</v>
      </c>
      <c r="N168" s="72">
        <f t="shared" si="74"/>
        <v>1.8318373328447546E-3</v>
      </c>
      <c r="O168" s="73">
        <f t="shared" si="75"/>
        <v>1.3575819672131173E-2</v>
      </c>
      <c r="P168" s="73">
        <f t="shared" si="76"/>
        <v>5.0000000000001155E-3</v>
      </c>
      <c r="Q168" s="73">
        <f t="shared" si="77"/>
        <v>8.0391953904013214E-3</v>
      </c>
      <c r="R168" s="73">
        <f t="shared" si="78"/>
        <v>7.898894154818592E-4</v>
      </c>
      <c r="S168" s="73">
        <f t="shared" si="79"/>
        <v>-1.205904106505451E-2</v>
      </c>
      <c r="T168" s="73">
        <f t="shared" si="80"/>
        <v>-1.1576610831125378E-2</v>
      </c>
      <c r="U168" s="73">
        <f t="shared" si="81"/>
        <v>3.5406356977399689E-2</v>
      </c>
      <c r="V168" s="148">
        <f t="shared" si="82"/>
        <v>57.164524638212121</v>
      </c>
      <c r="W168" s="149">
        <f t="shared" si="83"/>
        <v>40.958598872950816</v>
      </c>
      <c r="X168" s="149">
        <f t="shared" si="84"/>
        <v>14.371500000000003</v>
      </c>
      <c r="Y168" s="149">
        <f t="shared" si="85"/>
        <v>228.15959148466345</v>
      </c>
      <c r="Z168" s="149">
        <f t="shared" si="86"/>
        <v>13.77086887835703</v>
      </c>
      <c r="AA168" s="149">
        <f t="shared" si="87"/>
        <v>264.71877994661861</v>
      </c>
      <c r="AB168" s="149">
        <f t="shared" si="88"/>
        <v>2640.3777717029484</v>
      </c>
      <c r="AC168" s="150">
        <f t="shared" si="89"/>
        <v>3337.7726685698913</v>
      </c>
      <c r="AD168" s="157">
        <f t="shared" si="90"/>
        <v>-2090.4927642423845</v>
      </c>
      <c r="AE168" s="19">
        <f t="shared" si="91"/>
        <v>-15635.067879098351</v>
      </c>
      <c r="AF168" s="19">
        <f t="shared" si="92"/>
        <v>-6349.2000000001881</v>
      </c>
      <c r="AG168" s="19">
        <f t="shared" si="93"/>
        <v>-6914.4476417211026</v>
      </c>
      <c r="AH168" s="19">
        <f t="shared" si="94"/>
        <v>-485.8388625592454</v>
      </c>
      <c r="AI168" s="19">
        <f t="shared" si="95"/>
        <v>17125.466282921305</v>
      </c>
      <c r="AJ168" s="19">
        <f t="shared" si="96"/>
        <v>9277.3884891153557</v>
      </c>
      <c r="AK168" s="158">
        <f t="shared" si="97"/>
        <v>-28534.297142472838</v>
      </c>
      <c r="AL168" s="163">
        <f t="shared" si="98"/>
        <v>-33606.489518057453</v>
      </c>
      <c r="AM168" s="20"/>
    </row>
    <row r="169" spans="1:39" x14ac:dyDescent="0.25">
      <c r="A169" s="13">
        <f t="shared" si="71"/>
        <v>164</v>
      </c>
      <c r="B169" s="1">
        <v>45085</v>
      </c>
      <c r="C169" s="7">
        <f t="shared" si="72"/>
        <v>2023</v>
      </c>
      <c r="D169" s="7">
        <f t="shared" si="73"/>
        <v>6</v>
      </c>
      <c r="E169" s="61">
        <v>17.364999999999998</v>
      </c>
      <c r="F169" s="65">
        <v>54.59</v>
      </c>
      <c r="G169" s="2">
        <v>39.04</v>
      </c>
      <c r="H169" s="2">
        <v>12</v>
      </c>
      <c r="I169" s="2">
        <v>289.83</v>
      </c>
      <c r="J169" s="2">
        <v>25.32</v>
      </c>
      <c r="K169" s="2">
        <v>310.97000000000003</v>
      </c>
      <c r="L169" s="2">
        <v>124.25</v>
      </c>
      <c r="M169" s="144">
        <v>234.86</v>
      </c>
      <c r="N169" s="72">
        <f t="shared" si="74"/>
        <v>8.3117842630218153E-3</v>
      </c>
      <c r="O169" s="73">
        <f t="shared" si="75"/>
        <v>1.2823800974608446E-3</v>
      </c>
      <c r="P169" s="73">
        <f t="shared" si="76"/>
        <v>7.5566750629723067E-3</v>
      </c>
      <c r="Q169" s="73">
        <f t="shared" si="77"/>
        <v>5.4886260236578721E-2</v>
      </c>
      <c r="R169" s="73">
        <f t="shared" si="78"/>
        <v>5.5599682287530428E-3</v>
      </c>
      <c r="S169" s="73">
        <f t="shared" si="79"/>
        <v>-1.1161282116509796E-2</v>
      </c>
      <c r="T169" s="73">
        <f t="shared" si="80"/>
        <v>2.5383716580493099E-2</v>
      </c>
      <c r="U169" s="73">
        <f t="shared" si="81"/>
        <v>4.6302930584637192E-2</v>
      </c>
      <c r="V169" s="148">
        <f t="shared" si="82"/>
        <v>57.53427041004803</v>
      </c>
      <c r="W169" s="149">
        <f t="shared" si="83"/>
        <v>40.461820979738391</v>
      </c>
      <c r="X169" s="149">
        <f t="shared" si="84"/>
        <v>14.408060453400505</v>
      </c>
      <c r="Y169" s="149">
        <f t="shared" si="85"/>
        <v>238.76295614194723</v>
      </c>
      <c r="Z169" s="149">
        <f t="shared" si="86"/>
        <v>13.836505162827642</v>
      </c>
      <c r="AA169" s="149">
        <f t="shared" si="87"/>
        <v>264.95933445688121</v>
      </c>
      <c r="AB169" s="149">
        <f t="shared" si="88"/>
        <v>2739.1099830223907</v>
      </c>
      <c r="AC169" s="150">
        <f t="shared" si="89"/>
        <v>3372.8992498606135</v>
      </c>
      <c r="AD169" s="157">
        <f t="shared" si="90"/>
        <v>-9485.4082009605627</v>
      </c>
      <c r="AE169" s="19">
        <f t="shared" si="91"/>
        <v>-1476.8979225442465</v>
      </c>
      <c r="AF169" s="19">
        <f t="shared" si="92"/>
        <v>-9595.7682619648203</v>
      </c>
      <c r="AG169" s="19">
        <f t="shared" si="93"/>
        <v>-47207.233339399456</v>
      </c>
      <c r="AH169" s="19">
        <f t="shared" si="94"/>
        <v>-3419.7807783956009</v>
      </c>
      <c r="AI169" s="19">
        <f t="shared" si="95"/>
        <v>15850.527378529534</v>
      </c>
      <c r="AJ169" s="19">
        <f t="shared" si="96"/>
        <v>-20342.274906717328</v>
      </c>
      <c r="AK169" s="158">
        <f t="shared" si="97"/>
        <v>-37315.942465153399</v>
      </c>
      <c r="AL169" s="163">
        <f t="shared" si="98"/>
        <v>-112992.77849660587</v>
      </c>
      <c r="AM169" s="20"/>
    </row>
    <row r="170" spans="1:39" x14ac:dyDescent="0.25">
      <c r="A170" s="13">
        <f t="shared" si="71"/>
        <v>165</v>
      </c>
      <c r="B170" s="1">
        <v>45084</v>
      </c>
      <c r="C170" s="7">
        <f t="shared" si="72"/>
        <v>2023</v>
      </c>
      <c r="D170" s="7">
        <f t="shared" si="73"/>
        <v>6</v>
      </c>
      <c r="E170" s="61">
        <v>17.356999999999999</v>
      </c>
      <c r="F170" s="65">
        <v>54.14</v>
      </c>
      <c r="G170" s="2">
        <v>38.99</v>
      </c>
      <c r="H170" s="2">
        <v>11.91</v>
      </c>
      <c r="I170" s="2">
        <v>274.75</v>
      </c>
      <c r="J170" s="2">
        <v>25.18</v>
      </c>
      <c r="K170" s="2">
        <v>314.48</v>
      </c>
      <c r="L170" s="2">
        <v>121.23</v>
      </c>
      <c r="M170" s="144">
        <v>224.57</v>
      </c>
      <c r="N170" s="72">
        <f t="shared" si="74"/>
        <v>-2.5792188651436732E-3</v>
      </c>
      <c r="O170" s="73">
        <f t="shared" si="75"/>
        <v>-6.3710499490315931E-3</v>
      </c>
      <c r="P170" s="73">
        <f t="shared" si="76"/>
        <v>2.1440823327615766E-2</v>
      </c>
      <c r="Q170" s="73">
        <f t="shared" si="77"/>
        <v>-1.0872304424523804E-2</v>
      </c>
      <c r="R170" s="73">
        <f t="shared" si="78"/>
        <v>7.9491255961849916E-4</v>
      </c>
      <c r="S170" s="73">
        <f t="shared" si="79"/>
        <v>-8.2623777988016789E-3</v>
      </c>
      <c r="T170" s="73">
        <f t="shared" si="80"/>
        <v>-4.3484644114737625E-2</v>
      </c>
      <c r="U170" s="73">
        <f t="shared" si="81"/>
        <v>1.3679237008928702E-2</v>
      </c>
      <c r="V170" s="148">
        <f t="shared" si="82"/>
        <v>56.912829771554904</v>
      </c>
      <c r="W170" s="149">
        <f t="shared" si="83"/>
        <v>40.152545871559632</v>
      </c>
      <c r="X170" s="149">
        <f t="shared" si="84"/>
        <v>14.606603773584906</v>
      </c>
      <c r="Y170" s="149">
        <f t="shared" si="85"/>
        <v>223.87916261655329</v>
      </c>
      <c r="Z170" s="149">
        <f t="shared" si="86"/>
        <v>13.770937996820351</v>
      </c>
      <c r="AA170" s="149">
        <f t="shared" si="87"/>
        <v>265.73609586881111</v>
      </c>
      <c r="AB170" s="149">
        <f t="shared" si="88"/>
        <v>2555.141765813155</v>
      </c>
      <c r="AC170" s="150">
        <f t="shared" si="89"/>
        <v>3267.7323537613115</v>
      </c>
      <c r="AD170" s="157">
        <f t="shared" si="90"/>
        <v>2943.4045689019686</v>
      </c>
      <c r="AE170" s="19">
        <f t="shared" si="91"/>
        <v>7337.442660550405</v>
      </c>
      <c r="AF170" s="19">
        <f t="shared" si="92"/>
        <v>-27226.415094339602</v>
      </c>
      <c r="AG170" s="19">
        <f t="shared" si="93"/>
        <v>9351.1820570975196</v>
      </c>
      <c r="AH170" s="19">
        <f t="shared" si="94"/>
        <v>-488.92845786968542</v>
      </c>
      <c r="AI170" s="19">
        <f t="shared" si="95"/>
        <v>11733.691895301081</v>
      </c>
      <c r="AJ170" s="19">
        <f t="shared" si="96"/>
        <v>34848.190256053385</v>
      </c>
      <c r="AK170" s="158">
        <f t="shared" si="97"/>
        <v>-11024.218440327899</v>
      </c>
      <c r="AL170" s="163">
        <f t="shared" si="98"/>
        <v>27474.349445367177</v>
      </c>
      <c r="AM170" s="20"/>
    </row>
    <row r="171" spans="1:39" x14ac:dyDescent="0.25">
      <c r="A171" s="13">
        <f t="shared" si="71"/>
        <v>166</v>
      </c>
      <c r="B171" s="1">
        <v>45083</v>
      </c>
      <c r="C171" s="7">
        <f t="shared" si="72"/>
        <v>2023</v>
      </c>
      <c r="D171" s="7">
        <f t="shared" si="73"/>
        <v>6</v>
      </c>
      <c r="E171" s="61">
        <v>17.375</v>
      </c>
      <c r="F171" s="65">
        <v>54.28</v>
      </c>
      <c r="G171" s="2">
        <v>39.24</v>
      </c>
      <c r="H171" s="2">
        <v>11.66</v>
      </c>
      <c r="I171" s="2">
        <v>277.77</v>
      </c>
      <c r="J171" s="2">
        <v>25.16</v>
      </c>
      <c r="K171" s="2">
        <v>317.10000000000002</v>
      </c>
      <c r="L171" s="2">
        <v>126.61</v>
      </c>
      <c r="M171" s="144">
        <v>221.31</v>
      </c>
      <c r="N171" s="72">
        <f t="shared" si="74"/>
        <v>1.6098839385997765E-2</v>
      </c>
      <c r="O171" s="73">
        <f t="shared" si="75"/>
        <v>4.0941658137154668E-3</v>
      </c>
      <c r="P171" s="73">
        <f t="shared" si="76"/>
        <v>4.3867502238137845E-2</v>
      </c>
      <c r="Q171" s="73">
        <f t="shared" si="77"/>
        <v>2.4830283353010518E-2</v>
      </c>
      <c r="R171" s="73">
        <f t="shared" si="78"/>
        <v>4.7923322683707248E-3</v>
      </c>
      <c r="S171" s="73">
        <f t="shared" si="79"/>
        <v>4.0490878067988012E-2</v>
      </c>
      <c r="T171" s="73">
        <f t="shared" si="80"/>
        <v>5.7085427236762687E-3</v>
      </c>
      <c r="U171" s="73">
        <f t="shared" si="81"/>
        <v>1.2225772019593295E-2</v>
      </c>
      <c r="V171" s="148">
        <f t="shared" si="82"/>
        <v>57.978599775365034</v>
      </c>
      <c r="W171" s="149">
        <f t="shared" si="83"/>
        <v>40.57544524053224</v>
      </c>
      <c r="X171" s="149">
        <f t="shared" si="84"/>
        <v>14.927305282005372</v>
      </c>
      <c r="Y171" s="149">
        <f t="shared" si="85"/>
        <v>231.9600863341204</v>
      </c>
      <c r="Z171" s="149">
        <f t="shared" si="86"/>
        <v>13.82594249201278</v>
      </c>
      <c r="AA171" s="149">
        <f t="shared" si="87"/>
        <v>278.79953077831738</v>
      </c>
      <c r="AB171" s="149">
        <f t="shared" si="88"/>
        <v>2686.5516438782583</v>
      </c>
      <c r="AC171" s="150">
        <f t="shared" si="89"/>
        <v>3263.0469124527522</v>
      </c>
      <c r="AD171" s="157">
        <f t="shared" si="90"/>
        <v>-18371.995507300624</v>
      </c>
      <c r="AE171" s="19">
        <f t="shared" si="91"/>
        <v>-4715.1893551689272</v>
      </c>
      <c r="AF171" s="19">
        <f t="shared" si="92"/>
        <v>-55704.709042077011</v>
      </c>
      <c r="AG171" s="19">
        <f t="shared" si="93"/>
        <v>-21356.328069657524</v>
      </c>
      <c r="AH171" s="19">
        <f t="shared" si="94"/>
        <v>-2947.6293929712865</v>
      </c>
      <c r="AI171" s="19">
        <f t="shared" si="95"/>
        <v>-57502.513125082151</v>
      </c>
      <c r="AJ171" s="19">
        <f t="shared" si="96"/>
        <v>-4574.7731634776301</v>
      </c>
      <c r="AK171" s="158">
        <f t="shared" si="97"/>
        <v>-9852.8581131880637</v>
      </c>
      <c r="AL171" s="163">
        <f t="shared" si="98"/>
        <v>-175025.99576892323</v>
      </c>
      <c r="AM171" s="20"/>
    </row>
    <row r="172" spans="1:39" x14ac:dyDescent="0.25">
      <c r="A172" s="13">
        <f t="shared" si="71"/>
        <v>167</v>
      </c>
      <c r="B172" s="1">
        <v>45082</v>
      </c>
      <c r="C172" s="7">
        <f t="shared" si="72"/>
        <v>2023</v>
      </c>
      <c r="D172" s="7">
        <f t="shared" si="73"/>
        <v>6</v>
      </c>
      <c r="E172" s="61">
        <v>17.457000000000001</v>
      </c>
      <c r="F172" s="65">
        <v>53.42</v>
      </c>
      <c r="G172" s="2">
        <v>39.08</v>
      </c>
      <c r="H172" s="2">
        <v>11.17</v>
      </c>
      <c r="I172" s="2">
        <v>271.04000000000002</v>
      </c>
      <c r="J172" s="2">
        <v>25.04</v>
      </c>
      <c r="K172" s="2">
        <v>304.76</v>
      </c>
      <c r="L172" s="2">
        <v>125.3</v>
      </c>
      <c r="M172" s="144">
        <v>217.61</v>
      </c>
      <c r="N172" s="72">
        <f t="shared" si="74"/>
        <v>5.6475903614459089E-3</v>
      </c>
      <c r="O172" s="73">
        <f t="shared" si="75"/>
        <v>-6.1037639877925542E-3</v>
      </c>
      <c r="P172" s="73">
        <f t="shared" si="76"/>
        <v>2.6929982046677292E-3</v>
      </c>
      <c r="Q172" s="73">
        <f t="shared" si="77"/>
        <v>-6.4880319636376749E-3</v>
      </c>
      <c r="R172" s="73">
        <f t="shared" si="78"/>
        <v>1.6000000000000458E-3</v>
      </c>
      <c r="S172" s="73">
        <f t="shared" si="79"/>
        <v>-2.0757020757020905E-2</v>
      </c>
      <c r="T172" s="73">
        <f t="shared" si="80"/>
        <v>3.6214550859112737E-3</v>
      </c>
      <c r="U172" s="73">
        <f t="shared" si="81"/>
        <v>1.2141484600149521E-2</v>
      </c>
      <c r="V172" s="148">
        <f t="shared" si="82"/>
        <v>57.382251506024105</v>
      </c>
      <c r="W172" s="149">
        <f t="shared" si="83"/>
        <v>40.163346897253298</v>
      </c>
      <c r="X172" s="149">
        <f t="shared" si="84"/>
        <v>14.33850987432675</v>
      </c>
      <c r="Y172" s="149">
        <f t="shared" si="85"/>
        <v>224.87149884535026</v>
      </c>
      <c r="Z172" s="149">
        <f t="shared" si="86"/>
        <v>13.782016</v>
      </c>
      <c r="AA172" s="149">
        <f t="shared" si="87"/>
        <v>262.38815628815621</v>
      </c>
      <c r="AB172" s="149">
        <f t="shared" si="88"/>
        <v>2680.9764016624868</v>
      </c>
      <c r="AC172" s="150">
        <f t="shared" si="89"/>
        <v>3262.7752005369157</v>
      </c>
      <c r="AD172" s="157">
        <f t="shared" si="90"/>
        <v>-6445.0301204820444</v>
      </c>
      <c r="AE172" s="19">
        <f t="shared" si="91"/>
        <v>7029.6134282809071</v>
      </c>
      <c r="AF172" s="19">
        <f t="shared" si="92"/>
        <v>-3419.6768402153225</v>
      </c>
      <c r="AG172" s="19">
        <f t="shared" si="93"/>
        <v>5580.3043876690253</v>
      </c>
      <c r="AH172" s="19">
        <f t="shared" si="94"/>
        <v>-984.11520000003134</v>
      </c>
      <c r="AI172" s="19">
        <f t="shared" si="95"/>
        <v>29477.771672772025</v>
      </c>
      <c r="AJ172" s="19">
        <f t="shared" si="96"/>
        <v>-2902.2004987461514</v>
      </c>
      <c r="AK172" s="158">
        <f t="shared" si="97"/>
        <v>-9784.9301342289436</v>
      </c>
      <c r="AL172" s="163">
        <f t="shared" si="98"/>
        <v>18551.736695049465</v>
      </c>
      <c r="AM172" s="20"/>
    </row>
    <row r="173" spans="1:39" x14ac:dyDescent="0.25">
      <c r="A173" s="13">
        <f t="shared" si="71"/>
        <v>168</v>
      </c>
      <c r="B173" s="1">
        <v>45079</v>
      </c>
      <c r="C173" s="7">
        <f t="shared" si="72"/>
        <v>2023</v>
      </c>
      <c r="D173" s="7">
        <f t="shared" si="73"/>
        <v>6</v>
      </c>
      <c r="E173" s="61">
        <v>17.541</v>
      </c>
      <c r="F173" s="65">
        <v>53.12</v>
      </c>
      <c r="G173" s="2">
        <v>39.32</v>
      </c>
      <c r="H173" s="2">
        <v>11.14</v>
      </c>
      <c r="I173" s="2">
        <v>272.81</v>
      </c>
      <c r="J173" s="2">
        <v>25</v>
      </c>
      <c r="K173" s="2">
        <v>311.22000000000003</v>
      </c>
      <c r="L173" s="2">
        <v>124.25</v>
      </c>
      <c r="M173" s="144">
        <v>213.97</v>
      </c>
      <c r="N173" s="72">
        <f t="shared" si="74"/>
        <v>9.1185410334346795E-3</v>
      </c>
      <c r="O173" s="73">
        <f t="shared" si="75"/>
        <v>2.1829521829521914E-2</v>
      </c>
      <c r="P173" s="73">
        <f t="shared" si="76"/>
        <v>4.7977422389463786E-2</v>
      </c>
      <c r="Q173" s="73">
        <f t="shared" si="77"/>
        <v>9.8837639742357375E-3</v>
      </c>
      <c r="R173" s="73">
        <f t="shared" si="78"/>
        <v>5.6315366049879412E-3</v>
      </c>
      <c r="S173" s="73">
        <f t="shared" si="79"/>
        <v>3.2615547961113656E-2</v>
      </c>
      <c r="T173" s="73">
        <f t="shared" si="80"/>
        <v>1.1685939113969868E-2</v>
      </c>
      <c r="U173" s="73">
        <f t="shared" si="81"/>
        <v>3.0705278973469641E-2</v>
      </c>
      <c r="V173" s="148">
        <f t="shared" si="82"/>
        <v>57.580303951367782</v>
      </c>
      <c r="W173" s="149">
        <f t="shared" si="83"/>
        <v>41.292130977130974</v>
      </c>
      <c r="X173" s="149">
        <f t="shared" si="84"/>
        <v>14.986077140169332</v>
      </c>
      <c r="Y173" s="149">
        <f t="shared" si="85"/>
        <v>228.57709113792853</v>
      </c>
      <c r="Z173" s="149">
        <f t="shared" si="86"/>
        <v>13.837489943684634</v>
      </c>
      <c r="AA173" s="149">
        <f t="shared" si="87"/>
        <v>276.68933607618038</v>
      </c>
      <c r="AB173" s="149">
        <f t="shared" si="88"/>
        <v>2702.5190772014012</v>
      </c>
      <c r="AC173" s="150">
        <f t="shared" si="89"/>
        <v>3322.6181067221746</v>
      </c>
      <c r="AD173" s="157">
        <f t="shared" si="90"/>
        <v>-10406.079027355589</v>
      </c>
      <c r="AE173" s="19">
        <f t="shared" si="91"/>
        <v>-25140.732848232848</v>
      </c>
      <c r="AF173" s="19">
        <f t="shared" si="92"/>
        <v>-60923.650047036623</v>
      </c>
      <c r="AG173" s="19">
        <f t="shared" si="93"/>
        <v>-8500.9463241284157</v>
      </c>
      <c r="AH173" s="19">
        <f t="shared" si="94"/>
        <v>-3463.8004827031555</v>
      </c>
      <c r="AI173" s="19">
        <f t="shared" si="95"/>
        <v>-46318.481203756084</v>
      </c>
      <c r="AJ173" s="19">
        <f t="shared" si="96"/>
        <v>-9365.0031604204742</v>
      </c>
      <c r="AK173" s="158">
        <f t="shared" si="97"/>
        <v>-24745.656680543674</v>
      </c>
      <c r="AL173" s="163">
        <f t="shared" si="98"/>
        <v>-188864.34977417687</v>
      </c>
      <c r="AM173" s="20"/>
    </row>
    <row r="174" spans="1:39" x14ac:dyDescent="0.25">
      <c r="A174" s="13">
        <f t="shared" si="71"/>
        <v>169</v>
      </c>
      <c r="B174" s="1">
        <v>45078</v>
      </c>
      <c r="C174" s="7">
        <f t="shared" si="72"/>
        <v>2023</v>
      </c>
      <c r="D174" s="7">
        <f t="shared" si="73"/>
        <v>6</v>
      </c>
      <c r="E174" s="61">
        <v>17.5474</v>
      </c>
      <c r="F174" s="65">
        <v>52.64</v>
      </c>
      <c r="G174" s="2">
        <v>38.479999999999997</v>
      </c>
      <c r="H174" s="2">
        <v>10.63</v>
      </c>
      <c r="I174" s="2">
        <v>270.14</v>
      </c>
      <c r="J174" s="2">
        <v>24.86</v>
      </c>
      <c r="K174" s="2">
        <v>301.39</v>
      </c>
      <c r="L174" s="2">
        <v>122.77</v>
      </c>
      <c r="M174" s="144">
        <v>207.52</v>
      </c>
      <c r="N174" s="72">
        <f t="shared" si="74"/>
        <v>-7.5930144267277733E-4</v>
      </c>
      <c r="O174" s="73">
        <f t="shared" si="75"/>
        <v>5.2246603970740324E-3</v>
      </c>
      <c r="P174" s="73">
        <f t="shared" si="76"/>
        <v>-9.3984962406012951E-4</v>
      </c>
      <c r="Q174" s="73">
        <f t="shared" si="77"/>
        <v>-1.9949756169647115E-3</v>
      </c>
      <c r="R174" s="73">
        <f t="shared" si="78"/>
        <v>1.885245901639343E-2</v>
      </c>
      <c r="S174" s="73">
        <f t="shared" si="79"/>
        <v>-3.7000351471387138E-2</v>
      </c>
      <c r="T174" s="73">
        <f t="shared" si="80"/>
        <v>1.0417413754745031E-2</v>
      </c>
      <c r="U174" s="73">
        <f t="shared" si="81"/>
        <v>9.8635231752250974E-3</v>
      </c>
      <c r="V174" s="148">
        <f t="shared" si="82"/>
        <v>57.016674259681096</v>
      </c>
      <c r="W174" s="149">
        <f t="shared" si="83"/>
        <v>40.621128526645755</v>
      </c>
      <c r="X174" s="149">
        <f t="shared" si="84"/>
        <v>14.286560150375941</v>
      </c>
      <c r="Y174" s="149">
        <f t="shared" si="85"/>
        <v>225.88845721885622</v>
      </c>
      <c r="Z174" s="149">
        <f t="shared" si="86"/>
        <v>14.019409836065574</v>
      </c>
      <c r="AA174" s="149">
        <f t="shared" si="87"/>
        <v>258.0357558232418</v>
      </c>
      <c r="AB174" s="149">
        <f t="shared" si="88"/>
        <v>2699.130462364843</v>
      </c>
      <c r="AC174" s="150">
        <f t="shared" si="89"/>
        <v>3255.4318832654576</v>
      </c>
      <c r="AD174" s="157">
        <f t="shared" si="90"/>
        <v>866.51480637812028</v>
      </c>
      <c r="AE174" s="19">
        <f t="shared" si="91"/>
        <v>-6017.1630094041184</v>
      </c>
      <c r="AF174" s="19">
        <f t="shared" si="92"/>
        <v>1193.4586466165256</v>
      </c>
      <c r="AG174" s="19">
        <f t="shared" si="93"/>
        <v>1715.8625683463868</v>
      </c>
      <c r="AH174" s="19">
        <f t="shared" si="94"/>
        <v>-11595.619672131153</v>
      </c>
      <c r="AI174" s="19">
        <f t="shared" si="95"/>
        <v>52545.494136818401</v>
      </c>
      <c r="AJ174" s="19">
        <f t="shared" si="96"/>
        <v>-8348.4187094530171</v>
      </c>
      <c r="AK174" s="158">
        <f t="shared" si="97"/>
        <v>-7949.100816364421</v>
      </c>
      <c r="AL174" s="163">
        <f t="shared" si="98"/>
        <v>22411.027950806721</v>
      </c>
      <c r="AM174" s="20"/>
    </row>
    <row r="175" spans="1:39" x14ac:dyDescent="0.25">
      <c r="A175" s="13">
        <f t="shared" si="71"/>
        <v>170</v>
      </c>
      <c r="B175" s="1">
        <v>45077</v>
      </c>
      <c r="C175" s="7">
        <f t="shared" si="72"/>
        <v>2023</v>
      </c>
      <c r="D175" s="7">
        <f t="shared" si="73"/>
        <v>5</v>
      </c>
      <c r="E175" s="61">
        <v>17.681899999999999</v>
      </c>
      <c r="F175" s="65">
        <v>52.68</v>
      </c>
      <c r="G175" s="2">
        <v>38.28</v>
      </c>
      <c r="H175" s="2">
        <v>10.64</v>
      </c>
      <c r="I175" s="2">
        <v>270.68</v>
      </c>
      <c r="J175" s="2">
        <v>24.4</v>
      </c>
      <c r="K175" s="2">
        <v>312.97000000000003</v>
      </c>
      <c r="L175" s="2">
        <v>120.58</v>
      </c>
      <c r="M175" s="144">
        <v>203.93</v>
      </c>
      <c r="N175" s="72">
        <f t="shared" si="74"/>
        <v>-1.0704225352112684E-2</v>
      </c>
      <c r="O175" s="73">
        <f t="shared" si="75"/>
        <v>6.8385060494475791E-3</v>
      </c>
      <c r="P175" s="73">
        <f t="shared" si="76"/>
        <v>7.575757575757569E-3</v>
      </c>
      <c r="Q175" s="73">
        <f t="shared" si="77"/>
        <v>-6.992406281139385E-2</v>
      </c>
      <c r="R175" s="73">
        <f t="shared" si="78"/>
        <v>1.7939090529828894E-2</v>
      </c>
      <c r="S175" s="73">
        <f t="shared" si="79"/>
        <v>3.9455956887151089E-3</v>
      </c>
      <c r="T175" s="73">
        <f t="shared" si="80"/>
        <v>-6.6919311108386559E-3</v>
      </c>
      <c r="U175" s="73">
        <f t="shared" si="81"/>
        <v>1.6005334620612821E-2</v>
      </c>
      <c r="V175" s="148">
        <f t="shared" si="82"/>
        <v>56.449216901408455</v>
      </c>
      <c r="W175" s="149">
        <f t="shared" si="83"/>
        <v>40.686344029458176</v>
      </c>
      <c r="X175" s="149">
        <f t="shared" si="84"/>
        <v>14.408333333333333</v>
      </c>
      <c r="Y175" s="149">
        <f t="shared" si="85"/>
        <v>210.51338762326913</v>
      </c>
      <c r="Z175" s="149">
        <f t="shared" si="86"/>
        <v>14.006841885690445</v>
      </c>
      <c r="AA175" s="149">
        <f t="shared" si="87"/>
        <v>269.00722236479118</v>
      </c>
      <c r="AB175" s="149">
        <f t="shared" si="88"/>
        <v>2653.4262283629814</v>
      </c>
      <c r="AC175" s="150">
        <f t="shared" si="89"/>
        <v>3275.2308445522799</v>
      </c>
      <c r="AD175" s="157">
        <f t="shared" si="90"/>
        <v>12215.661971830939</v>
      </c>
      <c r="AE175" s="19">
        <f t="shared" si="91"/>
        <v>-7875.8048395581245</v>
      </c>
      <c r="AF175" s="19">
        <f t="shared" si="92"/>
        <v>-9619.9999999999272</v>
      </c>
      <c r="AG175" s="19">
        <f t="shared" si="93"/>
        <v>60141.127031577336</v>
      </c>
      <c r="AH175" s="19">
        <f t="shared" si="94"/>
        <v>-11033.832290362905</v>
      </c>
      <c r="AI175" s="19">
        <f t="shared" si="95"/>
        <v>-5603.2785333932907</v>
      </c>
      <c r="AJ175" s="19">
        <f t="shared" si="96"/>
        <v>5362.8514911054481</v>
      </c>
      <c r="AK175" s="158">
        <f t="shared" si="97"/>
        <v>-12898.841138069998</v>
      </c>
      <c r="AL175" s="163">
        <f t="shared" si="98"/>
        <v>30687.883693129479</v>
      </c>
      <c r="AM175" s="20"/>
    </row>
    <row r="176" spans="1:39" x14ac:dyDescent="0.25">
      <c r="A176" s="13">
        <f t="shared" si="71"/>
        <v>171</v>
      </c>
      <c r="B176" s="1">
        <v>45076</v>
      </c>
      <c r="C176" s="7">
        <f t="shared" si="72"/>
        <v>2023</v>
      </c>
      <c r="D176" s="7">
        <f t="shared" si="73"/>
        <v>5</v>
      </c>
      <c r="E176" s="61">
        <v>17.643000000000001</v>
      </c>
      <c r="F176" s="65">
        <v>53.25</v>
      </c>
      <c r="G176" s="2">
        <v>38.020000000000003</v>
      </c>
      <c r="H176" s="2">
        <v>10.56</v>
      </c>
      <c r="I176" s="2">
        <v>291.02999999999997</v>
      </c>
      <c r="J176" s="2">
        <v>23.97</v>
      </c>
      <c r="K176" s="2">
        <v>311.74</v>
      </c>
      <c r="L176" s="2">
        <v>121.66</v>
      </c>
      <c r="M176" s="144">
        <v>201.16</v>
      </c>
      <c r="N176" s="72">
        <f t="shared" si="74"/>
        <v>-1.6802067946824151E-2</v>
      </c>
      <c r="O176" s="73">
        <f t="shared" si="75"/>
        <v>-2.2370789406016889E-2</v>
      </c>
      <c r="P176" s="73">
        <f t="shared" si="76"/>
        <v>-3.208065994500453E-2</v>
      </c>
      <c r="Q176" s="73">
        <f t="shared" si="77"/>
        <v>4.8076923076922906E-2</v>
      </c>
      <c r="R176" s="73">
        <f t="shared" si="78"/>
        <v>-8.3368070029177233E-4</v>
      </c>
      <c r="S176" s="73">
        <f t="shared" si="79"/>
        <v>-5.2173913043478182E-2</v>
      </c>
      <c r="T176" s="73">
        <f t="shared" si="80"/>
        <v>1.6823900045157769E-2</v>
      </c>
      <c r="U176" s="73">
        <f t="shared" si="81"/>
        <v>4.539169980583746E-2</v>
      </c>
      <c r="V176" s="148">
        <f t="shared" si="82"/>
        <v>56.101274002954213</v>
      </c>
      <c r="W176" s="149">
        <f t="shared" si="83"/>
        <v>39.505996400102852</v>
      </c>
      <c r="X176" s="149">
        <f t="shared" si="84"/>
        <v>13.841246562786436</v>
      </c>
      <c r="Y176" s="149">
        <f t="shared" si="85"/>
        <v>237.22173076923073</v>
      </c>
      <c r="Z176" s="149">
        <f t="shared" si="86"/>
        <v>13.748528553563984</v>
      </c>
      <c r="AA176" s="149">
        <f t="shared" si="87"/>
        <v>253.97</v>
      </c>
      <c r="AB176" s="149">
        <f t="shared" si="88"/>
        <v>2716.2441245679897</v>
      </c>
      <c r="AC176" s="150">
        <f t="shared" si="89"/>
        <v>3369.9617739916066</v>
      </c>
      <c r="AD176" s="157">
        <f t="shared" si="90"/>
        <v>19174.519940915787</v>
      </c>
      <c r="AE176" s="19">
        <f t="shared" si="91"/>
        <v>25764.102597068624</v>
      </c>
      <c r="AF176" s="19">
        <f t="shared" si="92"/>
        <v>40737.305224564538</v>
      </c>
      <c r="AG176" s="19">
        <f t="shared" si="93"/>
        <v>-41350.576923076769</v>
      </c>
      <c r="AH176" s="19">
        <f t="shared" si="94"/>
        <v>512.77365568989273</v>
      </c>
      <c r="AI176" s="19">
        <f t="shared" si="95"/>
        <v>74093.999999999942</v>
      </c>
      <c r="AJ176" s="19">
        <f t="shared" si="96"/>
        <v>-13482.517370397045</v>
      </c>
      <c r="AK176" s="158">
        <f t="shared" si="97"/>
        <v>-36581.573497901671</v>
      </c>
      <c r="AL176" s="163">
        <f t="shared" si="98"/>
        <v>68868.033626863296</v>
      </c>
      <c r="AM176" s="20"/>
    </row>
    <row r="177" spans="1:39" x14ac:dyDescent="0.25">
      <c r="A177" s="13">
        <f t="shared" si="71"/>
        <v>172</v>
      </c>
      <c r="B177" s="1">
        <v>45075</v>
      </c>
      <c r="C177" s="7">
        <f t="shared" si="72"/>
        <v>2023</v>
      </c>
      <c r="D177" s="7">
        <f t="shared" si="73"/>
        <v>5</v>
      </c>
      <c r="E177" s="61">
        <v>17.574999999999999</v>
      </c>
      <c r="F177" s="65">
        <v>54.16</v>
      </c>
      <c r="G177" s="2">
        <v>38.89</v>
      </c>
      <c r="H177" s="2">
        <v>10.91</v>
      </c>
      <c r="I177" s="2">
        <v>277.68</v>
      </c>
      <c r="J177" s="2">
        <v>23.99</v>
      </c>
      <c r="K177" s="2">
        <v>328.9</v>
      </c>
      <c r="L177" s="2">
        <v>120.11</v>
      </c>
      <c r="M177" s="144">
        <v>193.17</v>
      </c>
      <c r="N177" s="72">
        <f t="shared" si="74"/>
        <v>1.1090573012937366E-3</v>
      </c>
      <c r="O177" s="73">
        <f t="shared" si="75"/>
        <v>-4.0973111395645745E-3</v>
      </c>
      <c r="P177" s="73">
        <f t="shared" si="76"/>
        <v>-1.534296028880866E-2</v>
      </c>
      <c r="Q177" s="73">
        <f t="shared" si="77"/>
        <v>3.6738351254480328E-2</v>
      </c>
      <c r="R177" s="73">
        <f t="shared" si="78"/>
        <v>-5.3897180762852992E-3</v>
      </c>
      <c r="S177" s="73">
        <f t="shared" si="79"/>
        <v>3.2750337551417541E-2</v>
      </c>
      <c r="T177" s="73">
        <f t="shared" si="80"/>
        <v>-1.9875070982395826E-3</v>
      </c>
      <c r="U177" s="73">
        <f t="shared" si="81"/>
        <v>-1.9875070982395826E-3</v>
      </c>
      <c r="V177" s="148">
        <f t="shared" si="82"/>
        <v>57.123282809611823</v>
      </c>
      <c r="W177" s="149">
        <f t="shared" si="83"/>
        <v>40.244427656850192</v>
      </c>
      <c r="X177" s="149">
        <f t="shared" si="84"/>
        <v>14.080595667870037</v>
      </c>
      <c r="Y177" s="149">
        <f t="shared" si="85"/>
        <v>234.65535842293909</v>
      </c>
      <c r="Z177" s="149">
        <f t="shared" si="86"/>
        <v>13.685837479270313</v>
      </c>
      <c r="AA177" s="149">
        <f t="shared" si="87"/>
        <v>276.72545294690229</v>
      </c>
      <c r="AB177" s="149">
        <f t="shared" si="88"/>
        <v>2665.9931675184553</v>
      </c>
      <c r="AC177" s="150">
        <f t="shared" si="89"/>
        <v>3217.228481601363</v>
      </c>
      <c r="AD177" s="157">
        <f t="shared" si="90"/>
        <v>-1265.6561922364062</v>
      </c>
      <c r="AE177" s="19">
        <f t="shared" si="91"/>
        <v>4718.8117797694322</v>
      </c>
      <c r="AF177" s="19">
        <f t="shared" si="92"/>
        <v>19483.104693140755</v>
      </c>
      <c r="AG177" s="19">
        <f t="shared" si="93"/>
        <v>-31598.362007168522</v>
      </c>
      <c r="AH177" s="19">
        <f t="shared" si="94"/>
        <v>3315.0646766169784</v>
      </c>
      <c r="AI177" s="19">
        <f t="shared" si="95"/>
        <v>-46509.900618582222</v>
      </c>
      <c r="AJ177" s="19">
        <f t="shared" si="96"/>
        <v>1592.769744463294</v>
      </c>
      <c r="AK177" s="158">
        <f t="shared" si="97"/>
        <v>1601.7495996592288</v>
      </c>
      <c r="AL177" s="163">
        <f t="shared" si="98"/>
        <v>-48662.418324337465</v>
      </c>
      <c r="AM177" s="20"/>
    </row>
    <row r="178" spans="1:39" x14ac:dyDescent="0.25">
      <c r="A178" s="13">
        <f t="shared" si="71"/>
        <v>173</v>
      </c>
      <c r="B178" s="1">
        <v>45072</v>
      </c>
      <c r="C178" s="7">
        <f t="shared" si="72"/>
        <v>2023</v>
      </c>
      <c r="D178" s="7">
        <f t="shared" si="73"/>
        <v>5</v>
      </c>
      <c r="E178" s="61">
        <v>17.61</v>
      </c>
      <c r="F178" s="65">
        <v>54.1</v>
      </c>
      <c r="G178" s="2">
        <v>39.049999999999997</v>
      </c>
      <c r="H178" s="2">
        <v>11.08</v>
      </c>
      <c r="I178" s="2">
        <v>267.83999999999997</v>
      </c>
      <c r="J178" s="2">
        <v>24.12</v>
      </c>
      <c r="K178" s="2">
        <v>318.47000000000003</v>
      </c>
      <c r="L178" s="2">
        <v>120.11</v>
      </c>
      <c r="M178" s="144">
        <v>193.17</v>
      </c>
      <c r="N178" s="72">
        <f t="shared" si="74"/>
        <v>5.3893328377625505E-3</v>
      </c>
      <c r="O178" s="73">
        <f t="shared" si="75"/>
        <v>2.8248587570620654E-3</v>
      </c>
      <c r="P178" s="73">
        <f t="shared" si="76"/>
        <v>-1.8018018018017834E-3</v>
      </c>
      <c r="Q178" s="73">
        <f t="shared" si="77"/>
        <v>2.2875692190184926E-2</v>
      </c>
      <c r="R178" s="73">
        <f t="shared" si="78"/>
        <v>4.5513654096228873E-2</v>
      </c>
      <c r="S178" s="73">
        <f t="shared" si="79"/>
        <v>1.9397586504913411E-2</v>
      </c>
      <c r="T178" s="73">
        <f t="shared" si="80"/>
        <v>3.0507425019000944E-2</v>
      </c>
      <c r="U178" s="73">
        <f t="shared" si="81"/>
        <v>3.3198413753071643E-2</v>
      </c>
      <c r="V178" s="148">
        <f t="shared" si="82"/>
        <v>57.367515331722736</v>
      </c>
      <c r="W178" s="149">
        <f t="shared" si="83"/>
        <v>40.524152542372875</v>
      </c>
      <c r="X178" s="149">
        <f t="shared" si="84"/>
        <v>14.274234234234235</v>
      </c>
      <c r="Y178" s="149">
        <f t="shared" si="85"/>
        <v>231.51768417032645</v>
      </c>
      <c r="Z178" s="149">
        <f t="shared" si="86"/>
        <v>14.386267880364109</v>
      </c>
      <c r="AA178" s="149">
        <f t="shared" si="87"/>
        <v>273.14758330399155</v>
      </c>
      <c r="AB178" s="149">
        <f t="shared" si="88"/>
        <v>2752.7969576710771</v>
      </c>
      <c r="AC178" s="150">
        <f t="shared" si="89"/>
        <v>3330.6550644541217</v>
      </c>
      <c r="AD178" s="157">
        <f t="shared" si="90"/>
        <v>-6150.3066344546651</v>
      </c>
      <c r="AE178" s="19">
        <f t="shared" si="91"/>
        <v>-3253.3474576270223</v>
      </c>
      <c r="AF178" s="19">
        <f t="shared" si="92"/>
        <v>2287.9999999999568</v>
      </c>
      <c r="AG178" s="19">
        <f t="shared" si="93"/>
        <v>-19675.199847240485</v>
      </c>
      <c r="AH178" s="19">
        <f t="shared" si="94"/>
        <v>-27994.174252275676</v>
      </c>
      <c r="AI178" s="19">
        <f t="shared" si="95"/>
        <v>-27547.191511155292</v>
      </c>
      <c r="AJ178" s="19">
        <f t="shared" si="96"/>
        <v>-24448.36730132324</v>
      </c>
      <c r="AK178" s="158">
        <f t="shared" si="97"/>
        <v>-26754.896113530434</v>
      </c>
      <c r="AL178" s="163">
        <f t="shared" si="98"/>
        <v>-133535.48311760687</v>
      </c>
      <c r="AM178" s="20"/>
    </row>
    <row r="179" spans="1:39" x14ac:dyDescent="0.25">
      <c r="A179" s="13">
        <f t="shared" si="71"/>
        <v>174</v>
      </c>
      <c r="B179" s="1">
        <v>45071</v>
      </c>
      <c r="C179" s="7">
        <f t="shared" si="72"/>
        <v>2023</v>
      </c>
      <c r="D179" s="7">
        <f t="shared" si="73"/>
        <v>5</v>
      </c>
      <c r="E179" s="61">
        <v>17.847999999999999</v>
      </c>
      <c r="F179" s="65">
        <v>53.81</v>
      </c>
      <c r="G179" s="2">
        <v>38.94</v>
      </c>
      <c r="H179" s="2">
        <v>11.1</v>
      </c>
      <c r="I179" s="2">
        <v>261.85000000000002</v>
      </c>
      <c r="J179" s="2">
        <v>23.07</v>
      </c>
      <c r="K179" s="2">
        <v>312.41000000000003</v>
      </c>
      <c r="L179" s="2">
        <v>115</v>
      </c>
      <c r="M179" s="144">
        <v>184.47</v>
      </c>
      <c r="N179" s="72">
        <f t="shared" si="74"/>
        <v>8.4332833583209421E-3</v>
      </c>
      <c r="O179" s="73">
        <f t="shared" si="75"/>
        <v>-1.6169782718544745E-2</v>
      </c>
      <c r="P179" s="73">
        <f t="shared" si="76"/>
        <v>1.0928961748633892E-2</v>
      </c>
      <c r="Q179" s="73">
        <f t="shared" si="77"/>
        <v>1.5709852598913887E-2</v>
      </c>
      <c r="R179" s="73">
        <f t="shared" si="78"/>
        <v>2.1700620017714778E-2</v>
      </c>
      <c r="S179" s="73">
        <f t="shared" si="79"/>
        <v>-1.3745045390612942E-3</v>
      </c>
      <c r="T179" s="73">
        <f t="shared" si="80"/>
        <v>-1.2055572235061263E-2</v>
      </c>
      <c r="U179" s="73">
        <f t="shared" si="81"/>
        <v>1.1587856412814901E-2</v>
      </c>
      <c r="V179" s="148">
        <f t="shared" si="82"/>
        <v>57.541203148425794</v>
      </c>
      <c r="W179" s="149">
        <f t="shared" si="83"/>
        <v>39.756579080343606</v>
      </c>
      <c r="X179" s="149">
        <f t="shared" si="84"/>
        <v>14.456284153005466</v>
      </c>
      <c r="Y179" s="149">
        <f t="shared" si="85"/>
        <v>229.89576803723818</v>
      </c>
      <c r="Z179" s="149">
        <f t="shared" si="86"/>
        <v>14.058600531443755</v>
      </c>
      <c r="AA179" s="149">
        <f t="shared" si="87"/>
        <v>267.5817015087585</v>
      </c>
      <c r="AB179" s="149">
        <f t="shared" si="88"/>
        <v>2639.0983209551073</v>
      </c>
      <c r="AC179" s="150">
        <f t="shared" si="89"/>
        <v>3260.9905050694956</v>
      </c>
      <c r="AD179" s="157">
        <f t="shared" si="90"/>
        <v>-9624.0629685158292</v>
      </c>
      <c r="AE179" s="19">
        <f t="shared" si="91"/>
        <v>18622.496210207137</v>
      </c>
      <c r="AF179" s="19">
        <f t="shared" si="92"/>
        <v>-13878.032786885336</v>
      </c>
      <c r="AG179" s="19">
        <f t="shared" si="93"/>
        <v>-13511.918541505089</v>
      </c>
      <c r="AH179" s="19">
        <f t="shared" si="94"/>
        <v>-13347.443755535858</v>
      </c>
      <c r="AI179" s="19">
        <f t="shared" si="95"/>
        <v>1951.9820035798944</v>
      </c>
      <c r="AJ179" s="19">
        <f t="shared" si="96"/>
        <v>9661.2237134676889</v>
      </c>
      <c r="AK179" s="158">
        <f t="shared" si="97"/>
        <v>-9338.756267373923</v>
      </c>
      <c r="AL179" s="163">
        <f t="shared" si="98"/>
        <v>-29464.512392561315</v>
      </c>
      <c r="AM179" s="20"/>
    </row>
    <row r="180" spans="1:39" x14ac:dyDescent="0.25">
      <c r="A180" s="13">
        <f t="shared" si="71"/>
        <v>175</v>
      </c>
      <c r="B180" s="1">
        <v>45070</v>
      </c>
      <c r="C180" s="7">
        <f t="shared" si="72"/>
        <v>2023</v>
      </c>
      <c r="D180" s="7">
        <f t="shared" si="73"/>
        <v>5</v>
      </c>
      <c r="E180" s="61">
        <v>17.795000000000002</v>
      </c>
      <c r="F180" s="65">
        <v>53.36</v>
      </c>
      <c r="G180" s="2">
        <v>39.58</v>
      </c>
      <c r="H180" s="2">
        <v>10.98</v>
      </c>
      <c r="I180" s="2">
        <v>257.8</v>
      </c>
      <c r="J180" s="2">
        <v>22.58</v>
      </c>
      <c r="K180" s="2">
        <v>312.83999999999997</v>
      </c>
      <c r="L180" s="2">
        <v>116.75</v>
      </c>
      <c r="M180" s="144">
        <v>182.9</v>
      </c>
      <c r="N180" s="72">
        <f t="shared" si="74"/>
        <v>3.762227238525151E-3</v>
      </c>
      <c r="O180" s="73">
        <f t="shared" si="75"/>
        <v>-6.0271220492215116E-3</v>
      </c>
      <c r="P180" s="73">
        <f t="shared" si="76"/>
        <v>-6.3348416289592535E-3</v>
      </c>
      <c r="Q180" s="73">
        <f t="shared" si="77"/>
        <v>2.4845955078513171E-2</v>
      </c>
      <c r="R180" s="73">
        <f t="shared" si="78"/>
        <v>-3.530450132391949E-3</v>
      </c>
      <c r="S180" s="73">
        <f t="shared" si="79"/>
        <v>4.3984974475870242E-3</v>
      </c>
      <c r="T180" s="73">
        <f t="shared" si="80"/>
        <v>6.7627634815241588E-3</v>
      </c>
      <c r="U180" s="73">
        <f t="shared" si="81"/>
        <v>-2.3733350980312262E-2</v>
      </c>
      <c r="V180" s="148">
        <f t="shared" si="82"/>
        <v>57.274672686230247</v>
      </c>
      <c r="W180" s="149">
        <f t="shared" si="83"/>
        <v>40.166443997990953</v>
      </c>
      <c r="X180" s="149">
        <f t="shared" si="84"/>
        <v>14.209411764705884</v>
      </c>
      <c r="Y180" s="149">
        <f t="shared" si="85"/>
        <v>231.96363347247066</v>
      </c>
      <c r="Z180" s="149">
        <f t="shared" si="86"/>
        <v>13.711421006178286</v>
      </c>
      <c r="AA180" s="149">
        <f t="shared" si="87"/>
        <v>269.12857739108091</v>
      </c>
      <c r="AB180" s="149">
        <f t="shared" si="88"/>
        <v>2689.3677863188273</v>
      </c>
      <c r="AC180" s="150">
        <f t="shared" si="89"/>
        <v>3147.1278077205725</v>
      </c>
      <c r="AD180" s="157">
        <f t="shared" si="90"/>
        <v>-4293.4537246048876</v>
      </c>
      <c r="AE180" s="19">
        <f t="shared" si="91"/>
        <v>6941.3460572577396</v>
      </c>
      <c r="AF180" s="19">
        <f t="shared" si="92"/>
        <v>8044.2352941175868</v>
      </c>
      <c r="AG180" s="19">
        <f t="shared" si="93"/>
        <v>-21369.807195388501</v>
      </c>
      <c r="AH180" s="19">
        <f t="shared" si="94"/>
        <v>2171.4810238306077</v>
      </c>
      <c r="AI180" s="19">
        <f t="shared" si="95"/>
        <v>-6246.4601727288828</v>
      </c>
      <c r="AJ180" s="19">
        <f t="shared" si="96"/>
        <v>-5419.6158956483032</v>
      </c>
      <c r="AK180" s="158">
        <f t="shared" si="97"/>
        <v>19126.918069856856</v>
      </c>
      <c r="AL180" s="163">
        <f t="shared" si="98"/>
        <v>-1045.3565433077856</v>
      </c>
      <c r="AM180" s="20"/>
    </row>
    <row r="181" spans="1:39" x14ac:dyDescent="0.25">
      <c r="A181" s="13">
        <f t="shared" si="71"/>
        <v>176</v>
      </c>
      <c r="B181" s="1">
        <v>45069</v>
      </c>
      <c r="C181" s="7">
        <f t="shared" si="72"/>
        <v>2023</v>
      </c>
      <c r="D181" s="7">
        <f t="shared" si="73"/>
        <v>5</v>
      </c>
      <c r="E181" s="61">
        <v>17.946000000000002</v>
      </c>
      <c r="F181" s="65">
        <v>53.16</v>
      </c>
      <c r="G181" s="2">
        <v>39.82</v>
      </c>
      <c r="H181" s="2">
        <v>11.05</v>
      </c>
      <c r="I181" s="2">
        <v>251.55</v>
      </c>
      <c r="J181" s="2">
        <v>22.66</v>
      </c>
      <c r="K181" s="2">
        <v>311.47000000000003</v>
      </c>
      <c r="L181" s="2">
        <v>114.99</v>
      </c>
      <c r="M181" s="144">
        <v>185.77</v>
      </c>
      <c r="N181" s="72">
        <f t="shared" si="74"/>
        <v>-4.3079228319911067E-3</v>
      </c>
      <c r="O181" s="73">
        <f t="shared" si="75"/>
        <v>-3.746676335508814E-2</v>
      </c>
      <c r="P181" s="73">
        <f t="shared" si="76"/>
        <v>-2.3851590106007015E-2</v>
      </c>
      <c r="Q181" s="73">
        <f t="shared" si="77"/>
        <v>-5.0073637702503615E-2</v>
      </c>
      <c r="R181" s="73">
        <f t="shared" si="78"/>
        <v>-7.8809106830122211E-3</v>
      </c>
      <c r="S181" s="73">
        <f t="shared" si="79"/>
        <v>-2.504147494287412E-2</v>
      </c>
      <c r="T181" s="73">
        <f t="shared" si="80"/>
        <v>3.572863577002261E-3</v>
      </c>
      <c r="U181" s="73">
        <f t="shared" si="81"/>
        <v>-1.2727500694124649E-2</v>
      </c>
      <c r="V181" s="148">
        <f t="shared" si="82"/>
        <v>56.814189923206591</v>
      </c>
      <c r="W181" s="149">
        <f t="shared" si="83"/>
        <v>38.895968092820887</v>
      </c>
      <c r="X181" s="149">
        <f t="shared" si="84"/>
        <v>13.9589222614841</v>
      </c>
      <c r="Y181" s="149">
        <f t="shared" si="85"/>
        <v>215.00633284241533</v>
      </c>
      <c r="Z181" s="149">
        <f t="shared" si="86"/>
        <v>13.651558669001751</v>
      </c>
      <c r="AA181" s="149">
        <f t="shared" si="87"/>
        <v>261.24013678905686</v>
      </c>
      <c r="AB181" s="149">
        <f t="shared" si="88"/>
        <v>2680.8465990481182</v>
      </c>
      <c r="AC181" s="150">
        <f t="shared" si="89"/>
        <v>3182.6066571906949</v>
      </c>
      <c r="AD181" s="157">
        <f t="shared" si="90"/>
        <v>4916.2015358682256</v>
      </c>
      <c r="AE181" s="19">
        <f t="shared" si="91"/>
        <v>43149.909354604628</v>
      </c>
      <c r="AF181" s="19">
        <f t="shared" si="92"/>
        <v>30287.703180212025</v>
      </c>
      <c r="AG181" s="19">
        <f t="shared" si="93"/>
        <v>43067.935198821746</v>
      </c>
      <c r="AH181" s="19">
        <f t="shared" si="94"/>
        <v>4847.3274956217019</v>
      </c>
      <c r="AI181" s="19">
        <f t="shared" si="95"/>
        <v>35562.275017998567</v>
      </c>
      <c r="AJ181" s="19">
        <f t="shared" si="96"/>
        <v>-2863.2597144355714</v>
      </c>
      <c r="AK181" s="158">
        <f t="shared" si="97"/>
        <v>10257.205702326246</v>
      </c>
      <c r="AL181" s="163">
        <f t="shared" si="98"/>
        <v>169225.29777101759</v>
      </c>
      <c r="AM181" s="20"/>
    </row>
    <row r="182" spans="1:39" x14ac:dyDescent="0.25">
      <c r="A182" s="13">
        <f t="shared" si="71"/>
        <v>177</v>
      </c>
      <c r="B182" s="1">
        <v>45068</v>
      </c>
      <c r="C182" s="7">
        <f t="shared" si="72"/>
        <v>2023</v>
      </c>
      <c r="D182" s="7">
        <f t="shared" si="73"/>
        <v>5</v>
      </c>
      <c r="E182" s="61">
        <v>17.879000000000001</v>
      </c>
      <c r="F182" s="65">
        <v>53.39</v>
      </c>
      <c r="G182" s="2">
        <v>41.37</v>
      </c>
      <c r="H182" s="2">
        <v>11.32</v>
      </c>
      <c r="I182" s="2">
        <v>264.81</v>
      </c>
      <c r="J182" s="2">
        <v>22.84</v>
      </c>
      <c r="K182" s="2">
        <v>319.47000000000003</v>
      </c>
      <c r="L182" s="2">
        <v>115.01</v>
      </c>
      <c r="M182" s="144">
        <v>188.87</v>
      </c>
      <c r="N182" s="72">
        <f t="shared" si="74"/>
        <v>-1.6939790093905338E-2</v>
      </c>
      <c r="O182" s="73">
        <f t="shared" si="75"/>
        <v>3.8664323374340892E-2</v>
      </c>
      <c r="P182" s="73">
        <f t="shared" si="76"/>
        <v>-1.565217391304341E-2</v>
      </c>
      <c r="Q182" s="73">
        <f t="shared" si="77"/>
        <v>-4.2970726418503746E-2</v>
      </c>
      <c r="R182" s="73">
        <f t="shared" si="78"/>
        <v>-1.7634408602150597E-2</v>
      </c>
      <c r="S182" s="73">
        <f t="shared" si="79"/>
        <v>2.2588235294118686E-3</v>
      </c>
      <c r="T182" s="73">
        <f t="shared" si="80"/>
        <v>-4.598161695741565E-3</v>
      </c>
      <c r="U182" s="73">
        <f t="shared" si="81"/>
        <v>5.4893505264054454E-2</v>
      </c>
      <c r="V182" s="148">
        <f t="shared" si="82"/>
        <v>56.093415577241764</v>
      </c>
      <c r="W182" s="149">
        <f t="shared" si="83"/>
        <v>41.97242530755711</v>
      </c>
      <c r="X182" s="149">
        <f t="shared" si="84"/>
        <v>14.07617391304348</v>
      </c>
      <c r="Y182" s="149">
        <f t="shared" si="85"/>
        <v>216.61400578243587</v>
      </c>
      <c r="Z182" s="149">
        <f t="shared" si="86"/>
        <v>13.517350537634407</v>
      </c>
      <c r="AA182" s="149">
        <f t="shared" si="87"/>
        <v>268.55525176470587</v>
      </c>
      <c r="AB182" s="149">
        <f t="shared" si="88"/>
        <v>2659.0193196265773</v>
      </c>
      <c r="AC182" s="150">
        <f t="shared" si="89"/>
        <v>3400.5921311907728</v>
      </c>
      <c r="AD182" s="157">
        <f t="shared" si="90"/>
        <v>19331.688455164767</v>
      </c>
      <c r="AE182" s="19">
        <f t="shared" si="91"/>
        <v>-44529.121265377726</v>
      </c>
      <c r="AF182" s="19">
        <f t="shared" si="92"/>
        <v>19875.756521739062</v>
      </c>
      <c r="AG182" s="19">
        <f t="shared" si="93"/>
        <v>36958.778026743712</v>
      </c>
      <c r="AH182" s="19">
        <f t="shared" si="94"/>
        <v>10846.43096774201</v>
      </c>
      <c r="AI182" s="19">
        <f t="shared" si="95"/>
        <v>-3207.8343529411823</v>
      </c>
      <c r="AJ182" s="19">
        <f t="shared" si="96"/>
        <v>3684.9241120266925</v>
      </c>
      <c r="AK182" s="158">
        <f t="shared" si="97"/>
        <v>-44239.162797693214</v>
      </c>
      <c r="AL182" s="163">
        <f t="shared" si="98"/>
        <v>-1278.5403325958687</v>
      </c>
      <c r="AM182" s="20"/>
    </row>
    <row r="183" spans="1:39" x14ac:dyDescent="0.25">
      <c r="A183" s="13">
        <f t="shared" si="71"/>
        <v>178</v>
      </c>
      <c r="B183" s="1">
        <v>45065</v>
      </c>
      <c r="C183" s="7">
        <f t="shared" si="72"/>
        <v>2023</v>
      </c>
      <c r="D183" s="7">
        <f t="shared" si="73"/>
        <v>5</v>
      </c>
      <c r="E183" s="61">
        <v>17.77</v>
      </c>
      <c r="F183" s="65">
        <v>54.31</v>
      </c>
      <c r="G183" s="2">
        <v>39.83</v>
      </c>
      <c r="H183" s="2">
        <v>11.5</v>
      </c>
      <c r="I183" s="2">
        <v>276.7</v>
      </c>
      <c r="J183" s="2">
        <v>23.25</v>
      </c>
      <c r="K183" s="2">
        <v>318.75</v>
      </c>
      <c r="L183" s="2">
        <v>116.25</v>
      </c>
      <c r="M183" s="144">
        <v>180.14</v>
      </c>
      <c r="N183" s="72">
        <f t="shared" si="74"/>
        <v>-1.7191458559536632E-2</v>
      </c>
      <c r="O183" s="73">
        <f t="shared" si="75"/>
        <v>2.5113008538424353E-4</v>
      </c>
      <c r="P183" s="73">
        <f t="shared" si="76"/>
        <v>-1.2027491408934776E-2</v>
      </c>
      <c r="Q183" s="73">
        <f t="shared" si="77"/>
        <v>2.5362318840578268E-3</v>
      </c>
      <c r="R183" s="73">
        <f t="shared" si="78"/>
        <v>-6.8346860316104152E-3</v>
      </c>
      <c r="S183" s="73">
        <f t="shared" si="79"/>
        <v>-2.8023418918094789E-2</v>
      </c>
      <c r="T183" s="73">
        <f t="shared" si="80"/>
        <v>-1.2357445602476202E-2</v>
      </c>
      <c r="U183" s="73">
        <f t="shared" si="81"/>
        <v>2.222720516374288E-2</v>
      </c>
      <c r="V183" s="148">
        <f t="shared" si="82"/>
        <v>56.079055374592841</v>
      </c>
      <c r="W183" s="149">
        <f t="shared" si="83"/>
        <v>40.420148166750373</v>
      </c>
      <c r="X183" s="149">
        <f t="shared" si="84"/>
        <v>14.128006872852234</v>
      </c>
      <c r="Y183" s="149">
        <f t="shared" si="85"/>
        <v>226.91405072463766</v>
      </c>
      <c r="Z183" s="149">
        <f t="shared" si="86"/>
        <v>13.66595472020504</v>
      </c>
      <c r="AA183" s="149">
        <f t="shared" si="87"/>
        <v>260.44112490089651</v>
      </c>
      <c r="AB183" s="149">
        <f t="shared" si="88"/>
        <v>2638.2919259042355</v>
      </c>
      <c r="AC183" s="150">
        <f t="shared" si="89"/>
        <v>3295.2878871870807</v>
      </c>
      <c r="AD183" s="157">
        <f t="shared" si="90"/>
        <v>19618.892508143232</v>
      </c>
      <c r="AE183" s="19">
        <f t="shared" si="91"/>
        <v>-289.22275238572229</v>
      </c>
      <c r="AF183" s="19">
        <f t="shared" si="92"/>
        <v>15272.989690721673</v>
      </c>
      <c r="AG183" s="19">
        <f t="shared" si="93"/>
        <v>-2181.3927536231004</v>
      </c>
      <c r="AH183" s="19">
        <f t="shared" si="94"/>
        <v>4203.8240068347131</v>
      </c>
      <c r="AI183" s="19">
        <f t="shared" si="95"/>
        <v>39797.038025248432</v>
      </c>
      <c r="AJ183" s="19">
        <f t="shared" si="96"/>
        <v>9903.1422287292116</v>
      </c>
      <c r="AK183" s="158">
        <f t="shared" si="97"/>
        <v>-17913.101796770206</v>
      </c>
      <c r="AL183" s="163">
        <f t="shared" si="98"/>
        <v>68412.169156898235</v>
      </c>
      <c r="AM183" s="20"/>
    </row>
    <row r="184" spans="1:39" x14ac:dyDescent="0.25">
      <c r="A184" s="13">
        <f t="shared" si="71"/>
        <v>179</v>
      </c>
      <c r="B184" s="1">
        <v>45064</v>
      </c>
      <c r="C184" s="7">
        <f t="shared" si="72"/>
        <v>2023</v>
      </c>
      <c r="D184" s="7">
        <f t="shared" si="73"/>
        <v>5</v>
      </c>
      <c r="E184" s="61">
        <v>17.702999999999999</v>
      </c>
      <c r="F184" s="65">
        <v>55.26</v>
      </c>
      <c r="G184" s="2">
        <v>39.82</v>
      </c>
      <c r="H184" s="2">
        <v>11.64</v>
      </c>
      <c r="I184" s="2">
        <v>276</v>
      </c>
      <c r="J184" s="2">
        <v>23.41</v>
      </c>
      <c r="K184" s="2">
        <v>327.94</v>
      </c>
      <c r="L184" s="2">
        <v>118.15</v>
      </c>
      <c r="M184" s="144">
        <v>176.89</v>
      </c>
      <c r="N184" s="72">
        <f t="shared" si="74"/>
        <v>4.362050163576825E-3</v>
      </c>
      <c r="O184" s="73">
        <f t="shared" si="75"/>
        <v>1.0055304172951196E-3</v>
      </c>
      <c r="P184" s="73">
        <f t="shared" si="76"/>
        <v>4.3140638481449223E-3</v>
      </c>
      <c r="Q184" s="73">
        <f t="shared" si="77"/>
        <v>-1.488382053753079E-2</v>
      </c>
      <c r="R184" s="73">
        <f t="shared" si="78"/>
        <v>1.3419913419913332E-2</v>
      </c>
      <c r="S184" s="73">
        <f t="shared" si="79"/>
        <v>6.1052308636293517E-3</v>
      </c>
      <c r="T184" s="73">
        <f t="shared" si="80"/>
        <v>2.969083568958486E-2</v>
      </c>
      <c r="U184" s="73">
        <f t="shared" si="81"/>
        <v>2.4138546512101788E-2</v>
      </c>
      <c r="V184" s="148">
        <f t="shared" si="82"/>
        <v>57.308898582333697</v>
      </c>
      <c r="W184" s="149">
        <f t="shared" si="83"/>
        <v>40.450633484162893</v>
      </c>
      <c r="X184" s="149">
        <f t="shared" si="84"/>
        <v>14.361691113028472</v>
      </c>
      <c r="Y184" s="149">
        <f t="shared" si="85"/>
        <v>222.97119605953529</v>
      </c>
      <c r="Z184" s="149">
        <f t="shared" si="86"/>
        <v>13.944658008658008</v>
      </c>
      <c r="AA184" s="149">
        <f t="shared" si="87"/>
        <v>269.58589660990947</v>
      </c>
      <c r="AB184" s="149">
        <f t="shared" si="88"/>
        <v>2750.6156006355932</v>
      </c>
      <c r="AC184" s="150">
        <f t="shared" si="89"/>
        <v>3301.4493549720414</v>
      </c>
      <c r="AD184" s="157">
        <f t="shared" si="90"/>
        <v>-4977.9716466738937</v>
      </c>
      <c r="AE184" s="19">
        <f t="shared" si="91"/>
        <v>-1158.0542986425398</v>
      </c>
      <c r="AF184" s="19">
        <f t="shared" si="92"/>
        <v>-5478.1708369282815</v>
      </c>
      <c r="AG184" s="19">
        <f t="shared" si="93"/>
        <v>12801.45497376592</v>
      </c>
      <c r="AH184" s="19">
        <f t="shared" si="94"/>
        <v>-8254.2129870129702</v>
      </c>
      <c r="AI184" s="19">
        <f t="shared" si="95"/>
        <v>-8670.252032520244</v>
      </c>
      <c r="AJ184" s="19">
        <f t="shared" si="96"/>
        <v>-23793.960190678081</v>
      </c>
      <c r="AK184" s="158">
        <f t="shared" si="97"/>
        <v>-19453.468743010377</v>
      </c>
      <c r="AL184" s="163">
        <f t="shared" si="98"/>
        <v>-58984.635761700469</v>
      </c>
      <c r="AM184" s="20"/>
    </row>
    <row r="185" spans="1:39" x14ac:dyDescent="0.25">
      <c r="A185" s="13">
        <f t="shared" si="71"/>
        <v>180</v>
      </c>
      <c r="B185" s="1">
        <v>45063</v>
      </c>
      <c r="C185" s="7">
        <f t="shared" si="72"/>
        <v>2023</v>
      </c>
      <c r="D185" s="7">
        <f t="shared" si="73"/>
        <v>5</v>
      </c>
      <c r="E185" s="61">
        <v>17.587</v>
      </c>
      <c r="F185" s="65">
        <v>55.02</v>
      </c>
      <c r="G185" s="2">
        <v>39.78</v>
      </c>
      <c r="H185" s="2">
        <v>11.59</v>
      </c>
      <c r="I185" s="2">
        <v>280.17</v>
      </c>
      <c r="J185" s="2">
        <v>23.1</v>
      </c>
      <c r="K185" s="2">
        <v>325.95</v>
      </c>
      <c r="L185" s="2">
        <v>115.5</v>
      </c>
      <c r="M185" s="144">
        <v>173.86</v>
      </c>
      <c r="N185" s="72">
        <f t="shared" si="74"/>
        <v>-2.3572076155937705E-3</v>
      </c>
      <c r="O185" s="73">
        <f t="shared" si="75"/>
        <v>7.5471698113216412E-4</v>
      </c>
      <c r="P185" s="73">
        <f t="shared" si="76"/>
        <v>5.2038161318299636E-3</v>
      </c>
      <c r="Q185" s="73">
        <f t="shared" si="77"/>
        <v>6.5023710303204751E-3</v>
      </c>
      <c r="R185" s="73">
        <f t="shared" si="78"/>
        <v>2.1671826625387025E-2</v>
      </c>
      <c r="S185" s="73">
        <f t="shared" si="79"/>
        <v>1.0071273628757371E-2</v>
      </c>
      <c r="T185" s="73">
        <f t="shared" si="80"/>
        <v>2.4284377011961622E-2</v>
      </c>
      <c r="U185" s="73">
        <f t="shared" si="81"/>
        <v>4.9989345152554154E-2</v>
      </c>
      <c r="V185" s="148">
        <f t="shared" si="82"/>
        <v>56.925497733454222</v>
      </c>
      <c r="W185" s="149">
        <f t="shared" si="83"/>
        <v>40.440498113207546</v>
      </c>
      <c r="X185" s="149">
        <f t="shared" si="84"/>
        <v>14.37441457068517</v>
      </c>
      <c r="Y185" s="149">
        <f t="shared" si="85"/>
        <v>227.81174665900275</v>
      </c>
      <c r="Z185" s="149">
        <f t="shared" si="86"/>
        <v>14.058204334365325</v>
      </c>
      <c r="AA185" s="149">
        <f t="shared" si="87"/>
        <v>270.64859776882554</v>
      </c>
      <c r="AB185" s="149">
        <f t="shared" si="88"/>
        <v>2736.1733145945573</v>
      </c>
      <c r="AC185" s="150">
        <f t="shared" si="89"/>
        <v>3384.7829066557397</v>
      </c>
      <c r="AD185" s="157">
        <f t="shared" si="90"/>
        <v>2690.0453309156092</v>
      </c>
      <c r="AE185" s="19">
        <f t="shared" si="91"/>
        <v>-869.19622641516628</v>
      </c>
      <c r="AF185" s="19">
        <f t="shared" si="92"/>
        <v>-6608.0138768430361</v>
      </c>
      <c r="AG185" s="19">
        <f t="shared" si="93"/>
        <v>-5592.6373042104387</v>
      </c>
      <c r="AH185" s="19">
        <f t="shared" si="94"/>
        <v>-13329.733746130023</v>
      </c>
      <c r="AI185" s="19">
        <f t="shared" si="95"/>
        <v>-14302.568174775417</v>
      </c>
      <c r="AJ185" s="19">
        <f t="shared" si="96"/>
        <v>-19461.274378367307</v>
      </c>
      <c r="AK185" s="158">
        <f t="shared" si="97"/>
        <v>-40286.856663934945</v>
      </c>
      <c r="AL185" s="163">
        <f t="shared" si="98"/>
        <v>-97760.235039760722</v>
      </c>
      <c r="AM185" s="20"/>
    </row>
    <row r="186" spans="1:39" x14ac:dyDescent="0.25">
      <c r="A186" s="13">
        <f t="shared" si="71"/>
        <v>181</v>
      </c>
      <c r="B186" s="1">
        <v>45062</v>
      </c>
      <c r="C186" s="7">
        <f t="shared" si="72"/>
        <v>2023</v>
      </c>
      <c r="D186" s="7">
        <f t="shared" si="73"/>
        <v>5</v>
      </c>
      <c r="E186" s="61">
        <v>17.488</v>
      </c>
      <c r="F186" s="65">
        <v>55.15</v>
      </c>
      <c r="G186" s="2">
        <v>39.75</v>
      </c>
      <c r="H186" s="2">
        <v>11.53</v>
      </c>
      <c r="I186" s="2">
        <v>278.36</v>
      </c>
      <c r="J186" s="2">
        <v>22.61</v>
      </c>
      <c r="K186" s="2">
        <v>322.7</v>
      </c>
      <c r="L186" s="2">
        <v>113.4</v>
      </c>
      <c r="M186" s="144">
        <v>166.52</v>
      </c>
      <c r="N186" s="72">
        <f t="shared" si="74"/>
        <v>-1.0867596449919414E-3</v>
      </c>
      <c r="O186" s="73">
        <f t="shared" si="75"/>
        <v>-7.4906367041197575E-3</v>
      </c>
      <c r="P186" s="73">
        <f t="shared" si="76"/>
        <v>8.7489063867016714E-3</v>
      </c>
      <c r="Q186" s="73">
        <f t="shared" si="77"/>
        <v>-1.3397604026369803E-2</v>
      </c>
      <c r="R186" s="73">
        <f t="shared" si="78"/>
        <v>2.6793823796548599E-2</v>
      </c>
      <c r="S186" s="73">
        <f t="shared" si="79"/>
        <v>-6.3125481139337802E-3</v>
      </c>
      <c r="T186" s="73">
        <f t="shared" si="80"/>
        <v>2.294284797010393E-2</v>
      </c>
      <c r="U186" s="73">
        <f t="shared" si="81"/>
        <v>4.122502940283157E-3</v>
      </c>
      <c r="V186" s="148">
        <f t="shared" si="82"/>
        <v>56.997989494656764</v>
      </c>
      <c r="W186" s="149">
        <f t="shared" si="83"/>
        <v>40.107303370786518</v>
      </c>
      <c r="X186" s="149">
        <f t="shared" si="84"/>
        <v>14.425109361329834</v>
      </c>
      <c r="Y186" s="149">
        <f t="shared" si="85"/>
        <v>223.30758630467147</v>
      </c>
      <c r="Z186" s="149">
        <f t="shared" si="86"/>
        <v>14.128683015440508</v>
      </c>
      <c r="AA186" s="149">
        <f t="shared" si="87"/>
        <v>266.25855273287141</v>
      </c>
      <c r="AB186" s="149">
        <f t="shared" si="88"/>
        <v>2732.5896848453735</v>
      </c>
      <c r="AC186" s="150">
        <f t="shared" si="89"/>
        <v>3236.9249267447012</v>
      </c>
      <c r="AD186" s="157">
        <f t="shared" si="90"/>
        <v>1240.2101068647653</v>
      </c>
      <c r="AE186" s="19">
        <f t="shared" si="91"/>
        <v>8626.853932584143</v>
      </c>
      <c r="AF186" s="19">
        <f t="shared" si="92"/>
        <v>-11109.711286089238</v>
      </c>
      <c r="AG186" s="19">
        <f t="shared" si="93"/>
        <v>11523.17204224841</v>
      </c>
      <c r="AH186" s="19">
        <f t="shared" si="94"/>
        <v>-16480.13079019072</v>
      </c>
      <c r="AI186" s="19">
        <f t="shared" si="95"/>
        <v>8964.6705157814777</v>
      </c>
      <c r="AJ186" s="19">
        <f t="shared" si="96"/>
        <v>-18386.18545361219</v>
      </c>
      <c r="AK186" s="158">
        <f t="shared" si="97"/>
        <v>-3322.3616861753271</v>
      </c>
      <c r="AL186" s="163">
        <f t="shared" si="98"/>
        <v>-18943.482618588678</v>
      </c>
      <c r="AM186" s="20"/>
    </row>
    <row r="187" spans="1:39" x14ac:dyDescent="0.25">
      <c r="A187" s="13">
        <f t="shared" si="71"/>
        <v>182</v>
      </c>
      <c r="B187" s="1">
        <v>45061</v>
      </c>
      <c r="C187" s="7">
        <f t="shared" si="72"/>
        <v>2023</v>
      </c>
      <c r="D187" s="7">
        <f t="shared" si="73"/>
        <v>5</v>
      </c>
      <c r="E187" s="61">
        <v>17.434000000000001</v>
      </c>
      <c r="F187" s="65">
        <v>55.21</v>
      </c>
      <c r="G187" s="2">
        <v>40.049999999999997</v>
      </c>
      <c r="H187" s="2">
        <v>11.43</v>
      </c>
      <c r="I187" s="2">
        <v>282.14</v>
      </c>
      <c r="J187" s="2">
        <v>22.02</v>
      </c>
      <c r="K187" s="2">
        <v>324.75</v>
      </c>
      <c r="L187" s="2">
        <v>111.2</v>
      </c>
      <c r="M187" s="144">
        <v>166.35</v>
      </c>
      <c r="N187" s="72">
        <f t="shared" si="74"/>
        <v>4.9144521295960697E-3</v>
      </c>
      <c r="O187" s="73">
        <f t="shared" si="75"/>
        <v>1.4694704839118167E-2</v>
      </c>
      <c r="P187" s="73">
        <f t="shared" si="76"/>
        <v>-1.380500431406384E-2</v>
      </c>
      <c r="Q187" s="73">
        <f t="shared" si="77"/>
        <v>4.8029419412354724E-2</v>
      </c>
      <c r="R187" s="73">
        <f t="shared" si="78"/>
        <v>4.1627246925260097E-2</v>
      </c>
      <c r="S187" s="73">
        <f t="shared" si="79"/>
        <v>1.3039273793555184E-2</v>
      </c>
      <c r="T187" s="73">
        <f t="shared" si="80"/>
        <v>9.2722082102758563E-5</v>
      </c>
      <c r="U187" s="73">
        <f t="shared" si="81"/>
        <v>-1.7983701096753402E-2</v>
      </c>
      <c r="V187" s="148">
        <f t="shared" si="82"/>
        <v>57.340418638514755</v>
      </c>
      <c r="W187" s="149">
        <f t="shared" si="83"/>
        <v>41.003813022548762</v>
      </c>
      <c r="X187" s="149">
        <f t="shared" si="84"/>
        <v>14.102588438308889</v>
      </c>
      <c r="Y187" s="149">
        <f t="shared" si="85"/>
        <v>237.21097878979236</v>
      </c>
      <c r="Z187" s="149">
        <f t="shared" si="86"/>
        <v>14.332790917691579</v>
      </c>
      <c r="AA187" s="149">
        <f t="shared" si="87"/>
        <v>271.44387341298312</v>
      </c>
      <c r="AB187" s="149">
        <f t="shared" si="88"/>
        <v>2671.5500887204535</v>
      </c>
      <c r="AC187" s="150">
        <f t="shared" si="89"/>
        <v>3165.6625830827907</v>
      </c>
      <c r="AD187" s="157">
        <f t="shared" si="90"/>
        <v>-5608.3727702950628</v>
      </c>
      <c r="AE187" s="19">
        <f t="shared" si="91"/>
        <v>-16923.671142639814</v>
      </c>
      <c r="AF187" s="19">
        <f t="shared" si="92"/>
        <v>17530.146678170753</v>
      </c>
      <c r="AG187" s="19">
        <f t="shared" si="93"/>
        <v>-41309.719401210968</v>
      </c>
      <c r="AH187" s="19">
        <f t="shared" si="94"/>
        <v>-25603.754020813583</v>
      </c>
      <c r="AI187" s="19">
        <f t="shared" si="95"/>
        <v>-18517.529088810614</v>
      </c>
      <c r="AJ187" s="19">
        <f t="shared" si="96"/>
        <v>-74.306616136163939</v>
      </c>
      <c r="AK187" s="158">
        <f t="shared" si="97"/>
        <v>14493.224229302314</v>
      </c>
      <c r="AL187" s="163">
        <f t="shared" si="98"/>
        <v>-76013.982132433128</v>
      </c>
      <c r="AM187" s="20"/>
    </row>
    <row r="188" spans="1:39" x14ac:dyDescent="0.25">
      <c r="A188" s="13">
        <f t="shared" si="71"/>
        <v>183</v>
      </c>
      <c r="B188" s="1">
        <v>45058</v>
      </c>
      <c r="C188" s="7">
        <f t="shared" si="72"/>
        <v>2023</v>
      </c>
      <c r="D188" s="7">
        <f t="shared" si="73"/>
        <v>5</v>
      </c>
      <c r="E188" s="61">
        <v>17.581</v>
      </c>
      <c r="F188" s="65">
        <v>54.94</v>
      </c>
      <c r="G188" s="2">
        <v>39.47</v>
      </c>
      <c r="H188" s="2">
        <v>11.59</v>
      </c>
      <c r="I188" s="2">
        <v>269.20999999999998</v>
      </c>
      <c r="J188" s="2">
        <v>21.14</v>
      </c>
      <c r="K188" s="2">
        <v>320.57</v>
      </c>
      <c r="L188" s="2">
        <v>110.26</v>
      </c>
      <c r="M188" s="144">
        <v>167.98</v>
      </c>
      <c r="N188" s="72">
        <f t="shared" si="74"/>
        <v>-3.639010189229186E-4</v>
      </c>
      <c r="O188" s="73">
        <f t="shared" si="75"/>
        <v>-7.5949367088612441E-4</v>
      </c>
      <c r="P188" s="73">
        <f t="shared" si="76"/>
        <v>-4.2955326460482057E-3</v>
      </c>
      <c r="Q188" s="73">
        <f t="shared" si="77"/>
        <v>-2.6673582039788979E-3</v>
      </c>
      <c r="R188" s="73">
        <f t="shared" si="78"/>
        <v>-9.3720712277413076E-3</v>
      </c>
      <c r="S188" s="73">
        <f t="shared" si="79"/>
        <v>-2.9237037728220283E-3</v>
      </c>
      <c r="T188" s="73">
        <f t="shared" si="80"/>
        <v>-1.6667898147652127E-2</v>
      </c>
      <c r="U188" s="73">
        <f t="shared" si="81"/>
        <v>-2.3381730240352727E-2</v>
      </c>
      <c r="V188" s="148">
        <f t="shared" si="82"/>
        <v>57.039235807860258</v>
      </c>
      <c r="W188" s="149">
        <f t="shared" si="83"/>
        <v>40.379308860759487</v>
      </c>
      <c r="X188" s="149">
        <f t="shared" si="84"/>
        <v>14.238573883161511</v>
      </c>
      <c r="Y188" s="149">
        <f t="shared" si="85"/>
        <v>225.73627014411142</v>
      </c>
      <c r="Z188" s="149">
        <f t="shared" si="86"/>
        <v>13.63104029990628</v>
      </c>
      <c r="AA188" s="149">
        <f t="shared" si="87"/>
        <v>267.16659357407235</v>
      </c>
      <c r="AB188" s="149">
        <f t="shared" si="88"/>
        <v>2626.7774036752207</v>
      </c>
      <c r="AC188" s="150">
        <f t="shared" si="89"/>
        <v>3148.2613048134099</v>
      </c>
      <c r="AD188" s="157">
        <f t="shared" si="90"/>
        <v>415.28384279487796</v>
      </c>
      <c r="AE188" s="19">
        <f t="shared" si="91"/>
        <v>874.69746835452963</v>
      </c>
      <c r="AF188" s="19">
        <f t="shared" si="92"/>
        <v>5454.6391752579093</v>
      </c>
      <c r="AG188" s="19">
        <f t="shared" si="93"/>
        <v>2294.1734523766345</v>
      </c>
      <c r="AH188" s="19">
        <f t="shared" si="94"/>
        <v>5764.498594189281</v>
      </c>
      <c r="AI188" s="19">
        <f t="shared" si="95"/>
        <v>4152.0540574164788</v>
      </c>
      <c r="AJ188" s="19">
        <f t="shared" si="96"/>
        <v>13357.498897433652</v>
      </c>
      <c r="AK188" s="158">
        <f t="shared" si="97"/>
        <v>18843.543796647507</v>
      </c>
      <c r="AL188" s="163">
        <f t="shared" si="98"/>
        <v>51156.389284470868</v>
      </c>
      <c r="AM188" s="20"/>
    </row>
    <row r="189" spans="1:39" x14ac:dyDescent="0.25">
      <c r="A189" s="13">
        <f t="shared" si="71"/>
        <v>184</v>
      </c>
      <c r="B189" s="1">
        <v>45057</v>
      </c>
      <c r="C189" s="7">
        <f t="shared" si="72"/>
        <v>2023</v>
      </c>
      <c r="D189" s="7">
        <f t="shared" si="73"/>
        <v>5</v>
      </c>
      <c r="E189" s="61">
        <v>17.573</v>
      </c>
      <c r="F189" s="65">
        <v>54.96</v>
      </c>
      <c r="G189" s="2">
        <v>39.5</v>
      </c>
      <c r="H189" s="2">
        <v>11.64</v>
      </c>
      <c r="I189" s="2">
        <v>269.93</v>
      </c>
      <c r="J189" s="2">
        <v>21.34</v>
      </c>
      <c r="K189" s="2">
        <v>321.51</v>
      </c>
      <c r="L189" s="2">
        <v>112.18</v>
      </c>
      <c r="M189" s="144">
        <v>172.08</v>
      </c>
      <c r="N189" s="72">
        <f t="shared" si="74"/>
        <v>-8.3002526163840074E-3</v>
      </c>
      <c r="O189" s="73">
        <f t="shared" si="75"/>
        <v>-5.0377833753149082E-3</v>
      </c>
      <c r="P189" s="73">
        <f t="shared" si="76"/>
        <v>6.9204152249136008E-3</v>
      </c>
      <c r="Q189" s="73">
        <f t="shared" si="77"/>
        <v>-3.9531739254198728E-2</v>
      </c>
      <c r="R189" s="73">
        <f t="shared" si="78"/>
        <v>5.1813471502590858E-3</v>
      </c>
      <c r="S189" s="73">
        <f t="shared" si="79"/>
        <v>-6.9802637674892809E-3</v>
      </c>
      <c r="T189" s="73">
        <f t="shared" si="80"/>
        <v>1.9597262836283047E-2</v>
      </c>
      <c r="U189" s="73">
        <f t="shared" si="81"/>
        <v>2.2545910329281549E-2</v>
      </c>
      <c r="V189" s="148">
        <f t="shared" si="82"/>
        <v>56.586387585709133</v>
      </c>
      <c r="W189" s="149">
        <f t="shared" si="83"/>
        <v>40.206423173803522</v>
      </c>
      <c r="X189" s="149">
        <f t="shared" si="84"/>
        <v>14.398961937716265</v>
      </c>
      <c r="Y189" s="149">
        <f t="shared" si="85"/>
        <v>217.39238613720465</v>
      </c>
      <c r="Z189" s="149">
        <f t="shared" si="86"/>
        <v>13.831295336787564</v>
      </c>
      <c r="AA189" s="149">
        <f t="shared" si="87"/>
        <v>266.07963832350123</v>
      </c>
      <c r="AB189" s="149">
        <f t="shared" si="88"/>
        <v>2723.6526152479933</v>
      </c>
      <c r="AC189" s="150">
        <f t="shared" si="89"/>
        <v>3296.3152764663705</v>
      </c>
      <c r="AD189" s="157">
        <f t="shared" si="90"/>
        <v>9472.2482858173862</v>
      </c>
      <c r="AE189" s="19">
        <f t="shared" si="91"/>
        <v>5801.9395465995312</v>
      </c>
      <c r="AF189" s="19">
        <f t="shared" si="92"/>
        <v>-8787.8200692043065</v>
      </c>
      <c r="AG189" s="19">
        <f t="shared" si="93"/>
        <v>34000.932678622332</v>
      </c>
      <c r="AH189" s="19">
        <f t="shared" si="94"/>
        <v>-3186.9015544041181</v>
      </c>
      <c r="AI189" s="19">
        <f t="shared" si="95"/>
        <v>9912.9168854434283</v>
      </c>
      <c r="AJ189" s="19">
        <f t="shared" si="96"/>
        <v>-15705.064574398102</v>
      </c>
      <c r="AK189" s="158">
        <f t="shared" si="97"/>
        <v>-18169.949116592648</v>
      </c>
      <c r="AL189" s="163">
        <f t="shared" si="98"/>
        <v>13338.302081883503</v>
      </c>
      <c r="AM189" s="20"/>
    </row>
    <row r="190" spans="1:39" x14ac:dyDescent="0.25">
      <c r="A190" s="13">
        <f t="shared" si="71"/>
        <v>185</v>
      </c>
      <c r="B190" s="1">
        <v>45056</v>
      </c>
      <c r="C190" s="7">
        <f t="shared" si="72"/>
        <v>2023</v>
      </c>
      <c r="D190" s="7">
        <f t="shared" si="73"/>
        <v>5</v>
      </c>
      <c r="E190" s="61">
        <v>17.546500000000002</v>
      </c>
      <c r="F190" s="65">
        <v>55.42</v>
      </c>
      <c r="G190" s="2">
        <v>39.700000000000003</v>
      </c>
      <c r="H190" s="2">
        <v>11.56</v>
      </c>
      <c r="I190" s="2">
        <v>281.04000000000002</v>
      </c>
      <c r="J190" s="2">
        <v>21.23</v>
      </c>
      <c r="K190" s="2">
        <v>323.77</v>
      </c>
      <c r="L190" s="2">
        <v>110.19</v>
      </c>
      <c r="M190" s="144">
        <v>168.54</v>
      </c>
      <c r="N190" s="72">
        <f t="shared" si="74"/>
        <v>1.4456089627754576E-3</v>
      </c>
      <c r="O190" s="73">
        <f t="shared" si="75"/>
        <v>9.6642929806713962E-3</v>
      </c>
      <c r="P190" s="73">
        <f t="shared" si="76"/>
        <v>-3.2635983263598178E-2</v>
      </c>
      <c r="Q190" s="73">
        <f t="shared" si="77"/>
        <v>-1.3148075761344469E-3</v>
      </c>
      <c r="R190" s="73">
        <f t="shared" si="78"/>
        <v>1.4333492594362118E-2</v>
      </c>
      <c r="S190" s="73">
        <f t="shared" si="79"/>
        <v>4.2182314444338953E-3</v>
      </c>
      <c r="T190" s="73">
        <f t="shared" si="80"/>
        <v>2.1807430006558493E-2</v>
      </c>
      <c r="U190" s="73">
        <f t="shared" si="81"/>
        <v>-1.4863208281687634E-2</v>
      </c>
      <c r="V190" s="148">
        <f t="shared" si="82"/>
        <v>57.142486447415969</v>
      </c>
      <c r="W190" s="149">
        <f t="shared" si="83"/>
        <v>40.800534079348928</v>
      </c>
      <c r="X190" s="149">
        <f t="shared" si="84"/>
        <v>13.833305439330546</v>
      </c>
      <c r="Y190" s="149">
        <f t="shared" si="85"/>
        <v>226.04240645321772</v>
      </c>
      <c r="Z190" s="149">
        <f t="shared" si="86"/>
        <v>13.957228858098423</v>
      </c>
      <c r="AA190" s="149">
        <f t="shared" si="87"/>
        <v>269.08027511553604</v>
      </c>
      <c r="AB190" s="149">
        <f t="shared" si="88"/>
        <v>2729.5566401143515</v>
      </c>
      <c r="AC190" s="150">
        <f t="shared" si="89"/>
        <v>3175.7219144365217</v>
      </c>
      <c r="AD190" s="157">
        <f t="shared" si="90"/>
        <v>-1649.7289483193356</v>
      </c>
      <c r="AE190" s="19">
        <f t="shared" si="91"/>
        <v>-11130.221261444551</v>
      </c>
      <c r="AF190" s="19">
        <f t="shared" si="92"/>
        <v>41442.476987447546</v>
      </c>
      <c r="AG190" s="19">
        <f t="shared" si="93"/>
        <v>1130.855477772667</v>
      </c>
      <c r="AH190" s="19">
        <f t="shared" si="94"/>
        <v>-8816.1299569995263</v>
      </c>
      <c r="AI190" s="19">
        <f t="shared" si="95"/>
        <v>-5990.4581123410708</v>
      </c>
      <c r="AJ190" s="19">
        <f t="shared" si="96"/>
        <v>-17476.272034305566</v>
      </c>
      <c r="AK190" s="158">
        <f t="shared" si="97"/>
        <v>11978.391390869547</v>
      </c>
      <c r="AL190" s="163">
        <f t="shared" si="98"/>
        <v>9488.9135426797075</v>
      </c>
      <c r="AM190" s="20"/>
    </row>
    <row r="191" spans="1:39" x14ac:dyDescent="0.25">
      <c r="A191" s="13">
        <f t="shared" si="71"/>
        <v>186</v>
      </c>
      <c r="B191" s="1">
        <v>45055</v>
      </c>
      <c r="C191" s="7">
        <f t="shared" si="72"/>
        <v>2023</v>
      </c>
      <c r="D191" s="7">
        <f t="shared" si="73"/>
        <v>5</v>
      </c>
      <c r="E191" s="61">
        <v>17.747</v>
      </c>
      <c r="F191" s="65">
        <v>55.34</v>
      </c>
      <c r="G191" s="2">
        <v>39.32</v>
      </c>
      <c r="H191" s="2">
        <v>11.95</v>
      </c>
      <c r="I191" s="2">
        <v>281.41000000000003</v>
      </c>
      <c r="J191" s="2">
        <v>20.93</v>
      </c>
      <c r="K191" s="2">
        <v>322.41000000000003</v>
      </c>
      <c r="L191" s="2">
        <v>106.62</v>
      </c>
      <c r="M191" s="144">
        <v>169.15</v>
      </c>
      <c r="N191" s="72">
        <f t="shared" si="74"/>
        <v>7.4640451483707349E-3</v>
      </c>
      <c r="O191" s="73">
        <f t="shared" si="75"/>
        <v>7.4301819113502532E-3</v>
      </c>
      <c r="P191" s="73">
        <f t="shared" si="76"/>
        <v>2.7515047291487349E-2</v>
      </c>
      <c r="Q191" s="73">
        <f t="shared" si="77"/>
        <v>1.5993934580114111E-2</v>
      </c>
      <c r="R191" s="73">
        <f t="shared" si="78"/>
        <v>-1.2269938650306789E-2</v>
      </c>
      <c r="S191" s="73">
        <f t="shared" si="79"/>
        <v>9.0132381935970063E-3</v>
      </c>
      <c r="T191" s="73">
        <f t="shared" si="80"/>
        <v>5.0296707038668398E-3</v>
      </c>
      <c r="U191" s="73">
        <f t="shared" si="81"/>
        <v>-1.7747543383179853E-2</v>
      </c>
      <c r="V191" s="148">
        <f t="shared" si="82"/>
        <v>57.485898416166037</v>
      </c>
      <c r="W191" s="149">
        <f t="shared" si="83"/>
        <v>40.710253651037661</v>
      </c>
      <c r="X191" s="149">
        <f t="shared" si="84"/>
        <v>14.693465176268269</v>
      </c>
      <c r="Y191" s="149">
        <f t="shared" si="85"/>
        <v>229.96006715286302</v>
      </c>
      <c r="Z191" s="149">
        <f t="shared" si="86"/>
        <v>13.591165644171779</v>
      </c>
      <c r="AA191" s="149">
        <f t="shared" si="87"/>
        <v>270.36509717397433</v>
      </c>
      <c r="AB191" s="149">
        <f t="shared" si="88"/>
        <v>2684.7381714224489</v>
      </c>
      <c r="AC191" s="150">
        <f t="shared" si="89"/>
        <v>3166.4238694671421</v>
      </c>
      <c r="AD191" s="157">
        <f t="shared" si="90"/>
        <v>-8517.9683233207015</v>
      </c>
      <c r="AE191" s="19">
        <f t="shared" si="91"/>
        <v>-8557.229054573434</v>
      </c>
      <c r="AF191" s="19">
        <f t="shared" si="92"/>
        <v>-34939.70765262223</v>
      </c>
      <c r="AG191" s="19">
        <f t="shared" si="93"/>
        <v>-13756.255180879458</v>
      </c>
      <c r="AH191" s="19">
        <f t="shared" si="94"/>
        <v>7546.8957055214605</v>
      </c>
      <c r="AI191" s="19">
        <f t="shared" si="95"/>
        <v>-12800.015022064032</v>
      </c>
      <c r="AJ191" s="19">
        <f t="shared" si="96"/>
        <v>-4030.731426734792</v>
      </c>
      <c r="AK191" s="158">
        <f t="shared" si="97"/>
        <v>14302.902633214444</v>
      </c>
      <c r="AL191" s="163">
        <f t="shared" si="98"/>
        <v>-60752.108321458742</v>
      </c>
      <c r="AM191" s="20"/>
    </row>
    <row r="192" spans="1:39" x14ac:dyDescent="0.25">
      <c r="A192" s="13">
        <f t="shared" si="71"/>
        <v>187</v>
      </c>
      <c r="B192" s="1">
        <v>45054</v>
      </c>
      <c r="C192" s="7">
        <f t="shared" si="72"/>
        <v>2023</v>
      </c>
      <c r="D192" s="7">
        <f t="shared" si="73"/>
        <v>5</v>
      </c>
      <c r="E192" s="61">
        <v>17.79</v>
      </c>
      <c r="F192" s="65">
        <v>54.93</v>
      </c>
      <c r="G192" s="2">
        <v>39.03</v>
      </c>
      <c r="H192" s="2">
        <v>11.63</v>
      </c>
      <c r="I192" s="2">
        <v>276.98</v>
      </c>
      <c r="J192" s="2">
        <v>21.19</v>
      </c>
      <c r="K192" s="2">
        <v>319.52999999999997</v>
      </c>
      <c r="L192" s="2">
        <v>105.83</v>
      </c>
      <c r="M192" s="144">
        <v>171.79</v>
      </c>
      <c r="N192" s="72">
        <f t="shared" si="74"/>
        <v>2.3722627737225999E-3</v>
      </c>
      <c r="O192" s="73">
        <f t="shared" si="75"/>
        <v>-2.5555839509328049E-3</v>
      </c>
      <c r="P192" s="73">
        <f t="shared" si="76"/>
        <v>-3.4275921165380918E-3</v>
      </c>
      <c r="Q192" s="73">
        <f t="shared" si="77"/>
        <v>2.8594771241830186E-2</v>
      </c>
      <c r="R192" s="73">
        <f t="shared" si="78"/>
        <v>1.7282765242438991E-2</v>
      </c>
      <c r="S192" s="73">
        <f t="shared" si="79"/>
        <v>1.5832141154029422E-2</v>
      </c>
      <c r="T192" s="73">
        <f t="shared" si="80"/>
        <v>4.2439849276645347E-3</v>
      </c>
      <c r="U192" s="73">
        <f t="shared" si="81"/>
        <v>1.2734603440146097E-2</v>
      </c>
      <c r="V192" s="148">
        <f t="shared" si="82"/>
        <v>57.195361313868617</v>
      </c>
      <c r="W192" s="149">
        <f t="shared" si="83"/>
        <v>40.306728852542804</v>
      </c>
      <c r="X192" s="149">
        <f t="shared" si="84"/>
        <v>14.250985432733506</v>
      </c>
      <c r="Y192" s="149">
        <f t="shared" si="85"/>
        <v>232.81214052287584</v>
      </c>
      <c r="Z192" s="149">
        <f t="shared" si="86"/>
        <v>13.997810849735961</v>
      </c>
      <c r="AA192" s="149">
        <f t="shared" si="87"/>
        <v>272.1922222222222</v>
      </c>
      <c r="AB192" s="149">
        <f t="shared" si="88"/>
        <v>2682.6393671228338</v>
      </c>
      <c r="AC192" s="150">
        <f t="shared" si="89"/>
        <v>3264.6871994733851</v>
      </c>
      <c r="AD192" s="157">
        <f t="shared" si="90"/>
        <v>-2707.2262773722855</v>
      </c>
      <c r="AE192" s="19">
        <f t="shared" si="91"/>
        <v>2943.2277025299882</v>
      </c>
      <c r="AF192" s="19">
        <f t="shared" si="92"/>
        <v>4352.4935732647364</v>
      </c>
      <c r="AG192" s="19">
        <f t="shared" si="93"/>
        <v>-24594.133986928166</v>
      </c>
      <c r="AH192" s="19">
        <f t="shared" si="94"/>
        <v>-10630.144983197466</v>
      </c>
      <c r="AI192" s="19">
        <f t="shared" si="95"/>
        <v>-22483.777777777716</v>
      </c>
      <c r="AJ192" s="19">
        <f t="shared" si="96"/>
        <v>-3401.09013685028</v>
      </c>
      <c r="AK192" s="158">
        <f t="shared" si="97"/>
        <v>-10262.929868346306</v>
      </c>
      <c r="AL192" s="163">
        <f t="shared" si="98"/>
        <v>-66783.581754677492</v>
      </c>
      <c r="AM192" s="20"/>
    </row>
    <row r="193" spans="1:39" x14ac:dyDescent="0.25">
      <c r="A193" s="13">
        <f t="shared" si="71"/>
        <v>188</v>
      </c>
      <c r="B193" s="1">
        <v>45051</v>
      </c>
      <c r="C193" s="7">
        <f t="shared" si="72"/>
        <v>2023</v>
      </c>
      <c r="D193" s="7">
        <f t="shared" si="73"/>
        <v>5</v>
      </c>
      <c r="E193" s="61">
        <v>17.745000000000001</v>
      </c>
      <c r="F193" s="65">
        <v>54.8</v>
      </c>
      <c r="G193" s="2">
        <v>39.130000000000003</v>
      </c>
      <c r="H193" s="2">
        <v>11.67</v>
      </c>
      <c r="I193" s="2">
        <v>269.27999999999997</v>
      </c>
      <c r="J193" s="2">
        <v>20.83</v>
      </c>
      <c r="K193" s="2">
        <v>314.55</v>
      </c>
      <c r="L193" s="2">
        <v>105.65</v>
      </c>
      <c r="M193" s="144">
        <v>170.06</v>
      </c>
      <c r="N193" s="72">
        <f t="shared" si="74"/>
        <v>4.5829514207149646E-3</v>
      </c>
      <c r="O193" s="73">
        <f t="shared" si="75"/>
        <v>3.0761343245322426E-3</v>
      </c>
      <c r="P193" s="73">
        <f t="shared" si="76"/>
        <v>3.1830238726790361E-2</v>
      </c>
      <c r="Q193" s="73">
        <f t="shared" si="77"/>
        <v>8.3882564409825111E-3</v>
      </c>
      <c r="R193" s="73">
        <f t="shared" si="78"/>
        <v>1.9579050416054677E-2</v>
      </c>
      <c r="S193" s="73">
        <f t="shared" si="79"/>
        <v>1.226105425757873E-2</v>
      </c>
      <c r="T193" s="73">
        <f t="shared" si="80"/>
        <v>6.9562758351022769E-3</v>
      </c>
      <c r="U193" s="73">
        <f t="shared" si="81"/>
        <v>4.5710787405263797E-2</v>
      </c>
      <c r="V193" s="148">
        <f t="shared" si="82"/>
        <v>57.321503208065998</v>
      </c>
      <c r="W193" s="149">
        <f t="shared" si="83"/>
        <v>40.534306588054342</v>
      </c>
      <c r="X193" s="149">
        <f t="shared" si="84"/>
        <v>14.755172413793103</v>
      </c>
      <c r="Y193" s="149">
        <f t="shared" si="85"/>
        <v>228.238597962852</v>
      </c>
      <c r="Z193" s="149">
        <f t="shared" si="86"/>
        <v>14.029407733724913</v>
      </c>
      <c r="AA193" s="149">
        <f t="shared" si="87"/>
        <v>271.23534948831821</v>
      </c>
      <c r="AB193" s="149">
        <f t="shared" si="88"/>
        <v>2689.8847163333703</v>
      </c>
      <c r="AC193" s="150">
        <f t="shared" si="89"/>
        <v>3370.9903960983456</v>
      </c>
      <c r="AD193" s="157">
        <f t="shared" si="90"/>
        <v>-5230.0641613199159</v>
      </c>
      <c r="AE193" s="19">
        <f t="shared" si="91"/>
        <v>-3542.737759548846</v>
      </c>
      <c r="AF193" s="19">
        <f t="shared" si="92"/>
        <v>-40419.310344827471</v>
      </c>
      <c r="AG193" s="19">
        <f t="shared" si="93"/>
        <v>-7214.6722588375778</v>
      </c>
      <c r="AH193" s="19">
        <f t="shared" si="94"/>
        <v>-12042.525697503612</v>
      </c>
      <c r="AI193" s="19">
        <f t="shared" si="95"/>
        <v>-17412.352288086557</v>
      </c>
      <c r="AJ193" s="19">
        <f t="shared" si="96"/>
        <v>-5574.6949000112181</v>
      </c>
      <c r="AK193" s="158">
        <f t="shared" si="97"/>
        <v>-36838.729024586428</v>
      </c>
      <c r="AL193" s="163">
        <f t="shared" si="98"/>
        <v>-128275.08643472163</v>
      </c>
      <c r="AM193" s="20"/>
    </row>
    <row r="194" spans="1:39" x14ac:dyDescent="0.25">
      <c r="A194" s="13">
        <f t="shared" si="71"/>
        <v>189</v>
      </c>
      <c r="B194" s="1">
        <v>45050</v>
      </c>
      <c r="C194" s="7">
        <f t="shared" si="72"/>
        <v>2023</v>
      </c>
      <c r="D194" s="7">
        <f t="shared" si="73"/>
        <v>5</v>
      </c>
      <c r="E194" s="61">
        <v>17.902000000000001</v>
      </c>
      <c r="F194" s="65">
        <v>54.55</v>
      </c>
      <c r="G194" s="2">
        <v>39.01</v>
      </c>
      <c r="H194" s="2">
        <v>11.31</v>
      </c>
      <c r="I194" s="2">
        <v>267.04000000000002</v>
      </c>
      <c r="J194" s="2">
        <v>20.43</v>
      </c>
      <c r="K194" s="2">
        <v>310.74</v>
      </c>
      <c r="L194" s="2">
        <v>104</v>
      </c>
      <c r="M194" s="144">
        <v>161.19999999999999</v>
      </c>
      <c r="N194" s="72">
        <f t="shared" si="74"/>
        <v>-3.2888726475425178E-3</v>
      </c>
      <c r="O194" s="73">
        <f t="shared" si="75"/>
        <v>-9.1440182880365706E-3</v>
      </c>
      <c r="P194" s="73">
        <f t="shared" si="76"/>
        <v>1.7714791851197731E-3</v>
      </c>
      <c r="Q194" s="73">
        <f t="shared" si="77"/>
        <v>-7.4338388343740958E-3</v>
      </c>
      <c r="R194" s="73">
        <f t="shared" si="78"/>
        <v>-4.9767441860465111E-2</v>
      </c>
      <c r="S194" s="73">
        <f t="shared" si="79"/>
        <v>-2.2245996035367033E-2</v>
      </c>
      <c r="T194" s="73">
        <f t="shared" si="80"/>
        <v>2.5926855744344834E-3</v>
      </c>
      <c r="U194" s="73">
        <f t="shared" si="81"/>
        <v>2.8891998174129796E-3</v>
      </c>
      <c r="V194" s="148">
        <f t="shared" si="82"/>
        <v>56.872336926731229</v>
      </c>
      <c r="W194" s="149">
        <f t="shared" si="83"/>
        <v>40.040490220980438</v>
      </c>
      <c r="X194" s="149">
        <f t="shared" si="84"/>
        <v>14.325332152347213</v>
      </c>
      <c r="Y194" s="149">
        <f t="shared" si="85"/>
        <v>224.65742491822778</v>
      </c>
      <c r="Z194" s="149">
        <f t="shared" si="86"/>
        <v>13.075200000000001</v>
      </c>
      <c r="AA194" s="149">
        <f t="shared" si="87"/>
        <v>261.98918536232338</v>
      </c>
      <c r="AB194" s="149">
        <f t="shared" si="88"/>
        <v>2678.2282471974318</v>
      </c>
      <c r="AC194" s="150">
        <f t="shared" si="89"/>
        <v>3232.9492070402221</v>
      </c>
      <c r="AD194" s="157">
        <f t="shared" si="90"/>
        <v>3753.261465375459</v>
      </c>
      <c r="AE194" s="19">
        <f t="shared" si="91"/>
        <v>10531.028702057431</v>
      </c>
      <c r="AF194" s="19">
        <f t="shared" si="92"/>
        <v>-2249.4951284324925</v>
      </c>
      <c r="AG194" s="19">
        <f t="shared" si="93"/>
        <v>6393.7853107344663</v>
      </c>
      <c r="AH194" s="19">
        <f t="shared" si="94"/>
        <v>30610.559999999965</v>
      </c>
      <c r="AI194" s="19">
        <f t="shared" si="95"/>
        <v>31592.317579686012</v>
      </c>
      <c r="AJ194" s="19">
        <f t="shared" si="96"/>
        <v>-2077.7541592296529</v>
      </c>
      <c r="AK194" s="158">
        <f t="shared" si="97"/>
        <v>-2328.4317600555369</v>
      </c>
      <c r="AL194" s="163">
        <f t="shared" si="98"/>
        <v>76225.272010135654</v>
      </c>
      <c r="AM194" s="20"/>
    </row>
    <row r="195" spans="1:39" x14ac:dyDescent="0.25">
      <c r="A195" s="13">
        <f t="shared" si="71"/>
        <v>190</v>
      </c>
      <c r="B195" s="1">
        <v>45049</v>
      </c>
      <c r="C195" s="7">
        <f t="shared" si="72"/>
        <v>2023</v>
      </c>
      <c r="D195" s="7">
        <f t="shared" si="73"/>
        <v>5</v>
      </c>
      <c r="E195" s="61">
        <v>17.916</v>
      </c>
      <c r="F195" s="65">
        <v>54.73</v>
      </c>
      <c r="G195" s="2">
        <v>39.369999999999997</v>
      </c>
      <c r="H195" s="2">
        <v>11.29</v>
      </c>
      <c r="I195" s="2">
        <v>269.04000000000002</v>
      </c>
      <c r="J195" s="2">
        <v>21.5</v>
      </c>
      <c r="K195" s="2">
        <v>317.81</v>
      </c>
      <c r="L195" s="2">
        <v>103.65</v>
      </c>
      <c r="M195" s="144">
        <v>160.61000000000001</v>
      </c>
      <c r="N195" s="72">
        <f t="shared" si="74"/>
        <v>-4.0036396724295598E-3</v>
      </c>
      <c r="O195" s="73">
        <f t="shared" si="75"/>
        <v>4.8494129657987717E-3</v>
      </c>
      <c r="P195" s="73">
        <f t="shared" si="76"/>
        <v>-1.5693112467306092E-2</v>
      </c>
      <c r="Q195" s="73">
        <f t="shared" si="77"/>
        <v>-1.070049641478199E-2</v>
      </c>
      <c r="R195" s="73">
        <f t="shared" si="78"/>
        <v>-8.3025830258302014E-3</v>
      </c>
      <c r="S195" s="73">
        <f t="shared" si="79"/>
        <v>-1.749775867932124E-2</v>
      </c>
      <c r="T195" s="73">
        <f t="shared" si="80"/>
        <v>-3.0345117392753806E-3</v>
      </c>
      <c r="U195" s="73">
        <f t="shared" si="81"/>
        <v>-1.3615477695284595E-3</v>
      </c>
      <c r="V195" s="148">
        <f t="shared" si="82"/>
        <v>56.831552320291173</v>
      </c>
      <c r="W195" s="149">
        <f t="shared" si="83"/>
        <v>40.605964777947925</v>
      </c>
      <c r="X195" s="149">
        <f t="shared" si="84"/>
        <v>14.075588491717523</v>
      </c>
      <c r="Y195" s="149">
        <f t="shared" si="85"/>
        <v>223.91804964147823</v>
      </c>
      <c r="Z195" s="149">
        <f t="shared" si="86"/>
        <v>13.645756457564577</v>
      </c>
      <c r="AA195" s="149">
        <f t="shared" si="87"/>
        <v>263.26147556187584</v>
      </c>
      <c r="AB195" s="149">
        <f t="shared" si="88"/>
        <v>2663.1963015080451</v>
      </c>
      <c r="AC195" s="150">
        <f t="shared" si="89"/>
        <v>3219.2463463024333</v>
      </c>
      <c r="AD195" s="157">
        <f t="shared" si="90"/>
        <v>4568.9535941765771</v>
      </c>
      <c r="AE195" s="19">
        <f t="shared" si="91"/>
        <v>-5584.996171515957</v>
      </c>
      <c r="AF195" s="19">
        <f t="shared" si="92"/>
        <v>19927.741935483988</v>
      </c>
      <c r="AG195" s="19">
        <f t="shared" si="93"/>
        <v>9203.4113623827234</v>
      </c>
      <c r="AH195" s="19">
        <f t="shared" si="94"/>
        <v>5106.6863468634037</v>
      </c>
      <c r="AI195" s="19">
        <f t="shared" si="95"/>
        <v>24849.179522057984</v>
      </c>
      <c r="AJ195" s="19">
        <f t="shared" si="96"/>
        <v>2431.8295475863579</v>
      </c>
      <c r="AK195" s="158">
        <f t="shared" si="97"/>
        <v>1097.2834243916623</v>
      </c>
      <c r="AL195" s="163">
        <f t="shared" si="98"/>
        <v>61600.089561426736</v>
      </c>
      <c r="AM195" s="20"/>
    </row>
    <row r="196" spans="1:39" x14ac:dyDescent="0.25">
      <c r="A196" s="13">
        <f t="shared" si="71"/>
        <v>191</v>
      </c>
      <c r="B196" s="1">
        <v>45048</v>
      </c>
      <c r="C196" s="7">
        <f t="shared" si="72"/>
        <v>2023</v>
      </c>
      <c r="D196" s="7">
        <f t="shared" si="73"/>
        <v>5</v>
      </c>
      <c r="E196" s="61">
        <v>17.974</v>
      </c>
      <c r="F196" s="65">
        <v>54.95</v>
      </c>
      <c r="G196" s="2">
        <v>39.18</v>
      </c>
      <c r="H196" s="2">
        <v>11.47</v>
      </c>
      <c r="I196" s="2">
        <v>271.95</v>
      </c>
      <c r="J196" s="2">
        <v>21.68</v>
      </c>
      <c r="K196" s="2">
        <v>323.47000000000003</v>
      </c>
      <c r="L196" s="2">
        <v>103.63</v>
      </c>
      <c r="M196" s="144">
        <v>160.31</v>
      </c>
      <c r="N196" s="72">
        <f t="shared" si="74"/>
        <v>9.107468123863427E-4</v>
      </c>
      <c r="O196" s="73">
        <f t="shared" si="75"/>
        <v>0</v>
      </c>
      <c r="P196" s="73">
        <f t="shared" si="76"/>
        <v>6.2037037037037113E-2</v>
      </c>
      <c r="Q196" s="73">
        <f t="shared" si="77"/>
        <v>-1.570813275905758E-2</v>
      </c>
      <c r="R196" s="73">
        <f t="shared" si="78"/>
        <v>2.3607176581680767E-2</v>
      </c>
      <c r="S196" s="73">
        <f t="shared" si="79"/>
        <v>1.1191347025540255E-2</v>
      </c>
      <c r="T196" s="73">
        <f t="shared" si="80"/>
        <v>-1.7587309222459324E-2</v>
      </c>
      <c r="U196" s="73">
        <f t="shared" si="81"/>
        <v>-2.4669807721899528E-2</v>
      </c>
      <c r="V196" s="148">
        <f t="shared" si="82"/>
        <v>57.111967213114767</v>
      </c>
      <c r="W196" s="149">
        <f t="shared" si="83"/>
        <v>40.409999999999997</v>
      </c>
      <c r="X196" s="149">
        <f t="shared" si="84"/>
        <v>15.187129629629631</v>
      </c>
      <c r="Y196" s="149">
        <f t="shared" si="85"/>
        <v>222.7846212313149</v>
      </c>
      <c r="Z196" s="149">
        <f t="shared" si="86"/>
        <v>14.084834749763926</v>
      </c>
      <c r="AA196" s="149">
        <f t="shared" si="87"/>
        <v>270.9487214354935</v>
      </c>
      <c r="AB196" s="149">
        <f t="shared" si="88"/>
        <v>2624.3213786645019</v>
      </c>
      <c r="AC196" s="150">
        <f t="shared" si="89"/>
        <v>3144.1090125429068</v>
      </c>
      <c r="AD196" s="157">
        <f t="shared" si="90"/>
        <v>-1039.3442622952875</v>
      </c>
      <c r="AE196" s="19">
        <f t="shared" si="91"/>
        <v>0</v>
      </c>
      <c r="AF196" s="19">
        <f t="shared" si="92"/>
        <v>-78777.111111111153</v>
      </c>
      <c r="AG196" s="19">
        <f t="shared" si="93"/>
        <v>13510.439321003389</v>
      </c>
      <c r="AH196" s="19">
        <f t="shared" si="94"/>
        <v>-14520.113314447517</v>
      </c>
      <c r="AI196" s="19">
        <f t="shared" si="95"/>
        <v>-15893.22360811559</v>
      </c>
      <c r="AJ196" s="19">
        <f t="shared" si="96"/>
        <v>14094.306400649293</v>
      </c>
      <c r="AK196" s="158">
        <f t="shared" si="97"/>
        <v>19881.61686427327</v>
      </c>
      <c r="AL196" s="163">
        <f t="shared" si="98"/>
        <v>-62743.429710043594</v>
      </c>
      <c r="AM196" s="20"/>
    </row>
    <row r="197" spans="1:39" x14ac:dyDescent="0.25">
      <c r="A197" s="13">
        <f t="shared" ref="A197:A255" si="99">+A198-1</f>
        <v>192</v>
      </c>
      <c r="B197" s="1">
        <v>45044</v>
      </c>
      <c r="C197" s="7">
        <f t="shared" ref="C197:C257" si="100">+YEAR(B197)</f>
        <v>2023</v>
      </c>
      <c r="D197" s="7">
        <f t="shared" ref="D197:D257" si="101">+MONTH(B197)</f>
        <v>4</v>
      </c>
      <c r="E197" s="61">
        <v>17.98</v>
      </c>
      <c r="F197" s="65">
        <v>54.9</v>
      </c>
      <c r="G197" s="2">
        <v>39.18</v>
      </c>
      <c r="H197" s="2">
        <v>10.8</v>
      </c>
      <c r="I197" s="2">
        <v>276.29000000000002</v>
      </c>
      <c r="J197" s="2">
        <v>21.18</v>
      </c>
      <c r="K197" s="2">
        <v>319.89</v>
      </c>
      <c r="L197" s="2">
        <v>105.45</v>
      </c>
      <c r="M197" s="144">
        <v>164.31</v>
      </c>
      <c r="N197" s="72">
        <f t="shared" si="74"/>
        <v>1.2915129151291449E-2</v>
      </c>
      <c r="O197" s="73">
        <f t="shared" si="75"/>
        <v>-1.6072325464590698E-2</v>
      </c>
      <c r="P197" s="73">
        <f t="shared" si="76"/>
        <v>1.6949152542373058E-2</v>
      </c>
      <c r="Q197" s="73">
        <f t="shared" si="77"/>
        <v>-1.5178345560332707E-3</v>
      </c>
      <c r="R197" s="73">
        <f t="shared" si="78"/>
        <v>3.2163742690058506E-2</v>
      </c>
      <c r="S197" s="73">
        <f t="shared" si="79"/>
        <v>1.9667219176335404E-2</v>
      </c>
      <c r="T197" s="73">
        <f t="shared" si="80"/>
        <v>-4.2242712084083034E-2</v>
      </c>
      <c r="U197" s="73">
        <f t="shared" si="81"/>
        <v>2.31019559202994E-2</v>
      </c>
      <c r="V197" s="148">
        <f t="shared" si="82"/>
        <v>57.796937269372691</v>
      </c>
      <c r="W197" s="149">
        <f t="shared" si="83"/>
        <v>39.760517327975883</v>
      </c>
      <c r="X197" s="149">
        <f t="shared" si="84"/>
        <v>14.542372881355936</v>
      </c>
      <c r="Y197" s="149">
        <f t="shared" si="85"/>
        <v>225.99645332658744</v>
      </c>
      <c r="Z197" s="149">
        <f t="shared" si="86"/>
        <v>14.202573099415204</v>
      </c>
      <c r="AA197" s="149">
        <f t="shared" si="87"/>
        <v>273.21983137829903</v>
      </c>
      <c r="AB197" s="149">
        <f t="shared" si="88"/>
        <v>2558.4593418272798</v>
      </c>
      <c r="AC197" s="150">
        <f t="shared" si="89"/>
        <v>3298.1077647620732</v>
      </c>
      <c r="AD197" s="157">
        <f t="shared" si="90"/>
        <v>-14738.745387453775</v>
      </c>
      <c r="AE197" s="19">
        <f t="shared" si="91"/>
        <v>18510.256152687238</v>
      </c>
      <c r="AF197" s="19">
        <f t="shared" si="92"/>
        <v>-21522.711864407062</v>
      </c>
      <c r="AG197" s="19">
        <f t="shared" si="93"/>
        <v>1305.4773589677325</v>
      </c>
      <c r="AH197" s="19">
        <f t="shared" si="94"/>
        <v>-19783.017543859638</v>
      </c>
      <c r="AI197" s="19">
        <f t="shared" si="95"/>
        <v>-27930.10630498494</v>
      </c>
      <c r="AJ197" s="19">
        <f t="shared" si="96"/>
        <v>33852.917451815942</v>
      </c>
      <c r="AK197" s="158">
        <f t="shared" si="97"/>
        <v>-18618.07119051832</v>
      </c>
      <c r="AL197" s="163">
        <f t="shared" si="98"/>
        <v>-48924.00132775282</v>
      </c>
      <c r="AM197" s="20"/>
    </row>
    <row r="198" spans="1:39" x14ac:dyDescent="0.25">
      <c r="A198" s="13">
        <f t="shared" si="99"/>
        <v>193</v>
      </c>
      <c r="B198" s="1">
        <v>45043</v>
      </c>
      <c r="C198" s="7">
        <f t="shared" si="100"/>
        <v>2023</v>
      </c>
      <c r="D198" s="7">
        <f t="shared" si="101"/>
        <v>4</v>
      </c>
      <c r="E198" s="61">
        <v>18.026</v>
      </c>
      <c r="F198" s="65">
        <v>54.2</v>
      </c>
      <c r="G198" s="2">
        <v>39.82</v>
      </c>
      <c r="H198" s="2">
        <v>10.62</v>
      </c>
      <c r="I198" s="2">
        <v>276.70999999999998</v>
      </c>
      <c r="J198" s="2">
        <v>20.52</v>
      </c>
      <c r="K198" s="2">
        <v>313.72000000000003</v>
      </c>
      <c r="L198" s="2">
        <v>109.82</v>
      </c>
      <c r="M198" s="144">
        <v>160.19</v>
      </c>
      <c r="N198" s="72">
        <f t="shared" ref="N198:N256" si="102" xml:space="preserve"> (F198/F199) - 1</f>
        <v>7.8095946448493159E-3</v>
      </c>
      <c r="O198" s="73">
        <f t="shared" ref="O198:O256" si="103" xml:space="preserve"> (G198/G199) - 1</f>
        <v>1.8153924827409851E-2</v>
      </c>
      <c r="P198" s="73">
        <f t="shared" ref="P198:P256" si="104" xml:space="preserve"> (H198/H199) - 1</f>
        <v>8.5470085470085166E-3</v>
      </c>
      <c r="Q198" s="73">
        <f t="shared" ref="Q198:Q256" si="105" xml:space="preserve"> (I198/I199) - 1</f>
        <v>-8.9893274120766975E-3</v>
      </c>
      <c r="R198" s="73">
        <f t="shared" ref="R198:R256" si="106" xml:space="preserve"> (J198/J199) - 1</f>
        <v>4.0040547389761816E-2</v>
      </c>
      <c r="S198" s="73">
        <f t="shared" ref="S198:S256" si="107" xml:space="preserve"> (K198/K199) - 1</f>
        <v>8.4865629420085575E-3</v>
      </c>
      <c r="T198" s="73">
        <f t="shared" ref="T198:T256" si="108" xml:space="preserve"> (E198*L198) / (E199*L199) - 1</f>
        <v>3.9701773234520843E-2</v>
      </c>
      <c r="U198" s="73">
        <f t="shared" ref="U198:U256" si="109" xml:space="preserve"> (E198*M198) / (E199*M199) - 1</f>
        <v>3.5509745832419837E-2</v>
      </c>
      <c r="V198" s="148">
        <f t="shared" ref="V198:V256" si="110" xml:space="preserve"> F$5 * ( 1+N198 )</f>
        <v>57.505615470435103</v>
      </c>
      <c r="W198" s="149">
        <f t="shared" ref="W198:W256" si="111" xml:space="preserve"> G$5 * ( 1+O198 )</f>
        <v>41.143600102275627</v>
      </c>
      <c r="X198" s="149">
        <f t="shared" ref="X198:X256" si="112" xml:space="preserve"> H$5 * ( 1+P198 )</f>
        <v>14.422222222222222</v>
      </c>
      <c r="Y198" s="149">
        <f t="shared" ref="Y198:Y256" si="113" xml:space="preserve"> I$5 * ( 1+Q198 )</f>
        <v>224.30535563355056</v>
      </c>
      <c r="Z198" s="149">
        <f t="shared" ref="Z198:Z256" si="114" xml:space="preserve"> J$5 * ( 1+R198 )</f>
        <v>14.310957932083122</v>
      </c>
      <c r="AA198" s="149">
        <f t="shared" ref="AA198:AA256" si="115" xml:space="preserve"> K$5 * ( 1+S198 )</f>
        <v>270.22397454031119</v>
      </c>
      <c r="AB198" s="149">
        <f t="shared" ref="AB198:AB256" si="116" xml:space="preserve"> (L$5*E$5) * (1 + T198)</f>
        <v>2777.3578421256307</v>
      </c>
      <c r="AC198" s="150">
        <f t="shared" ref="AC198:AC256" si="117" xml:space="preserve"> (M$5*E$5) * (1 + U198)</f>
        <v>3338.1059565511705</v>
      </c>
      <c r="AD198" s="157">
        <f t="shared" ref="AD198:AD256" si="118" xml:space="preserve"> (F$5 - V198) * AD$2</f>
        <v>-8912.3094087020145</v>
      </c>
      <c r="AE198" s="19">
        <f t="shared" ref="AE198:AE256" si="119" xml:space="preserve"> (G$5 - W198) * AE$2</f>
        <v>-20907.602914855474</v>
      </c>
      <c r="AF198" s="19">
        <f t="shared" ref="AF198:AF256" si="120" xml:space="preserve"> (H$5 - X198) * AF$2</f>
        <v>-10853.333333333294</v>
      </c>
      <c r="AG198" s="19">
        <f t="shared" ref="AG198:AG256" si="121" xml:space="preserve"> (I$5 - Y198) * AG$2</f>
        <v>7731.6485925078778</v>
      </c>
      <c r="AH198" s="19">
        <f t="shared" ref="AH198:AH256" si="122" xml:space="preserve"> (J$5 - Z198) * AH$2</f>
        <v>-24627.819564115562</v>
      </c>
      <c r="AI198" s="19">
        <f t="shared" ref="AI198:AI256" si="123" xml:space="preserve"> (K$5 - AA198) * AI$2</f>
        <v>-12052.065063649366</v>
      </c>
      <c r="AJ198" s="19">
        <f t="shared" ref="AJ198:AJ256" si="124" xml:space="preserve"> (E$5 *L$5 - AB198) * AJ$2</f>
        <v>-31816.632637689327</v>
      </c>
      <c r="AK198" s="158">
        <f t="shared" ref="AK198:AK256" si="125" xml:space="preserve"> (E$5 *M$5 - AC198) * AK$2</f>
        <v>-28617.619137792644</v>
      </c>
      <c r="AL198" s="163">
        <f t="shared" ref="AL198:AL256" si="126" xml:space="preserve"> SUM(AD198:AK198)</f>
        <v>-130055.73346762981</v>
      </c>
      <c r="AM198" s="20"/>
    </row>
    <row r="199" spans="1:39" x14ac:dyDescent="0.25">
      <c r="A199" s="13">
        <f t="shared" si="99"/>
        <v>194</v>
      </c>
      <c r="B199" s="1">
        <v>45042</v>
      </c>
      <c r="C199" s="7">
        <f t="shared" si="100"/>
        <v>2023</v>
      </c>
      <c r="D199" s="7">
        <f t="shared" si="101"/>
        <v>4</v>
      </c>
      <c r="E199" s="61">
        <v>18.137</v>
      </c>
      <c r="F199" s="65">
        <v>53.78</v>
      </c>
      <c r="G199" s="2">
        <v>39.11</v>
      </c>
      <c r="H199" s="2">
        <v>10.53</v>
      </c>
      <c r="I199" s="2">
        <v>279.22000000000003</v>
      </c>
      <c r="J199" s="2">
        <v>19.73</v>
      </c>
      <c r="K199" s="2">
        <v>311.08</v>
      </c>
      <c r="L199" s="2">
        <v>104.98</v>
      </c>
      <c r="M199" s="144">
        <v>153.75</v>
      </c>
      <c r="N199" s="72">
        <f t="shared" si="102"/>
        <v>-9.2114959469418167E-3</v>
      </c>
      <c r="O199" s="73">
        <f t="shared" si="103"/>
        <v>-1.5853044791142468E-2</v>
      </c>
      <c r="P199" s="73">
        <f t="shared" si="104"/>
        <v>1.9029495718363432E-3</v>
      </c>
      <c r="Q199" s="73">
        <f t="shared" si="105"/>
        <v>-2.0280701754385899E-2</v>
      </c>
      <c r="R199" s="73">
        <f t="shared" si="106"/>
        <v>-1.5182186234818928E-3</v>
      </c>
      <c r="S199" s="73">
        <f t="shared" si="107"/>
        <v>-5.4987212276215169E-3</v>
      </c>
      <c r="T199" s="73">
        <f t="shared" si="108"/>
        <v>2.7291071051184446E-2</v>
      </c>
      <c r="U199" s="73">
        <f t="shared" si="109"/>
        <v>-3.9521536631211718E-2</v>
      </c>
      <c r="V199" s="148">
        <f t="shared" si="110"/>
        <v>56.534392041267502</v>
      </c>
      <c r="W199" s="149">
        <f t="shared" si="111"/>
        <v>39.76937845998993</v>
      </c>
      <c r="X199" s="149">
        <f t="shared" si="112"/>
        <v>14.327212178877261</v>
      </c>
      <c r="Y199" s="149">
        <f t="shared" si="113"/>
        <v>221.74966596491231</v>
      </c>
      <c r="Z199" s="149">
        <f t="shared" si="114"/>
        <v>13.739109311740888</v>
      </c>
      <c r="AA199" s="149">
        <f t="shared" si="115"/>
        <v>266.47661764705879</v>
      </c>
      <c r="AB199" s="149">
        <f t="shared" si="116"/>
        <v>2744.2051035975992</v>
      </c>
      <c r="AC199" s="150">
        <f t="shared" si="117"/>
        <v>3096.232452291506</v>
      </c>
      <c r="AD199" s="157">
        <f t="shared" si="118"/>
        <v>10512.159174650009</v>
      </c>
      <c r="AE199" s="19">
        <f t="shared" si="119"/>
        <v>18257.71389028689</v>
      </c>
      <c r="AF199" s="19">
        <f t="shared" si="120"/>
        <v>-2416.4414843006994</v>
      </c>
      <c r="AG199" s="19">
        <f t="shared" si="121"/>
        <v>17443.269333333235</v>
      </c>
      <c r="AH199" s="19">
        <f t="shared" si="122"/>
        <v>933.8137651822866</v>
      </c>
      <c r="AI199" s="19">
        <f t="shared" si="123"/>
        <v>7808.9264705883634</v>
      </c>
      <c r="AJ199" s="19">
        <f t="shared" si="124"/>
        <v>-21870.811079279883</v>
      </c>
      <c r="AK199" s="158">
        <f t="shared" si="125"/>
        <v>31850.756927123482</v>
      </c>
      <c r="AL199" s="163">
        <f t="shared" si="126"/>
        <v>62519.386997583679</v>
      </c>
      <c r="AM199" s="20"/>
    </row>
    <row r="200" spans="1:39" x14ac:dyDescent="0.25">
      <c r="A200" s="13">
        <f t="shared" si="99"/>
        <v>195</v>
      </c>
      <c r="B200" s="1">
        <v>45041</v>
      </c>
      <c r="C200" s="7">
        <f t="shared" si="100"/>
        <v>2023</v>
      </c>
      <c r="D200" s="7">
        <f t="shared" si="101"/>
        <v>4</v>
      </c>
      <c r="E200" s="61">
        <v>18.07</v>
      </c>
      <c r="F200" s="65">
        <v>54.28</v>
      </c>
      <c r="G200" s="2">
        <v>39.74</v>
      </c>
      <c r="H200" s="2">
        <v>10.51</v>
      </c>
      <c r="I200" s="2">
        <v>285</v>
      </c>
      <c r="J200" s="2">
        <v>19.760000000000002</v>
      </c>
      <c r="K200" s="2">
        <v>312.8</v>
      </c>
      <c r="L200" s="2">
        <v>102.57</v>
      </c>
      <c r="M200" s="144">
        <v>160.66999999999999</v>
      </c>
      <c r="N200" s="72">
        <f t="shared" si="102"/>
        <v>-5.1319648093841597E-3</v>
      </c>
      <c r="O200" s="73">
        <f t="shared" si="103"/>
        <v>-4.0100250626565748E-3</v>
      </c>
      <c r="P200" s="73">
        <f t="shared" si="104"/>
        <v>1.0576923076923039E-2</v>
      </c>
      <c r="Q200" s="73">
        <f t="shared" si="105"/>
        <v>1.308118868192798E-2</v>
      </c>
      <c r="R200" s="73">
        <f t="shared" si="106"/>
        <v>-7.0117647058823507E-2</v>
      </c>
      <c r="S200" s="73">
        <f t="shared" si="107"/>
        <v>-1.1284255776464192E-2</v>
      </c>
      <c r="T200" s="73">
        <f t="shared" si="108"/>
        <v>-2.87354642221469E-2</v>
      </c>
      <c r="U200" s="73">
        <f t="shared" si="109"/>
        <v>-5.8992427708086659E-3</v>
      </c>
      <c r="V200" s="148">
        <f t="shared" si="110"/>
        <v>56.767170087976545</v>
      </c>
      <c r="W200" s="149">
        <f t="shared" si="111"/>
        <v>40.247954887218043</v>
      </c>
      <c r="X200" s="149">
        <f t="shared" si="112"/>
        <v>14.45125</v>
      </c>
      <c r="Y200" s="149">
        <f t="shared" si="113"/>
        <v>229.30079624626759</v>
      </c>
      <c r="Z200" s="149">
        <f t="shared" si="114"/>
        <v>12.795181176470589</v>
      </c>
      <c r="AA200" s="149">
        <f t="shared" si="115"/>
        <v>264.9263836646964</v>
      </c>
      <c r="AB200" s="149">
        <f t="shared" si="116"/>
        <v>2594.5412854582646</v>
      </c>
      <c r="AC200" s="150">
        <f t="shared" si="117"/>
        <v>3204.6184716988878</v>
      </c>
      <c r="AD200" s="157">
        <f t="shared" si="118"/>
        <v>5856.5982404691395</v>
      </c>
      <c r="AE200" s="19">
        <f t="shared" si="119"/>
        <v>4618.2857142856765</v>
      </c>
      <c r="AF200" s="19">
        <f t="shared" si="120"/>
        <v>-13430.999999999931</v>
      </c>
      <c r="AG200" s="19">
        <f t="shared" si="121"/>
        <v>-11251.025735816847</v>
      </c>
      <c r="AH200" s="19">
        <f t="shared" si="122"/>
        <v>43127.401411764673</v>
      </c>
      <c r="AI200" s="19">
        <f t="shared" si="123"/>
        <v>16025.166577109008</v>
      </c>
      <c r="AJ200" s="19">
        <f t="shared" si="124"/>
        <v>23028.334362520491</v>
      </c>
      <c r="AK200" s="158">
        <f t="shared" si="125"/>
        <v>4754.252075278032</v>
      </c>
      <c r="AL200" s="163">
        <f t="shared" si="126"/>
        <v>72728.01264561023</v>
      </c>
      <c r="AM200" s="20"/>
    </row>
    <row r="201" spans="1:39" x14ac:dyDescent="0.25">
      <c r="A201" s="13">
        <f t="shared" si="99"/>
        <v>196</v>
      </c>
      <c r="B201" s="1">
        <v>45040</v>
      </c>
      <c r="C201" s="7">
        <f t="shared" si="100"/>
        <v>2023</v>
      </c>
      <c r="D201" s="7">
        <f t="shared" si="101"/>
        <v>4</v>
      </c>
      <c r="E201" s="61">
        <v>17.966999999999999</v>
      </c>
      <c r="F201" s="65">
        <v>54.56</v>
      </c>
      <c r="G201" s="2">
        <v>39.9</v>
      </c>
      <c r="H201" s="2">
        <v>10.4</v>
      </c>
      <c r="I201" s="2">
        <v>281.32</v>
      </c>
      <c r="J201" s="2">
        <v>21.25</v>
      </c>
      <c r="K201" s="2">
        <v>316.37</v>
      </c>
      <c r="L201" s="2">
        <v>106.21</v>
      </c>
      <c r="M201" s="144">
        <v>162.55000000000001</v>
      </c>
      <c r="N201" s="72">
        <f t="shared" si="102"/>
        <v>9.0623266136489189E-3</v>
      </c>
      <c r="O201" s="73">
        <f t="shared" si="103"/>
        <v>7.575757575757569E-3</v>
      </c>
      <c r="P201" s="73">
        <f t="shared" si="104"/>
        <v>2.8929604628737948E-3</v>
      </c>
      <c r="Q201" s="73">
        <f t="shared" si="105"/>
        <v>1.6402919286075734E-2</v>
      </c>
      <c r="R201" s="73">
        <f t="shared" si="106"/>
        <v>5.2034058656575954E-3</v>
      </c>
      <c r="S201" s="73">
        <f t="shared" si="107"/>
        <v>9.0903291656034835E-3</v>
      </c>
      <c r="T201" s="73">
        <f t="shared" si="108"/>
        <v>-7.0672313398840725E-3</v>
      </c>
      <c r="U201" s="73">
        <f t="shared" si="109"/>
        <v>-1.53807041341677E-2</v>
      </c>
      <c r="V201" s="148">
        <f t="shared" si="110"/>
        <v>57.577096356574806</v>
      </c>
      <c r="W201" s="149">
        <f t="shared" si="111"/>
        <v>40.716136363636359</v>
      </c>
      <c r="X201" s="149">
        <f t="shared" si="112"/>
        <v>14.341369334619095</v>
      </c>
      <c r="Y201" s="149">
        <f t="shared" si="113"/>
        <v>230.05263675121037</v>
      </c>
      <c r="Z201" s="149">
        <f t="shared" si="114"/>
        <v>13.831598864711449</v>
      </c>
      <c r="AA201" s="149">
        <f t="shared" si="115"/>
        <v>270.38575369992344</v>
      </c>
      <c r="AB201" s="149">
        <f t="shared" si="116"/>
        <v>2652.4236879604118</v>
      </c>
      <c r="AC201" s="150">
        <f t="shared" si="117"/>
        <v>3174.0536964457142</v>
      </c>
      <c r="AD201" s="157">
        <f t="shared" si="118"/>
        <v>-10341.927131496079</v>
      </c>
      <c r="AE201" s="19">
        <f t="shared" si="119"/>
        <v>-8724.8863636363258</v>
      </c>
      <c r="AF201" s="19">
        <f t="shared" si="120"/>
        <v>-3673.5969141756045</v>
      </c>
      <c r="AG201" s="19">
        <f t="shared" si="121"/>
        <v>-14108.0196545994</v>
      </c>
      <c r="AH201" s="19">
        <f t="shared" si="122"/>
        <v>-3200.4692526017675</v>
      </c>
      <c r="AI201" s="19">
        <f t="shared" si="123"/>
        <v>-12909.494609594298</v>
      </c>
      <c r="AJ201" s="19">
        <f t="shared" si="124"/>
        <v>5663.6136118763261</v>
      </c>
      <c r="AK201" s="158">
        <f t="shared" si="125"/>
        <v>12395.44588857143</v>
      </c>
      <c r="AL201" s="163">
        <f t="shared" si="126"/>
        <v>-34899.334425655717</v>
      </c>
      <c r="AM201" s="20"/>
    </row>
    <row r="202" spans="1:39" x14ac:dyDescent="0.25">
      <c r="A202" s="13">
        <f t="shared" si="99"/>
        <v>197</v>
      </c>
      <c r="B202" s="1">
        <v>45037</v>
      </c>
      <c r="C202" s="7">
        <f t="shared" si="100"/>
        <v>2023</v>
      </c>
      <c r="D202" s="7">
        <f t="shared" si="101"/>
        <v>4</v>
      </c>
      <c r="E202" s="61">
        <v>17.968</v>
      </c>
      <c r="F202" s="65">
        <v>54.07</v>
      </c>
      <c r="G202" s="2">
        <v>39.6</v>
      </c>
      <c r="H202" s="2">
        <v>10.37</v>
      </c>
      <c r="I202" s="2">
        <v>276.77999999999997</v>
      </c>
      <c r="J202" s="2">
        <v>21.14</v>
      </c>
      <c r="K202" s="2">
        <v>313.52</v>
      </c>
      <c r="L202" s="2">
        <v>106.96</v>
      </c>
      <c r="M202" s="144">
        <v>165.08</v>
      </c>
      <c r="N202" s="72">
        <f t="shared" si="102"/>
        <v>-1.8460402436772938E-3</v>
      </c>
      <c r="O202" s="73">
        <f t="shared" si="103"/>
        <v>-2.7700831024930483E-3</v>
      </c>
      <c r="P202" s="73">
        <f t="shared" si="104"/>
        <v>-9.551098376313405E-3</v>
      </c>
      <c r="Q202" s="73">
        <f t="shared" si="105"/>
        <v>1.1253196930946174E-2</v>
      </c>
      <c r="R202" s="73">
        <f t="shared" si="106"/>
        <v>-1.1687704534829368E-2</v>
      </c>
      <c r="S202" s="73">
        <f t="shared" si="107"/>
        <v>-3.33302500539574E-2</v>
      </c>
      <c r="T202" s="73">
        <f t="shared" si="108"/>
        <v>2.9255526233995077E-2</v>
      </c>
      <c r="U202" s="73">
        <f t="shared" si="109"/>
        <v>1.1753009079749077E-2</v>
      </c>
      <c r="V202" s="148">
        <f t="shared" si="110"/>
        <v>56.954664943695775</v>
      </c>
      <c r="W202" s="149">
        <f t="shared" si="111"/>
        <v>40.298060941828254</v>
      </c>
      <c r="X202" s="149">
        <f t="shared" si="112"/>
        <v>14.16341929321872</v>
      </c>
      <c r="Y202" s="149">
        <f t="shared" si="113"/>
        <v>228.88704859335036</v>
      </c>
      <c r="Z202" s="149">
        <f t="shared" si="114"/>
        <v>13.599177185600748</v>
      </c>
      <c r="AA202" s="149">
        <f t="shared" si="115"/>
        <v>259.01915949804209</v>
      </c>
      <c r="AB202" s="149">
        <f t="shared" si="116"/>
        <v>2749.4527574421336</v>
      </c>
      <c r="AC202" s="150">
        <f t="shared" si="117"/>
        <v>3261.5228970662411</v>
      </c>
      <c r="AD202" s="157">
        <f t="shared" si="118"/>
        <v>2106.7011260845447</v>
      </c>
      <c r="AE202" s="19">
        <f t="shared" si="119"/>
        <v>3190.2631578946625</v>
      </c>
      <c r="AF202" s="19">
        <f t="shared" si="120"/>
        <v>12128.366762177751</v>
      </c>
      <c r="AG202" s="19">
        <f t="shared" si="121"/>
        <v>-9678.7846547313457</v>
      </c>
      <c r="AH202" s="19">
        <f t="shared" si="122"/>
        <v>7188.7798036465474</v>
      </c>
      <c r="AI202" s="19">
        <f t="shared" si="123"/>
        <v>47333.454660376883</v>
      </c>
      <c r="AJ202" s="19">
        <f t="shared" si="124"/>
        <v>-23445.107232640203</v>
      </c>
      <c r="AK202" s="158">
        <f t="shared" si="125"/>
        <v>-9471.8542665602854</v>
      </c>
      <c r="AL202" s="163">
        <f t="shared" si="126"/>
        <v>29351.819356248554</v>
      </c>
      <c r="AM202" s="20"/>
    </row>
    <row r="203" spans="1:39" x14ac:dyDescent="0.25">
      <c r="A203" s="13">
        <f t="shared" si="99"/>
        <v>198</v>
      </c>
      <c r="B203" s="1">
        <v>45036</v>
      </c>
      <c r="C203" s="7">
        <f t="shared" si="100"/>
        <v>2023</v>
      </c>
      <c r="D203" s="7">
        <f t="shared" si="101"/>
        <v>4</v>
      </c>
      <c r="E203" s="61">
        <v>17.986999999999998</v>
      </c>
      <c r="F203" s="65">
        <v>54.17</v>
      </c>
      <c r="G203" s="2">
        <v>39.71</v>
      </c>
      <c r="H203" s="2">
        <v>10.47</v>
      </c>
      <c r="I203" s="2">
        <v>273.7</v>
      </c>
      <c r="J203" s="2">
        <v>21.39</v>
      </c>
      <c r="K203" s="2">
        <v>324.33</v>
      </c>
      <c r="L203" s="2">
        <v>103.81</v>
      </c>
      <c r="M203" s="144">
        <v>162.99</v>
      </c>
      <c r="N203" s="72">
        <f t="shared" si="102"/>
        <v>-9.2216894134999894E-4</v>
      </c>
      <c r="O203" s="73">
        <f t="shared" si="103"/>
        <v>2.5188916876572875E-4</v>
      </c>
      <c r="P203" s="73">
        <f t="shared" si="104"/>
        <v>-1.5051740357478804E-2</v>
      </c>
      <c r="Q203" s="73">
        <f t="shared" si="105"/>
        <v>-3.2411959648930289E-3</v>
      </c>
      <c r="R203" s="73">
        <f t="shared" si="106"/>
        <v>-1.4005602240897419E-3</v>
      </c>
      <c r="S203" s="73">
        <f t="shared" si="107"/>
        <v>-3.2947701115152994E-2</v>
      </c>
      <c r="T203" s="73">
        <f t="shared" si="108"/>
        <v>-7.2368815262995323E-3</v>
      </c>
      <c r="U203" s="73">
        <f t="shared" si="109"/>
        <v>-9.9760605565691995E-2</v>
      </c>
      <c r="V203" s="148">
        <f t="shared" si="110"/>
        <v>57.007381040206575</v>
      </c>
      <c r="W203" s="149">
        <f t="shared" si="111"/>
        <v>40.42017884130982</v>
      </c>
      <c r="X203" s="149">
        <f t="shared" si="112"/>
        <v>14.084760112888054</v>
      </c>
      <c r="Y203" s="149">
        <f t="shared" si="113"/>
        <v>225.6063877053061</v>
      </c>
      <c r="Z203" s="149">
        <f t="shared" si="114"/>
        <v>13.740728291316525</v>
      </c>
      <c r="AA203" s="149">
        <f t="shared" si="115"/>
        <v>259.12166348619473</v>
      </c>
      <c r="AB203" s="149">
        <f t="shared" si="116"/>
        <v>2651.9705010102798</v>
      </c>
      <c r="AC203" s="150">
        <f t="shared" si="117"/>
        <v>2902.0436523921499</v>
      </c>
      <c r="AD203" s="157">
        <f t="shared" si="118"/>
        <v>1052.3791958685536</v>
      </c>
      <c r="AE203" s="19">
        <f t="shared" si="119"/>
        <v>-290.09697732996642</v>
      </c>
      <c r="AF203" s="19">
        <f t="shared" si="120"/>
        <v>19113.30197554089</v>
      </c>
      <c r="AG203" s="19">
        <f t="shared" si="121"/>
        <v>2787.7267198368145</v>
      </c>
      <c r="AH203" s="19">
        <f t="shared" si="122"/>
        <v>861.44537815130514</v>
      </c>
      <c r="AI203" s="19">
        <f t="shared" si="123"/>
        <v>46790.183523167849</v>
      </c>
      <c r="AJ203" s="19">
        <f t="shared" si="124"/>
        <v>5799.5696969159326</v>
      </c>
      <c r="AK203" s="158">
        <f t="shared" si="125"/>
        <v>80397.95690196252</v>
      </c>
      <c r="AL203" s="163">
        <f t="shared" si="126"/>
        <v>156512.46641411388</v>
      </c>
      <c r="AM203" s="20"/>
    </row>
    <row r="204" spans="1:39" x14ac:dyDescent="0.25">
      <c r="A204" s="13">
        <f t="shared" si="99"/>
        <v>199</v>
      </c>
      <c r="B204" s="1">
        <v>45035</v>
      </c>
      <c r="C204" s="7">
        <f t="shared" si="100"/>
        <v>2023</v>
      </c>
      <c r="D204" s="7">
        <f t="shared" si="101"/>
        <v>4</v>
      </c>
      <c r="E204" s="61">
        <v>18.033000000000001</v>
      </c>
      <c r="F204" s="65">
        <v>54.22</v>
      </c>
      <c r="G204" s="2">
        <v>39.700000000000003</v>
      </c>
      <c r="H204" s="2">
        <v>10.63</v>
      </c>
      <c r="I204" s="2">
        <v>274.58999999999997</v>
      </c>
      <c r="J204" s="2">
        <v>21.42</v>
      </c>
      <c r="K204" s="2">
        <v>335.38</v>
      </c>
      <c r="L204" s="2">
        <v>104.3</v>
      </c>
      <c r="M204" s="144">
        <v>180.59</v>
      </c>
      <c r="N204" s="72">
        <f t="shared" si="102"/>
        <v>1.8446781036707272E-4</v>
      </c>
      <c r="O204" s="73">
        <f t="shared" si="103"/>
        <v>5.040322580645018E-4</v>
      </c>
      <c r="P204" s="73">
        <f t="shared" si="104"/>
        <v>-1.87793427230043E-3</v>
      </c>
      <c r="Q204" s="73">
        <f t="shared" si="105"/>
        <v>-1.2905313106621685E-2</v>
      </c>
      <c r="R204" s="73">
        <f t="shared" si="106"/>
        <v>9.345794392525697E-4</v>
      </c>
      <c r="S204" s="73">
        <f t="shared" si="107"/>
        <v>3.7110193332137165E-3</v>
      </c>
      <c r="T204" s="73">
        <f t="shared" si="108"/>
        <v>1.8533672353226782E-2</v>
      </c>
      <c r="U204" s="73">
        <f t="shared" si="109"/>
        <v>-2.1160434995245669E-2</v>
      </c>
      <c r="V204" s="148">
        <f t="shared" si="110"/>
        <v>57.070525733259551</v>
      </c>
      <c r="W204" s="149">
        <f t="shared" si="111"/>
        <v>40.430367943548383</v>
      </c>
      <c r="X204" s="149">
        <f t="shared" si="112"/>
        <v>14.273145539906105</v>
      </c>
      <c r="Y204" s="149">
        <f t="shared" si="113"/>
        <v>223.41901143144725</v>
      </c>
      <c r="Z204" s="149">
        <f t="shared" si="114"/>
        <v>13.772859813084116</v>
      </c>
      <c r="AA204" s="149">
        <f t="shared" si="115"/>
        <v>268.94436763033463</v>
      </c>
      <c r="AB204" s="149">
        <f t="shared" si="116"/>
        <v>2720.8114434379881</v>
      </c>
      <c r="AC204" s="150">
        <f t="shared" si="117"/>
        <v>3155.4219509770924</v>
      </c>
      <c r="AD204" s="157">
        <f t="shared" si="118"/>
        <v>-210.51466519097062</v>
      </c>
      <c r="AE204" s="19">
        <f t="shared" si="119"/>
        <v>-580.4863911290106</v>
      </c>
      <c r="AF204" s="19">
        <f t="shared" si="120"/>
        <v>2384.6760563379275</v>
      </c>
      <c r="AG204" s="19">
        <f t="shared" si="121"/>
        <v>11099.75656050048</v>
      </c>
      <c r="AH204" s="19">
        <f t="shared" si="122"/>
        <v>-574.83364485999471</v>
      </c>
      <c r="AI204" s="19">
        <f t="shared" si="123"/>
        <v>-5270.1484407735734</v>
      </c>
      <c r="AJ204" s="19">
        <f t="shared" si="124"/>
        <v>-14852.71303139657</v>
      </c>
      <c r="AK204" s="158">
        <f t="shared" si="125"/>
        <v>17053.382255726887</v>
      </c>
      <c r="AL204" s="163">
        <f t="shared" si="126"/>
        <v>9049.1186992151761</v>
      </c>
      <c r="AM204" s="20"/>
    </row>
    <row r="205" spans="1:39" x14ac:dyDescent="0.25">
      <c r="A205" s="13">
        <f t="shared" si="99"/>
        <v>200</v>
      </c>
      <c r="B205" s="1">
        <v>45034</v>
      </c>
      <c r="C205" s="7">
        <f t="shared" si="100"/>
        <v>2023</v>
      </c>
      <c r="D205" s="7">
        <f t="shared" si="101"/>
        <v>4</v>
      </c>
      <c r="E205" s="61">
        <v>18.050999999999998</v>
      </c>
      <c r="F205" s="65">
        <v>54.21</v>
      </c>
      <c r="G205" s="2">
        <v>39.68</v>
      </c>
      <c r="H205" s="2">
        <v>10.65</v>
      </c>
      <c r="I205" s="2">
        <v>278.18</v>
      </c>
      <c r="J205" s="2">
        <v>21.4</v>
      </c>
      <c r="K205" s="2">
        <v>334.14</v>
      </c>
      <c r="L205" s="2">
        <v>102.3</v>
      </c>
      <c r="M205" s="144">
        <v>184.31</v>
      </c>
      <c r="N205" s="72">
        <f t="shared" si="102"/>
        <v>-7.5064079091906599E-3</v>
      </c>
      <c r="O205" s="73">
        <f t="shared" si="103"/>
        <v>-1.2689723811893483E-2</v>
      </c>
      <c r="P205" s="73">
        <f t="shared" si="104"/>
        <v>-1.7527675276752697E-2</v>
      </c>
      <c r="Q205" s="73">
        <f t="shared" si="105"/>
        <v>8.2748695808598782E-4</v>
      </c>
      <c r="R205" s="73">
        <f t="shared" si="106"/>
        <v>-2.1490626428898096E-2</v>
      </c>
      <c r="S205" s="73">
        <f t="shared" si="107"/>
        <v>-5.1762302060275878E-2</v>
      </c>
      <c r="T205" s="73">
        <f t="shared" si="108"/>
        <v>-2.1267049661396475E-3</v>
      </c>
      <c r="U205" s="73">
        <f t="shared" si="109"/>
        <v>-1.2462188381398565E-2</v>
      </c>
      <c r="V205" s="148">
        <f t="shared" si="110"/>
        <v>56.631684364701584</v>
      </c>
      <c r="W205" s="149">
        <f t="shared" si="111"/>
        <v>39.897208260761381</v>
      </c>
      <c r="X205" s="149">
        <f t="shared" si="112"/>
        <v>14.049354243542437</v>
      </c>
      <c r="Y205" s="149">
        <f t="shared" si="113"/>
        <v>226.52729339809318</v>
      </c>
      <c r="Z205" s="149">
        <f t="shared" si="114"/>
        <v>13.464288980338361</v>
      </c>
      <c r="AA205" s="149">
        <f t="shared" si="115"/>
        <v>254.08029116294907</v>
      </c>
      <c r="AB205" s="149">
        <f t="shared" si="116"/>
        <v>2665.6213279198587</v>
      </c>
      <c r="AC205" s="150">
        <f t="shared" si="117"/>
        <v>3183.4619273752796</v>
      </c>
      <c r="AD205" s="157">
        <f t="shared" si="118"/>
        <v>8566.3127059683575</v>
      </c>
      <c r="AE205" s="19">
        <f t="shared" si="119"/>
        <v>14614.564568300533</v>
      </c>
      <c r="AF205" s="19">
        <f t="shared" si="120"/>
        <v>22257.343173431658</v>
      </c>
      <c r="AG205" s="19">
        <f t="shared" si="121"/>
        <v>-711.71491275406424</v>
      </c>
      <c r="AH205" s="19">
        <f t="shared" si="122"/>
        <v>13218.282578875236</v>
      </c>
      <c r="AI205" s="19">
        <f t="shared" si="123"/>
        <v>73509.456836369893</v>
      </c>
      <c r="AJ205" s="19">
        <f t="shared" si="124"/>
        <v>1704.321624042268</v>
      </c>
      <c r="AK205" s="158">
        <f t="shared" si="125"/>
        <v>10043.388156180072</v>
      </c>
      <c r="AL205" s="163">
        <f t="shared" si="126"/>
        <v>143201.95473041394</v>
      </c>
      <c r="AM205" s="20"/>
    </row>
    <row r="206" spans="1:39" x14ac:dyDescent="0.25">
      <c r="A206" s="13">
        <f t="shared" si="99"/>
        <v>201</v>
      </c>
      <c r="B206" s="1">
        <v>45033</v>
      </c>
      <c r="C206" s="7">
        <f t="shared" si="100"/>
        <v>2023</v>
      </c>
      <c r="D206" s="7">
        <f t="shared" si="101"/>
        <v>4</v>
      </c>
      <c r="E206" s="61">
        <v>18.012</v>
      </c>
      <c r="F206" s="65">
        <v>54.62</v>
      </c>
      <c r="G206" s="2">
        <v>40.19</v>
      </c>
      <c r="H206" s="2">
        <v>10.84</v>
      </c>
      <c r="I206" s="2">
        <v>277.95</v>
      </c>
      <c r="J206" s="2">
        <v>21.87</v>
      </c>
      <c r="K206" s="2">
        <v>352.38</v>
      </c>
      <c r="L206" s="2">
        <v>102.74</v>
      </c>
      <c r="M206" s="144">
        <v>187.04</v>
      </c>
      <c r="N206" s="72">
        <f t="shared" si="102"/>
        <v>5.8931860036832706E-3</v>
      </c>
      <c r="O206" s="73">
        <f t="shared" si="103"/>
        <v>8.2789764174611147E-3</v>
      </c>
      <c r="P206" s="73">
        <f t="shared" si="104"/>
        <v>4.6339202965710591E-3</v>
      </c>
      <c r="Q206" s="73">
        <f t="shared" si="105"/>
        <v>-4.7978803394322922E-3</v>
      </c>
      <c r="R206" s="73">
        <f t="shared" si="106"/>
        <v>4.5934772622875375E-3</v>
      </c>
      <c r="S206" s="73">
        <f t="shared" si="107"/>
        <v>9.5112588093737571E-3</v>
      </c>
      <c r="T206" s="73">
        <f t="shared" si="108"/>
        <v>3.1347648353945434E-3</v>
      </c>
      <c r="U206" s="73">
        <f t="shared" si="109"/>
        <v>1.1925917471149905E-2</v>
      </c>
      <c r="V206" s="148">
        <f t="shared" si="110"/>
        <v>57.396265193370169</v>
      </c>
      <c r="W206" s="149">
        <f t="shared" si="111"/>
        <v>40.744553437029602</v>
      </c>
      <c r="X206" s="149">
        <f t="shared" si="112"/>
        <v>14.366265060240966</v>
      </c>
      <c r="Y206" s="149">
        <f t="shared" si="113"/>
        <v>225.25404776397289</v>
      </c>
      <c r="Z206" s="149">
        <f t="shared" si="114"/>
        <v>13.823206247129077</v>
      </c>
      <c r="AA206" s="149">
        <f t="shared" si="115"/>
        <v>270.49854179797171</v>
      </c>
      <c r="AB206" s="149">
        <f t="shared" si="116"/>
        <v>2679.6763048282246</v>
      </c>
      <c r="AC206" s="150">
        <f t="shared" si="117"/>
        <v>3262.0802906915505</v>
      </c>
      <c r="AD206" s="157">
        <f t="shared" si="118"/>
        <v>-6725.3038674033405</v>
      </c>
      <c r="AE206" s="19">
        <f t="shared" si="119"/>
        <v>-9534.7729553437439</v>
      </c>
      <c r="AF206" s="19">
        <f t="shared" si="120"/>
        <v>-5884.3373493977424</v>
      </c>
      <c r="AG206" s="19">
        <f t="shared" si="121"/>
        <v>4126.6184969030237</v>
      </c>
      <c r="AH206" s="19">
        <f t="shared" si="122"/>
        <v>-2825.3192466697551</v>
      </c>
      <c r="AI206" s="19">
        <f t="shared" si="123"/>
        <v>-13507.271529250131</v>
      </c>
      <c r="AJ206" s="19">
        <f t="shared" si="124"/>
        <v>-2512.1714484675067</v>
      </c>
      <c r="AK206" s="158">
        <f t="shared" si="125"/>
        <v>-9611.2026728876572</v>
      </c>
      <c r="AL206" s="163">
        <f t="shared" si="126"/>
        <v>-46473.760572516847</v>
      </c>
      <c r="AM206" s="20"/>
    </row>
    <row r="207" spans="1:39" x14ac:dyDescent="0.25">
      <c r="A207" s="13">
        <f t="shared" si="99"/>
        <v>202</v>
      </c>
      <c r="B207" s="1">
        <v>45030</v>
      </c>
      <c r="C207" s="7">
        <f t="shared" si="100"/>
        <v>2023</v>
      </c>
      <c r="D207" s="7">
        <f t="shared" si="101"/>
        <v>4</v>
      </c>
      <c r="E207" s="61">
        <v>17.995999999999999</v>
      </c>
      <c r="F207" s="65">
        <v>54.3</v>
      </c>
      <c r="G207" s="2">
        <v>39.86</v>
      </c>
      <c r="H207" s="2">
        <v>10.79</v>
      </c>
      <c r="I207" s="2">
        <v>279.29000000000002</v>
      </c>
      <c r="J207" s="2">
        <v>21.77</v>
      </c>
      <c r="K207" s="2">
        <v>349.06</v>
      </c>
      <c r="L207" s="2">
        <v>102.51</v>
      </c>
      <c r="M207" s="144">
        <v>185</v>
      </c>
      <c r="N207" s="72">
        <f t="shared" si="102"/>
        <v>-3.8525041276830096E-3</v>
      </c>
      <c r="O207" s="73">
        <f t="shared" si="103"/>
        <v>-2.3996082272282226E-2</v>
      </c>
      <c r="P207" s="73">
        <f t="shared" si="104"/>
        <v>4.6554934823090921E-3</v>
      </c>
      <c r="Q207" s="73">
        <f t="shared" si="105"/>
        <v>-1.4850088183421484E-2</v>
      </c>
      <c r="R207" s="73">
        <f t="shared" si="106"/>
        <v>-4.2234931808183052E-2</v>
      </c>
      <c r="S207" s="73">
        <f t="shared" si="107"/>
        <v>-2.4577046181984974E-3</v>
      </c>
      <c r="T207" s="73">
        <f t="shared" si="108"/>
        <v>9.6297592093552709E-4</v>
      </c>
      <c r="U207" s="73">
        <f t="shared" si="109"/>
        <v>-4.9518980083916864E-3</v>
      </c>
      <c r="V207" s="148">
        <f t="shared" si="110"/>
        <v>56.84017611447441</v>
      </c>
      <c r="W207" s="149">
        <f t="shared" si="111"/>
        <v>39.44031831537707</v>
      </c>
      <c r="X207" s="149">
        <f t="shared" si="112"/>
        <v>14.36657355679702</v>
      </c>
      <c r="Y207" s="149">
        <f t="shared" si="113"/>
        <v>222.97883104056439</v>
      </c>
      <c r="Z207" s="149">
        <f t="shared" si="114"/>
        <v>13.1788473383194</v>
      </c>
      <c r="AA207" s="149">
        <f t="shared" si="115"/>
        <v>267.2914580475537</v>
      </c>
      <c r="AB207" s="149">
        <f t="shared" si="116"/>
        <v>2673.874799888737</v>
      </c>
      <c r="AC207" s="150">
        <f t="shared" si="117"/>
        <v>3207.6723658868073</v>
      </c>
      <c r="AD207" s="157">
        <f t="shared" si="118"/>
        <v>4396.4777105118455</v>
      </c>
      <c r="AE207" s="19">
        <f t="shared" si="119"/>
        <v>27635.928011753414</v>
      </c>
      <c r="AF207" s="19">
        <f t="shared" si="120"/>
        <v>-5911.7318435753004</v>
      </c>
      <c r="AG207" s="19">
        <f t="shared" si="121"/>
        <v>12772.442045855343</v>
      </c>
      <c r="AH207" s="19">
        <f t="shared" si="122"/>
        <v>25977.523977122801</v>
      </c>
      <c r="AI207" s="19">
        <f t="shared" si="123"/>
        <v>3490.2723479653105</v>
      </c>
      <c r="AJ207" s="19">
        <f t="shared" si="124"/>
        <v>-771.71996662123092</v>
      </c>
      <c r="AK207" s="158">
        <f t="shared" si="125"/>
        <v>3990.7785282981649</v>
      </c>
      <c r="AL207" s="163">
        <f t="shared" si="126"/>
        <v>71579.970811310355</v>
      </c>
      <c r="AM207" s="20"/>
    </row>
    <row r="208" spans="1:39" x14ac:dyDescent="0.25">
      <c r="A208" s="13">
        <f t="shared" si="99"/>
        <v>203</v>
      </c>
      <c r="B208" s="1">
        <v>45029</v>
      </c>
      <c r="C208" s="7">
        <f t="shared" si="100"/>
        <v>2023</v>
      </c>
      <c r="D208" s="7">
        <f t="shared" si="101"/>
        <v>4</v>
      </c>
      <c r="E208" s="61">
        <v>17.998000000000001</v>
      </c>
      <c r="F208" s="65">
        <v>54.51</v>
      </c>
      <c r="G208" s="2">
        <v>40.840000000000003</v>
      </c>
      <c r="H208" s="2">
        <v>10.74</v>
      </c>
      <c r="I208" s="2">
        <v>283.5</v>
      </c>
      <c r="J208" s="2">
        <v>22.73</v>
      </c>
      <c r="K208" s="2">
        <v>349.92</v>
      </c>
      <c r="L208" s="2">
        <v>102.4</v>
      </c>
      <c r="M208" s="144">
        <v>185.9</v>
      </c>
      <c r="N208" s="72">
        <f t="shared" si="102"/>
        <v>7.3923489188689739E-3</v>
      </c>
      <c r="O208" s="73">
        <f t="shared" si="103"/>
        <v>4.9212598425196763E-3</v>
      </c>
      <c r="P208" s="73">
        <f t="shared" si="104"/>
        <v>5.3974484789008903E-2</v>
      </c>
      <c r="Q208" s="73">
        <f t="shared" si="105"/>
        <v>1.0262989095574104E-2</v>
      </c>
      <c r="R208" s="73">
        <f t="shared" si="106"/>
        <v>0.10932162030258663</v>
      </c>
      <c r="S208" s="73">
        <f t="shared" si="107"/>
        <v>-3.5027765912002407E-3</v>
      </c>
      <c r="T208" s="73">
        <f t="shared" si="108"/>
        <v>4.2947070739707938E-2</v>
      </c>
      <c r="U208" s="73">
        <f t="shared" si="109"/>
        <v>2.5983360025909619E-2</v>
      </c>
      <c r="V208" s="148">
        <f t="shared" si="110"/>
        <v>57.481807429310663</v>
      </c>
      <c r="W208" s="149">
        <f t="shared" si="111"/>
        <v>40.608868110236216</v>
      </c>
      <c r="X208" s="149">
        <f t="shared" si="112"/>
        <v>15.071835132482828</v>
      </c>
      <c r="Y208" s="149">
        <f t="shared" si="113"/>
        <v>228.66292495189225</v>
      </c>
      <c r="Z208" s="149">
        <f t="shared" si="114"/>
        <v>15.264265495363592</v>
      </c>
      <c r="AA208" s="149">
        <f t="shared" si="115"/>
        <v>267.0114310123879</v>
      </c>
      <c r="AB208" s="149">
        <f t="shared" si="116"/>
        <v>2786.0270131399511</v>
      </c>
      <c r="AC208" s="150">
        <f t="shared" si="117"/>
        <v>3307.3963612691359</v>
      </c>
      <c r="AD208" s="157">
        <f t="shared" si="118"/>
        <v>-8436.1485862132213</v>
      </c>
      <c r="AE208" s="19">
        <f t="shared" si="119"/>
        <v>-5667.7411417322501</v>
      </c>
      <c r="AF208" s="19">
        <f t="shared" si="120"/>
        <v>-68538.95976447509</v>
      </c>
      <c r="AG208" s="19">
        <f t="shared" si="121"/>
        <v>-8827.1148171905388</v>
      </c>
      <c r="AH208" s="19">
        <f t="shared" si="122"/>
        <v>-67240.667642752567</v>
      </c>
      <c r="AI208" s="19">
        <f t="shared" si="123"/>
        <v>4974.4156343440582</v>
      </c>
      <c r="AJ208" s="19">
        <f t="shared" si="124"/>
        <v>-34417.383941985463</v>
      </c>
      <c r="AK208" s="158">
        <f t="shared" si="125"/>
        <v>-20940.220317284002</v>
      </c>
      <c r="AL208" s="163">
        <f t="shared" si="126"/>
        <v>-209093.82057728904</v>
      </c>
      <c r="AM208" s="20"/>
    </row>
    <row r="209" spans="1:39" x14ac:dyDescent="0.25">
      <c r="A209" s="13">
        <f t="shared" si="99"/>
        <v>204</v>
      </c>
      <c r="B209" s="1">
        <v>45028</v>
      </c>
      <c r="C209" s="7">
        <f t="shared" si="100"/>
        <v>2023</v>
      </c>
      <c r="D209" s="7">
        <f t="shared" si="101"/>
        <v>4</v>
      </c>
      <c r="E209" s="61">
        <v>18.062999999999999</v>
      </c>
      <c r="F209" s="65">
        <v>54.11</v>
      </c>
      <c r="G209" s="2">
        <v>40.64</v>
      </c>
      <c r="H209" s="2">
        <v>10.19</v>
      </c>
      <c r="I209" s="2">
        <v>280.62</v>
      </c>
      <c r="J209" s="2">
        <v>20.49</v>
      </c>
      <c r="K209" s="2">
        <v>351.15</v>
      </c>
      <c r="L209" s="2">
        <v>97.83</v>
      </c>
      <c r="M209" s="144">
        <v>180.54</v>
      </c>
      <c r="N209" s="72">
        <f t="shared" si="102"/>
        <v>-5.330882352941213E-3</v>
      </c>
      <c r="O209" s="73">
        <f t="shared" si="103"/>
        <v>-8.2967301122497394E-3</v>
      </c>
      <c r="P209" s="73">
        <f t="shared" si="104"/>
        <v>1.4940239043824688E-2</v>
      </c>
      <c r="Q209" s="73">
        <f t="shared" si="105"/>
        <v>-7.1265678449172754E-5</v>
      </c>
      <c r="R209" s="73">
        <f t="shared" si="106"/>
        <v>-7.7481840193704965E-3</v>
      </c>
      <c r="S209" s="73">
        <f t="shared" si="107"/>
        <v>-2.3297440122739266E-3</v>
      </c>
      <c r="T209" s="73">
        <f t="shared" si="108"/>
        <v>-2.5985512758943341E-2</v>
      </c>
      <c r="U209" s="73">
        <f t="shared" si="109"/>
        <v>-3.8463877195262564E-2</v>
      </c>
      <c r="V209" s="148">
        <f t="shared" si="110"/>
        <v>56.75581985294118</v>
      </c>
      <c r="W209" s="149">
        <f t="shared" si="111"/>
        <v>40.074729136163988</v>
      </c>
      <c r="X209" s="149">
        <f t="shared" si="112"/>
        <v>14.513645418326695</v>
      </c>
      <c r="Y209" s="149">
        <f t="shared" si="113"/>
        <v>226.32386972633981</v>
      </c>
      <c r="Z209" s="149">
        <f t="shared" si="114"/>
        <v>13.653384987893462</v>
      </c>
      <c r="AA209" s="149">
        <f t="shared" si="115"/>
        <v>267.32574509191119</v>
      </c>
      <c r="AB209" s="149">
        <f t="shared" si="116"/>
        <v>2601.8872374018038</v>
      </c>
      <c r="AC209" s="150">
        <f t="shared" si="117"/>
        <v>3099.6419607749885</v>
      </c>
      <c r="AD209" s="157">
        <f t="shared" si="118"/>
        <v>6083.6029411764512</v>
      </c>
      <c r="AE209" s="19">
        <f t="shared" si="119"/>
        <v>9555.2196193262407</v>
      </c>
      <c r="AF209" s="19">
        <f t="shared" si="120"/>
        <v>-18971.71314741041</v>
      </c>
      <c r="AG209" s="19">
        <f t="shared" si="121"/>
        <v>61.29503990874241</v>
      </c>
      <c r="AH209" s="19">
        <f t="shared" si="122"/>
        <v>4765.6910411622339</v>
      </c>
      <c r="AI209" s="19">
        <f t="shared" si="123"/>
        <v>3308.551012870646</v>
      </c>
      <c r="AJ209" s="19">
        <f t="shared" si="124"/>
        <v>20824.548779458746</v>
      </c>
      <c r="AK209" s="158">
        <f t="shared" si="125"/>
        <v>30998.379806252844</v>
      </c>
      <c r="AL209" s="163">
        <f t="shared" si="126"/>
        <v>56625.575092745494</v>
      </c>
      <c r="AM209" s="20"/>
    </row>
    <row r="210" spans="1:39" x14ac:dyDescent="0.25">
      <c r="A210" s="13">
        <f t="shared" si="99"/>
        <v>205</v>
      </c>
      <c r="B210" s="1">
        <v>45027</v>
      </c>
      <c r="C210" s="7">
        <f t="shared" si="100"/>
        <v>2023</v>
      </c>
      <c r="D210" s="7">
        <f t="shared" si="101"/>
        <v>4</v>
      </c>
      <c r="E210" s="61">
        <v>18.157</v>
      </c>
      <c r="F210" s="65">
        <v>54.4</v>
      </c>
      <c r="G210" s="2">
        <v>40.98</v>
      </c>
      <c r="H210" s="2">
        <v>10.039999999999999</v>
      </c>
      <c r="I210" s="2">
        <v>280.64</v>
      </c>
      <c r="J210" s="2">
        <v>20.65</v>
      </c>
      <c r="K210" s="2">
        <v>351.97</v>
      </c>
      <c r="L210" s="2">
        <v>99.92</v>
      </c>
      <c r="M210" s="144">
        <v>186.79</v>
      </c>
      <c r="N210" s="72">
        <f t="shared" si="102"/>
        <v>8.1541882876203786E-3</v>
      </c>
      <c r="O210" s="73">
        <f t="shared" si="103"/>
        <v>-4.8567265662944337E-3</v>
      </c>
      <c r="P210" s="73">
        <f t="shared" si="104"/>
        <v>2.2403258655804281E-2</v>
      </c>
      <c r="Q210" s="73">
        <f t="shared" si="105"/>
        <v>3.4312460841042336E-2</v>
      </c>
      <c r="R210" s="73">
        <f t="shared" si="106"/>
        <v>1.5740285292670908E-2</v>
      </c>
      <c r="S210" s="73">
        <f t="shared" si="107"/>
        <v>-1.7255339941365189E-2</v>
      </c>
      <c r="T210" s="73">
        <f t="shared" si="108"/>
        <v>-2.2291357381836407E-2</v>
      </c>
      <c r="U210" s="73">
        <f t="shared" si="109"/>
        <v>1.2078351843268775E-2</v>
      </c>
      <c r="V210" s="148">
        <f t="shared" si="110"/>
        <v>57.525277983691623</v>
      </c>
      <c r="W210" s="149">
        <f t="shared" si="111"/>
        <v>40.21373967945604</v>
      </c>
      <c r="X210" s="149">
        <f t="shared" si="112"/>
        <v>14.620366598778002</v>
      </c>
      <c r="Y210" s="149">
        <f t="shared" si="113"/>
        <v>234.10628238676154</v>
      </c>
      <c r="Z210" s="149">
        <f t="shared" si="114"/>
        <v>13.976586325627151</v>
      </c>
      <c r="AA210" s="149">
        <f t="shared" si="115"/>
        <v>263.32643166271117</v>
      </c>
      <c r="AB210" s="149">
        <f t="shared" si="116"/>
        <v>2611.7554435266425</v>
      </c>
      <c r="AC210" s="150">
        <f t="shared" si="117"/>
        <v>3262.5716835418843</v>
      </c>
      <c r="AD210" s="157">
        <f t="shared" si="118"/>
        <v>-9305.5596738324202</v>
      </c>
      <c r="AE210" s="19">
        <f t="shared" si="119"/>
        <v>5593.419135502756</v>
      </c>
      <c r="AF210" s="19">
        <f t="shared" si="120"/>
        <v>-28448.553971486519</v>
      </c>
      <c r="AG210" s="19">
        <f t="shared" si="121"/>
        <v>-29511.873069693822</v>
      </c>
      <c r="AH210" s="19">
        <f t="shared" si="122"/>
        <v>-9681.4087555336682</v>
      </c>
      <c r="AI210" s="19">
        <f t="shared" si="123"/>
        <v>24504.912187630725</v>
      </c>
      <c r="AJ210" s="19">
        <f t="shared" si="124"/>
        <v>17864.086942007132</v>
      </c>
      <c r="AK210" s="158">
        <f t="shared" si="125"/>
        <v>-9734.0508854711061</v>
      </c>
      <c r="AL210" s="163">
        <f t="shared" si="126"/>
        <v>-38719.02809087692</v>
      </c>
      <c r="AM210" s="20"/>
    </row>
    <row r="211" spans="1:39" x14ac:dyDescent="0.25">
      <c r="A211" s="13">
        <f t="shared" si="99"/>
        <v>206</v>
      </c>
      <c r="B211" s="1">
        <v>45026</v>
      </c>
      <c r="C211" s="7">
        <f t="shared" si="100"/>
        <v>2023</v>
      </c>
      <c r="D211" s="7">
        <f t="shared" si="101"/>
        <v>4</v>
      </c>
      <c r="E211" s="61">
        <v>18.161999999999999</v>
      </c>
      <c r="F211" s="65">
        <v>53.96</v>
      </c>
      <c r="G211" s="2">
        <v>41.18</v>
      </c>
      <c r="H211" s="2">
        <v>9.82</v>
      </c>
      <c r="I211" s="2">
        <v>271.33</v>
      </c>
      <c r="J211" s="2">
        <v>20.329999999999998</v>
      </c>
      <c r="K211" s="2">
        <v>358.15</v>
      </c>
      <c r="L211" s="2">
        <v>102.17</v>
      </c>
      <c r="M211" s="144">
        <v>184.51</v>
      </c>
      <c r="N211" s="72">
        <f t="shared" si="102"/>
        <v>1.1244377811094441E-2</v>
      </c>
      <c r="O211" s="73">
        <f t="shared" si="103"/>
        <v>6.1079892499389388E-3</v>
      </c>
      <c r="P211" s="73">
        <f t="shared" si="104"/>
        <v>2.5052192066805867E-2</v>
      </c>
      <c r="Q211" s="73">
        <f t="shared" si="105"/>
        <v>1.0841218985172318E-2</v>
      </c>
      <c r="R211" s="73">
        <f t="shared" si="106"/>
        <v>4.9212598425185661E-4</v>
      </c>
      <c r="S211" s="73">
        <f t="shared" si="107"/>
        <v>2.3022651318232557E-2</v>
      </c>
      <c r="T211" s="73">
        <f t="shared" si="108"/>
        <v>3.7306677839834546E-3</v>
      </c>
      <c r="U211" s="73">
        <f t="shared" si="109"/>
        <v>-1.2188383396257496E-2</v>
      </c>
      <c r="V211" s="148">
        <f t="shared" si="110"/>
        <v>57.701604197901048</v>
      </c>
      <c r="W211" s="149">
        <f t="shared" si="111"/>
        <v>40.656823845590026</v>
      </c>
      <c r="X211" s="149">
        <f t="shared" si="112"/>
        <v>14.658246346555325</v>
      </c>
      <c r="Y211" s="149">
        <f t="shared" si="113"/>
        <v>228.79380150510391</v>
      </c>
      <c r="Z211" s="149">
        <f t="shared" si="114"/>
        <v>13.766771653543305</v>
      </c>
      <c r="AA211" s="149">
        <f t="shared" si="115"/>
        <v>274.11891942072037</v>
      </c>
      <c r="AB211" s="149">
        <f t="shared" si="116"/>
        <v>2681.2681418049574</v>
      </c>
      <c r="AC211" s="150">
        <f t="shared" si="117"/>
        <v>3184.3445748399813</v>
      </c>
      <c r="AD211" s="157">
        <f t="shared" si="118"/>
        <v>-12832.083958020918</v>
      </c>
      <c r="AE211" s="19">
        <f t="shared" si="119"/>
        <v>-7034.4795993158295</v>
      </c>
      <c r="AF211" s="19">
        <f t="shared" si="120"/>
        <v>-31812.275574112795</v>
      </c>
      <c r="AG211" s="19">
        <f t="shared" si="121"/>
        <v>-9324.445719394862</v>
      </c>
      <c r="AH211" s="19">
        <f t="shared" si="122"/>
        <v>-302.6929133857484</v>
      </c>
      <c r="AI211" s="19">
        <f t="shared" si="123"/>
        <v>-32695.272929818042</v>
      </c>
      <c r="AJ211" s="19">
        <f t="shared" si="124"/>
        <v>-2989.7225414873446</v>
      </c>
      <c r="AK211" s="158">
        <f t="shared" si="125"/>
        <v>9822.7262900046517</v>
      </c>
      <c r="AL211" s="163">
        <f t="shared" si="126"/>
        <v>-87168.246945530875</v>
      </c>
      <c r="AM211" s="20"/>
    </row>
    <row r="212" spans="1:39" x14ac:dyDescent="0.25">
      <c r="A212" s="13">
        <f t="shared" si="99"/>
        <v>207</v>
      </c>
      <c r="B212" s="1">
        <v>45021</v>
      </c>
      <c r="C212" s="7">
        <f t="shared" si="100"/>
        <v>2023</v>
      </c>
      <c r="D212" s="7">
        <f t="shared" si="101"/>
        <v>4</v>
      </c>
      <c r="E212" s="61">
        <v>18.286000000000001</v>
      </c>
      <c r="F212" s="65">
        <v>53.36</v>
      </c>
      <c r="G212" s="2">
        <v>40.93</v>
      </c>
      <c r="H212" s="2">
        <v>9.58</v>
      </c>
      <c r="I212" s="2">
        <v>268.42</v>
      </c>
      <c r="J212" s="2">
        <v>20.32</v>
      </c>
      <c r="K212" s="2">
        <v>350.09</v>
      </c>
      <c r="L212" s="2">
        <v>101.1</v>
      </c>
      <c r="M212" s="144">
        <v>185.52</v>
      </c>
      <c r="N212" s="72">
        <f t="shared" si="102"/>
        <v>-1.0385756676557945E-2</v>
      </c>
      <c r="O212" s="73">
        <f t="shared" si="103"/>
        <v>-4.6206225680933688E-3</v>
      </c>
      <c r="P212" s="73">
        <f t="shared" si="104"/>
        <v>-1.9447287615148356E-2</v>
      </c>
      <c r="Q212" s="73">
        <f t="shared" si="105"/>
        <v>-1.674053994651814E-2</v>
      </c>
      <c r="R212" s="73">
        <f t="shared" si="106"/>
        <v>-3.6053130929791233E-2</v>
      </c>
      <c r="S212" s="73">
        <f t="shared" si="107"/>
        <v>-1.6656367619796608E-2</v>
      </c>
      <c r="T212" s="73">
        <f t="shared" si="108"/>
        <v>-1.8344525216523966E-2</v>
      </c>
      <c r="U212" s="73">
        <f t="shared" si="109"/>
        <v>-2.7673808753504781E-2</v>
      </c>
      <c r="V212" s="148">
        <f t="shared" si="110"/>
        <v>56.467388724035608</v>
      </c>
      <c r="W212" s="149">
        <f t="shared" si="111"/>
        <v>40.22328064202334</v>
      </c>
      <c r="X212" s="149">
        <f t="shared" si="112"/>
        <v>14.02190378710338</v>
      </c>
      <c r="Y212" s="149">
        <f t="shared" si="113"/>
        <v>222.55094618850509</v>
      </c>
      <c r="Z212" s="149">
        <f t="shared" si="114"/>
        <v>13.263908918406072</v>
      </c>
      <c r="AA212" s="149">
        <f t="shared" si="115"/>
        <v>263.4869262962755</v>
      </c>
      <c r="AB212" s="149">
        <f t="shared" si="116"/>
        <v>2622.2986257622388</v>
      </c>
      <c r="AC212" s="150">
        <f t="shared" si="117"/>
        <v>3134.4252082354674</v>
      </c>
      <c r="AD212" s="157">
        <f t="shared" si="118"/>
        <v>11852.225519287884</v>
      </c>
      <c r="AE212" s="19">
        <f t="shared" si="119"/>
        <v>5321.5017023347073</v>
      </c>
      <c r="AF212" s="19">
        <f t="shared" si="120"/>
        <v>24694.943705219936</v>
      </c>
      <c r="AG212" s="19">
        <f t="shared" si="121"/>
        <v>14398.404483680657</v>
      </c>
      <c r="AH212" s="19">
        <f t="shared" si="122"/>
        <v>22175.271347248578</v>
      </c>
      <c r="AI212" s="19">
        <f t="shared" si="123"/>
        <v>23654.290629739797</v>
      </c>
      <c r="AJ212" s="19">
        <f t="shared" si="124"/>
        <v>14701.132271328242</v>
      </c>
      <c r="AK212" s="158">
        <f t="shared" si="125"/>
        <v>22302.567941133133</v>
      </c>
      <c r="AL212" s="163">
        <f t="shared" si="126"/>
        <v>139100.33759997293</v>
      </c>
      <c r="AM212" s="20"/>
    </row>
    <row r="213" spans="1:39" x14ac:dyDescent="0.25">
      <c r="A213" s="13">
        <f t="shared" si="99"/>
        <v>208</v>
      </c>
      <c r="B213" s="1">
        <v>45020</v>
      </c>
      <c r="C213" s="7">
        <f t="shared" si="100"/>
        <v>2023</v>
      </c>
      <c r="D213" s="7">
        <f t="shared" si="101"/>
        <v>4</v>
      </c>
      <c r="E213" s="61">
        <v>18.117000000000001</v>
      </c>
      <c r="F213" s="65">
        <v>53.92</v>
      </c>
      <c r="G213" s="2">
        <v>41.12</v>
      </c>
      <c r="H213" s="2">
        <v>9.77</v>
      </c>
      <c r="I213" s="2">
        <v>272.99</v>
      </c>
      <c r="J213" s="2">
        <v>21.08</v>
      </c>
      <c r="K213" s="2">
        <v>356.02</v>
      </c>
      <c r="L213" s="2">
        <v>103.95</v>
      </c>
      <c r="M213" s="144">
        <v>192.58</v>
      </c>
      <c r="N213" s="72">
        <f t="shared" si="102"/>
        <v>5.7825032643163965E-3</v>
      </c>
      <c r="O213" s="73">
        <f t="shared" si="103"/>
        <v>1.4612761811980679E-3</v>
      </c>
      <c r="P213" s="73">
        <f t="shared" si="104"/>
        <v>2.0512820512819108E-3</v>
      </c>
      <c r="Q213" s="73">
        <f t="shared" si="105"/>
        <v>4.2225021952430053E-2</v>
      </c>
      <c r="R213" s="73">
        <f t="shared" si="106"/>
        <v>1.4251781472682801E-3</v>
      </c>
      <c r="S213" s="73">
        <f t="shared" si="107"/>
        <v>9.8139323803039247E-3</v>
      </c>
      <c r="T213" s="73">
        <f t="shared" si="108"/>
        <v>1.8466775045722583E-2</v>
      </c>
      <c r="U213" s="73">
        <f t="shared" si="109"/>
        <v>-7.903639635939208E-3</v>
      </c>
      <c r="V213" s="148">
        <f t="shared" si="110"/>
        <v>57.389949636261896</v>
      </c>
      <c r="W213" s="149">
        <f t="shared" si="111"/>
        <v>40.469050170482213</v>
      </c>
      <c r="X213" s="149">
        <f t="shared" si="112"/>
        <v>14.329333333333333</v>
      </c>
      <c r="Y213" s="149">
        <f t="shared" si="113"/>
        <v>235.89721146871301</v>
      </c>
      <c r="Z213" s="149">
        <f t="shared" si="114"/>
        <v>13.779610451306411</v>
      </c>
      <c r="AA213" s="149">
        <f t="shared" si="115"/>
        <v>270.5796431813024</v>
      </c>
      <c r="AB213" s="149">
        <f t="shared" si="116"/>
        <v>2720.6327404998983</v>
      </c>
      <c r="AC213" s="150">
        <f t="shared" si="117"/>
        <v>3198.157026848452</v>
      </c>
      <c r="AD213" s="157">
        <f t="shared" si="118"/>
        <v>-6598.9927252378775</v>
      </c>
      <c r="AE213" s="19">
        <f t="shared" si="119"/>
        <v>-1682.9298587431545</v>
      </c>
      <c r="AF213" s="19">
        <f t="shared" si="120"/>
        <v>-2604.799999999871</v>
      </c>
      <c r="AG213" s="19">
        <f t="shared" si="121"/>
        <v>-36317.403581109429</v>
      </c>
      <c r="AH213" s="19">
        <f t="shared" si="122"/>
        <v>-876.58717339657335</v>
      </c>
      <c r="AI213" s="19">
        <f t="shared" si="123"/>
        <v>-13937.108860902788</v>
      </c>
      <c r="AJ213" s="19">
        <f t="shared" si="124"/>
        <v>-14799.102149969622</v>
      </c>
      <c r="AK213" s="158">
        <f t="shared" si="125"/>
        <v>6369.6132878869776</v>
      </c>
      <c r="AL213" s="163">
        <f t="shared" si="126"/>
        <v>-70447.311061472341</v>
      </c>
      <c r="AM213" s="20"/>
    </row>
    <row r="214" spans="1:39" x14ac:dyDescent="0.25">
      <c r="A214" s="13">
        <f t="shared" si="99"/>
        <v>209</v>
      </c>
      <c r="B214" s="1">
        <v>45019</v>
      </c>
      <c r="C214" s="7">
        <f t="shared" si="100"/>
        <v>2023</v>
      </c>
      <c r="D214" s="7">
        <f t="shared" si="101"/>
        <v>4</v>
      </c>
      <c r="E214" s="61">
        <v>18.056000000000001</v>
      </c>
      <c r="F214" s="65">
        <v>53.61</v>
      </c>
      <c r="G214" s="2">
        <v>41.06</v>
      </c>
      <c r="H214" s="2">
        <v>9.75</v>
      </c>
      <c r="I214" s="2">
        <v>261.93</v>
      </c>
      <c r="J214" s="2">
        <v>21.05</v>
      </c>
      <c r="K214" s="2">
        <v>352.56</v>
      </c>
      <c r="L214" s="2">
        <v>102.41</v>
      </c>
      <c r="M214" s="144">
        <v>194.77</v>
      </c>
      <c r="N214" s="72">
        <f t="shared" si="102"/>
        <v>-5.5928411633110464E-4</v>
      </c>
      <c r="O214" s="73">
        <f t="shared" si="103"/>
        <v>-2.1682153919466152E-2</v>
      </c>
      <c r="P214" s="73">
        <f t="shared" si="104"/>
        <v>-1.4155712841253831E-2</v>
      </c>
      <c r="Q214" s="73">
        <f t="shared" si="105"/>
        <v>-1.455981941309259E-2</v>
      </c>
      <c r="R214" s="73">
        <f t="shared" si="106"/>
        <v>-5.1801801801801717E-2</v>
      </c>
      <c r="S214" s="73">
        <f t="shared" si="107"/>
        <v>5.5617352614014681E-3</v>
      </c>
      <c r="T214" s="73">
        <f t="shared" si="108"/>
        <v>-5.9818064447466623E-3</v>
      </c>
      <c r="U214" s="73">
        <f t="shared" si="109"/>
        <v>-5.8765287733840599E-2</v>
      </c>
      <c r="V214" s="148">
        <f t="shared" si="110"/>
        <v>57.028087248322151</v>
      </c>
      <c r="W214" s="149">
        <f t="shared" si="111"/>
        <v>39.533824160114371</v>
      </c>
      <c r="X214" s="149">
        <f t="shared" si="112"/>
        <v>14.097573306370071</v>
      </c>
      <c r="Y214" s="149">
        <f t="shared" si="113"/>
        <v>223.04453047404061</v>
      </c>
      <c r="Z214" s="149">
        <f t="shared" si="114"/>
        <v>13.047207207207208</v>
      </c>
      <c r="AA214" s="149">
        <f t="shared" si="115"/>
        <v>269.44026696329252</v>
      </c>
      <c r="AB214" s="149">
        <f t="shared" si="116"/>
        <v>2655.3231860878122</v>
      </c>
      <c r="AC214" s="150">
        <f t="shared" si="117"/>
        <v>3034.1976134687825</v>
      </c>
      <c r="AD214" s="157">
        <f t="shared" si="118"/>
        <v>638.25503355701585</v>
      </c>
      <c r="AE214" s="19">
        <f t="shared" si="119"/>
        <v>24971.011436740337</v>
      </c>
      <c r="AF214" s="19">
        <f t="shared" si="120"/>
        <v>17975.490394337739</v>
      </c>
      <c r="AG214" s="19">
        <f t="shared" si="121"/>
        <v>12522.784198645684</v>
      </c>
      <c r="AH214" s="19">
        <f t="shared" si="122"/>
        <v>31861.837837837789</v>
      </c>
      <c r="AI214" s="19">
        <f t="shared" si="123"/>
        <v>-7898.4149054503914</v>
      </c>
      <c r="AJ214" s="19">
        <f t="shared" si="124"/>
        <v>4793.7641736562</v>
      </c>
      <c r="AK214" s="158">
        <f t="shared" si="125"/>
        <v>47359.466632804353</v>
      </c>
      <c r="AL214" s="163">
        <f t="shared" si="126"/>
        <v>132224.19480212871</v>
      </c>
      <c r="AM214" s="20"/>
    </row>
    <row r="215" spans="1:39" x14ac:dyDescent="0.25">
      <c r="A215" s="13">
        <f t="shared" si="99"/>
        <v>210</v>
      </c>
      <c r="B215" s="1">
        <v>45016</v>
      </c>
      <c r="C215" s="7">
        <f t="shared" si="100"/>
        <v>2023</v>
      </c>
      <c r="D215" s="7">
        <f t="shared" si="101"/>
        <v>3</v>
      </c>
      <c r="E215" s="61">
        <v>18.009899999999998</v>
      </c>
      <c r="F215" s="65">
        <v>53.64</v>
      </c>
      <c r="G215" s="2">
        <v>41.97</v>
      </c>
      <c r="H215" s="2">
        <v>9.89</v>
      </c>
      <c r="I215" s="2">
        <v>265.8</v>
      </c>
      <c r="J215" s="2">
        <v>22.2</v>
      </c>
      <c r="K215" s="2">
        <v>350.61</v>
      </c>
      <c r="L215" s="2">
        <v>103.29</v>
      </c>
      <c r="M215" s="144">
        <v>207.46</v>
      </c>
      <c r="N215" s="72">
        <f t="shared" si="102"/>
        <v>-5.7460611677480067E-3</v>
      </c>
      <c r="O215" s="73">
        <f t="shared" si="103"/>
        <v>-2.6140684410645987E-3</v>
      </c>
      <c r="P215" s="73">
        <f t="shared" si="104"/>
        <v>1.0214504596527174E-2</v>
      </c>
      <c r="Q215" s="73">
        <f t="shared" si="105"/>
        <v>-1.1712214166201829E-2</v>
      </c>
      <c r="R215" s="73">
        <f t="shared" si="106"/>
        <v>1.4625228519195677E-2</v>
      </c>
      <c r="S215" s="73">
        <f t="shared" si="107"/>
        <v>-5.1923731699011766E-3</v>
      </c>
      <c r="T215" s="73">
        <f t="shared" si="108"/>
        <v>8.9440288064772666E-3</v>
      </c>
      <c r="U215" s="73">
        <f t="shared" si="109"/>
        <v>5.8487115464687767E-2</v>
      </c>
      <c r="V215" s="148">
        <f t="shared" si="110"/>
        <v>56.732129749768298</v>
      </c>
      <c r="W215" s="149">
        <f t="shared" si="111"/>
        <v>40.304365494296576</v>
      </c>
      <c r="X215" s="149">
        <f t="shared" si="112"/>
        <v>14.44606741573034</v>
      </c>
      <c r="Y215" s="149">
        <f t="shared" si="113"/>
        <v>223.68905744562187</v>
      </c>
      <c r="Z215" s="149">
        <f t="shared" si="114"/>
        <v>13.961243144424133</v>
      </c>
      <c r="AA215" s="149">
        <f t="shared" si="115"/>
        <v>266.55870360912496</v>
      </c>
      <c r="AB215" s="149">
        <f t="shared" si="116"/>
        <v>2695.1946056164115</v>
      </c>
      <c r="AC215" s="150">
        <f t="shared" si="117"/>
        <v>3412.176620534824</v>
      </c>
      <c r="AD215" s="157">
        <f t="shared" si="118"/>
        <v>6557.4050046340917</v>
      </c>
      <c r="AE215" s="19">
        <f t="shared" si="119"/>
        <v>3010.5834125474898</v>
      </c>
      <c r="AF215" s="19">
        <f t="shared" si="120"/>
        <v>-12970.786516854141</v>
      </c>
      <c r="AG215" s="19">
        <f t="shared" si="121"/>
        <v>10073.581706636907</v>
      </c>
      <c r="AH215" s="19">
        <f t="shared" si="122"/>
        <v>-8995.5685557587421</v>
      </c>
      <c r="AI215" s="19">
        <f t="shared" si="123"/>
        <v>7373.8708716376441</v>
      </c>
      <c r="AJ215" s="19">
        <f t="shared" si="124"/>
        <v>-7167.661684923587</v>
      </c>
      <c r="AK215" s="158">
        <f t="shared" si="125"/>
        <v>-47135.28513370602</v>
      </c>
      <c r="AL215" s="163">
        <f t="shared" si="126"/>
        <v>-49253.860895786362</v>
      </c>
      <c r="AM215" s="20"/>
    </row>
    <row r="216" spans="1:39" x14ac:dyDescent="0.25">
      <c r="A216" s="13">
        <f t="shared" si="99"/>
        <v>211</v>
      </c>
      <c r="B216" s="1">
        <v>45015</v>
      </c>
      <c r="C216" s="7">
        <f t="shared" si="100"/>
        <v>2023</v>
      </c>
      <c r="D216" s="7">
        <f t="shared" si="101"/>
        <v>3</v>
      </c>
      <c r="E216" s="61">
        <v>18.076000000000001</v>
      </c>
      <c r="F216" s="65">
        <v>53.95</v>
      </c>
      <c r="G216" s="2">
        <v>42.08</v>
      </c>
      <c r="H216" s="2">
        <v>9.7899999999999991</v>
      </c>
      <c r="I216" s="2">
        <v>268.95</v>
      </c>
      <c r="J216" s="2">
        <v>21.88</v>
      </c>
      <c r="K216" s="2">
        <v>352.44</v>
      </c>
      <c r="L216" s="2">
        <v>102</v>
      </c>
      <c r="M216" s="144">
        <v>195.28</v>
      </c>
      <c r="N216" s="72">
        <f t="shared" si="102"/>
        <v>6.9055617767823652E-3</v>
      </c>
      <c r="O216" s="73">
        <f t="shared" si="103"/>
        <v>3.3381020505485193E-3</v>
      </c>
      <c r="P216" s="73">
        <f t="shared" si="104"/>
        <v>9.2783505154638846E-3</v>
      </c>
      <c r="Q216" s="73">
        <f t="shared" si="105"/>
        <v>3.0144017159491332E-2</v>
      </c>
      <c r="R216" s="73">
        <f t="shared" si="106"/>
        <v>1.9571295433364222E-2</v>
      </c>
      <c r="S216" s="73">
        <f t="shared" si="107"/>
        <v>-5.3901509806688619E-3</v>
      </c>
      <c r="T216" s="73">
        <f t="shared" si="108"/>
        <v>1.7028752412803216E-2</v>
      </c>
      <c r="U216" s="73">
        <f t="shared" si="109"/>
        <v>6.7976563636500398E-3</v>
      </c>
      <c r="V216" s="148">
        <f t="shared" si="110"/>
        <v>57.454031354983201</v>
      </c>
      <c r="W216" s="149">
        <f t="shared" si="111"/>
        <v>40.544892703862665</v>
      </c>
      <c r="X216" s="149">
        <f t="shared" si="112"/>
        <v>14.432680412371134</v>
      </c>
      <c r="Y216" s="149">
        <f t="shared" si="113"/>
        <v>233.16279684387928</v>
      </c>
      <c r="Z216" s="149">
        <f t="shared" si="114"/>
        <v>14.029301025163091</v>
      </c>
      <c r="AA216" s="149">
        <f t="shared" si="115"/>
        <v>266.50570904472977</v>
      </c>
      <c r="AB216" s="149">
        <f t="shared" si="116"/>
        <v>2716.7913471893266</v>
      </c>
      <c r="AC216" s="150">
        <f t="shared" si="117"/>
        <v>3245.5486462347098</v>
      </c>
      <c r="AD216" s="157">
        <f t="shared" si="118"/>
        <v>-7880.6270996639687</v>
      </c>
      <c r="AE216" s="19">
        <f t="shared" si="119"/>
        <v>-3844.442060086049</v>
      </c>
      <c r="AF216" s="19">
        <f t="shared" si="120"/>
        <v>-11782.020618556644</v>
      </c>
      <c r="AG216" s="19">
        <f t="shared" si="121"/>
        <v>-25926.628006741241</v>
      </c>
      <c r="AH216" s="19">
        <f t="shared" si="122"/>
        <v>-12037.755824790196</v>
      </c>
      <c r="AI216" s="19">
        <f t="shared" si="123"/>
        <v>7654.7420629321605</v>
      </c>
      <c r="AJ216" s="19">
        <f t="shared" si="124"/>
        <v>-13646.684156798119</v>
      </c>
      <c r="AK216" s="158">
        <f t="shared" si="125"/>
        <v>-5478.2915586774834</v>
      </c>
      <c r="AL216" s="163">
        <f t="shared" si="126"/>
        <v>-72941.707262381533</v>
      </c>
      <c r="AM216" s="20"/>
    </row>
    <row r="217" spans="1:39" x14ac:dyDescent="0.25">
      <c r="A217" s="13">
        <f t="shared" si="99"/>
        <v>212</v>
      </c>
      <c r="B217" s="1">
        <v>45014</v>
      </c>
      <c r="C217" s="7">
        <f t="shared" si="100"/>
        <v>2023</v>
      </c>
      <c r="D217" s="7">
        <f t="shared" si="101"/>
        <v>3</v>
      </c>
      <c r="E217" s="61">
        <v>18.083600000000001</v>
      </c>
      <c r="F217" s="65">
        <v>53.58</v>
      </c>
      <c r="G217" s="2">
        <v>41.94</v>
      </c>
      <c r="H217" s="2">
        <v>9.6999999999999993</v>
      </c>
      <c r="I217" s="2">
        <v>261.08</v>
      </c>
      <c r="J217" s="2">
        <v>21.46</v>
      </c>
      <c r="K217" s="2">
        <v>354.35</v>
      </c>
      <c r="L217" s="2">
        <v>100.25</v>
      </c>
      <c r="M217" s="144">
        <v>193.88</v>
      </c>
      <c r="N217" s="72">
        <f t="shared" si="102"/>
        <v>9.2296100960631566E-3</v>
      </c>
      <c r="O217" s="73">
        <f t="shared" si="103"/>
        <v>-1.779859484777524E-2</v>
      </c>
      <c r="P217" s="73">
        <f t="shared" si="104"/>
        <v>3.7433155080213831E-2</v>
      </c>
      <c r="Q217" s="73">
        <f t="shared" si="105"/>
        <v>-3.4253162684027449E-2</v>
      </c>
      <c r="R217" s="73">
        <f t="shared" si="106"/>
        <v>2.0446980504041923E-2</v>
      </c>
      <c r="S217" s="73">
        <f t="shared" si="107"/>
        <v>4.4503656669880876E-3</v>
      </c>
      <c r="T217" s="73">
        <f t="shared" si="108"/>
        <v>2.2955604872816116E-2</v>
      </c>
      <c r="U217" s="73">
        <f t="shared" si="109"/>
        <v>1.6838986159391167E-2</v>
      </c>
      <c r="V217" s="148">
        <f t="shared" si="110"/>
        <v>57.586641552081367</v>
      </c>
      <c r="W217" s="149">
        <f t="shared" si="111"/>
        <v>39.690758782201399</v>
      </c>
      <c r="X217" s="149">
        <f t="shared" si="112"/>
        <v>14.835294117647059</v>
      </c>
      <c r="Y217" s="149">
        <f t="shared" si="113"/>
        <v>218.58713915809724</v>
      </c>
      <c r="Z217" s="149">
        <f t="shared" si="114"/>
        <v>14.041350451735617</v>
      </c>
      <c r="AA217" s="149">
        <f t="shared" si="115"/>
        <v>269.14247548046944</v>
      </c>
      <c r="AB217" s="149">
        <f t="shared" si="116"/>
        <v>2732.6237623902048</v>
      </c>
      <c r="AC217" s="150">
        <f t="shared" si="117"/>
        <v>3277.9182332306423</v>
      </c>
      <c r="AD217" s="157">
        <f t="shared" si="118"/>
        <v>-10532.831041627303</v>
      </c>
      <c r="AE217" s="19">
        <f t="shared" si="119"/>
        <v>20498.37470726002</v>
      </c>
      <c r="AF217" s="19">
        <f t="shared" si="120"/>
        <v>-47534.117647058811</v>
      </c>
      <c r="AG217" s="19">
        <f t="shared" si="121"/>
        <v>29460.871199230485</v>
      </c>
      <c r="AH217" s="19">
        <f t="shared" si="122"/>
        <v>-12576.365192582105</v>
      </c>
      <c r="AI217" s="19">
        <f t="shared" si="123"/>
        <v>-6320.1200464881085</v>
      </c>
      <c r="AJ217" s="19">
        <f t="shared" si="124"/>
        <v>-18396.40871706156</v>
      </c>
      <c r="AK217" s="158">
        <f t="shared" si="125"/>
        <v>-13570.688307660588</v>
      </c>
      <c r="AL217" s="163">
        <f t="shared" si="126"/>
        <v>-58971.28504598797</v>
      </c>
      <c r="AM217" s="20"/>
    </row>
    <row r="218" spans="1:39" x14ac:dyDescent="0.25">
      <c r="A218" s="13">
        <f t="shared" si="99"/>
        <v>213</v>
      </c>
      <c r="B218" s="1">
        <v>45013</v>
      </c>
      <c r="C218" s="7">
        <f t="shared" si="100"/>
        <v>2023</v>
      </c>
      <c r="D218" s="7">
        <f t="shared" si="101"/>
        <v>3</v>
      </c>
      <c r="E218" s="61">
        <v>18.225000000000001</v>
      </c>
      <c r="F218" s="65">
        <v>53.09</v>
      </c>
      <c r="G218" s="2">
        <v>42.7</v>
      </c>
      <c r="H218" s="2">
        <v>9.35</v>
      </c>
      <c r="I218" s="2">
        <v>270.33999999999997</v>
      </c>
      <c r="J218" s="2">
        <v>21.03</v>
      </c>
      <c r="K218" s="2">
        <v>352.78</v>
      </c>
      <c r="L218" s="2">
        <v>97.24</v>
      </c>
      <c r="M218" s="144">
        <v>189.19</v>
      </c>
      <c r="N218" s="72">
        <f t="shared" si="102"/>
        <v>6.8272330741514509E-3</v>
      </c>
      <c r="O218" s="73">
        <f t="shared" si="103"/>
        <v>1.7635843660629202E-2</v>
      </c>
      <c r="P218" s="73">
        <f t="shared" si="104"/>
        <v>1.4099783080260275E-2</v>
      </c>
      <c r="Q218" s="73">
        <f t="shared" si="105"/>
        <v>5.0761815920397968E-2</v>
      </c>
      <c r="R218" s="73">
        <f t="shared" si="106"/>
        <v>1.0571840461316873E-2</v>
      </c>
      <c r="S218" s="73">
        <f t="shared" si="107"/>
        <v>2.9653843908703514E-2</v>
      </c>
      <c r="T218" s="73">
        <f t="shared" si="108"/>
        <v>-1.4029771199253749E-2</v>
      </c>
      <c r="U218" s="73">
        <f t="shared" si="109"/>
        <v>-1.9496640631560536E-2</v>
      </c>
      <c r="V218" s="148">
        <f t="shared" si="110"/>
        <v>57.449561919211085</v>
      </c>
      <c r="W218" s="149">
        <f t="shared" si="111"/>
        <v>41.12266444232602</v>
      </c>
      <c r="X218" s="149">
        <f t="shared" si="112"/>
        <v>14.501626898047723</v>
      </c>
      <c r="Y218" s="149">
        <f t="shared" si="113"/>
        <v>237.82942941542288</v>
      </c>
      <c r="Z218" s="149">
        <f t="shared" si="114"/>
        <v>13.90546852474772</v>
      </c>
      <c r="AA218" s="149">
        <f t="shared" si="115"/>
        <v>275.89574747533709</v>
      </c>
      <c r="AB218" s="149">
        <f t="shared" si="116"/>
        <v>2633.8246385239822</v>
      </c>
      <c r="AC218" s="150">
        <f t="shared" si="117"/>
        <v>3160.785417519292</v>
      </c>
      <c r="AD218" s="157">
        <f t="shared" si="118"/>
        <v>-7791.2383842216568</v>
      </c>
      <c r="AE218" s="19">
        <f t="shared" si="119"/>
        <v>-20310.93660629166</v>
      </c>
      <c r="AF218" s="19">
        <f t="shared" si="120"/>
        <v>-17904.468546637756</v>
      </c>
      <c r="AG218" s="19">
        <f t="shared" si="121"/>
        <v>-43659.831778606931</v>
      </c>
      <c r="AH218" s="19">
        <f t="shared" si="122"/>
        <v>-6502.4430562230882</v>
      </c>
      <c r="AI218" s="19">
        <f t="shared" si="123"/>
        <v>-42112.461619286631</v>
      </c>
      <c r="AJ218" s="19">
        <f t="shared" si="124"/>
        <v>11243.328442805205</v>
      </c>
      <c r="AK218" s="158">
        <f t="shared" si="125"/>
        <v>15712.515620176986</v>
      </c>
      <c r="AL218" s="163">
        <f t="shared" si="126"/>
        <v>-111325.53592828554</v>
      </c>
      <c r="AM218" s="20"/>
    </row>
    <row r="219" spans="1:39" x14ac:dyDescent="0.25">
      <c r="A219" s="13">
        <f t="shared" si="99"/>
        <v>214</v>
      </c>
      <c r="B219" s="1">
        <v>45012</v>
      </c>
      <c r="C219" s="7">
        <f t="shared" si="100"/>
        <v>2023</v>
      </c>
      <c r="D219" s="7">
        <f t="shared" si="101"/>
        <v>3</v>
      </c>
      <c r="E219" s="61">
        <v>18.333500000000001</v>
      </c>
      <c r="F219" s="65">
        <v>52.73</v>
      </c>
      <c r="G219" s="2">
        <v>41.96</v>
      </c>
      <c r="H219" s="2">
        <v>9.2200000000000006</v>
      </c>
      <c r="I219" s="2">
        <v>257.27999999999997</v>
      </c>
      <c r="J219" s="2">
        <v>20.81</v>
      </c>
      <c r="K219" s="2">
        <v>342.62</v>
      </c>
      <c r="L219" s="2">
        <v>98.04</v>
      </c>
      <c r="M219" s="144">
        <v>191.81</v>
      </c>
      <c r="N219" s="72">
        <f t="shared" si="102"/>
        <v>1.7097264437688775E-3</v>
      </c>
      <c r="O219" s="73">
        <f t="shared" si="103"/>
        <v>2.717258261933897E-2</v>
      </c>
      <c r="P219" s="73">
        <f t="shared" si="104"/>
        <v>-2.1645021645021467E-3</v>
      </c>
      <c r="Q219" s="73">
        <f t="shared" si="105"/>
        <v>-3.8866648529034542E-5</v>
      </c>
      <c r="R219" s="73">
        <f t="shared" si="106"/>
        <v>6.7731011127236673E-3</v>
      </c>
      <c r="S219" s="73">
        <f t="shared" si="107"/>
        <v>1.7129286032358637E-2</v>
      </c>
      <c r="T219" s="73">
        <f t="shared" si="108"/>
        <v>-5.2848149612481077E-3</v>
      </c>
      <c r="U219" s="73">
        <f t="shared" si="109"/>
        <v>2.948738314781929E-3</v>
      </c>
      <c r="V219" s="148">
        <f t="shared" si="110"/>
        <v>57.157556990881453</v>
      </c>
      <c r="W219" s="149">
        <f t="shared" si="111"/>
        <v>41.508044063647482</v>
      </c>
      <c r="X219" s="149">
        <f t="shared" si="112"/>
        <v>14.269047619047621</v>
      </c>
      <c r="Y219" s="149">
        <f t="shared" si="113"/>
        <v>226.33120292277195</v>
      </c>
      <c r="Z219" s="149">
        <f t="shared" si="114"/>
        <v>13.853197871311078</v>
      </c>
      <c r="AA219" s="149">
        <f t="shared" si="115"/>
        <v>272.5397921923705</v>
      </c>
      <c r="AB219" s="149">
        <f t="shared" si="116"/>
        <v>2657.1850611104614</v>
      </c>
      <c r="AC219" s="150">
        <f t="shared" si="117"/>
        <v>3233.1411374527665</v>
      </c>
      <c r="AD219" s="157">
        <f t="shared" si="118"/>
        <v>-1951.1398176290129</v>
      </c>
      <c r="AE219" s="19">
        <f t="shared" si="119"/>
        <v>-31294.255813953332</v>
      </c>
      <c r="AF219" s="19">
        <f t="shared" si="120"/>
        <v>2748.5714285713398</v>
      </c>
      <c r="AG219" s="19">
        <f t="shared" si="121"/>
        <v>33.428893466600584</v>
      </c>
      <c r="AH219" s="19">
        <f t="shared" si="122"/>
        <v>-4165.944847605203</v>
      </c>
      <c r="AI219" s="19">
        <f t="shared" si="123"/>
        <v>-24325.898619563701</v>
      </c>
      <c r="AJ219" s="19">
        <f t="shared" si="124"/>
        <v>4235.2016668614397</v>
      </c>
      <c r="AK219" s="158">
        <f t="shared" si="125"/>
        <v>-2376.4143631916568</v>
      </c>
      <c r="AL219" s="163">
        <f t="shared" si="126"/>
        <v>-57096.451473043526</v>
      </c>
      <c r="AM219" s="20"/>
    </row>
    <row r="220" spans="1:39" x14ac:dyDescent="0.25">
      <c r="A220" s="13">
        <f t="shared" si="99"/>
        <v>215</v>
      </c>
      <c r="B220" s="1">
        <v>45009</v>
      </c>
      <c r="C220" s="7">
        <f t="shared" si="100"/>
        <v>2023</v>
      </c>
      <c r="D220" s="7">
        <f t="shared" si="101"/>
        <v>3</v>
      </c>
      <c r="E220" s="61">
        <v>18.414000000000001</v>
      </c>
      <c r="F220" s="65">
        <v>52.64</v>
      </c>
      <c r="G220" s="2">
        <v>40.85</v>
      </c>
      <c r="H220" s="2">
        <v>9.24</v>
      </c>
      <c r="I220" s="2">
        <v>257.29000000000002</v>
      </c>
      <c r="J220" s="2">
        <v>20.67</v>
      </c>
      <c r="K220" s="2">
        <v>336.85</v>
      </c>
      <c r="L220" s="2">
        <v>98.13</v>
      </c>
      <c r="M220" s="144">
        <v>190.41</v>
      </c>
      <c r="N220" s="72">
        <f t="shared" si="102"/>
        <v>-1.7068082685377517E-3</v>
      </c>
      <c r="O220" s="73">
        <f t="shared" si="103"/>
        <v>-3.9014874420871815E-3</v>
      </c>
      <c r="P220" s="73">
        <f t="shared" si="104"/>
        <v>-2.0148462354188656E-2</v>
      </c>
      <c r="Q220" s="73">
        <f t="shared" si="105"/>
        <v>-3.1383184812088238E-3</v>
      </c>
      <c r="R220" s="73">
        <f t="shared" si="106"/>
        <v>-7.2046109510085499E-3</v>
      </c>
      <c r="S220" s="73">
        <f t="shared" si="107"/>
        <v>2.0525940028557343E-3</v>
      </c>
      <c r="T220" s="73">
        <f t="shared" si="108"/>
        <v>-1.335573368687859E-2</v>
      </c>
      <c r="U220" s="73">
        <f t="shared" si="109"/>
        <v>-1.6869590515337762E-2</v>
      </c>
      <c r="V220" s="148">
        <f t="shared" si="110"/>
        <v>56.96260952019724</v>
      </c>
      <c r="W220" s="149">
        <f t="shared" si="111"/>
        <v>40.252340892465256</v>
      </c>
      <c r="X220" s="149">
        <f t="shared" si="112"/>
        <v>14.011876988335104</v>
      </c>
      <c r="Y220" s="149">
        <f t="shared" si="113"/>
        <v>225.62967299496319</v>
      </c>
      <c r="Z220" s="149">
        <f t="shared" si="114"/>
        <v>13.660864553314122</v>
      </c>
      <c r="AA220" s="149">
        <f t="shared" si="115"/>
        <v>268.49999256306518</v>
      </c>
      <c r="AB220" s="149">
        <f t="shared" si="116"/>
        <v>2635.6251965484798</v>
      </c>
      <c r="AC220" s="150">
        <f t="shared" si="117"/>
        <v>3169.2540694816857</v>
      </c>
      <c r="AD220" s="157">
        <f t="shared" si="118"/>
        <v>1947.8095960552366</v>
      </c>
      <c r="AE220" s="19">
        <f t="shared" si="119"/>
        <v>4493.2845647401155</v>
      </c>
      <c r="AF220" s="19">
        <f t="shared" si="120"/>
        <v>25585.323435842871</v>
      </c>
      <c r="AG220" s="19">
        <f t="shared" si="121"/>
        <v>2699.2426191399036</v>
      </c>
      <c r="AH220" s="19">
        <f t="shared" si="122"/>
        <v>4431.3544668587483</v>
      </c>
      <c r="AI220" s="19">
        <f t="shared" si="123"/>
        <v>-2914.9605842455003</v>
      </c>
      <c r="AJ220" s="19">
        <f t="shared" si="124"/>
        <v>10703.161035455923</v>
      </c>
      <c r="AK220" s="158">
        <f t="shared" si="125"/>
        <v>13595.352629578541</v>
      </c>
      <c r="AL220" s="163">
        <f t="shared" si="126"/>
        <v>60540.567763425846</v>
      </c>
      <c r="AM220" s="20"/>
    </row>
    <row r="221" spans="1:39" x14ac:dyDescent="0.25">
      <c r="A221" s="13">
        <f t="shared" si="99"/>
        <v>216</v>
      </c>
      <c r="B221" s="1">
        <v>45008</v>
      </c>
      <c r="C221" s="7">
        <f t="shared" si="100"/>
        <v>2023</v>
      </c>
      <c r="D221" s="7">
        <f t="shared" si="101"/>
        <v>3</v>
      </c>
      <c r="E221" s="61">
        <v>18.553599999999999</v>
      </c>
      <c r="F221" s="65">
        <v>52.73</v>
      </c>
      <c r="G221" s="2">
        <v>41.01</v>
      </c>
      <c r="H221" s="2">
        <v>9.43</v>
      </c>
      <c r="I221" s="2">
        <v>258.10000000000002</v>
      </c>
      <c r="J221" s="2">
        <v>20.82</v>
      </c>
      <c r="K221" s="2">
        <v>336.16</v>
      </c>
      <c r="L221" s="2">
        <v>98.71</v>
      </c>
      <c r="M221" s="144">
        <v>192.22</v>
      </c>
      <c r="N221" s="72">
        <f t="shared" si="102"/>
        <v>6.4897881275052249E-3</v>
      </c>
      <c r="O221" s="73">
        <f t="shared" si="103"/>
        <v>1.1843079200592133E-2</v>
      </c>
      <c r="P221" s="73">
        <f t="shared" si="104"/>
        <v>1.0718113612004254E-2</v>
      </c>
      <c r="Q221" s="73">
        <f t="shared" si="105"/>
        <v>-5.5099603128730967E-3</v>
      </c>
      <c r="R221" s="73">
        <f t="shared" si="106"/>
        <v>8.2324455205811109E-3</v>
      </c>
      <c r="S221" s="73">
        <f t="shared" si="107"/>
        <v>5.1729808928624443E-3</v>
      </c>
      <c r="T221" s="73">
        <f t="shared" si="108"/>
        <v>-2.7152640349483725E-3</v>
      </c>
      <c r="U221" s="73">
        <f t="shared" si="109"/>
        <v>2.765637550393274E-3</v>
      </c>
      <c r="V221" s="148">
        <f t="shared" si="110"/>
        <v>57.430307310555449</v>
      </c>
      <c r="W221" s="149">
        <f t="shared" si="111"/>
        <v>40.888578830495923</v>
      </c>
      <c r="X221" s="149">
        <f t="shared" si="112"/>
        <v>14.453269024651661</v>
      </c>
      <c r="Y221" s="149">
        <f t="shared" si="113"/>
        <v>225.0928755827843</v>
      </c>
      <c r="Z221" s="149">
        <f t="shared" si="114"/>
        <v>13.873278450363197</v>
      </c>
      <c r="AA221" s="149">
        <f t="shared" si="115"/>
        <v>269.33610023024249</v>
      </c>
      <c r="AB221" s="149">
        <f t="shared" si="116"/>
        <v>2664.0491086668085</v>
      </c>
      <c r="AC221" s="150">
        <f t="shared" si="117"/>
        <v>3232.5508873322678</v>
      </c>
      <c r="AD221" s="157">
        <f t="shared" si="118"/>
        <v>-7406.1462111089331</v>
      </c>
      <c r="AE221" s="19">
        <f t="shared" si="119"/>
        <v>-13639.496669133916</v>
      </c>
      <c r="AF221" s="19">
        <f t="shared" si="120"/>
        <v>-13610.28938906742</v>
      </c>
      <c r="AG221" s="19">
        <f t="shared" si="121"/>
        <v>4739.0727854196657</v>
      </c>
      <c r="AH221" s="19">
        <f t="shared" si="122"/>
        <v>-5063.5467312348937</v>
      </c>
      <c r="AI221" s="19">
        <f t="shared" si="123"/>
        <v>-7346.3312202852758</v>
      </c>
      <c r="AJ221" s="19">
        <f t="shared" si="124"/>
        <v>2175.9873999573301</v>
      </c>
      <c r="AK221" s="158">
        <f t="shared" si="125"/>
        <v>-2228.8518330669831</v>
      </c>
      <c r="AL221" s="163">
        <f t="shared" si="126"/>
        <v>-42379.601868520425</v>
      </c>
      <c r="AM221" s="20"/>
    </row>
    <row r="222" spans="1:39" x14ac:dyDescent="0.25">
      <c r="A222" s="13">
        <f t="shared" si="99"/>
        <v>217</v>
      </c>
      <c r="B222" s="1">
        <v>45007</v>
      </c>
      <c r="C222" s="7">
        <f t="shared" si="100"/>
        <v>2023</v>
      </c>
      <c r="D222" s="7">
        <f t="shared" si="101"/>
        <v>3</v>
      </c>
      <c r="E222" s="61">
        <v>18.606000000000002</v>
      </c>
      <c r="F222" s="65">
        <v>52.39</v>
      </c>
      <c r="G222" s="2">
        <v>40.53</v>
      </c>
      <c r="H222" s="2">
        <v>9.33</v>
      </c>
      <c r="I222" s="2">
        <v>259.52999999999997</v>
      </c>
      <c r="J222" s="2">
        <v>20.65</v>
      </c>
      <c r="K222" s="2">
        <v>334.43</v>
      </c>
      <c r="L222" s="2">
        <v>98.7</v>
      </c>
      <c r="M222" s="144">
        <v>191.15</v>
      </c>
      <c r="N222" s="72">
        <f t="shared" si="102"/>
        <v>-1.7149390243901275E-3</v>
      </c>
      <c r="O222" s="73">
        <f t="shared" si="103"/>
        <v>2.8680203045685415E-2</v>
      </c>
      <c r="P222" s="73">
        <f t="shared" si="104"/>
        <v>1.0729613733906351E-3</v>
      </c>
      <c r="Q222" s="73">
        <f t="shared" si="105"/>
        <v>8.1967213114753079E-3</v>
      </c>
      <c r="R222" s="73">
        <f t="shared" si="106"/>
        <v>1.9249753208292031E-2</v>
      </c>
      <c r="S222" s="73">
        <f t="shared" si="107"/>
        <v>8.5343787696019469E-3</v>
      </c>
      <c r="T222" s="73">
        <f t="shared" si="108"/>
        <v>-1.7981382592922257E-2</v>
      </c>
      <c r="U222" s="73">
        <f t="shared" si="109"/>
        <v>-3.1554826800748836E-2</v>
      </c>
      <c r="V222" s="148">
        <f t="shared" si="110"/>
        <v>56.962145579268302</v>
      </c>
      <c r="W222" s="149">
        <f t="shared" si="111"/>
        <v>41.568967005076146</v>
      </c>
      <c r="X222" s="149">
        <f t="shared" si="112"/>
        <v>14.315343347639487</v>
      </c>
      <c r="Y222" s="149">
        <f t="shared" si="113"/>
        <v>228.19524590163931</v>
      </c>
      <c r="Z222" s="149">
        <f t="shared" si="114"/>
        <v>14.024876604146097</v>
      </c>
      <c r="AA222" s="149">
        <f t="shared" si="115"/>
        <v>270.23678679131484</v>
      </c>
      <c r="AB222" s="149">
        <f t="shared" si="116"/>
        <v>2623.2686895242082</v>
      </c>
      <c r="AC222" s="150">
        <f t="shared" si="117"/>
        <v>3121.9142207598511</v>
      </c>
      <c r="AD222" s="157">
        <f t="shared" si="118"/>
        <v>1957.0884146340006</v>
      </c>
      <c r="AE222" s="19">
        <f t="shared" si="119"/>
        <v>-33030.559644670269</v>
      </c>
      <c r="AF222" s="19">
        <f t="shared" si="120"/>
        <v>-1362.4892703864134</v>
      </c>
      <c r="AG222" s="19">
        <f t="shared" si="121"/>
        <v>-7049.9344262293671</v>
      </c>
      <c r="AH222" s="19">
        <f t="shared" si="122"/>
        <v>-11839.984205330567</v>
      </c>
      <c r="AI222" s="19">
        <f t="shared" si="123"/>
        <v>-12119.96999396872</v>
      </c>
      <c r="AJ222" s="19">
        <f t="shared" si="124"/>
        <v>14410.113142737418</v>
      </c>
      <c r="AK222" s="158">
        <f t="shared" si="125"/>
        <v>25430.314810037202</v>
      </c>
      <c r="AL222" s="163">
        <f t="shared" si="126"/>
        <v>-23605.421173176717</v>
      </c>
      <c r="AM222" s="20"/>
    </row>
    <row r="223" spans="1:39" x14ac:dyDescent="0.25">
      <c r="A223" s="13">
        <f t="shared" si="99"/>
        <v>218</v>
      </c>
      <c r="B223" s="1">
        <v>45006</v>
      </c>
      <c r="C223" s="7">
        <f t="shared" si="100"/>
        <v>2023</v>
      </c>
      <c r="D223" s="7">
        <f t="shared" si="101"/>
        <v>3</v>
      </c>
      <c r="E223" s="61">
        <v>18.587</v>
      </c>
      <c r="F223" s="65">
        <v>52.48</v>
      </c>
      <c r="G223" s="2">
        <v>39.4</v>
      </c>
      <c r="H223" s="2">
        <v>9.32</v>
      </c>
      <c r="I223" s="2">
        <v>257.42</v>
      </c>
      <c r="J223" s="2">
        <v>20.260000000000002</v>
      </c>
      <c r="K223" s="2">
        <v>331.6</v>
      </c>
      <c r="L223" s="2">
        <v>100.61</v>
      </c>
      <c r="M223" s="144">
        <v>197.58</v>
      </c>
      <c r="N223" s="72">
        <f t="shared" si="102"/>
        <v>1.3714506470928978E-2</v>
      </c>
      <c r="O223" s="73">
        <f t="shared" si="103"/>
        <v>-1.228378039608935E-2</v>
      </c>
      <c r="P223" s="73">
        <f t="shared" si="104"/>
        <v>1.5250544662309462E-2</v>
      </c>
      <c r="Q223" s="73">
        <f t="shared" si="105"/>
        <v>-9.3896713615023719E-3</v>
      </c>
      <c r="R223" s="73">
        <f t="shared" si="106"/>
        <v>4.6487603305785274E-2</v>
      </c>
      <c r="S223" s="73">
        <f t="shared" si="107"/>
        <v>-1.0267430754536733E-2</v>
      </c>
      <c r="T223" s="73">
        <f t="shared" si="108"/>
        <v>8.3770015710959989E-4</v>
      </c>
      <c r="U223" s="73">
        <f t="shared" si="109"/>
        <v>7.9680450736505204E-2</v>
      </c>
      <c r="V223" s="148">
        <f t="shared" si="110"/>
        <v>57.84254973923121</v>
      </c>
      <c r="W223" s="149">
        <f t="shared" si="111"/>
        <v>39.913612434194029</v>
      </c>
      <c r="X223" s="149">
        <f t="shared" si="112"/>
        <v>14.518082788671027</v>
      </c>
      <c r="Y223" s="149">
        <f t="shared" si="113"/>
        <v>224.21474178403756</v>
      </c>
      <c r="Z223" s="149">
        <f t="shared" si="114"/>
        <v>14.399669421487605</v>
      </c>
      <c r="AA223" s="149">
        <f t="shared" si="115"/>
        <v>265.19884192932187</v>
      </c>
      <c r="AB223" s="149">
        <f t="shared" si="116"/>
        <v>2673.5401504401671</v>
      </c>
      <c r="AC223" s="150">
        <f t="shared" si="117"/>
        <v>3480.4962080565901</v>
      </c>
      <c r="AD223" s="157">
        <f t="shared" si="118"/>
        <v>-15650.994784624147</v>
      </c>
      <c r="AE223" s="19">
        <f t="shared" si="119"/>
        <v>14147.045625470082</v>
      </c>
      <c r="AF223" s="19">
        <f t="shared" si="120"/>
        <v>-19365.751633987122</v>
      </c>
      <c r="AG223" s="19">
        <f t="shared" si="121"/>
        <v>8075.9812206572969</v>
      </c>
      <c r="AH223" s="19">
        <f t="shared" si="122"/>
        <v>-28593.223140495957</v>
      </c>
      <c r="AI223" s="19">
        <f t="shared" si="123"/>
        <v>14581.137774594015</v>
      </c>
      <c r="AJ223" s="19">
        <f t="shared" si="124"/>
        <v>-671.32513205024225</v>
      </c>
      <c r="AK223" s="158">
        <f t="shared" si="125"/>
        <v>-64215.182014147562</v>
      </c>
      <c r="AL223" s="163">
        <f t="shared" si="126"/>
        <v>-91692.312084583624</v>
      </c>
      <c r="AM223" s="20"/>
    </row>
    <row r="224" spans="1:39" x14ac:dyDescent="0.25">
      <c r="A224" s="13">
        <f t="shared" si="99"/>
        <v>219</v>
      </c>
      <c r="B224" s="1">
        <v>45002</v>
      </c>
      <c r="C224" s="7">
        <f t="shared" si="100"/>
        <v>2023</v>
      </c>
      <c r="D224" s="7">
        <f t="shared" si="101"/>
        <v>3</v>
      </c>
      <c r="E224" s="61">
        <v>18.882999999999999</v>
      </c>
      <c r="F224" s="65">
        <v>51.77</v>
      </c>
      <c r="G224" s="2">
        <v>39.89</v>
      </c>
      <c r="H224" s="2">
        <v>9.18</v>
      </c>
      <c r="I224" s="2">
        <v>259.86</v>
      </c>
      <c r="J224" s="2">
        <v>19.36</v>
      </c>
      <c r="K224" s="2">
        <v>335.04</v>
      </c>
      <c r="L224" s="2">
        <v>98.95</v>
      </c>
      <c r="M224" s="144">
        <v>180.13</v>
      </c>
      <c r="N224" s="72">
        <f t="shared" si="102"/>
        <v>-1.2022900763358657E-2</v>
      </c>
      <c r="O224" s="73">
        <f t="shared" si="103"/>
        <v>-6.9703759024147827E-3</v>
      </c>
      <c r="P224" s="73">
        <f t="shared" si="104"/>
        <v>-1.2903225806451757E-2</v>
      </c>
      <c r="Q224" s="73">
        <f t="shared" si="105"/>
        <v>8.8555630026809773E-2</v>
      </c>
      <c r="R224" s="73">
        <f t="shared" si="106"/>
        <v>-3.8728897715988087E-2</v>
      </c>
      <c r="S224" s="73">
        <f t="shared" si="107"/>
        <v>-6.4940841562138862E-3</v>
      </c>
      <c r="T224" s="73">
        <f t="shared" si="108"/>
        <v>-1.3390012479100877E-3</v>
      </c>
      <c r="U224" s="73">
        <f t="shared" si="109"/>
        <v>-1.2271762167857525E-2</v>
      </c>
      <c r="V224" s="148">
        <f t="shared" si="110"/>
        <v>56.373973282442755</v>
      </c>
      <c r="W224" s="149">
        <f t="shared" si="111"/>
        <v>40.128327109783413</v>
      </c>
      <c r="X224" s="149">
        <f t="shared" si="112"/>
        <v>14.11548387096774</v>
      </c>
      <c r="Y224" s="149">
        <f t="shared" si="113"/>
        <v>246.38368130026814</v>
      </c>
      <c r="Z224" s="149">
        <f t="shared" si="114"/>
        <v>13.227090367428003</v>
      </c>
      <c r="AA224" s="149">
        <f t="shared" si="115"/>
        <v>266.20991015034247</v>
      </c>
      <c r="AB224" s="149">
        <f t="shared" si="116"/>
        <v>2667.7255227528544</v>
      </c>
      <c r="AC224" s="150">
        <f t="shared" si="117"/>
        <v>3184.0757920735728</v>
      </c>
      <c r="AD224" s="157">
        <f t="shared" si="118"/>
        <v>13720.534351144948</v>
      </c>
      <c r="AE224" s="19">
        <f t="shared" si="119"/>
        <v>8027.6773711726291</v>
      </c>
      <c r="AF224" s="19">
        <f t="shared" si="120"/>
        <v>16385.032258064755</v>
      </c>
      <c r="AG224" s="19">
        <f t="shared" si="121"/>
        <v>-76165.988941018906</v>
      </c>
      <c r="AH224" s="19">
        <f t="shared" si="122"/>
        <v>23821.060575968251</v>
      </c>
      <c r="AI224" s="19">
        <f t="shared" si="123"/>
        <v>9222.4762031848677</v>
      </c>
      <c r="AJ224" s="19">
        <f t="shared" si="124"/>
        <v>1073.0631741435445</v>
      </c>
      <c r="AK224" s="158">
        <f t="shared" si="125"/>
        <v>9889.9219816067889</v>
      </c>
      <c r="AL224" s="163">
        <f t="shared" si="126"/>
        <v>5973.7769742668825</v>
      </c>
      <c r="AM224" s="20"/>
    </row>
    <row r="225" spans="1:39" x14ac:dyDescent="0.25">
      <c r="A225" s="13">
        <f t="shared" si="99"/>
        <v>220</v>
      </c>
      <c r="B225" s="1">
        <v>45001</v>
      </c>
      <c r="C225" s="7">
        <f t="shared" si="100"/>
        <v>2023</v>
      </c>
      <c r="D225" s="7">
        <f t="shared" si="101"/>
        <v>3</v>
      </c>
      <c r="E225" s="61">
        <v>18.702300000000001</v>
      </c>
      <c r="F225" s="65">
        <v>52.4</v>
      </c>
      <c r="G225" s="2">
        <v>40.17</v>
      </c>
      <c r="H225" s="2">
        <v>9.3000000000000007</v>
      </c>
      <c r="I225" s="2">
        <v>238.72</v>
      </c>
      <c r="J225" s="2">
        <v>20.14</v>
      </c>
      <c r="K225" s="2">
        <v>337.23</v>
      </c>
      <c r="L225" s="2">
        <v>100.04</v>
      </c>
      <c r="M225" s="144">
        <v>184.13</v>
      </c>
      <c r="N225" s="72">
        <f t="shared" si="102"/>
        <v>8.0800307810697802E-3</v>
      </c>
      <c r="O225" s="73">
        <f t="shared" si="103"/>
        <v>1.1583983883152849E-2</v>
      </c>
      <c r="P225" s="73">
        <f t="shared" si="104"/>
        <v>1.0869565217391353E-2</v>
      </c>
      <c r="Q225" s="73">
        <f t="shared" si="105"/>
        <v>-1.7087330670729206E-2</v>
      </c>
      <c r="R225" s="73">
        <f t="shared" si="106"/>
        <v>1.9746835443037902E-2</v>
      </c>
      <c r="S225" s="73">
        <f t="shared" si="107"/>
        <v>9.8823106639116531E-3</v>
      </c>
      <c r="T225" s="73">
        <f t="shared" si="108"/>
        <v>2.5896154910444835E-2</v>
      </c>
      <c r="U225" s="73">
        <f t="shared" si="109"/>
        <v>6.6359998617404603E-3</v>
      </c>
      <c r="V225" s="148">
        <f t="shared" si="110"/>
        <v>57.521046556367843</v>
      </c>
      <c r="W225" s="149">
        <f t="shared" si="111"/>
        <v>40.878108788718201</v>
      </c>
      <c r="X225" s="149">
        <f t="shared" si="112"/>
        <v>14.455434782608696</v>
      </c>
      <c r="Y225" s="149">
        <f t="shared" si="113"/>
        <v>222.47245357598715</v>
      </c>
      <c r="Z225" s="149">
        <f t="shared" si="114"/>
        <v>14.031716455696202</v>
      </c>
      <c r="AA225" s="149">
        <f t="shared" si="115"/>
        <v>270.59796514239514</v>
      </c>
      <c r="AB225" s="149">
        <f t="shared" si="116"/>
        <v>2740.4788607630426</v>
      </c>
      <c r="AC225" s="150">
        <f t="shared" si="117"/>
        <v>3245.0275245995817</v>
      </c>
      <c r="AD225" s="157">
        <f t="shared" si="118"/>
        <v>-9220.9311273568055</v>
      </c>
      <c r="AE225" s="19">
        <f t="shared" si="119"/>
        <v>-13341.100478468828</v>
      </c>
      <c r="AF225" s="19">
        <f t="shared" si="120"/>
        <v>-13802.608695652178</v>
      </c>
      <c r="AG225" s="19">
        <f t="shared" si="121"/>
        <v>14696.67641124886</v>
      </c>
      <c r="AH225" s="19">
        <f t="shared" si="122"/>
        <v>-12145.725569620237</v>
      </c>
      <c r="AI225" s="19">
        <f t="shared" si="123"/>
        <v>-14034.2152546943</v>
      </c>
      <c r="AJ225" s="19">
        <f t="shared" si="124"/>
        <v>-20752.938228912899</v>
      </c>
      <c r="AK225" s="158">
        <f t="shared" si="125"/>
        <v>-5348.0111498954557</v>
      </c>
      <c r="AL225" s="163">
        <f t="shared" si="126"/>
        <v>-73948.854093351838</v>
      </c>
      <c r="AM225" s="20"/>
    </row>
    <row r="226" spans="1:39" x14ac:dyDescent="0.25">
      <c r="A226" s="13">
        <f t="shared" si="99"/>
        <v>221</v>
      </c>
      <c r="B226" s="1">
        <v>45000</v>
      </c>
      <c r="C226" s="7">
        <f t="shared" si="100"/>
        <v>2023</v>
      </c>
      <c r="D226" s="7">
        <f t="shared" si="101"/>
        <v>3</v>
      </c>
      <c r="E226" s="61">
        <v>18.957899999999999</v>
      </c>
      <c r="F226" s="65">
        <v>51.98</v>
      </c>
      <c r="G226" s="2">
        <v>39.71</v>
      </c>
      <c r="H226" s="2">
        <v>9.1999999999999993</v>
      </c>
      <c r="I226" s="2">
        <v>242.87</v>
      </c>
      <c r="J226" s="2">
        <v>19.75</v>
      </c>
      <c r="K226" s="2">
        <v>333.93</v>
      </c>
      <c r="L226" s="2">
        <v>96.2</v>
      </c>
      <c r="M226" s="144">
        <v>180.45</v>
      </c>
      <c r="N226" s="72">
        <f t="shared" si="102"/>
        <v>-1.1599163339037988E-2</v>
      </c>
      <c r="O226" s="73">
        <f t="shared" si="103"/>
        <v>-2.1680216802168029E-2</v>
      </c>
      <c r="P226" s="73">
        <f t="shared" si="104"/>
        <v>-1.8143009605122717E-2</v>
      </c>
      <c r="Q226" s="73">
        <f t="shared" si="105"/>
        <v>2.0590830776988645E-2</v>
      </c>
      <c r="R226" s="73">
        <f t="shared" si="106"/>
        <v>-1.5944195316392684E-2</v>
      </c>
      <c r="S226" s="73">
        <f t="shared" si="107"/>
        <v>-2.3110903080478584E-2</v>
      </c>
      <c r="T226" s="73">
        <f t="shared" si="108"/>
        <v>3.3983409657061703E-2</v>
      </c>
      <c r="U226" s="73">
        <f t="shared" si="109"/>
        <v>4.158753984255581E-3</v>
      </c>
      <c r="V226" s="148">
        <f t="shared" si="110"/>
        <v>56.398151739874493</v>
      </c>
      <c r="W226" s="149">
        <f t="shared" si="111"/>
        <v>39.533902439024388</v>
      </c>
      <c r="X226" s="149">
        <f t="shared" si="112"/>
        <v>14.040554962646747</v>
      </c>
      <c r="Y226" s="149">
        <f t="shared" si="113"/>
        <v>231.0005286380636</v>
      </c>
      <c r="Z226" s="149">
        <f t="shared" si="114"/>
        <v>13.540607872446436</v>
      </c>
      <c r="AA226" s="149">
        <f t="shared" si="115"/>
        <v>261.75743351958573</v>
      </c>
      <c r="AB226" s="149">
        <f t="shared" si="116"/>
        <v>2762.0823637770918</v>
      </c>
      <c r="AC226" s="150">
        <f t="shared" si="117"/>
        <v>3237.0417868962377</v>
      </c>
      <c r="AD226" s="157">
        <f t="shared" si="118"/>
        <v>13236.965202510191</v>
      </c>
      <c r="AE226" s="19">
        <f t="shared" si="119"/>
        <v>24968.780487804848</v>
      </c>
      <c r="AF226" s="19">
        <f t="shared" si="120"/>
        <v>23038.719316968971</v>
      </c>
      <c r="AG226" s="19">
        <f t="shared" si="121"/>
        <v>-17710.008824641664</v>
      </c>
      <c r="AH226" s="19">
        <f t="shared" si="122"/>
        <v>9806.8281016442797</v>
      </c>
      <c r="AI226" s="19">
        <f t="shared" si="123"/>
        <v>32820.602346195563</v>
      </c>
      <c r="AJ226" s="19">
        <f t="shared" si="124"/>
        <v>-27233.98913312767</v>
      </c>
      <c r="AK226" s="158">
        <f t="shared" si="125"/>
        <v>-3351.5767240594414</v>
      </c>
      <c r="AL226" s="163">
        <f t="shared" si="126"/>
        <v>55576.320773295069</v>
      </c>
      <c r="AM226" s="20"/>
    </row>
    <row r="227" spans="1:39" x14ac:dyDescent="0.25">
      <c r="A227" s="13">
        <f t="shared" si="99"/>
        <v>222</v>
      </c>
      <c r="B227" s="1">
        <v>44999</v>
      </c>
      <c r="C227" s="7">
        <f t="shared" si="100"/>
        <v>2023</v>
      </c>
      <c r="D227" s="7">
        <f t="shared" si="101"/>
        <v>3</v>
      </c>
      <c r="E227" s="61">
        <v>18.5899</v>
      </c>
      <c r="F227" s="65">
        <v>52.59</v>
      </c>
      <c r="G227" s="2">
        <v>40.590000000000003</v>
      </c>
      <c r="H227" s="2">
        <v>9.3699999999999992</v>
      </c>
      <c r="I227" s="2">
        <v>237.97</v>
      </c>
      <c r="J227" s="2">
        <v>20.07</v>
      </c>
      <c r="K227" s="2">
        <v>341.83</v>
      </c>
      <c r="L227" s="2">
        <v>94.88</v>
      </c>
      <c r="M227" s="144">
        <v>183.26</v>
      </c>
      <c r="N227" s="72">
        <f t="shared" si="102"/>
        <v>-6.0480060480059272E-3</v>
      </c>
      <c r="O227" s="73">
        <f t="shared" si="103"/>
        <v>-9.7584776774822801E-3</v>
      </c>
      <c r="P227" s="73">
        <f t="shared" si="104"/>
        <v>-7.4152542372881713E-3</v>
      </c>
      <c r="Q227" s="73">
        <f t="shared" si="105"/>
        <v>5.8328754385224002E-3</v>
      </c>
      <c r="R227" s="73">
        <f t="shared" si="106"/>
        <v>-7.4183976261127382E-3</v>
      </c>
      <c r="S227" s="73">
        <f t="shared" si="107"/>
        <v>-8.2685389346640603E-3</v>
      </c>
      <c r="T227" s="73">
        <f t="shared" si="108"/>
        <v>9.5039956661278069E-3</v>
      </c>
      <c r="U227" s="73">
        <f t="shared" si="109"/>
        <v>3.2923953712094223E-2</v>
      </c>
      <c r="V227" s="148">
        <f t="shared" si="110"/>
        <v>56.714900774900784</v>
      </c>
      <c r="W227" s="149">
        <f t="shared" si="111"/>
        <v>40.015659917052936</v>
      </c>
      <c r="X227" s="149">
        <f t="shared" si="112"/>
        <v>14.193961864406781</v>
      </c>
      <c r="Y227" s="149">
        <f t="shared" si="113"/>
        <v>227.66021302675517</v>
      </c>
      <c r="Z227" s="149">
        <f t="shared" si="114"/>
        <v>13.657922848664688</v>
      </c>
      <c r="AA227" s="149">
        <f t="shared" si="115"/>
        <v>265.73444499245676</v>
      </c>
      <c r="AB227" s="149">
        <f t="shared" si="116"/>
        <v>2696.6904464325162</v>
      </c>
      <c r="AC227" s="150">
        <f t="shared" si="117"/>
        <v>3329.7703053281843</v>
      </c>
      <c r="AD227" s="157">
        <f t="shared" si="118"/>
        <v>6901.9845019843724</v>
      </c>
      <c r="AE227" s="19">
        <f t="shared" si="119"/>
        <v>11238.692363991224</v>
      </c>
      <c r="AF227" s="19">
        <f t="shared" si="120"/>
        <v>9416.1864406779423</v>
      </c>
      <c r="AG227" s="19">
        <f t="shared" si="121"/>
        <v>-5016.8095016696443</v>
      </c>
      <c r="AH227" s="19">
        <f t="shared" si="122"/>
        <v>4562.8486646884376</v>
      </c>
      <c r="AI227" s="19">
        <f t="shared" si="123"/>
        <v>11742.44153997912</v>
      </c>
      <c r="AJ227" s="19">
        <f t="shared" si="124"/>
        <v>-7616.4139297549809</v>
      </c>
      <c r="AK227" s="158">
        <f t="shared" si="125"/>
        <v>-26533.706332046109</v>
      </c>
      <c r="AL227" s="163">
        <f t="shared" si="126"/>
        <v>4695.223747850363</v>
      </c>
      <c r="AM227" s="20"/>
    </row>
    <row r="228" spans="1:39" x14ac:dyDescent="0.25">
      <c r="A228" s="13">
        <f t="shared" si="99"/>
        <v>223</v>
      </c>
      <c r="B228" s="1">
        <v>44998</v>
      </c>
      <c r="C228" s="7">
        <f t="shared" si="100"/>
        <v>2023</v>
      </c>
      <c r="D228" s="7">
        <f t="shared" si="101"/>
        <v>3</v>
      </c>
      <c r="E228" s="61">
        <v>18.902999999999999</v>
      </c>
      <c r="F228" s="65">
        <v>52.91</v>
      </c>
      <c r="G228" s="2">
        <v>40.99</v>
      </c>
      <c r="H228" s="2">
        <v>9.44</v>
      </c>
      <c r="I228" s="2">
        <v>236.59</v>
      </c>
      <c r="J228" s="2">
        <v>20.22</v>
      </c>
      <c r="K228" s="2">
        <v>344.68</v>
      </c>
      <c r="L228" s="2">
        <v>92.43</v>
      </c>
      <c r="M228" s="144">
        <v>174.48</v>
      </c>
      <c r="N228" s="72">
        <f t="shared" si="102"/>
        <v>4.747436384352488E-3</v>
      </c>
      <c r="O228" s="73">
        <f t="shared" si="103"/>
        <v>1.9555120997312159E-3</v>
      </c>
      <c r="P228" s="73">
        <f t="shared" si="104"/>
        <v>2.0540540540540553E-2</v>
      </c>
      <c r="Q228" s="73">
        <f t="shared" si="105"/>
        <v>5.6818689417965862E-2</v>
      </c>
      <c r="R228" s="73">
        <f t="shared" si="106"/>
        <v>-3.1145184475323551E-2</v>
      </c>
      <c r="S228" s="73">
        <f t="shared" si="107"/>
        <v>2.1819044230997342E-2</v>
      </c>
      <c r="T228" s="73">
        <f t="shared" si="108"/>
        <v>4.2055402714776591E-2</v>
      </c>
      <c r="U228" s="73">
        <f t="shared" si="109"/>
        <v>2.9023173551540493E-2</v>
      </c>
      <c r="V228" s="148">
        <f t="shared" si="110"/>
        <v>57.330888720091153</v>
      </c>
      <c r="W228" s="149">
        <f t="shared" si="111"/>
        <v>40.489022243950131</v>
      </c>
      <c r="X228" s="149">
        <f t="shared" si="112"/>
        <v>14.593729729729731</v>
      </c>
      <c r="Y228" s="149">
        <f t="shared" si="113"/>
        <v>239.2003421628624</v>
      </c>
      <c r="Z228" s="149">
        <f t="shared" si="114"/>
        <v>13.331442261619548</v>
      </c>
      <c r="AA228" s="149">
        <f t="shared" si="115"/>
        <v>273.7964129016957</v>
      </c>
      <c r="AB228" s="149">
        <f t="shared" si="116"/>
        <v>2783.6450982049487</v>
      </c>
      <c r="AC228" s="150">
        <f t="shared" si="117"/>
        <v>3317.1956120029436</v>
      </c>
      <c r="AD228" s="157">
        <f t="shared" si="118"/>
        <v>-5417.7744018230096</v>
      </c>
      <c r="AE228" s="19">
        <f t="shared" si="119"/>
        <v>-2252.1339525788449</v>
      </c>
      <c r="AF228" s="19">
        <f t="shared" si="120"/>
        <v>-26083.200000000015</v>
      </c>
      <c r="AG228" s="19">
        <f t="shared" si="121"/>
        <v>-48869.300218877099</v>
      </c>
      <c r="AH228" s="19">
        <f t="shared" si="122"/>
        <v>19156.530905606181</v>
      </c>
      <c r="AI228" s="19">
        <f t="shared" si="123"/>
        <v>-30985.988378987287</v>
      </c>
      <c r="AJ228" s="19">
        <f t="shared" si="124"/>
        <v>-33702.809461484729</v>
      </c>
      <c r="AK228" s="158">
        <f t="shared" si="125"/>
        <v>-23390.033000735912</v>
      </c>
      <c r="AL228" s="163">
        <f t="shared" si="126"/>
        <v>-151544.70850888072</v>
      </c>
      <c r="AM228" s="20"/>
    </row>
    <row r="229" spans="1:39" x14ac:dyDescent="0.25">
      <c r="A229" s="13">
        <f t="shared" si="99"/>
        <v>224</v>
      </c>
      <c r="B229" s="1">
        <v>44995</v>
      </c>
      <c r="C229" s="7">
        <f t="shared" si="100"/>
        <v>2023</v>
      </c>
      <c r="D229" s="7">
        <f t="shared" si="101"/>
        <v>3</v>
      </c>
      <c r="E229" s="61">
        <v>18.48</v>
      </c>
      <c r="F229" s="65">
        <v>52.66</v>
      </c>
      <c r="G229" s="2">
        <v>40.909999999999997</v>
      </c>
      <c r="H229" s="2">
        <v>9.25</v>
      </c>
      <c r="I229" s="2">
        <v>223.87</v>
      </c>
      <c r="J229" s="2">
        <v>20.87</v>
      </c>
      <c r="K229" s="2">
        <v>337.32</v>
      </c>
      <c r="L229" s="2">
        <v>90.73</v>
      </c>
      <c r="M229" s="144">
        <v>173.44</v>
      </c>
      <c r="N229" s="72">
        <f t="shared" si="102"/>
        <v>-1.1265490048817162E-2</v>
      </c>
      <c r="O229" s="73">
        <f t="shared" si="103"/>
        <v>-1.6350084154845068E-2</v>
      </c>
      <c r="P229" s="73">
        <f t="shared" si="104"/>
        <v>-3.5453597497393075E-2</v>
      </c>
      <c r="Q229" s="73">
        <f t="shared" si="105"/>
        <v>6.7002428275924064E-3</v>
      </c>
      <c r="R229" s="73">
        <f t="shared" si="106"/>
        <v>-8.5451358457493409E-2</v>
      </c>
      <c r="S229" s="73">
        <f t="shared" si="107"/>
        <v>5.5446252906456994E-3</v>
      </c>
      <c r="T229" s="73">
        <f t="shared" si="108"/>
        <v>-9.1852545215377335E-3</v>
      </c>
      <c r="U229" s="73">
        <f t="shared" si="109"/>
        <v>1.0443334010246996E-2</v>
      </c>
      <c r="V229" s="148">
        <f t="shared" si="110"/>
        <v>56.417191137814498</v>
      </c>
      <c r="W229" s="149">
        <f t="shared" si="111"/>
        <v>39.749293099302704</v>
      </c>
      <c r="X229" s="149">
        <f t="shared" si="112"/>
        <v>13.79301355578728</v>
      </c>
      <c r="Y229" s="149">
        <f t="shared" si="113"/>
        <v>227.85653296159728</v>
      </c>
      <c r="Z229" s="149">
        <f t="shared" si="114"/>
        <v>12.584189307624891</v>
      </c>
      <c r="AA229" s="149">
        <f t="shared" si="115"/>
        <v>269.43568234662848</v>
      </c>
      <c r="AB229" s="149">
        <f t="shared" si="116"/>
        <v>2646.7658075520048</v>
      </c>
      <c r="AC229" s="150">
        <f t="shared" si="117"/>
        <v>3257.3009820449229</v>
      </c>
      <c r="AD229" s="157">
        <f t="shared" si="118"/>
        <v>12856.177243710079</v>
      </c>
      <c r="AE229" s="19">
        <f t="shared" si="119"/>
        <v>18830.146669872825</v>
      </c>
      <c r="AF229" s="19">
        <f t="shared" si="120"/>
        <v>45020.396246089644</v>
      </c>
      <c r="AG229" s="19">
        <f t="shared" si="121"/>
        <v>-5762.8252540696567</v>
      </c>
      <c r="AH229" s="19">
        <f t="shared" si="122"/>
        <v>52558.737949167356</v>
      </c>
      <c r="AI229" s="19">
        <f t="shared" si="123"/>
        <v>-7874.116437131016</v>
      </c>
      <c r="AJ229" s="19">
        <f t="shared" si="124"/>
        <v>7360.9777343984206</v>
      </c>
      <c r="AK229" s="158">
        <f t="shared" si="125"/>
        <v>-8416.3755112307408</v>
      </c>
      <c r="AL229" s="163">
        <f t="shared" si="126"/>
        <v>114573.11864080692</v>
      </c>
      <c r="AM229" s="20"/>
    </row>
    <row r="230" spans="1:39" x14ac:dyDescent="0.25">
      <c r="A230" s="13">
        <f t="shared" si="99"/>
        <v>225</v>
      </c>
      <c r="B230" s="1">
        <v>44994</v>
      </c>
      <c r="C230" s="7">
        <f t="shared" si="100"/>
        <v>2023</v>
      </c>
      <c r="D230" s="7">
        <f t="shared" si="101"/>
        <v>3</v>
      </c>
      <c r="E230" s="61">
        <v>18.344000000000001</v>
      </c>
      <c r="F230" s="65">
        <v>53.26</v>
      </c>
      <c r="G230" s="2">
        <v>41.59</v>
      </c>
      <c r="H230" s="2">
        <v>9.59</v>
      </c>
      <c r="I230" s="2">
        <v>222.38</v>
      </c>
      <c r="J230" s="2">
        <v>22.82</v>
      </c>
      <c r="K230" s="2">
        <v>335.46</v>
      </c>
      <c r="L230" s="2">
        <v>92.25</v>
      </c>
      <c r="M230" s="144">
        <v>172.92</v>
      </c>
      <c r="N230" s="72">
        <f t="shared" si="102"/>
        <v>7.5159714393091548E-4</v>
      </c>
      <c r="O230" s="73">
        <f t="shared" si="103"/>
        <v>2.1867321867321987E-2</v>
      </c>
      <c r="P230" s="73">
        <f t="shared" si="104"/>
        <v>-7.2463768115942351E-3</v>
      </c>
      <c r="Q230" s="73">
        <f t="shared" si="105"/>
        <v>5.2890918132091347E-3</v>
      </c>
      <c r="R230" s="73">
        <f t="shared" si="106"/>
        <v>5.1612903225806583E-2</v>
      </c>
      <c r="S230" s="73">
        <f t="shared" si="107"/>
        <v>-5.2781401968925445E-3</v>
      </c>
      <c r="T230" s="73">
        <f t="shared" si="108"/>
        <v>2.7729118281070164E-3</v>
      </c>
      <c r="U230" s="73">
        <f t="shared" si="109"/>
        <v>-3.0008024032957215E-2</v>
      </c>
      <c r="V230" s="148">
        <f t="shared" si="110"/>
        <v>57.102886133032698</v>
      </c>
      <c r="W230" s="149">
        <f t="shared" si="111"/>
        <v>41.293658476658479</v>
      </c>
      <c r="X230" s="149">
        <f t="shared" si="112"/>
        <v>14.196376811594202</v>
      </c>
      <c r="Y230" s="149">
        <f t="shared" si="113"/>
        <v>227.53713304100177</v>
      </c>
      <c r="Z230" s="149">
        <f t="shared" si="114"/>
        <v>14.470193548387098</v>
      </c>
      <c r="AA230" s="149">
        <f t="shared" si="115"/>
        <v>266.53572233424262</v>
      </c>
      <c r="AB230" s="149">
        <f t="shared" si="116"/>
        <v>2678.7096860214101</v>
      </c>
      <c r="AC230" s="150">
        <f t="shared" si="117"/>
        <v>3126.9005490426662</v>
      </c>
      <c r="AD230" s="157">
        <f t="shared" si="118"/>
        <v>-857.72266065390568</v>
      </c>
      <c r="AE230" s="19">
        <f t="shared" si="119"/>
        <v>-25184.266584766738</v>
      </c>
      <c r="AF230" s="19">
        <f t="shared" si="120"/>
        <v>9201.7391304348912</v>
      </c>
      <c r="AG230" s="19">
        <f t="shared" si="121"/>
        <v>-4549.1055558066992</v>
      </c>
      <c r="AH230" s="19">
        <f t="shared" si="122"/>
        <v>-31745.651612903272</v>
      </c>
      <c r="AI230" s="19">
        <f t="shared" si="123"/>
        <v>7495.6716285140483</v>
      </c>
      <c r="AJ230" s="19">
        <f t="shared" si="124"/>
        <v>-2222.1858064231583</v>
      </c>
      <c r="AK230" s="158">
        <f t="shared" si="125"/>
        <v>24183.732739333434</v>
      </c>
      <c r="AL230" s="163">
        <f t="shared" si="126"/>
        <v>-23677.788722271391</v>
      </c>
      <c r="AM230" s="20"/>
    </row>
    <row r="231" spans="1:39" x14ac:dyDescent="0.25">
      <c r="A231" s="13">
        <f t="shared" si="99"/>
        <v>226</v>
      </c>
      <c r="B231" s="1">
        <v>44993</v>
      </c>
      <c r="C231" s="7">
        <f t="shared" si="100"/>
        <v>2023</v>
      </c>
      <c r="D231" s="7">
        <f t="shared" si="101"/>
        <v>3</v>
      </c>
      <c r="E231" s="61">
        <v>17.968</v>
      </c>
      <c r="F231" s="65">
        <v>53.22</v>
      </c>
      <c r="G231" s="2">
        <v>40.700000000000003</v>
      </c>
      <c r="H231" s="2">
        <v>9.66</v>
      </c>
      <c r="I231" s="2">
        <v>221.21</v>
      </c>
      <c r="J231" s="2">
        <v>21.7</v>
      </c>
      <c r="K231" s="2">
        <v>337.24</v>
      </c>
      <c r="L231" s="2">
        <v>93.92</v>
      </c>
      <c r="M231" s="144">
        <v>182</v>
      </c>
      <c r="N231" s="72">
        <f t="shared" si="102"/>
        <v>5.8590058590060057E-3</v>
      </c>
      <c r="O231" s="73">
        <f t="shared" si="103"/>
        <v>7.4257425742574323E-3</v>
      </c>
      <c r="P231" s="73">
        <f t="shared" si="104"/>
        <v>4.1580041580042693E-3</v>
      </c>
      <c r="Q231" s="73">
        <f t="shared" si="105"/>
        <v>4.5411198401525965E-3</v>
      </c>
      <c r="R231" s="73">
        <f t="shared" si="106"/>
        <v>-7.3193046660566807E-3</v>
      </c>
      <c r="S231" s="73">
        <f t="shared" si="107"/>
        <v>-3.260708463020956E-4</v>
      </c>
      <c r="T231" s="73">
        <f t="shared" si="108"/>
        <v>-2.8156267182407602E-3</v>
      </c>
      <c r="U231" s="73">
        <f t="shared" si="109"/>
        <v>-3.6958171984653898E-2</v>
      </c>
      <c r="V231" s="148">
        <f t="shared" si="110"/>
        <v>57.394314874314887</v>
      </c>
      <c r="W231" s="149">
        <f t="shared" si="111"/>
        <v>40.710074257425738</v>
      </c>
      <c r="X231" s="149">
        <f t="shared" si="112"/>
        <v>14.359459459459462</v>
      </c>
      <c r="Y231" s="149">
        <f t="shared" si="113"/>
        <v>227.36783706462015</v>
      </c>
      <c r="Z231" s="149">
        <f t="shared" si="114"/>
        <v>13.65928636779506</v>
      </c>
      <c r="AA231" s="149">
        <f t="shared" si="115"/>
        <v>267.86262931673332</v>
      </c>
      <c r="AB231" s="149">
        <f t="shared" si="116"/>
        <v>2663.7810095900591</v>
      </c>
      <c r="AC231" s="150">
        <f t="shared" si="117"/>
        <v>3104.4958055143275</v>
      </c>
      <c r="AD231" s="157">
        <f t="shared" si="118"/>
        <v>-6686.2974862976898</v>
      </c>
      <c r="AE231" s="19">
        <f t="shared" si="119"/>
        <v>-8552.116336633635</v>
      </c>
      <c r="AF231" s="19">
        <f t="shared" si="120"/>
        <v>-5280.0000000001437</v>
      </c>
      <c r="AG231" s="19">
        <f t="shared" si="121"/>
        <v>-3905.7808455565464</v>
      </c>
      <c r="AH231" s="19">
        <f t="shared" si="122"/>
        <v>4501.8993595608081</v>
      </c>
      <c r="AI231" s="19">
        <f t="shared" si="123"/>
        <v>463.06462131335024</v>
      </c>
      <c r="AJ231" s="19">
        <f t="shared" si="124"/>
        <v>2256.4171229821568</v>
      </c>
      <c r="AK231" s="158">
        <f t="shared" si="125"/>
        <v>29784.918621418114</v>
      </c>
      <c r="AL231" s="163">
        <f t="shared" si="126"/>
        <v>12582.105056786411</v>
      </c>
      <c r="AM231" s="20"/>
    </row>
    <row r="232" spans="1:39" x14ac:dyDescent="0.25">
      <c r="A232" s="13">
        <f t="shared" si="99"/>
        <v>227</v>
      </c>
      <c r="B232" s="1">
        <v>44992</v>
      </c>
      <c r="C232" s="7">
        <f t="shared" si="100"/>
        <v>2023</v>
      </c>
      <c r="D232" s="7">
        <f t="shared" si="101"/>
        <v>3</v>
      </c>
      <c r="E232" s="61">
        <v>18.09</v>
      </c>
      <c r="F232" s="65">
        <v>52.91</v>
      </c>
      <c r="G232" s="2">
        <v>40.4</v>
      </c>
      <c r="H232" s="2">
        <v>9.6199999999999992</v>
      </c>
      <c r="I232" s="2">
        <v>220.21</v>
      </c>
      <c r="J232" s="2">
        <v>21.86</v>
      </c>
      <c r="K232" s="2">
        <v>337.35</v>
      </c>
      <c r="L232" s="2">
        <v>93.55</v>
      </c>
      <c r="M232" s="144">
        <v>187.71</v>
      </c>
      <c r="N232" s="72">
        <f t="shared" si="102"/>
        <v>-1.6359918200409052E-2</v>
      </c>
      <c r="O232" s="73">
        <f t="shared" si="103"/>
        <v>-1.5354618571776779E-2</v>
      </c>
      <c r="P232" s="73">
        <f t="shared" si="104"/>
        <v>-3.4136546184739158E-2</v>
      </c>
      <c r="Q232" s="73">
        <f t="shared" si="105"/>
        <v>-5.5014375831437978E-2</v>
      </c>
      <c r="R232" s="73">
        <f t="shared" si="106"/>
        <v>5.057471264367841E-3</v>
      </c>
      <c r="S232" s="73">
        <f t="shared" si="107"/>
        <v>-8.1150216106553597E-3</v>
      </c>
      <c r="T232" s="73">
        <f t="shared" si="108"/>
        <v>3.7482206405692331E-3</v>
      </c>
      <c r="U232" s="73">
        <f t="shared" si="109"/>
        <v>-2.5765508548288407E-2</v>
      </c>
      <c r="V232" s="148">
        <f t="shared" si="110"/>
        <v>56.126503067484663</v>
      </c>
      <c r="W232" s="149">
        <f t="shared" si="111"/>
        <v>39.789519863514499</v>
      </c>
      <c r="X232" s="149">
        <f t="shared" si="112"/>
        <v>13.811847389558231</v>
      </c>
      <c r="Y232" s="149">
        <f t="shared" si="113"/>
        <v>213.88804617431234</v>
      </c>
      <c r="Z232" s="149">
        <f t="shared" si="114"/>
        <v>13.829590804597702</v>
      </c>
      <c r="AA232" s="149">
        <f t="shared" si="115"/>
        <v>265.77557995942487</v>
      </c>
      <c r="AB232" s="149">
        <f t="shared" si="116"/>
        <v>2681.3150307928818</v>
      </c>
      <c r="AC232" s="150">
        <f t="shared" si="117"/>
        <v>3140.5768724834943</v>
      </c>
      <c r="AD232" s="157">
        <f t="shared" si="118"/>
        <v>18669.938650306791</v>
      </c>
      <c r="AE232" s="19">
        <f t="shared" si="119"/>
        <v>17683.683889836673</v>
      </c>
      <c r="AF232" s="19">
        <f t="shared" si="120"/>
        <v>43347.951807229132</v>
      </c>
      <c r="AG232" s="19">
        <f t="shared" si="121"/>
        <v>47317.424537613137</v>
      </c>
      <c r="AH232" s="19">
        <f t="shared" si="122"/>
        <v>-3110.7089655172822</v>
      </c>
      <c r="AI232" s="19">
        <f t="shared" si="123"/>
        <v>11524.426215048106</v>
      </c>
      <c r="AJ232" s="19">
        <f t="shared" si="124"/>
        <v>-3003.7892378646575</v>
      </c>
      <c r="AK232" s="158">
        <f t="shared" si="125"/>
        <v>20764.651879126402</v>
      </c>
      <c r="AL232" s="163">
        <f t="shared" si="126"/>
        <v>153193.5787757783</v>
      </c>
      <c r="AM232" s="20"/>
    </row>
    <row r="233" spans="1:39" x14ac:dyDescent="0.25">
      <c r="A233" s="13">
        <f t="shared" si="99"/>
        <v>228</v>
      </c>
      <c r="B233" s="1">
        <v>44991</v>
      </c>
      <c r="C233" s="7">
        <f t="shared" si="100"/>
        <v>2023</v>
      </c>
      <c r="D233" s="7">
        <f t="shared" si="101"/>
        <v>3</v>
      </c>
      <c r="E233" s="61">
        <v>17.984000000000002</v>
      </c>
      <c r="F233" s="65">
        <v>53.79</v>
      </c>
      <c r="G233" s="2">
        <v>41.03</v>
      </c>
      <c r="H233" s="2">
        <v>9.9600000000000009</v>
      </c>
      <c r="I233" s="2">
        <v>233.03</v>
      </c>
      <c r="J233" s="2">
        <v>21.75</v>
      </c>
      <c r="K233" s="2">
        <v>340.11</v>
      </c>
      <c r="L233" s="2">
        <v>93.75</v>
      </c>
      <c r="M233" s="144">
        <v>193.81</v>
      </c>
      <c r="N233" s="72">
        <f t="shared" si="102"/>
        <v>-4.8103607770582091E-3</v>
      </c>
      <c r="O233" s="73">
        <f t="shared" si="103"/>
        <v>2.6881720430107503E-3</v>
      </c>
      <c r="P233" s="73">
        <f t="shared" si="104"/>
        <v>-1.6781836130306038E-2</v>
      </c>
      <c r="Q233" s="73">
        <f t="shared" si="105"/>
        <v>-2.2692241822229731E-3</v>
      </c>
      <c r="R233" s="73">
        <f t="shared" si="106"/>
        <v>1.021830004644686E-2</v>
      </c>
      <c r="S233" s="73">
        <f t="shared" si="107"/>
        <v>-1.7079937575862569E-2</v>
      </c>
      <c r="T233" s="73">
        <f t="shared" si="108"/>
        <v>-9.8606951517882235E-3</v>
      </c>
      <c r="U233" s="73">
        <f t="shared" si="109"/>
        <v>-1.7883318184187535E-2</v>
      </c>
      <c r="V233" s="148">
        <f t="shared" si="110"/>
        <v>56.785520814061059</v>
      </c>
      <c r="W233" s="149">
        <f t="shared" si="111"/>
        <v>40.518629032258062</v>
      </c>
      <c r="X233" s="149">
        <f t="shared" si="112"/>
        <v>14.060019743336625</v>
      </c>
      <c r="Y233" s="149">
        <f t="shared" si="113"/>
        <v>225.82638379859566</v>
      </c>
      <c r="Z233" s="149">
        <f t="shared" si="114"/>
        <v>13.900603808639108</v>
      </c>
      <c r="AA233" s="149">
        <f t="shared" si="115"/>
        <v>263.37343072654761</v>
      </c>
      <c r="AB233" s="149">
        <f t="shared" si="116"/>
        <v>2644.9615013753591</v>
      </c>
      <c r="AC233" s="150">
        <f t="shared" si="117"/>
        <v>3165.986181001324</v>
      </c>
      <c r="AD233" s="157">
        <f t="shared" si="118"/>
        <v>5489.5837187788748</v>
      </c>
      <c r="AE233" s="19">
        <f t="shared" si="119"/>
        <v>-3095.9274193548581</v>
      </c>
      <c r="AF233" s="19">
        <f t="shared" si="120"/>
        <v>21310.246791707785</v>
      </c>
      <c r="AG233" s="19">
        <f t="shared" si="121"/>
        <v>1951.7415653365163</v>
      </c>
      <c r="AH233" s="19">
        <f t="shared" si="122"/>
        <v>-6284.990246168134</v>
      </c>
      <c r="AI233" s="19">
        <f t="shared" si="123"/>
        <v>24255.817149297603</v>
      </c>
      <c r="AJ233" s="19">
        <f t="shared" si="124"/>
        <v>7902.2695873921293</v>
      </c>
      <c r="AK233" s="158">
        <f t="shared" si="125"/>
        <v>14412.324749668984</v>
      </c>
      <c r="AL233" s="163">
        <f t="shared" si="126"/>
        <v>65941.065896658911</v>
      </c>
      <c r="AM233" s="20"/>
    </row>
    <row r="234" spans="1:39" x14ac:dyDescent="0.25">
      <c r="A234" s="13">
        <f t="shared" si="99"/>
        <v>229</v>
      </c>
      <c r="B234" s="1">
        <v>44988</v>
      </c>
      <c r="C234" s="7">
        <f t="shared" si="100"/>
        <v>2023</v>
      </c>
      <c r="D234" s="7">
        <f t="shared" si="101"/>
        <v>3</v>
      </c>
      <c r="E234" s="61">
        <v>17.943000000000001</v>
      </c>
      <c r="F234" s="65">
        <v>54.05</v>
      </c>
      <c r="G234" s="2">
        <v>40.92</v>
      </c>
      <c r="H234" s="2">
        <v>10.130000000000001</v>
      </c>
      <c r="I234" s="2">
        <v>233.56</v>
      </c>
      <c r="J234" s="2">
        <v>21.53</v>
      </c>
      <c r="K234" s="2">
        <v>346.02</v>
      </c>
      <c r="L234" s="2">
        <v>94.9</v>
      </c>
      <c r="M234" s="144">
        <v>197.79</v>
      </c>
      <c r="N234" s="72">
        <f t="shared" si="102"/>
        <v>1.5786506295808911E-2</v>
      </c>
      <c r="O234" s="73">
        <f t="shared" si="103"/>
        <v>2.5563909774436233E-2</v>
      </c>
      <c r="P234" s="73">
        <f t="shared" si="104"/>
        <v>3.3673469387755173E-2</v>
      </c>
      <c r="Q234" s="73">
        <f t="shared" si="105"/>
        <v>2.799295774647903E-2</v>
      </c>
      <c r="R234" s="73">
        <f t="shared" si="106"/>
        <v>1.6045304388862647E-2</v>
      </c>
      <c r="S234" s="73">
        <f t="shared" si="107"/>
        <v>4.7913581322414078E-3</v>
      </c>
      <c r="T234" s="73">
        <f t="shared" si="108"/>
        <v>2.0342167394770128E-2</v>
      </c>
      <c r="U234" s="73">
        <f t="shared" si="109"/>
        <v>2.6311264904947285E-2</v>
      </c>
      <c r="V234" s="148">
        <f t="shared" si="110"/>
        <v>57.960778049238861</v>
      </c>
      <c r="W234" s="149">
        <f t="shared" si="111"/>
        <v>41.443037593984968</v>
      </c>
      <c r="X234" s="149">
        <f t="shared" si="112"/>
        <v>14.7815306122449</v>
      </c>
      <c r="Y234" s="149">
        <f t="shared" si="113"/>
        <v>232.67592605633806</v>
      </c>
      <c r="Z234" s="149">
        <f t="shared" si="114"/>
        <v>13.98078338839075</v>
      </c>
      <c r="AA234" s="149">
        <f t="shared" si="115"/>
        <v>269.23384441153405</v>
      </c>
      <c r="AB234" s="149">
        <f t="shared" si="116"/>
        <v>2725.6424805828506</v>
      </c>
      <c r="AC234" s="150">
        <f t="shared" si="117"/>
        <v>3308.4534070712666</v>
      </c>
      <c r="AD234" s="157">
        <f t="shared" si="118"/>
        <v>-18015.560984777181</v>
      </c>
      <c r="AE234" s="19">
        <f t="shared" si="119"/>
        <v>-29441.571428571693</v>
      </c>
      <c r="AF234" s="19">
        <f t="shared" si="120"/>
        <v>-42759.918367347069</v>
      </c>
      <c r="AG234" s="19">
        <f t="shared" si="121"/>
        <v>-24076.519014084603</v>
      </c>
      <c r="AH234" s="19">
        <f t="shared" si="122"/>
        <v>-9869.0174610665126</v>
      </c>
      <c r="AI234" s="19">
        <f t="shared" si="123"/>
        <v>-6804.3753811305296</v>
      </c>
      <c r="AJ234" s="19">
        <f t="shared" si="124"/>
        <v>-16302.024174855296</v>
      </c>
      <c r="AK234" s="158">
        <f t="shared" si="125"/>
        <v>-21204.481767816673</v>
      </c>
      <c r="AL234" s="163">
        <f t="shared" si="126"/>
        <v>-168473.46857964958</v>
      </c>
      <c r="AM234" s="20"/>
    </row>
    <row r="235" spans="1:39" x14ac:dyDescent="0.25">
      <c r="A235" s="13">
        <f t="shared" si="99"/>
        <v>230</v>
      </c>
      <c r="B235" s="1">
        <v>44987</v>
      </c>
      <c r="C235" s="7">
        <f t="shared" si="100"/>
        <v>2023</v>
      </c>
      <c r="D235" s="7">
        <f t="shared" si="101"/>
        <v>3</v>
      </c>
      <c r="E235" s="61">
        <v>18.114000000000001</v>
      </c>
      <c r="F235" s="65">
        <v>53.21</v>
      </c>
      <c r="G235" s="2">
        <v>39.9</v>
      </c>
      <c r="H235" s="2">
        <v>9.8000000000000007</v>
      </c>
      <c r="I235" s="2">
        <v>227.2</v>
      </c>
      <c r="J235" s="2">
        <v>21.19</v>
      </c>
      <c r="K235" s="2">
        <v>344.37</v>
      </c>
      <c r="L235" s="2">
        <v>92.13</v>
      </c>
      <c r="M235" s="144">
        <v>190.9</v>
      </c>
      <c r="N235" s="72">
        <f t="shared" si="102"/>
        <v>-1.6885553470918913E-3</v>
      </c>
      <c r="O235" s="73">
        <f t="shared" si="103"/>
        <v>-6.721433905899965E-3</v>
      </c>
      <c r="P235" s="73">
        <f t="shared" si="104"/>
        <v>4.4776119402984982E-2</v>
      </c>
      <c r="Q235" s="73">
        <f t="shared" si="105"/>
        <v>-2.6480418202073919E-2</v>
      </c>
      <c r="R235" s="73">
        <f t="shared" si="106"/>
        <v>-2.5747126436781564E-2</v>
      </c>
      <c r="S235" s="73">
        <f t="shared" si="107"/>
        <v>1.1046832756766989E-3</v>
      </c>
      <c r="T235" s="73">
        <f t="shared" si="108"/>
        <v>8.3681796584578194E-4</v>
      </c>
      <c r="U235" s="73">
        <f t="shared" si="109"/>
        <v>-5.7342305121821369E-2</v>
      </c>
      <c r="V235" s="148">
        <f t="shared" si="110"/>
        <v>56.963651031894941</v>
      </c>
      <c r="W235" s="149">
        <f t="shared" si="111"/>
        <v>40.138386855862578</v>
      </c>
      <c r="X235" s="149">
        <f t="shared" si="112"/>
        <v>14.940298507462686</v>
      </c>
      <c r="Y235" s="149">
        <f t="shared" si="113"/>
        <v>220.34642214414259</v>
      </c>
      <c r="Z235" s="149">
        <f t="shared" si="114"/>
        <v>13.405719540229885</v>
      </c>
      <c r="AA235" s="149">
        <f t="shared" si="115"/>
        <v>268.24599988371756</v>
      </c>
      <c r="AB235" s="149">
        <f t="shared" si="116"/>
        <v>2673.5377938405263</v>
      </c>
      <c r="AC235" s="150">
        <f t="shared" si="117"/>
        <v>3038.784790704311</v>
      </c>
      <c r="AD235" s="157">
        <f t="shared" si="118"/>
        <v>1926.9793621012354</v>
      </c>
      <c r="AE235" s="19">
        <f t="shared" si="119"/>
        <v>7740.9746079164352</v>
      </c>
      <c r="AF235" s="19">
        <f t="shared" si="120"/>
        <v>-56858.507462686408</v>
      </c>
      <c r="AG235" s="19">
        <f t="shared" si="121"/>
        <v>22775.595852258157</v>
      </c>
      <c r="AH235" s="19">
        <f t="shared" si="122"/>
        <v>15836.336551724122</v>
      </c>
      <c r="AI235" s="19">
        <f t="shared" si="123"/>
        <v>-1568.7993837031229</v>
      </c>
      <c r="AJ235" s="19">
        <f t="shared" si="124"/>
        <v>-670.61815215802199</v>
      </c>
      <c r="AK235" s="158">
        <f t="shared" si="125"/>
        <v>46212.672323922219</v>
      </c>
      <c r="AL235" s="163">
        <f t="shared" si="126"/>
        <v>35394.633699374615</v>
      </c>
      <c r="AM235" s="20"/>
    </row>
    <row r="236" spans="1:39" x14ac:dyDescent="0.25">
      <c r="A236" s="13">
        <f t="shared" si="99"/>
        <v>231</v>
      </c>
      <c r="B236" s="1">
        <v>44986</v>
      </c>
      <c r="C236" s="7">
        <f t="shared" si="100"/>
        <v>2023</v>
      </c>
      <c r="D236" s="7">
        <f t="shared" si="101"/>
        <v>3</v>
      </c>
      <c r="E236" s="61">
        <v>18.091000000000001</v>
      </c>
      <c r="F236" s="65">
        <v>53.3</v>
      </c>
      <c r="G236" s="2">
        <v>40.17</v>
      </c>
      <c r="H236" s="2">
        <v>9.3800000000000008</v>
      </c>
      <c r="I236" s="2">
        <v>233.38</v>
      </c>
      <c r="J236" s="2">
        <v>21.75</v>
      </c>
      <c r="K236" s="2">
        <v>343.99</v>
      </c>
      <c r="L236" s="2">
        <v>92.17</v>
      </c>
      <c r="M236" s="144">
        <v>202.77</v>
      </c>
      <c r="N236" s="72">
        <f t="shared" si="102"/>
        <v>1.2345679012345734E-2</v>
      </c>
      <c r="O236" s="73">
        <f t="shared" si="103"/>
        <v>1.9955101022699484E-3</v>
      </c>
      <c r="P236" s="73">
        <f t="shared" si="104"/>
        <v>2.4017467248908408E-2</v>
      </c>
      <c r="Q236" s="73">
        <f t="shared" si="105"/>
        <v>6.6100223836279781E-2</v>
      </c>
      <c r="R236" s="73">
        <f t="shared" si="106"/>
        <v>1.8424689083371693E-3</v>
      </c>
      <c r="S236" s="73">
        <f t="shared" si="107"/>
        <v>-1.1437767623645789E-2</v>
      </c>
      <c r="T236" s="73">
        <f t="shared" si="108"/>
        <v>-3.3085330898452447E-2</v>
      </c>
      <c r="U236" s="73">
        <f t="shared" si="109"/>
        <v>-2.5602750027238996E-2</v>
      </c>
      <c r="V236" s="148">
        <f t="shared" si="110"/>
        <v>57.76444444444445</v>
      </c>
      <c r="W236" s="149">
        <f t="shared" si="111"/>
        <v>40.490638563232729</v>
      </c>
      <c r="X236" s="149">
        <f t="shared" si="112"/>
        <v>14.643449781659392</v>
      </c>
      <c r="Y236" s="149">
        <f t="shared" si="113"/>
        <v>241.30112466310356</v>
      </c>
      <c r="Z236" s="149">
        <f t="shared" si="114"/>
        <v>13.785352372178719</v>
      </c>
      <c r="AA236" s="149">
        <f t="shared" si="115"/>
        <v>264.88525016524409</v>
      </c>
      <c r="AB236" s="149">
        <f t="shared" si="116"/>
        <v>2582.9214761661692</v>
      </c>
      <c r="AC236" s="150">
        <f t="shared" si="117"/>
        <v>3141.1015466266213</v>
      </c>
      <c r="AD236" s="157">
        <f t="shared" si="118"/>
        <v>-14088.88888888896</v>
      </c>
      <c r="AE236" s="19">
        <f t="shared" si="119"/>
        <v>-2298.1990521328621</v>
      </c>
      <c r="AF236" s="19">
        <f t="shared" si="120"/>
        <v>-30498.340611353931</v>
      </c>
      <c r="AG236" s="19">
        <f t="shared" si="121"/>
        <v>-56852.273719793535</v>
      </c>
      <c r="AH236" s="19">
        <f t="shared" si="122"/>
        <v>-1133.2510363887689</v>
      </c>
      <c r="AI236" s="19">
        <f t="shared" si="123"/>
        <v>16243.174124206274</v>
      </c>
      <c r="AJ236" s="19">
        <f t="shared" si="124"/>
        <v>26514.277150149108</v>
      </c>
      <c r="AK236" s="158">
        <f t="shared" si="125"/>
        <v>20633.483343344666</v>
      </c>
      <c r="AL236" s="163">
        <f t="shared" si="126"/>
        <v>-41480.018690858022</v>
      </c>
      <c r="AM236" s="20"/>
    </row>
    <row r="237" spans="1:39" x14ac:dyDescent="0.25">
      <c r="A237" s="13">
        <f t="shared" si="99"/>
        <v>232</v>
      </c>
      <c r="B237" s="1">
        <v>44985</v>
      </c>
      <c r="C237" s="7">
        <f t="shared" si="100"/>
        <v>2023</v>
      </c>
      <c r="D237" s="7">
        <f t="shared" si="101"/>
        <v>2</v>
      </c>
      <c r="E237" s="61">
        <v>18.300999999999998</v>
      </c>
      <c r="F237" s="65">
        <v>52.65</v>
      </c>
      <c r="G237" s="2">
        <v>40.090000000000003</v>
      </c>
      <c r="H237" s="2">
        <v>9.16</v>
      </c>
      <c r="I237" s="2">
        <v>218.91</v>
      </c>
      <c r="J237" s="2">
        <v>21.71</v>
      </c>
      <c r="K237" s="2">
        <v>347.97</v>
      </c>
      <c r="L237" s="2">
        <v>94.23</v>
      </c>
      <c r="M237" s="144">
        <v>205.71</v>
      </c>
      <c r="N237" s="72">
        <f t="shared" si="102"/>
        <v>-3.0297292179511937E-3</v>
      </c>
      <c r="O237" s="73">
        <f t="shared" si="103"/>
        <v>3.7556334501753774E-3</v>
      </c>
      <c r="P237" s="73">
        <f t="shared" si="104"/>
        <v>2.1181716833890585E-2</v>
      </c>
      <c r="Q237" s="73">
        <f t="shared" si="105"/>
        <v>-3.978419159575397E-2</v>
      </c>
      <c r="R237" s="73">
        <f t="shared" si="106"/>
        <v>3.2347504621073053E-3</v>
      </c>
      <c r="S237" s="73">
        <f t="shared" si="107"/>
        <v>1.0365853658536706E-2</v>
      </c>
      <c r="T237" s="73">
        <f t="shared" si="108"/>
        <v>2.3291132324629871E-3</v>
      </c>
      <c r="U237" s="73">
        <f t="shared" si="109"/>
        <v>-1.1892825492213377E-2</v>
      </c>
      <c r="V237" s="148">
        <f t="shared" si="110"/>
        <v>56.88712365082371</v>
      </c>
      <c r="W237" s="149">
        <f t="shared" si="111"/>
        <v>40.56176514772158</v>
      </c>
      <c r="X237" s="149">
        <f t="shared" si="112"/>
        <v>14.602898550724635</v>
      </c>
      <c r="Y237" s="149">
        <f t="shared" si="113"/>
        <v>217.33524607421705</v>
      </c>
      <c r="Z237" s="149">
        <f t="shared" si="114"/>
        <v>13.804510166358597</v>
      </c>
      <c r="AA237" s="149">
        <f t="shared" si="115"/>
        <v>270.72753048780493</v>
      </c>
      <c r="AB237" s="149">
        <f t="shared" si="116"/>
        <v>2677.5241657677498</v>
      </c>
      <c r="AC237" s="150">
        <f t="shared" si="117"/>
        <v>3185.2973457858525</v>
      </c>
      <c r="AD237" s="157">
        <f t="shared" si="118"/>
        <v>3457.5269835258382</v>
      </c>
      <c r="AE237" s="19">
        <f t="shared" si="119"/>
        <v>-4325.3067100651315</v>
      </c>
      <c r="AF237" s="19">
        <f t="shared" si="120"/>
        <v>-26897.391304347559</v>
      </c>
      <c r="AG237" s="19">
        <f t="shared" si="121"/>
        <v>34218.064917975207</v>
      </c>
      <c r="AH237" s="19">
        <f t="shared" si="122"/>
        <v>-1989.6044362292835</v>
      </c>
      <c r="AI237" s="19">
        <f t="shared" si="123"/>
        <v>-14720.911585366173</v>
      </c>
      <c r="AJ237" s="19">
        <f t="shared" si="124"/>
        <v>-1866.5297303250554</v>
      </c>
      <c r="AK237" s="158">
        <f t="shared" si="125"/>
        <v>9584.5335535368577</v>
      </c>
      <c r="AL237" s="163">
        <f t="shared" si="126"/>
        <v>-2539.6183112953004</v>
      </c>
      <c r="AM237" s="20"/>
    </row>
    <row r="238" spans="1:39" x14ac:dyDescent="0.25">
      <c r="A238" s="13">
        <f t="shared" si="99"/>
        <v>233</v>
      </c>
      <c r="B238" s="1">
        <v>44984</v>
      </c>
      <c r="C238" s="7">
        <f t="shared" si="100"/>
        <v>2023</v>
      </c>
      <c r="D238" s="7">
        <f t="shared" si="101"/>
        <v>2</v>
      </c>
      <c r="E238" s="61">
        <v>18.350000000000001</v>
      </c>
      <c r="F238" s="65">
        <v>52.81</v>
      </c>
      <c r="G238" s="2">
        <v>39.94</v>
      </c>
      <c r="H238" s="2">
        <v>8.9700000000000006</v>
      </c>
      <c r="I238" s="2">
        <v>227.98</v>
      </c>
      <c r="J238" s="2">
        <v>21.64</v>
      </c>
      <c r="K238" s="2">
        <v>344.4</v>
      </c>
      <c r="L238" s="2">
        <v>93.76</v>
      </c>
      <c r="M238" s="144">
        <v>207.63</v>
      </c>
      <c r="N238" s="72">
        <f t="shared" si="102"/>
        <v>5.9047619047618571E-3</v>
      </c>
      <c r="O238" s="73">
        <f t="shared" si="103"/>
        <v>1.3191273465245956E-2</v>
      </c>
      <c r="P238" s="73">
        <f t="shared" si="104"/>
        <v>8.9988751406073764E-3</v>
      </c>
      <c r="Q238" s="73">
        <f t="shared" si="105"/>
        <v>-1.5885349218682565E-2</v>
      </c>
      <c r="R238" s="73">
        <f t="shared" si="106"/>
        <v>1.9792648444863392E-2</v>
      </c>
      <c r="S238" s="73">
        <f t="shared" si="107"/>
        <v>-5.199306759098854E-3</v>
      </c>
      <c r="T238" s="73">
        <f t="shared" si="108"/>
        <v>5.4519808427588856E-4</v>
      </c>
      <c r="U238" s="73">
        <f t="shared" si="109"/>
        <v>5.225071001042414E-2</v>
      </c>
      <c r="V238" s="148">
        <f t="shared" si="110"/>
        <v>57.396925714285715</v>
      </c>
      <c r="W238" s="149">
        <f t="shared" si="111"/>
        <v>40.943059360730587</v>
      </c>
      <c r="X238" s="149">
        <f t="shared" si="112"/>
        <v>14.428683914510685</v>
      </c>
      <c r="Y238" s="149">
        <f t="shared" si="113"/>
        <v>222.7445100578434</v>
      </c>
      <c r="Z238" s="149">
        <f t="shared" si="114"/>
        <v>14.032346842601321</v>
      </c>
      <c r="AA238" s="149">
        <f t="shared" si="115"/>
        <v>266.55684575389944</v>
      </c>
      <c r="AB238" s="149">
        <f t="shared" si="116"/>
        <v>2672.758788951001</v>
      </c>
      <c r="AC238" s="150">
        <f t="shared" si="117"/>
        <v>3392.0727226447943</v>
      </c>
      <c r="AD238" s="157">
        <f t="shared" si="118"/>
        <v>-6738.5142857142455</v>
      </c>
      <c r="AE238" s="19">
        <f t="shared" si="119"/>
        <v>-15192.191780821815</v>
      </c>
      <c r="AF238" s="19">
        <f t="shared" si="120"/>
        <v>-11427.131608548794</v>
      </c>
      <c r="AG238" s="19">
        <f t="shared" si="121"/>
        <v>13662.861780195095</v>
      </c>
      <c r="AH238" s="19">
        <f t="shared" si="122"/>
        <v>-12173.903864279046</v>
      </c>
      <c r="AI238" s="19">
        <f t="shared" si="123"/>
        <v>7383.717504332918</v>
      </c>
      <c r="AJ238" s="19">
        <f t="shared" si="124"/>
        <v>-436.9166853004117</v>
      </c>
      <c r="AK238" s="158">
        <f t="shared" si="125"/>
        <v>-42109.310661198608</v>
      </c>
      <c r="AL238" s="163">
        <f t="shared" si="126"/>
        <v>-67031.3896013349</v>
      </c>
      <c r="AM238" s="20"/>
    </row>
    <row r="239" spans="1:39" x14ac:dyDescent="0.25">
      <c r="A239" s="13">
        <f t="shared" si="99"/>
        <v>234</v>
      </c>
      <c r="B239" s="1">
        <v>44981</v>
      </c>
      <c r="C239" s="7">
        <f t="shared" si="100"/>
        <v>2023</v>
      </c>
      <c r="D239" s="7">
        <f t="shared" si="101"/>
        <v>2</v>
      </c>
      <c r="E239" s="61">
        <v>18.390999999999998</v>
      </c>
      <c r="F239" s="65">
        <v>52.5</v>
      </c>
      <c r="G239" s="2">
        <v>39.42</v>
      </c>
      <c r="H239" s="2">
        <v>8.89</v>
      </c>
      <c r="I239" s="2">
        <v>231.66</v>
      </c>
      <c r="J239" s="2">
        <v>21.22</v>
      </c>
      <c r="K239" s="2">
        <v>346.2</v>
      </c>
      <c r="L239" s="2">
        <v>93.5</v>
      </c>
      <c r="M239" s="144">
        <v>196.88</v>
      </c>
      <c r="N239" s="72">
        <f t="shared" si="102"/>
        <v>-7.7490077490076636E-3</v>
      </c>
      <c r="O239" s="73">
        <f t="shared" si="103"/>
        <v>2.0186335403726829E-2</v>
      </c>
      <c r="P239" s="73">
        <f t="shared" si="104"/>
        <v>-2.2002200220021972E-2</v>
      </c>
      <c r="Q239" s="73">
        <f t="shared" si="105"/>
        <v>-5.5803571428572063E-3</v>
      </c>
      <c r="R239" s="73">
        <f t="shared" si="106"/>
        <v>1.4157621519583774E-3</v>
      </c>
      <c r="S239" s="73">
        <f t="shared" si="107"/>
        <v>-2.7365692063948677E-3</v>
      </c>
      <c r="T239" s="73">
        <f t="shared" si="108"/>
        <v>-2.2564492064596431E-2</v>
      </c>
      <c r="U239" s="73">
        <f t="shared" si="109"/>
        <v>-2.4039082209372675E-2</v>
      </c>
      <c r="V239" s="148">
        <f t="shared" si="110"/>
        <v>56.617841617841627</v>
      </c>
      <c r="W239" s="149">
        <f t="shared" si="111"/>
        <v>41.2257298136646</v>
      </c>
      <c r="X239" s="149">
        <f t="shared" si="112"/>
        <v>13.985368536853686</v>
      </c>
      <c r="Y239" s="149">
        <f t="shared" si="113"/>
        <v>225.07694196428571</v>
      </c>
      <c r="Z239" s="149">
        <f t="shared" si="114"/>
        <v>13.779480887210948</v>
      </c>
      <c r="AA239" s="149">
        <f t="shared" si="115"/>
        <v>267.2167362811465</v>
      </c>
      <c r="AB239" s="149">
        <f t="shared" si="116"/>
        <v>2611.0258181930622</v>
      </c>
      <c r="AC239" s="150">
        <f t="shared" si="117"/>
        <v>3146.1422416832293</v>
      </c>
      <c r="AD239" s="157">
        <f t="shared" si="118"/>
        <v>8843.1676431675041</v>
      </c>
      <c r="AE239" s="19">
        <f t="shared" si="119"/>
        <v>-23248.299689441195</v>
      </c>
      <c r="AF239" s="19">
        <f t="shared" si="120"/>
        <v>27939.273927392729</v>
      </c>
      <c r="AG239" s="19">
        <f t="shared" si="121"/>
        <v>4799.6205357143199</v>
      </c>
      <c r="AH239" s="19">
        <f t="shared" si="122"/>
        <v>-870.79565832937487</v>
      </c>
      <c r="AI239" s="19">
        <f t="shared" si="123"/>
        <v>3886.297709923514</v>
      </c>
      <c r="AJ239" s="19">
        <f t="shared" si="124"/>
        <v>18082.974542081229</v>
      </c>
      <c r="AK239" s="158">
        <f t="shared" si="125"/>
        <v>19373.309579192664</v>
      </c>
      <c r="AL239" s="163">
        <f t="shared" si="126"/>
        <v>58805.548589701386</v>
      </c>
      <c r="AM239" s="20"/>
    </row>
    <row r="240" spans="1:39" x14ac:dyDescent="0.25">
      <c r="A240" s="13">
        <f t="shared" si="99"/>
        <v>235</v>
      </c>
      <c r="B240" s="1">
        <v>44980</v>
      </c>
      <c r="C240" s="7">
        <f t="shared" si="100"/>
        <v>2023</v>
      </c>
      <c r="D240" s="7">
        <f t="shared" si="101"/>
        <v>2</v>
      </c>
      <c r="E240" s="61">
        <v>18.36</v>
      </c>
      <c r="F240" s="65">
        <v>52.91</v>
      </c>
      <c r="G240" s="2">
        <v>38.64</v>
      </c>
      <c r="H240" s="2">
        <v>9.09</v>
      </c>
      <c r="I240" s="2">
        <v>232.96</v>
      </c>
      <c r="J240" s="2">
        <v>21.19</v>
      </c>
      <c r="K240" s="2">
        <v>347.15</v>
      </c>
      <c r="L240" s="2">
        <v>95.82</v>
      </c>
      <c r="M240" s="144">
        <v>202.07</v>
      </c>
      <c r="N240" s="72">
        <f t="shared" si="102"/>
        <v>-1.6981132075472027E-3</v>
      </c>
      <c r="O240" s="73">
        <f t="shared" si="103"/>
        <v>-1.5503875968992942E-3</v>
      </c>
      <c r="P240" s="73">
        <f t="shared" si="104"/>
        <v>4.4198895027622864E-3</v>
      </c>
      <c r="Q240" s="73">
        <f t="shared" si="105"/>
        <v>-4.9122207509291194E-3</v>
      </c>
      <c r="R240" s="73">
        <f t="shared" si="106"/>
        <v>1.4846743295019227E-2</v>
      </c>
      <c r="S240" s="73">
        <f t="shared" si="107"/>
        <v>3.555735430157192E-3</v>
      </c>
      <c r="T240" s="73">
        <f t="shared" si="108"/>
        <v>1.1311026599221119E-3</v>
      </c>
      <c r="U240" s="73">
        <f t="shared" si="109"/>
        <v>6.8466835453013797E-3</v>
      </c>
      <c r="V240" s="148">
        <f t="shared" si="110"/>
        <v>56.963105660377359</v>
      </c>
      <c r="W240" s="149">
        <f t="shared" si="111"/>
        <v>40.347348837209296</v>
      </c>
      <c r="X240" s="149">
        <f t="shared" si="112"/>
        <v>14.363204419889501</v>
      </c>
      <c r="Y240" s="149">
        <f t="shared" si="113"/>
        <v>225.22816795523471</v>
      </c>
      <c r="Z240" s="149">
        <f t="shared" si="114"/>
        <v>13.964291187739464</v>
      </c>
      <c r="AA240" s="149">
        <f t="shared" si="115"/>
        <v>268.90275930851061</v>
      </c>
      <c r="AB240" s="149">
        <f t="shared" si="116"/>
        <v>2674.3239172500957</v>
      </c>
      <c r="AC240" s="150">
        <f t="shared" si="117"/>
        <v>3245.7066919969657</v>
      </c>
      <c r="AD240" s="157">
        <f t="shared" si="118"/>
        <v>1937.886792452872</v>
      </c>
      <c r="AE240" s="19">
        <f t="shared" si="119"/>
        <v>1785.5581395349702</v>
      </c>
      <c r="AF240" s="19">
        <f t="shared" si="120"/>
        <v>-5612.5524861875892</v>
      </c>
      <c r="AG240" s="19">
        <f t="shared" si="121"/>
        <v>4224.9617701081152</v>
      </c>
      <c r="AH240" s="19">
        <f t="shared" si="122"/>
        <v>-9131.8160919540587</v>
      </c>
      <c r="AI240" s="19">
        <f t="shared" si="123"/>
        <v>-5049.6243351062958</v>
      </c>
      <c r="AJ240" s="19">
        <f t="shared" si="124"/>
        <v>-906.45517502885014</v>
      </c>
      <c r="AK240" s="158">
        <f t="shared" si="125"/>
        <v>-5517.8029992414395</v>
      </c>
      <c r="AL240" s="163">
        <f t="shared" si="126"/>
        <v>-18269.844385422275</v>
      </c>
      <c r="AM240" s="20"/>
    </row>
    <row r="241" spans="1:39" x14ac:dyDescent="0.25">
      <c r="A241" s="13">
        <f t="shared" si="99"/>
        <v>236</v>
      </c>
      <c r="B241" s="1">
        <v>44979</v>
      </c>
      <c r="C241" s="7">
        <f t="shared" si="100"/>
        <v>2023</v>
      </c>
      <c r="D241" s="7">
        <f t="shared" si="101"/>
        <v>2</v>
      </c>
      <c r="E241" s="61">
        <v>18.344999999999999</v>
      </c>
      <c r="F241" s="65">
        <v>53</v>
      </c>
      <c r="G241" s="2">
        <v>38.700000000000003</v>
      </c>
      <c r="H241" s="2">
        <v>9.0500000000000007</v>
      </c>
      <c r="I241" s="2">
        <v>234.11</v>
      </c>
      <c r="J241" s="2">
        <v>20.88</v>
      </c>
      <c r="K241" s="2">
        <v>345.92</v>
      </c>
      <c r="L241" s="2">
        <v>95.79</v>
      </c>
      <c r="M241" s="144">
        <v>200.86</v>
      </c>
      <c r="N241" s="72">
        <f t="shared" si="102"/>
        <v>-1.8864365214110723E-4</v>
      </c>
      <c r="O241" s="73">
        <f t="shared" si="103"/>
        <v>-1.5479876160989781E-3</v>
      </c>
      <c r="P241" s="73">
        <f t="shared" si="104"/>
        <v>-1.0928961748633892E-2</v>
      </c>
      <c r="Q241" s="73">
        <f t="shared" si="105"/>
        <v>-1.5103071098022558E-2</v>
      </c>
      <c r="R241" s="73">
        <f t="shared" si="106"/>
        <v>2.4533856722276814E-2</v>
      </c>
      <c r="S241" s="73">
        <f t="shared" si="107"/>
        <v>4.3381438528511396E-4</v>
      </c>
      <c r="T241" s="73">
        <f t="shared" si="108"/>
        <v>7.411753360272888E-3</v>
      </c>
      <c r="U241" s="73">
        <f t="shared" si="109"/>
        <v>1.2274896975144944E-2</v>
      </c>
      <c r="V241" s="148">
        <f t="shared" si="110"/>
        <v>57.049235993208832</v>
      </c>
      <c r="W241" s="149">
        <f t="shared" si="111"/>
        <v>40.347445820433435</v>
      </c>
      <c r="X241" s="149">
        <f t="shared" si="112"/>
        <v>14.143715846994535</v>
      </c>
      <c r="Y241" s="149">
        <f t="shared" si="113"/>
        <v>222.92157088767357</v>
      </c>
      <c r="Z241" s="149">
        <f t="shared" si="114"/>
        <v>14.097585868498529</v>
      </c>
      <c r="AA241" s="149">
        <f t="shared" si="115"/>
        <v>268.06624056453711</v>
      </c>
      <c r="AB241" s="149">
        <f t="shared" si="116"/>
        <v>2691.1014345395047</v>
      </c>
      <c r="AC241" s="150">
        <f t="shared" si="117"/>
        <v>3263.2052734024219</v>
      </c>
      <c r="AD241" s="157">
        <f t="shared" si="118"/>
        <v>215.28013582340577</v>
      </c>
      <c r="AE241" s="19">
        <f t="shared" si="119"/>
        <v>1782.7941176469935</v>
      </c>
      <c r="AF241" s="19">
        <f t="shared" si="120"/>
        <v>13878.032786885336</v>
      </c>
      <c r="AG241" s="19">
        <f t="shared" si="121"/>
        <v>12990.030626840457</v>
      </c>
      <c r="AH241" s="19">
        <f t="shared" si="122"/>
        <v>-15090.088321884241</v>
      </c>
      <c r="AI241" s="19">
        <f t="shared" si="123"/>
        <v>-616.07499204674809</v>
      </c>
      <c r="AJ241" s="19">
        <f t="shared" si="124"/>
        <v>-5939.7103618515303</v>
      </c>
      <c r="AK241" s="158">
        <f t="shared" si="125"/>
        <v>-9892.4483506054912</v>
      </c>
      <c r="AL241" s="163">
        <f t="shared" si="126"/>
        <v>-2672.1843591918187</v>
      </c>
      <c r="AM241" s="20"/>
    </row>
    <row r="242" spans="1:39" x14ac:dyDescent="0.25">
      <c r="A242" s="13">
        <f t="shared" si="99"/>
        <v>237</v>
      </c>
      <c r="B242" s="1">
        <v>44978</v>
      </c>
      <c r="C242" s="7">
        <f t="shared" si="100"/>
        <v>2023</v>
      </c>
      <c r="D242" s="7">
        <f t="shared" si="101"/>
        <v>2</v>
      </c>
      <c r="E242" s="61">
        <v>18.443000000000001</v>
      </c>
      <c r="F242" s="65">
        <v>53.01</v>
      </c>
      <c r="G242" s="2">
        <v>38.76</v>
      </c>
      <c r="H242" s="2">
        <v>9.15</v>
      </c>
      <c r="I242" s="2">
        <v>237.7</v>
      </c>
      <c r="J242" s="2">
        <v>20.38</v>
      </c>
      <c r="K242" s="2">
        <v>345.77</v>
      </c>
      <c r="L242" s="2">
        <v>94.58</v>
      </c>
      <c r="M242" s="144">
        <v>197.37</v>
      </c>
      <c r="N242" s="72">
        <f t="shared" si="102"/>
        <v>-1.4500836586726185E-2</v>
      </c>
      <c r="O242" s="73">
        <f t="shared" si="103"/>
        <v>-1.8982536066818545E-2</v>
      </c>
      <c r="P242" s="73">
        <f t="shared" si="104"/>
        <v>-3.1746031746031633E-2</v>
      </c>
      <c r="Q242" s="73">
        <f t="shared" si="105"/>
        <v>-9.8721206314824617E-3</v>
      </c>
      <c r="R242" s="73">
        <f t="shared" si="106"/>
        <v>-3.6406619385342731E-2</v>
      </c>
      <c r="S242" s="73">
        <f t="shared" si="107"/>
        <v>-6.9460143172398903E-2</v>
      </c>
      <c r="T242" s="73">
        <f t="shared" si="108"/>
        <v>-2.3087976684117772E-2</v>
      </c>
      <c r="U242" s="73">
        <f t="shared" si="109"/>
        <v>-4.8752710820759382E-2</v>
      </c>
      <c r="V242" s="148">
        <f t="shared" si="110"/>
        <v>56.232582264361405</v>
      </c>
      <c r="W242" s="149">
        <f t="shared" si="111"/>
        <v>39.642915717539857</v>
      </c>
      <c r="X242" s="149">
        <f t="shared" si="112"/>
        <v>13.846031746031748</v>
      </c>
      <c r="Y242" s="149">
        <f t="shared" si="113"/>
        <v>224.10554421627026</v>
      </c>
      <c r="Z242" s="149">
        <f t="shared" si="114"/>
        <v>13.259044917257684</v>
      </c>
      <c r="AA242" s="149">
        <f t="shared" si="115"/>
        <v>249.33815463695569</v>
      </c>
      <c r="AB242" s="149">
        <f t="shared" si="116"/>
        <v>2609.6274324725719</v>
      </c>
      <c r="AC242" s="150">
        <f t="shared" si="117"/>
        <v>3066.4745116520203</v>
      </c>
      <c r="AD242" s="157">
        <f t="shared" si="118"/>
        <v>16548.354712771954</v>
      </c>
      <c r="AE242" s="19">
        <f t="shared" si="119"/>
        <v>21861.902050113971</v>
      </c>
      <c r="AF242" s="19">
        <f t="shared" si="120"/>
        <v>40312.380952380809</v>
      </c>
      <c r="AG242" s="19">
        <f t="shared" si="121"/>
        <v>8490.9319781730228</v>
      </c>
      <c r="AH242" s="19">
        <f t="shared" si="122"/>
        <v>22392.692198581502</v>
      </c>
      <c r="AI242" s="19">
        <f t="shared" si="123"/>
        <v>98642.780424134762</v>
      </c>
      <c r="AJ242" s="19">
        <f t="shared" si="124"/>
        <v>18502.490258228318</v>
      </c>
      <c r="AK242" s="158">
        <f t="shared" si="125"/>
        <v>39290.242086994906</v>
      </c>
      <c r="AL242" s="163">
        <f t="shared" si="126"/>
        <v>266041.77466137928</v>
      </c>
      <c r="AM242" s="20"/>
    </row>
    <row r="243" spans="1:39" x14ac:dyDescent="0.25">
      <c r="A243" s="13">
        <f t="shared" si="99"/>
        <v>238</v>
      </c>
      <c r="B243" s="1">
        <v>44977</v>
      </c>
      <c r="C243" s="7">
        <f t="shared" si="100"/>
        <v>2023</v>
      </c>
      <c r="D243" s="7">
        <f t="shared" si="101"/>
        <v>2</v>
      </c>
      <c r="E243" s="61">
        <v>18.37</v>
      </c>
      <c r="F243" s="65">
        <v>53.79</v>
      </c>
      <c r="G243" s="2">
        <v>39.51</v>
      </c>
      <c r="H243" s="2">
        <v>9.4499999999999993</v>
      </c>
      <c r="I243" s="2">
        <v>240.07</v>
      </c>
      <c r="J243" s="2">
        <v>21.15</v>
      </c>
      <c r="K243" s="2">
        <v>371.58</v>
      </c>
      <c r="L243" s="2">
        <v>97.2</v>
      </c>
      <c r="M243" s="144">
        <v>208.31</v>
      </c>
      <c r="N243" s="72">
        <f t="shared" si="102"/>
        <v>3.3575825405707249E-3</v>
      </c>
      <c r="O243" s="73">
        <f t="shared" si="103"/>
        <v>-1.2639029322548678E-3</v>
      </c>
      <c r="P243" s="73">
        <f t="shared" si="104"/>
        <v>3.1847133757960666E-3</v>
      </c>
      <c r="Q243" s="73">
        <f t="shared" si="105"/>
        <v>4.0148885450210781E-3</v>
      </c>
      <c r="R243" s="73">
        <f t="shared" si="106"/>
        <v>1.4875239923224592E-2</v>
      </c>
      <c r="S243" s="73">
        <f t="shared" si="107"/>
        <v>4.2475591964987069E-2</v>
      </c>
      <c r="T243" s="73">
        <f t="shared" si="108"/>
        <v>1.0353659201134402E-3</v>
      </c>
      <c r="U243" s="73">
        <f t="shared" si="109"/>
        <v>1.0353659201134402E-3</v>
      </c>
      <c r="V243" s="148">
        <f t="shared" si="110"/>
        <v>57.251583659764968</v>
      </c>
      <c r="W243" s="149">
        <f t="shared" si="111"/>
        <v>40.358925682507575</v>
      </c>
      <c r="X243" s="149">
        <f t="shared" si="112"/>
        <v>14.345541401273884</v>
      </c>
      <c r="Y243" s="149">
        <f t="shared" si="113"/>
        <v>227.24872987328007</v>
      </c>
      <c r="Z243" s="149">
        <f t="shared" si="114"/>
        <v>13.96468330134357</v>
      </c>
      <c r="AA243" s="149">
        <f t="shared" si="115"/>
        <v>279.33133486701826</v>
      </c>
      <c r="AB243" s="149">
        <f t="shared" si="116"/>
        <v>2674.0681754672769</v>
      </c>
      <c r="AC243" s="150">
        <f t="shared" si="117"/>
        <v>3226.9731223148606</v>
      </c>
      <c r="AD243" s="157">
        <f t="shared" si="118"/>
        <v>-3831.6731952993168</v>
      </c>
      <c r="AE243" s="19">
        <f t="shared" si="119"/>
        <v>1455.6180485340135</v>
      </c>
      <c r="AF243" s="19">
        <f t="shared" si="120"/>
        <v>-4044.0764331208557</v>
      </c>
      <c r="AG243" s="19">
        <f t="shared" si="121"/>
        <v>-3453.1735184642512</v>
      </c>
      <c r="AH243" s="19">
        <f t="shared" si="122"/>
        <v>-9149.3435700575719</v>
      </c>
      <c r="AI243" s="19">
        <f t="shared" si="123"/>
        <v>-60321.074795196822</v>
      </c>
      <c r="AJ243" s="19">
        <f t="shared" si="124"/>
        <v>-829.73264018319242</v>
      </c>
      <c r="AK243" s="158">
        <f t="shared" si="125"/>
        <v>-834.41057871516477</v>
      </c>
      <c r="AL243" s="163">
        <f t="shared" si="126"/>
        <v>-81007.866682503169</v>
      </c>
      <c r="AM243" s="20"/>
    </row>
    <row r="244" spans="1:39" x14ac:dyDescent="0.25">
      <c r="A244" s="13">
        <f t="shared" si="99"/>
        <v>239</v>
      </c>
      <c r="B244" s="1">
        <v>44974</v>
      </c>
      <c r="C244" s="7">
        <f t="shared" si="100"/>
        <v>2023</v>
      </c>
      <c r="D244" s="7">
        <f t="shared" si="101"/>
        <v>2</v>
      </c>
      <c r="E244" s="61">
        <v>18.350999999999999</v>
      </c>
      <c r="F244" s="65">
        <v>53.61</v>
      </c>
      <c r="G244" s="2">
        <v>39.56</v>
      </c>
      <c r="H244" s="2">
        <v>9.42</v>
      </c>
      <c r="I244" s="2">
        <v>239.11</v>
      </c>
      <c r="J244" s="2">
        <v>20.84</v>
      </c>
      <c r="K244" s="2">
        <v>356.44</v>
      </c>
      <c r="L244" s="2">
        <v>97.2</v>
      </c>
      <c r="M244" s="144">
        <v>208.31</v>
      </c>
      <c r="N244" s="72">
        <f t="shared" si="102"/>
        <v>-3.1610264038676172E-3</v>
      </c>
      <c r="O244" s="73">
        <f t="shared" si="103"/>
        <v>-1.9335647000495837E-2</v>
      </c>
      <c r="P244" s="73">
        <f t="shared" si="104"/>
        <v>-1.9771071800208095E-2</v>
      </c>
      <c r="Q244" s="73">
        <f t="shared" si="105"/>
        <v>1.4209365456396394E-2</v>
      </c>
      <c r="R244" s="73">
        <f t="shared" si="106"/>
        <v>-1.5588096362777581E-2</v>
      </c>
      <c r="S244" s="73">
        <f t="shared" si="107"/>
        <v>-4.30191630817367E-3</v>
      </c>
      <c r="T244" s="73">
        <f t="shared" si="108"/>
        <v>-1.8238910856187562E-2</v>
      </c>
      <c r="U244" s="73">
        <f t="shared" si="109"/>
        <v>2.2121711468310989E-2</v>
      </c>
      <c r="V244" s="148">
        <f t="shared" si="110"/>
        <v>56.879631833395315</v>
      </c>
      <c r="W244" s="149">
        <f t="shared" si="111"/>
        <v>39.628646504709963</v>
      </c>
      <c r="X244" s="149">
        <f t="shared" si="112"/>
        <v>14.017273673257025</v>
      </c>
      <c r="Y244" s="149">
        <f t="shared" si="113"/>
        <v>229.55614777740075</v>
      </c>
      <c r="Z244" s="149">
        <f t="shared" si="114"/>
        <v>13.545507794048181</v>
      </c>
      <c r="AA244" s="149">
        <f t="shared" si="115"/>
        <v>266.79730152522484</v>
      </c>
      <c r="AB244" s="149">
        <f t="shared" si="116"/>
        <v>2622.5807536564798</v>
      </c>
      <c r="AC244" s="150">
        <f t="shared" si="117"/>
        <v>3294.9478139675703</v>
      </c>
      <c r="AD244" s="157">
        <f t="shared" si="118"/>
        <v>3607.3633320937406</v>
      </c>
      <c r="AE244" s="19">
        <f t="shared" si="119"/>
        <v>22268.574615765971</v>
      </c>
      <c r="AF244" s="19">
        <f t="shared" si="120"/>
        <v>25106.097814776273</v>
      </c>
      <c r="AG244" s="19">
        <f t="shared" si="121"/>
        <v>-12221.361554122848</v>
      </c>
      <c r="AH244" s="19">
        <f t="shared" si="122"/>
        <v>9587.8016060463124</v>
      </c>
      <c r="AI244" s="19">
        <f t="shared" si="123"/>
        <v>6109.3019163082945</v>
      </c>
      <c r="AJ244" s="19">
        <f t="shared" si="124"/>
        <v>14616.493903055925</v>
      </c>
      <c r="AK244" s="158">
        <f t="shared" si="125"/>
        <v>-17828.083491892583</v>
      </c>
      <c r="AL244" s="163">
        <f t="shared" si="126"/>
        <v>51246.188142031082</v>
      </c>
      <c r="AM244" s="20"/>
    </row>
    <row r="245" spans="1:39" x14ac:dyDescent="0.25">
      <c r="A245" s="13">
        <f t="shared" si="99"/>
        <v>240</v>
      </c>
      <c r="B245" s="1">
        <v>44973</v>
      </c>
      <c r="C245" s="7">
        <f t="shared" si="100"/>
        <v>2023</v>
      </c>
      <c r="D245" s="7">
        <f t="shared" si="101"/>
        <v>2</v>
      </c>
      <c r="E245" s="61">
        <v>18.510999999999999</v>
      </c>
      <c r="F245" s="65">
        <v>53.78</v>
      </c>
      <c r="G245" s="2">
        <v>40.340000000000003</v>
      </c>
      <c r="H245" s="2">
        <v>9.61</v>
      </c>
      <c r="I245" s="2">
        <v>235.76</v>
      </c>
      <c r="J245" s="2">
        <v>21.17</v>
      </c>
      <c r="K245" s="2">
        <v>357.98</v>
      </c>
      <c r="L245" s="2">
        <v>98.15</v>
      </c>
      <c r="M245" s="144">
        <v>202.04</v>
      </c>
      <c r="N245" s="72">
        <f t="shared" si="102"/>
        <v>1.1092310584696508E-2</v>
      </c>
      <c r="O245" s="73">
        <f t="shared" si="103"/>
        <v>9.7622027534418621E-3</v>
      </c>
      <c r="P245" s="73">
        <f t="shared" si="104"/>
        <v>-2.0387359836901209E-2</v>
      </c>
      <c r="Q245" s="73">
        <f t="shared" si="105"/>
        <v>-9.8278034439310824E-3</v>
      </c>
      <c r="R245" s="73">
        <f t="shared" si="106"/>
        <v>-1.885902876001877E-3</v>
      </c>
      <c r="S245" s="73">
        <f t="shared" si="107"/>
        <v>-6.9627451524313377E-3</v>
      </c>
      <c r="T245" s="73">
        <f t="shared" si="108"/>
        <v>-3.3097815009416887E-2</v>
      </c>
      <c r="U245" s="73">
        <f t="shared" si="109"/>
        <v>-6.0194767795415882E-2</v>
      </c>
      <c r="V245" s="148">
        <f t="shared" si="110"/>
        <v>57.692927241962785</v>
      </c>
      <c r="W245" s="149">
        <f t="shared" si="111"/>
        <v>40.80449061326658</v>
      </c>
      <c r="X245" s="149">
        <f t="shared" si="112"/>
        <v>14.008460754332313</v>
      </c>
      <c r="Y245" s="149">
        <f t="shared" si="113"/>
        <v>224.11557496850065</v>
      </c>
      <c r="Z245" s="149">
        <f t="shared" si="114"/>
        <v>13.734049976426213</v>
      </c>
      <c r="AA245" s="149">
        <f t="shared" si="115"/>
        <v>266.08433243640599</v>
      </c>
      <c r="AB245" s="149">
        <f t="shared" si="116"/>
        <v>2582.8881273305883</v>
      </c>
      <c r="AC245" s="150">
        <f t="shared" si="117"/>
        <v>3029.5894908243358</v>
      </c>
      <c r="AD245" s="157">
        <f t="shared" si="118"/>
        <v>-12658.544839255654</v>
      </c>
      <c r="AE245" s="19">
        <f t="shared" si="119"/>
        <v>-11242.982478097631</v>
      </c>
      <c r="AF245" s="19">
        <f t="shared" si="120"/>
        <v>25888.685015290634</v>
      </c>
      <c r="AG245" s="19">
        <f t="shared" si="121"/>
        <v>8452.8151196975323</v>
      </c>
      <c r="AH245" s="19">
        <f t="shared" si="122"/>
        <v>1159.9660537482519</v>
      </c>
      <c r="AI245" s="19">
        <f t="shared" si="123"/>
        <v>9888.0380870482095</v>
      </c>
      <c r="AJ245" s="19">
        <f t="shared" si="124"/>
        <v>26524.281800823381</v>
      </c>
      <c r="AK245" s="158">
        <f t="shared" si="125"/>
        <v>48511.497293916022</v>
      </c>
      <c r="AL245" s="163">
        <f t="shared" si="126"/>
        <v>96523.756053170742</v>
      </c>
      <c r="AM245" s="20"/>
    </row>
    <row r="246" spans="1:39" x14ac:dyDescent="0.25">
      <c r="A246" s="13">
        <f t="shared" si="99"/>
        <v>241</v>
      </c>
      <c r="B246" s="1">
        <v>44972</v>
      </c>
      <c r="C246" s="7">
        <f t="shared" si="100"/>
        <v>2023</v>
      </c>
      <c r="D246" s="7">
        <f t="shared" si="101"/>
        <v>2</v>
      </c>
      <c r="E246" s="61">
        <v>18.574999999999999</v>
      </c>
      <c r="F246" s="65">
        <v>53.19</v>
      </c>
      <c r="G246" s="2">
        <v>39.950000000000003</v>
      </c>
      <c r="H246" s="2">
        <v>9.81</v>
      </c>
      <c r="I246" s="2">
        <v>238.1</v>
      </c>
      <c r="J246" s="2">
        <v>21.21</v>
      </c>
      <c r="K246" s="2">
        <v>360.49</v>
      </c>
      <c r="L246" s="2">
        <v>101.16</v>
      </c>
      <c r="M246" s="144">
        <v>214.24</v>
      </c>
      <c r="N246" s="72">
        <f t="shared" si="102"/>
        <v>1.4108674928503318E-2</v>
      </c>
      <c r="O246" s="73">
        <f t="shared" si="103"/>
        <v>-2.9947591714498678E-3</v>
      </c>
      <c r="P246" s="73">
        <f t="shared" si="104"/>
        <v>1.6580310880829119E-2</v>
      </c>
      <c r="Q246" s="73">
        <f t="shared" si="105"/>
        <v>2.5263157894737098E-3</v>
      </c>
      <c r="R246" s="73">
        <f t="shared" si="106"/>
        <v>1.1444921316166035E-2</v>
      </c>
      <c r="S246" s="73">
        <f t="shared" si="107"/>
        <v>7.546326057184416E-3</v>
      </c>
      <c r="T246" s="73">
        <f t="shared" si="108"/>
        <v>1.8151965485349031E-2</v>
      </c>
      <c r="U246" s="73">
        <f t="shared" si="109"/>
        <v>2.7386925543383622E-2</v>
      </c>
      <c r="V246" s="148">
        <f t="shared" si="110"/>
        <v>57.8650409914204</v>
      </c>
      <c r="W246" s="149">
        <f t="shared" si="111"/>
        <v>40.288981781881709</v>
      </c>
      <c r="X246" s="149">
        <f t="shared" si="112"/>
        <v>14.537098445595857</v>
      </c>
      <c r="Y246" s="149">
        <f t="shared" si="113"/>
        <v>226.91180631578948</v>
      </c>
      <c r="Z246" s="149">
        <f t="shared" si="114"/>
        <v>13.917482117310444</v>
      </c>
      <c r="AA246" s="149">
        <f t="shared" si="115"/>
        <v>269.97203806702254</v>
      </c>
      <c r="AB246" s="149">
        <f t="shared" si="116"/>
        <v>2719.7917889657297</v>
      </c>
      <c r="AC246" s="150">
        <f t="shared" si="117"/>
        <v>3311.9209448697698</v>
      </c>
      <c r="AD246" s="157">
        <f t="shared" si="118"/>
        <v>-16100.819828407964</v>
      </c>
      <c r="AE246" s="19">
        <f t="shared" si="119"/>
        <v>3449.0192163711877</v>
      </c>
      <c r="AF246" s="19">
        <f t="shared" si="120"/>
        <v>-21054.341968912075</v>
      </c>
      <c r="AG246" s="19">
        <f t="shared" si="121"/>
        <v>-2172.8639999999987</v>
      </c>
      <c r="AH246" s="19">
        <f t="shared" si="122"/>
        <v>-7039.4506437768432</v>
      </c>
      <c r="AI246" s="19">
        <f t="shared" si="123"/>
        <v>-10716.801755219512</v>
      </c>
      <c r="AJ246" s="19">
        <f t="shared" si="124"/>
        <v>-14546.816689719026</v>
      </c>
      <c r="AK246" s="158">
        <f t="shared" si="125"/>
        <v>-22071.366217442461</v>
      </c>
      <c r="AL246" s="163">
        <f t="shared" si="126"/>
        <v>-90253.441887106688</v>
      </c>
      <c r="AM246" s="20"/>
    </row>
    <row r="247" spans="1:39" x14ac:dyDescent="0.25">
      <c r="A247" s="13">
        <f t="shared" si="99"/>
        <v>242</v>
      </c>
      <c r="B247" s="1">
        <v>44971</v>
      </c>
      <c r="C247" s="7">
        <f t="shared" si="100"/>
        <v>2023</v>
      </c>
      <c r="D247" s="7">
        <f t="shared" si="101"/>
        <v>2</v>
      </c>
      <c r="E247" s="61">
        <v>18.510999999999999</v>
      </c>
      <c r="F247" s="65">
        <v>52.45</v>
      </c>
      <c r="G247" s="2">
        <v>40.07</v>
      </c>
      <c r="H247" s="2">
        <v>9.65</v>
      </c>
      <c r="I247" s="2">
        <v>237.5</v>
      </c>
      <c r="J247" s="2">
        <v>20.97</v>
      </c>
      <c r="K247" s="2">
        <v>357.79</v>
      </c>
      <c r="L247" s="2">
        <v>99.7</v>
      </c>
      <c r="M247" s="144">
        <v>209.25</v>
      </c>
      <c r="N247" s="72">
        <f t="shared" si="102"/>
        <v>-6.8168907403900469E-3</v>
      </c>
      <c r="O247" s="73">
        <f t="shared" si="103"/>
        <v>-2.2410358565736477E-3</v>
      </c>
      <c r="P247" s="73">
        <f t="shared" si="104"/>
        <v>-1.1270491803278659E-2</v>
      </c>
      <c r="Q247" s="73">
        <f t="shared" si="105"/>
        <v>-2.3035787741670033E-2</v>
      </c>
      <c r="R247" s="73">
        <f t="shared" si="106"/>
        <v>-9.5283468318241304E-4</v>
      </c>
      <c r="S247" s="73">
        <f t="shared" si="107"/>
        <v>1.8200145601166007E-3</v>
      </c>
      <c r="T247" s="73">
        <f t="shared" si="108"/>
        <v>-7.138907747873402E-4</v>
      </c>
      <c r="U247" s="73">
        <f t="shared" si="109"/>
        <v>7.2570132875718452E-2</v>
      </c>
      <c r="V247" s="148">
        <f t="shared" si="110"/>
        <v>56.671028214353349</v>
      </c>
      <c r="W247" s="149">
        <f t="shared" si="111"/>
        <v>40.319439741035858</v>
      </c>
      <c r="X247" s="149">
        <f t="shared" si="112"/>
        <v>14.138831967213116</v>
      </c>
      <c r="Y247" s="149">
        <f t="shared" si="113"/>
        <v>221.12607980255041</v>
      </c>
      <c r="Z247" s="149">
        <f t="shared" si="114"/>
        <v>13.746888994759409</v>
      </c>
      <c r="AA247" s="149">
        <f t="shared" si="115"/>
        <v>268.43767290138322</v>
      </c>
      <c r="AB247" s="149">
        <f t="shared" si="116"/>
        <v>2669.3953818599721</v>
      </c>
      <c r="AC247" s="150">
        <f t="shared" si="117"/>
        <v>3457.5751351264803</v>
      </c>
      <c r="AD247" s="157">
        <f t="shared" si="118"/>
        <v>7779.4357129330647</v>
      </c>
      <c r="AE247" s="19">
        <f t="shared" si="119"/>
        <v>2580.9673804779613</v>
      </c>
      <c r="AF247" s="19">
        <f t="shared" si="120"/>
        <v>14311.721311475325</v>
      </c>
      <c r="AG247" s="19">
        <f t="shared" si="121"/>
        <v>19812.896750308464</v>
      </c>
      <c r="AH247" s="19">
        <f t="shared" si="122"/>
        <v>586.0619342543954</v>
      </c>
      <c r="AI247" s="19">
        <f t="shared" si="123"/>
        <v>-2584.6663773311434</v>
      </c>
      <c r="AJ247" s="19">
        <f t="shared" si="124"/>
        <v>572.10544200825098</v>
      </c>
      <c r="AK247" s="158">
        <f t="shared" si="125"/>
        <v>-58484.913781620096</v>
      </c>
      <c r="AL247" s="163">
        <f t="shared" si="126"/>
        <v>-15426.39162749378</v>
      </c>
      <c r="AM247" s="20"/>
    </row>
    <row r="248" spans="1:39" x14ac:dyDescent="0.25">
      <c r="A248" s="13">
        <f t="shared" si="99"/>
        <v>243</v>
      </c>
      <c r="B248" s="1">
        <v>44970</v>
      </c>
      <c r="C248" s="7">
        <f t="shared" si="100"/>
        <v>2023</v>
      </c>
      <c r="D248" s="7">
        <f t="shared" si="101"/>
        <v>2</v>
      </c>
      <c r="E248" s="61">
        <v>18.553999999999998</v>
      </c>
      <c r="F248" s="65">
        <v>52.81</v>
      </c>
      <c r="G248" s="2">
        <v>40.159999999999997</v>
      </c>
      <c r="H248" s="2">
        <v>9.76</v>
      </c>
      <c r="I248" s="2">
        <v>243.1</v>
      </c>
      <c r="J248" s="2">
        <v>20.99</v>
      </c>
      <c r="K248" s="2">
        <v>357.14</v>
      </c>
      <c r="L248" s="2">
        <v>99.54</v>
      </c>
      <c r="M248" s="144">
        <v>194.64</v>
      </c>
      <c r="N248" s="72">
        <f t="shared" si="102"/>
        <v>1.1492051331162711E-2</v>
      </c>
      <c r="O248" s="73">
        <f t="shared" si="103"/>
        <v>7.0210631895686326E-3</v>
      </c>
      <c r="P248" s="73">
        <f t="shared" si="104"/>
        <v>9.3071354705274167E-3</v>
      </c>
      <c r="Q248" s="73">
        <f t="shared" si="105"/>
        <v>-2.1754299552599887E-3</v>
      </c>
      <c r="R248" s="73">
        <f t="shared" si="106"/>
        <v>5.7498802108288949E-3</v>
      </c>
      <c r="S248" s="73">
        <f t="shared" si="107"/>
        <v>2.162595114136967E-2</v>
      </c>
      <c r="T248" s="73">
        <f t="shared" si="108"/>
        <v>1.4795395965176761E-2</v>
      </c>
      <c r="U248" s="73">
        <f t="shared" si="109"/>
        <v>-1.6252591024542795E-2</v>
      </c>
      <c r="V248" s="148">
        <f t="shared" si="110"/>
        <v>57.715736448956143</v>
      </c>
      <c r="W248" s="149">
        <f t="shared" si="111"/>
        <v>40.693721163490466</v>
      </c>
      <c r="X248" s="149">
        <f t="shared" si="112"/>
        <v>14.433092037228542</v>
      </c>
      <c r="Y248" s="149">
        <f t="shared" si="113"/>
        <v>225.84761318392646</v>
      </c>
      <c r="Z248" s="149">
        <f t="shared" si="114"/>
        <v>13.839118351701005</v>
      </c>
      <c r="AA248" s="149">
        <f t="shared" si="115"/>
        <v>273.74467360833</v>
      </c>
      <c r="AB248" s="149">
        <f t="shared" si="116"/>
        <v>2710.8253767507267</v>
      </c>
      <c r="AC248" s="150">
        <f t="shared" si="117"/>
        <v>3171.243050931354</v>
      </c>
      <c r="AD248" s="157">
        <f t="shared" si="118"/>
        <v>-13114.728979122816</v>
      </c>
      <c r="AE248" s="19">
        <f t="shared" si="119"/>
        <v>-8086.0531594783679</v>
      </c>
      <c r="AF248" s="19">
        <f t="shared" si="120"/>
        <v>-11818.572905894491</v>
      </c>
      <c r="AG248" s="19">
        <f t="shared" si="121"/>
        <v>1871.0699010794826</v>
      </c>
      <c r="AH248" s="19">
        <f t="shared" si="122"/>
        <v>-3536.5903210349438</v>
      </c>
      <c r="AI248" s="19">
        <f t="shared" si="123"/>
        <v>-30711.770124149079</v>
      </c>
      <c r="AJ248" s="19">
        <f t="shared" si="124"/>
        <v>-11856.893025218142</v>
      </c>
      <c r="AK248" s="158">
        <f t="shared" si="125"/>
        <v>13098.107267161482</v>
      </c>
      <c r="AL248" s="163">
        <f t="shared" si="126"/>
        <v>-64155.431346656886</v>
      </c>
      <c r="AM248" s="20"/>
    </row>
    <row r="249" spans="1:39" x14ac:dyDescent="0.25">
      <c r="A249" s="13">
        <f t="shared" si="99"/>
        <v>244</v>
      </c>
      <c r="B249" s="1">
        <v>44967</v>
      </c>
      <c r="C249" s="7">
        <f t="shared" si="100"/>
        <v>2023</v>
      </c>
      <c r="D249" s="7">
        <f t="shared" si="101"/>
        <v>2</v>
      </c>
      <c r="E249" s="61">
        <v>18.645</v>
      </c>
      <c r="F249" s="65">
        <v>52.21</v>
      </c>
      <c r="G249" s="2">
        <v>39.880000000000003</v>
      </c>
      <c r="H249" s="2">
        <v>9.67</v>
      </c>
      <c r="I249" s="2">
        <v>243.63</v>
      </c>
      <c r="J249" s="2">
        <v>20.87</v>
      </c>
      <c r="K249" s="2">
        <v>349.58</v>
      </c>
      <c r="L249" s="2">
        <v>97.61</v>
      </c>
      <c r="M249" s="144">
        <v>196.89</v>
      </c>
      <c r="N249" s="72">
        <f t="shared" si="102"/>
        <v>-7.6031172780839373E-3</v>
      </c>
      <c r="O249" s="73">
        <f t="shared" si="103"/>
        <v>3.5575175279148441E-2</v>
      </c>
      <c r="P249" s="73">
        <f t="shared" si="104"/>
        <v>-1.8274111675126825E-2</v>
      </c>
      <c r="Q249" s="73">
        <f t="shared" si="105"/>
        <v>-1.8728854519091342E-2</v>
      </c>
      <c r="R249" s="73">
        <f t="shared" si="106"/>
        <v>-2.4766355140186769E-2</v>
      </c>
      <c r="S249" s="73">
        <f t="shared" si="107"/>
        <v>1.2315623657455088E-3</v>
      </c>
      <c r="T249" s="73">
        <f t="shared" si="108"/>
        <v>-1.3045497139158035E-2</v>
      </c>
      <c r="U249" s="73">
        <f t="shared" si="109"/>
        <v>-5.6648308227304045E-2</v>
      </c>
      <c r="V249" s="148">
        <f t="shared" si="110"/>
        <v>56.62616612811253</v>
      </c>
      <c r="W249" s="149">
        <f t="shared" si="111"/>
        <v>41.847592833030383</v>
      </c>
      <c r="X249" s="149">
        <f t="shared" si="112"/>
        <v>14.038680203045686</v>
      </c>
      <c r="Y249" s="149">
        <f t="shared" si="113"/>
        <v>222.10091106814886</v>
      </c>
      <c r="Z249" s="149">
        <f t="shared" si="114"/>
        <v>13.41921495327103</v>
      </c>
      <c r="AA249" s="149">
        <f t="shared" si="115"/>
        <v>268.27999713590151</v>
      </c>
      <c r="AB249" s="149">
        <f t="shared" si="116"/>
        <v>2636.4539321829734</v>
      </c>
      <c r="AC249" s="150">
        <f t="shared" si="117"/>
        <v>3041.0219837164868</v>
      </c>
      <c r="AD249" s="157">
        <f t="shared" si="118"/>
        <v>8676.6774377494476</v>
      </c>
      <c r="AE249" s="19">
        <f t="shared" si="119"/>
        <v>-40971.39574136601</v>
      </c>
      <c r="AF249" s="19">
        <f t="shared" si="120"/>
        <v>23205.197969543118</v>
      </c>
      <c r="AG249" s="19">
        <f t="shared" si="121"/>
        <v>16108.537941034341</v>
      </c>
      <c r="AH249" s="19">
        <f t="shared" si="122"/>
        <v>15233.091588784935</v>
      </c>
      <c r="AI249" s="19">
        <f t="shared" si="123"/>
        <v>-1748.9848202780649</v>
      </c>
      <c r="AJ249" s="19">
        <f t="shared" si="124"/>
        <v>10454.540345107853</v>
      </c>
      <c r="AK249" s="158">
        <f t="shared" si="125"/>
        <v>45653.374070878272</v>
      </c>
      <c r="AL249" s="163">
        <f t="shared" si="126"/>
        <v>76611.038791453902</v>
      </c>
      <c r="AM249" s="20"/>
    </row>
    <row r="250" spans="1:39" x14ac:dyDescent="0.25">
      <c r="A250" s="13">
        <f t="shared" si="99"/>
        <v>245</v>
      </c>
      <c r="B250" s="1">
        <v>44966</v>
      </c>
      <c r="C250" s="7">
        <f t="shared" si="100"/>
        <v>2023</v>
      </c>
      <c r="D250" s="7">
        <f t="shared" si="101"/>
        <v>2</v>
      </c>
      <c r="E250" s="61">
        <v>18.770299999999999</v>
      </c>
      <c r="F250" s="65">
        <v>52.61</v>
      </c>
      <c r="G250" s="2">
        <v>38.51</v>
      </c>
      <c r="H250" s="2">
        <v>9.85</v>
      </c>
      <c r="I250" s="2">
        <v>248.28</v>
      </c>
      <c r="J250" s="2">
        <v>21.4</v>
      </c>
      <c r="K250" s="2">
        <v>349.15</v>
      </c>
      <c r="L250" s="2">
        <v>98.24</v>
      </c>
      <c r="M250" s="144">
        <v>207.32</v>
      </c>
      <c r="N250" s="72">
        <f t="shared" si="102"/>
        <v>-5.4820415879016648E-3</v>
      </c>
      <c r="O250" s="73">
        <f t="shared" si="103"/>
        <v>-2.1844043688087345E-2</v>
      </c>
      <c r="P250" s="73">
        <f t="shared" si="104"/>
        <v>-1.005025125628134E-2</v>
      </c>
      <c r="Q250" s="73">
        <f t="shared" si="105"/>
        <v>-3.6329762459245352E-2</v>
      </c>
      <c r="R250" s="73">
        <f t="shared" si="106"/>
        <v>-3.035795197100144E-2</v>
      </c>
      <c r="S250" s="73">
        <f t="shared" si="107"/>
        <v>3.9681398625528441E-3</v>
      </c>
      <c r="T250" s="73">
        <f t="shared" si="108"/>
        <v>-2.6374677426210469E-2</v>
      </c>
      <c r="U250" s="73">
        <f t="shared" si="109"/>
        <v>2.126770864637284E-2</v>
      </c>
      <c r="V250" s="148">
        <f t="shared" si="110"/>
        <v>56.747194706994335</v>
      </c>
      <c r="W250" s="149">
        <f t="shared" si="111"/>
        <v>39.527282194564386</v>
      </c>
      <c r="X250" s="149">
        <f t="shared" si="112"/>
        <v>14.156281407035177</v>
      </c>
      <c r="Y250" s="149">
        <f t="shared" si="113"/>
        <v>218.11712156497441</v>
      </c>
      <c r="Z250" s="149">
        <f t="shared" si="114"/>
        <v>13.342274580879019</v>
      </c>
      <c r="AA250" s="149">
        <f t="shared" si="115"/>
        <v>269.01326307617103</v>
      </c>
      <c r="AB250" s="149">
        <f t="shared" si="116"/>
        <v>2600.8476608921378</v>
      </c>
      <c r="AC250" s="150">
        <f t="shared" si="117"/>
        <v>3292.1948201707501</v>
      </c>
      <c r="AD250" s="157">
        <f t="shared" si="118"/>
        <v>6256.1058601133373</v>
      </c>
      <c r="AE250" s="19">
        <f t="shared" si="119"/>
        <v>25157.457454914915</v>
      </c>
      <c r="AF250" s="19">
        <f t="shared" si="120"/>
        <v>12762.211055276344</v>
      </c>
      <c r="AG250" s="19">
        <f t="shared" si="121"/>
        <v>31246.938053097248</v>
      </c>
      <c r="AH250" s="19">
        <f t="shared" si="122"/>
        <v>18672.326234707827</v>
      </c>
      <c r="AI250" s="19">
        <f t="shared" si="123"/>
        <v>-5635.2943037065133</v>
      </c>
      <c r="AJ250" s="19">
        <f t="shared" si="124"/>
        <v>21136.421732358533</v>
      </c>
      <c r="AK250" s="158">
        <f t="shared" si="125"/>
        <v>-17139.835042687537</v>
      </c>
      <c r="AL250" s="163">
        <f t="shared" si="126"/>
        <v>92456.331044074162</v>
      </c>
      <c r="AM250" s="20"/>
    </row>
    <row r="251" spans="1:39" x14ac:dyDescent="0.25">
      <c r="A251" s="13">
        <f t="shared" si="99"/>
        <v>246</v>
      </c>
      <c r="B251" s="1">
        <v>44965</v>
      </c>
      <c r="C251" s="7">
        <f t="shared" si="100"/>
        <v>2023</v>
      </c>
      <c r="D251" s="7">
        <f t="shared" si="101"/>
        <v>2</v>
      </c>
      <c r="E251" s="61">
        <v>18.93</v>
      </c>
      <c r="F251" s="65">
        <v>52.9</v>
      </c>
      <c r="G251" s="2">
        <v>39.369999999999997</v>
      </c>
      <c r="H251" s="2">
        <v>9.9499999999999993</v>
      </c>
      <c r="I251" s="2">
        <v>257.64</v>
      </c>
      <c r="J251" s="2">
        <v>22.07</v>
      </c>
      <c r="K251" s="2">
        <v>347.77</v>
      </c>
      <c r="L251" s="2">
        <v>100.05</v>
      </c>
      <c r="M251" s="144">
        <v>201.29</v>
      </c>
      <c r="N251" s="72">
        <f t="shared" si="102"/>
        <v>-4.141566265060237E-3</v>
      </c>
      <c r="O251" s="73">
        <f t="shared" si="103"/>
        <v>-1.5216839969567353E-3</v>
      </c>
      <c r="P251" s="73">
        <f t="shared" si="104"/>
        <v>3.0241935483870108E-3</v>
      </c>
      <c r="Q251" s="73">
        <f t="shared" si="105"/>
        <v>2.2015946685707499E-2</v>
      </c>
      <c r="R251" s="73">
        <f t="shared" si="106"/>
        <v>2.5557620817843851E-2</v>
      </c>
      <c r="S251" s="73">
        <f t="shared" si="107"/>
        <v>7.0657052674254484E-3</v>
      </c>
      <c r="T251" s="73">
        <f t="shared" si="108"/>
        <v>-1.7308788006217823E-2</v>
      </c>
      <c r="U251" s="73">
        <f t="shared" si="109"/>
        <v>2.5754176663720596E-2</v>
      </c>
      <c r="V251" s="148">
        <f t="shared" si="110"/>
        <v>56.823682228915665</v>
      </c>
      <c r="W251" s="149">
        <f t="shared" si="111"/>
        <v>40.348508749682978</v>
      </c>
      <c r="X251" s="149">
        <f t="shared" si="112"/>
        <v>14.343245967741934</v>
      </c>
      <c r="Y251" s="149">
        <f t="shared" si="113"/>
        <v>231.32308937284304</v>
      </c>
      <c r="Z251" s="149">
        <f t="shared" si="114"/>
        <v>14.111672862453531</v>
      </c>
      <c r="AA251" s="149">
        <f t="shared" si="115"/>
        <v>269.84325572640665</v>
      </c>
      <c r="AB251" s="149">
        <f t="shared" si="116"/>
        <v>2625.0653930578987</v>
      </c>
      <c r="AC251" s="150">
        <f t="shared" si="117"/>
        <v>3306.6575576513578</v>
      </c>
      <c r="AD251" s="157">
        <f t="shared" si="118"/>
        <v>4726.3554216867478</v>
      </c>
      <c r="AE251" s="19">
        <f t="shared" si="119"/>
        <v>1752.5006340350374</v>
      </c>
      <c r="AF251" s="19">
        <f t="shared" si="120"/>
        <v>-3840.2419354836907</v>
      </c>
      <c r="AG251" s="19">
        <f t="shared" si="121"/>
        <v>-18935.739616803552</v>
      </c>
      <c r="AH251" s="19">
        <f t="shared" si="122"/>
        <v>-15719.776951672857</v>
      </c>
      <c r="AI251" s="19">
        <f t="shared" si="123"/>
        <v>-10034.255349955321</v>
      </c>
      <c r="AJ251" s="19">
        <f t="shared" si="124"/>
        <v>13871.10208263025</v>
      </c>
      <c r="AK251" s="158">
        <f t="shared" si="125"/>
        <v>-20755.519412839476</v>
      </c>
      <c r="AL251" s="163">
        <f t="shared" si="126"/>
        <v>-48935.575128402867</v>
      </c>
      <c r="AM251" s="20"/>
    </row>
    <row r="252" spans="1:39" x14ac:dyDescent="0.25">
      <c r="A252" s="13">
        <f t="shared" si="99"/>
        <v>247</v>
      </c>
      <c r="B252" s="1">
        <v>44964</v>
      </c>
      <c r="C252" s="7">
        <f t="shared" si="100"/>
        <v>2023</v>
      </c>
      <c r="D252" s="7">
        <f t="shared" si="101"/>
        <v>2</v>
      </c>
      <c r="E252" s="61">
        <v>18.8748</v>
      </c>
      <c r="F252" s="65">
        <v>53.12</v>
      </c>
      <c r="G252" s="2">
        <v>39.43</v>
      </c>
      <c r="H252" s="2">
        <v>9.92</v>
      </c>
      <c r="I252" s="2">
        <v>252.09</v>
      </c>
      <c r="J252" s="2">
        <v>21.52</v>
      </c>
      <c r="K252" s="2">
        <v>345.33</v>
      </c>
      <c r="L252" s="2">
        <v>102.11</v>
      </c>
      <c r="M252" s="144">
        <v>196.81</v>
      </c>
      <c r="N252" s="72">
        <f t="shared" si="102"/>
        <v>-1.3189671187070373E-2</v>
      </c>
      <c r="O252" s="73">
        <f t="shared" si="103"/>
        <v>-3.9230019493177393E-2</v>
      </c>
      <c r="P252" s="73">
        <f t="shared" si="104"/>
        <v>-3.5019455252918275E-2</v>
      </c>
      <c r="Q252" s="73">
        <f t="shared" si="105"/>
        <v>-4.4136048231145586E-2</v>
      </c>
      <c r="R252" s="73">
        <f t="shared" si="106"/>
        <v>1.3959981386693077E-3</v>
      </c>
      <c r="S252" s="73">
        <f t="shared" si="107"/>
        <v>9.1466978375218666E-3</v>
      </c>
      <c r="T252" s="73">
        <f t="shared" si="108"/>
        <v>-1.6558999176148004E-2</v>
      </c>
      <c r="U252" s="73">
        <f t="shared" si="109"/>
        <v>3.1567967184428669E-2</v>
      </c>
      <c r="V252" s="148">
        <f t="shared" si="110"/>
        <v>56.307397362065764</v>
      </c>
      <c r="W252" s="149">
        <f t="shared" si="111"/>
        <v>38.824714912280697</v>
      </c>
      <c r="X252" s="149">
        <f t="shared" si="112"/>
        <v>13.799221789883269</v>
      </c>
      <c r="Y252" s="149">
        <f t="shared" si="113"/>
        <v>216.3502468433625</v>
      </c>
      <c r="Z252" s="149">
        <f t="shared" si="114"/>
        <v>13.779208934388089</v>
      </c>
      <c r="AA252" s="149">
        <f t="shared" si="115"/>
        <v>270.40085768556395</v>
      </c>
      <c r="AB252" s="149">
        <f t="shared" si="116"/>
        <v>2627.0683057591573</v>
      </c>
      <c r="AC252" s="150">
        <f t="shared" si="117"/>
        <v>3325.3990990471998</v>
      </c>
      <c r="AD252" s="157">
        <f t="shared" si="118"/>
        <v>15052.052758684766</v>
      </c>
      <c r="AE252" s="19">
        <f t="shared" si="119"/>
        <v>45180.625000000029</v>
      </c>
      <c r="AF252" s="19">
        <f t="shared" si="120"/>
        <v>44469.105058365756</v>
      </c>
      <c r="AG252" s="19">
        <f t="shared" si="121"/>
        <v>37961.061995222517</v>
      </c>
      <c r="AH252" s="19">
        <f t="shared" si="122"/>
        <v>-858.63936714759893</v>
      </c>
      <c r="AI252" s="19">
        <f t="shared" si="123"/>
        <v>-12989.545733488991</v>
      </c>
      <c r="AJ252" s="19">
        <f t="shared" si="124"/>
        <v>13270.228272252689</v>
      </c>
      <c r="AK252" s="158">
        <f t="shared" si="125"/>
        <v>-25440.904761799971</v>
      </c>
      <c r="AL252" s="163">
        <f t="shared" si="126"/>
        <v>116643.9832220892</v>
      </c>
      <c r="AM252" s="20"/>
    </row>
    <row r="253" spans="1:39" x14ac:dyDescent="0.25">
      <c r="A253" s="13">
        <f t="shared" si="99"/>
        <v>248</v>
      </c>
      <c r="B253" s="1">
        <v>44960</v>
      </c>
      <c r="C253" s="7">
        <f t="shared" si="100"/>
        <v>2023</v>
      </c>
      <c r="D253" s="7">
        <f t="shared" si="101"/>
        <v>2</v>
      </c>
      <c r="E253" s="61">
        <v>18.954999999999998</v>
      </c>
      <c r="F253" s="65">
        <v>53.83</v>
      </c>
      <c r="G253" s="2">
        <v>41.04</v>
      </c>
      <c r="H253" s="2">
        <v>10.28</v>
      </c>
      <c r="I253" s="2">
        <v>263.73</v>
      </c>
      <c r="J253" s="2">
        <v>21.49</v>
      </c>
      <c r="K253" s="2">
        <v>342.2</v>
      </c>
      <c r="L253" s="2">
        <v>103.39</v>
      </c>
      <c r="M253" s="144">
        <v>189.98</v>
      </c>
      <c r="N253" s="72">
        <f t="shared" si="102"/>
        <v>1.6747301823594185E-3</v>
      </c>
      <c r="O253" s="73">
        <f t="shared" si="103"/>
        <v>-7.2568940493469292E-3</v>
      </c>
      <c r="P253" s="73">
        <f t="shared" si="104"/>
        <v>1.9493177387914784E-3</v>
      </c>
      <c r="Q253" s="73">
        <f t="shared" si="105"/>
        <v>-1.6409950397195283E-2</v>
      </c>
      <c r="R253" s="73">
        <f t="shared" si="106"/>
        <v>-9.2980009298015975E-4</v>
      </c>
      <c r="S253" s="73">
        <f t="shared" si="107"/>
        <v>1.7453096661017575E-2</v>
      </c>
      <c r="T253" s="73">
        <f t="shared" si="108"/>
        <v>-6.9090357126172286E-2</v>
      </c>
      <c r="U253" s="73">
        <f t="shared" si="109"/>
        <v>2.5860154767941346E-2</v>
      </c>
      <c r="V253" s="148">
        <f t="shared" si="110"/>
        <v>57.155560104205428</v>
      </c>
      <c r="W253" s="149">
        <f t="shared" si="111"/>
        <v>40.116748911465891</v>
      </c>
      <c r="X253" s="149">
        <f t="shared" si="112"/>
        <v>14.327875243664719</v>
      </c>
      <c r="Y253" s="149">
        <f t="shared" si="113"/>
        <v>222.62577182709882</v>
      </c>
      <c r="Z253" s="149">
        <f t="shared" si="114"/>
        <v>13.747205950720593</v>
      </c>
      <c r="AA253" s="149">
        <f t="shared" si="115"/>
        <v>272.62655725031965</v>
      </c>
      <c r="AB253" s="149">
        <f t="shared" si="116"/>
        <v>2486.7411631919986</v>
      </c>
      <c r="AC253" s="150">
        <f t="shared" si="117"/>
        <v>3306.9991924282267</v>
      </c>
      <c r="AD253" s="157">
        <f t="shared" si="118"/>
        <v>-1911.2020841085098</v>
      </c>
      <c r="AE253" s="19">
        <f t="shared" si="119"/>
        <v>8357.6560232220199</v>
      </c>
      <c r="AF253" s="19">
        <f t="shared" si="120"/>
        <v>-2475.3216374270023</v>
      </c>
      <c r="AG253" s="19">
        <f t="shared" si="121"/>
        <v>14114.067057024511</v>
      </c>
      <c r="AH253" s="19">
        <f t="shared" si="122"/>
        <v>571.89400278948165</v>
      </c>
      <c r="AI253" s="19">
        <f t="shared" si="123"/>
        <v>-24785.753426694202</v>
      </c>
      <c r="AJ253" s="19">
        <f t="shared" si="124"/>
        <v>55368.371042400307</v>
      </c>
      <c r="AK253" s="158">
        <f t="shared" si="125"/>
        <v>-20840.928107056698</v>
      </c>
      <c r="AL253" s="163">
        <f t="shared" si="126"/>
        <v>28398.782870149906</v>
      </c>
      <c r="AM253" s="20"/>
    </row>
    <row r="254" spans="1:39" x14ac:dyDescent="0.25">
      <c r="A254" s="13">
        <f t="shared" si="99"/>
        <v>249</v>
      </c>
      <c r="B254" s="1">
        <v>44959</v>
      </c>
      <c r="C254" s="7">
        <f t="shared" si="100"/>
        <v>2023</v>
      </c>
      <c r="D254" s="7">
        <f t="shared" si="101"/>
        <v>2</v>
      </c>
      <c r="E254" s="61">
        <v>18.645</v>
      </c>
      <c r="F254" s="65">
        <v>53.74</v>
      </c>
      <c r="G254" s="2">
        <v>41.34</v>
      </c>
      <c r="H254" s="2">
        <v>10.26</v>
      </c>
      <c r="I254" s="2">
        <v>268.13</v>
      </c>
      <c r="J254" s="2">
        <v>21.51</v>
      </c>
      <c r="K254" s="2">
        <v>336.33</v>
      </c>
      <c r="L254" s="2">
        <v>112.91</v>
      </c>
      <c r="M254" s="144">
        <v>188.27</v>
      </c>
      <c r="N254" s="72">
        <f t="shared" si="102"/>
        <v>-1.9164081036685432E-2</v>
      </c>
      <c r="O254" s="73">
        <f t="shared" si="103"/>
        <v>3.6416605972324767E-3</v>
      </c>
      <c r="P254" s="73">
        <f t="shared" si="104"/>
        <v>9.7560975609756184E-4</v>
      </c>
      <c r="Q254" s="73">
        <f t="shared" si="105"/>
        <v>-1.2994183906353651E-2</v>
      </c>
      <c r="R254" s="73">
        <f t="shared" si="106"/>
        <v>2.2824536376604865E-2</v>
      </c>
      <c r="S254" s="73">
        <f t="shared" si="107"/>
        <v>2.5038004113384638E-3</v>
      </c>
      <c r="T254" s="73">
        <f t="shared" si="108"/>
        <v>7.6403023012586502E-2</v>
      </c>
      <c r="U254" s="73">
        <f t="shared" si="109"/>
        <v>4.0331330103751117E-2</v>
      </c>
      <c r="V254" s="148">
        <f t="shared" si="110"/>
        <v>55.966497536046731</v>
      </c>
      <c r="W254" s="149">
        <f t="shared" si="111"/>
        <v>40.557159504734159</v>
      </c>
      <c r="X254" s="149">
        <f t="shared" si="112"/>
        <v>14.313951219512196</v>
      </c>
      <c r="Y254" s="149">
        <f t="shared" si="113"/>
        <v>223.39889641463591</v>
      </c>
      <c r="Z254" s="149">
        <f t="shared" si="114"/>
        <v>14.074065620542083</v>
      </c>
      <c r="AA254" s="149">
        <f t="shared" si="115"/>
        <v>268.62089332021816</v>
      </c>
      <c r="AB254" s="149">
        <f t="shared" si="116"/>
        <v>2875.397978740777</v>
      </c>
      <c r="AC254" s="150">
        <f t="shared" si="117"/>
        <v>3353.6489866780439</v>
      </c>
      <c r="AD254" s="157">
        <f t="shared" si="118"/>
        <v>21870.049279065428</v>
      </c>
      <c r="AE254" s="19">
        <f t="shared" si="119"/>
        <v>-4194.0458849236247</v>
      </c>
      <c r="AF254" s="19">
        <f t="shared" si="120"/>
        <v>-1238.8682926829674</v>
      </c>
      <c r="AG254" s="19">
        <f t="shared" si="121"/>
        <v>11176.193624383541</v>
      </c>
      <c r="AH254" s="19">
        <f t="shared" si="122"/>
        <v>-14038.733238231103</v>
      </c>
      <c r="AI254" s="19">
        <f t="shared" si="123"/>
        <v>-3555.7345971562995</v>
      </c>
      <c r="AJ254" s="19">
        <f t="shared" si="124"/>
        <v>-61228.67362223324</v>
      </c>
      <c r="AK254" s="158">
        <f t="shared" si="125"/>
        <v>-32503.376669510999</v>
      </c>
      <c r="AL254" s="163">
        <f t="shared" si="126"/>
        <v>-83713.189401289259</v>
      </c>
      <c r="AM254" s="20"/>
    </row>
    <row r="255" spans="1:39" x14ac:dyDescent="0.25">
      <c r="A255" s="13">
        <f t="shared" si="99"/>
        <v>250</v>
      </c>
      <c r="B255" s="1">
        <v>44958</v>
      </c>
      <c r="C255" s="7">
        <f t="shared" si="100"/>
        <v>2023</v>
      </c>
      <c r="D255" s="7">
        <f t="shared" si="101"/>
        <v>2</v>
      </c>
      <c r="E255" s="61">
        <v>18.599900000000002</v>
      </c>
      <c r="F255" s="65">
        <v>54.79</v>
      </c>
      <c r="G255" s="2">
        <v>41.19</v>
      </c>
      <c r="H255" s="2">
        <v>10.25</v>
      </c>
      <c r="I255" s="2">
        <v>271.66000000000003</v>
      </c>
      <c r="J255" s="2">
        <v>21.03</v>
      </c>
      <c r="K255" s="2">
        <v>335.49</v>
      </c>
      <c r="L255" s="2">
        <v>105.15</v>
      </c>
      <c r="M255" s="144">
        <v>181.41</v>
      </c>
      <c r="N255" s="72">
        <f t="shared" si="102"/>
        <v>7.5395365943360382E-3</v>
      </c>
      <c r="O255" s="73">
        <f t="shared" si="103"/>
        <v>-1.7179670722977769E-2</v>
      </c>
      <c r="P255" s="73">
        <f t="shared" si="104"/>
        <v>2.0916334661354563E-2</v>
      </c>
      <c r="Q255" s="73">
        <f t="shared" si="105"/>
        <v>1.2296914592338615E-2</v>
      </c>
      <c r="R255" s="73">
        <f t="shared" si="106"/>
        <v>4.757373929591413E-4</v>
      </c>
      <c r="S255" s="73">
        <f t="shared" si="107"/>
        <v>3.199114091482369E-2</v>
      </c>
      <c r="T255" s="73">
        <f t="shared" si="108"/>
        <v>7.6628545649750635E-3</v>
      </c>
      <c r="U255" s="73">
        <f t="shared" si="109"/>
        <v>3.5032958584913176E-2</v>
      </c>
      <c r="V255" s="148">
        <f t="shared" si="110"/>
        <v>57.490205958072814</v>
      </c>
      <c r="W255" s="149">
        <f t="shared" si="111"/>
        <v>39.715769506084463</v>
      </c>
      <c r="X255" s="149">
        <f t="shared" si="112"/>
        <v>14.599103585657371</v>
      </c>
      <c r="Y255" s="149">
        <f t="shared" si="113"/>
        <v>229.12328364882993</v>
      </c>
      <c r="Z255" s="149">
        <f t="shared" si="114"/>
        <v>13.766546146527118</v>
      </c>
      <c r="AA255" s="149">
        <f t="shared" si="115"/>
        <v>276.52202620812699</v>
      </c>
      <c r="AB255" s="149">
        <f t="shared" si="116"/>
        <v>2691.7722017902684</v>
      </c>
      <c r="AC255" s="150">
        <f t="shared" si="117"/>
        <v>3336.5689682636967</v>
      </c>
      <c r="AD255" s="157">
        <f t="shared" si="118"/>
        <v>-8604.1191614562249</v>
      </c>
      <c r="AE255" s="19">
        <f t="shared" si="119"/>
        <v>19785.569076592703</v>
      </c>
      <c r="AF255" s="19">
        <f t="shared" si="120"/>
        <v>-26560.398406374479</v>
      </c>
      <c r="AG255" s="19">
        <f t="shared" si="121"/>
        <v>-10576.477865553705</v>
      </c>
      <c r="AH255" s="19">
        <f t="shared" si="122"/>
        <v>-292.6127497621618</v>
      </c>
      <c r="AI255" s="19">
        <f t="shared" si="123"/>
        <v>-45431.738903073099</v>
      </c>
      <c r="AJ255" s="19">
        <f t="shared" si="124"/>
        <v>-6140.9405370806326</v>
      </c>
      <c r="AK255" s="158">
        <f t="shared" si="125"/>
        <v>-28233.372065924188</v>
      </c>
      <c r="AL255" s="163">
        <f t="shared" si="126"/>
        <v>-106054.09061263179</v>
      </c>
      <c r="AM255" s="20"/>
    </row>
    <row r="256" spans="1:39" x14ac:dyDescent="0.25">
      <c r="A256" s="13">
        <f>+A257-1</f>
        <v>251</v>
      </c>
      <c r="B256" s="1">
        <v>44957</v>
      </c>
      <c r="C256" s="7">
        <f t="shared" si="100"/>
        <v>2023</v>
      </c>
      <c r="D256" s="7">
        <f t="shared" si="101"/>
        <v>1</v>
      </c>
      <c r="E256" s="61">
        <v>18.82</v>
      </c>
      <c r="F256" s="65">
        <v>54.38</v>
      </c>
      <c r="G256" s="2">
        <v>41.91</v>
      </c>
      <c r="H256" s="2">
        <v>10.039999999999999</v>
      </c>
      <c r="I256" s="2">
        <v>268.36</v>
      </c>
      <c r="J256" s="2">
        <v>21.02</v>
      </c>
      <c r="K256" s="2">
        <v>325.08999999999997</v>
      </c>
      <c r="L256" s="2">
        <v>103.13</v>
      </c>
      <c r="M256" s="144">
        <v>173.22</v>
      </c>
      <c r="N256" s="75">
        <f t="shared" si="102"/>
        <v>1.6577638607480072E-3</v>
      </c>
      <c r="O256" s="76">
        <f t="shared" si="103"/>
        <v>5.2486187845303789E-2</v>
      </c>
      <c r="P256" s="76">
        <f t="shared" si="104"/>
        <v>1.0060362173038184E-2</v>
      </c>
      <c r="Q256" s="76">
        <f t="shared" si="105"/>
        <v>-3.1944134908253874E-3</v>
      </c>
      <c r="R256" s="76">
        <f t="shared" si="106"/>
        <v>2.2373540856031271E-2</v>
      </c>
      <c r="S256" s="76">
        <f t="shared" si="107"/>
        <v>-2.669039145907437E-3</v>
      </c>
      <c r="T256" s="76">
        <f t="shared" si="108"/>
        <v>2.8906327608205773E-2</v>
      </c>
      <c r="U256" s="76">
        <f t="shared" si="109"/>
        <v>4.2652411510999411E-2</v>
      </c>
      <c r="V256" s="151">
        <f t="shared" si="110"/>
        <v>57.154592005894287</v>
      </c>
      <c r="W256" s="152">
        <f t="shared" si="111"/>
        <v>42.530966850828726</v>
      </c>
      <c r="X256" s="152">
        <f t="shared" si="112"/>
        <v>14.443863179074446</v>
      </c>
      <c r="Y256" s="152">
        <f t="shared" si="113"/>
        <v>225.61697645048659</v>
      </c>
      <c r="Z256" s="152">
        <f t="shared" si="114"/>
        <v>14.06785992217899</v>
      </c>
      <c r="AA256" s="152">
        <f t="shared" si="115"/>
        <v>267.23483096085408</v>
      </c>
      <c r="AB256" s="152">
        <f t="shared" si="116"/>
        <v>2748.5199423149861</v>
      </c>
      <c r="AC256" s="153">
        <f t="shared" si="117"/>
        <v>3361.1313070544179</v>
      </c>
      <c r="AD256" s="159">
        <f t="shared" si="118"/>
        <v>-1891.8401178856925</v>
      </c>
      <c r="AE256" s="160">
        <f t="shared" si="119"/>
        <v>-60447.555248618788</v>
      </c>
      <c r="AF256" s="160">
        <f t="shared" si="120"/>
        <v>-12775.050301810767</v>
      </c>
      <c r="AG256" s="160">
        <f t="shared" si="121"/>
        <v>2747.4894881509726</v>
      </c>
      <c r="AH256" s="160">
        <f t="shared" si="122"/>
        <v>-13761.338521400841</v>
      </c>
      <c r="AI256" s="160">
        <f t="shared" si="123"/>
        <v>3790.3959074732993</v>
      </c>
      <c r="AJ256" s="160">
        <f t="shared" si="124"/>
        <v>-23165.262694495959</v>
      </c>
      <c r="AK256" s="161">
        <f t="shared" si="125"/>
        <v>-34373.956763604496</v>
      </c>
      <c r="AL256" s="164">
        <f t="shared" si="126"/>
        <v>-139877.11825219227</v>
      </c>
      <c r="AM256" s="20"/>
    </row>
    <row r="257" spans="1:38" x14ac:dyDescent="0.25">
      <c r="A257" s="13">
        <v>252</v>
      </c>
      <c r="B257" s="1">
        <v>44956</v>
      </c>
      <c r="C257" s="7">
        <f t="shared" si="100"/>
        <v>2023</v>
      </c>
      <c r="D257" s="7">
        <f t="shared" si="101"/>
        <v>1</v>
      </c>
      <c r="E257" s="62">
        <v>18.7606</v>
      </c>
      <c r="F257" s="66">
        <v>54.29</v>
      </c>
      <c r="G257" s="67">
        <v>39.82</v>
      </c>
      <c r="H257" s="67">
        <v>9.94</v>
      </c>
      <c r="I257" s="67">
        <v>269.22000000000003</v>
      </c>
      <c r="J257" s="67">
        <v>20.56</v>
      </c>
      <c r="K257" s="67">
        <v>325.95999999999998</v>
      </c>
      <c r="L257" s="67">
        <v>100.55</v>
      </c>
      <c r="M257" s="68">
        <v>166.66</v>
      </c>
      <c r="N257" s="12"/>
      <c r="O257" s="12"/>
      <c r="P257" s="12"/>
      <c r="Q257" s="12"/>
      <c r="R257" s="12"/>
      <c r="S257" s="12"/>
      <c r="T257" s="12"/>
      <c r="U257" s="12"/>
      <c r="V257" s="20"/>
    </row>
    <row r="258" spans="1:38" x14ac:dyDescent="0.25">
      <c r="AC258" s="18"/>
      <c r="AD258" s="19"/>
      <c r="AE258" s="19"/>
      <c r="AF258" s="19"/>
      <c r="AG258" s="19"/>
      <c r="AH258" s="19"/>
      <c r="AI258" s="19"/>
      <c r="AJ258" s="19"/>
      <c r="AK258" s="19"/>
      <c r="AL258" s="20"/>
    </row>
    <row r="259" spans="1:38" x14ac:dyDescent="0.25">
      <c r="N259" s="24"/>
      <c r="O259" s="24"/>
      <c r="P259" s="24"/>
      <c r="Q259" s="24"/>
      <c r="R259" s="24"/>
      <c r="S259" s="24"/>
      <c r="T259" s="24"/>
      <c r="U259" s="24"/>
      <c r="AD259" s="2"/>
      <c r="AE259" s="2"/>
      <c r="AF259" s="2"/>
      <c r="AG259" s="2"/>
      <c r="AH259" s="2"/>
      <c r="AI259" s="2"/>
      <c r="AJ259" s="2"/>
      <c r="AK259" s="2"/>
    </row>
  </sheetData>
  <mergeCells count="8">
    <mergeCell ref="AR40:AS40"/>
    <mergeCell ref="AV39:AW39"/>
    <mergeCell ref="AV13:AY13"/>
    <mergeCell ref="F3:M3"/>
    <mergeCell ref="N3:U3"/>
    <mergeCell ref="V3:AC3"/>
    <mergeCell ref="AD3:AK3"/>
    <mergeCell ref="AN5:AS5"/>
  </mergeCells>
  <pageMargins left="0.7" right="0.7" top="0.75" bottom="0.75" header="0.3" footer="0.3"/>
  <pageSetup paperSize="9" orientation="portrait" r:id="rId1"/>
  <drawing r:id="rId2"/>
  <legacyDrawing r:id="rId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1D1B0F-6B14-4450-BED9-96A4F3E98328}">
  <sheetPr codeName="Hoja2">
    <tabColor rgb="FF92D050"/>
  </sheetPr>
  <dimension ref="A1:R27"/>
  <sheetViews>
    <sheetView topLeftCell="A3" zoomScale="85" zoomScaleNormal="85" workbookViewId="0">
      <selection activeCell="B8" sqref="B8"/>
    </sheetView>
  </sheetViews>
  <sheetFormatPr baseColWidth="10" defaultRowHeight="15" x14ac:dyDescent="0.25"/>
  <cols>
    <col min="1" max="1" width="25.28515625" customWidth="1"/>
    <col min="2" max="4" width="15.5703125" style="42" customWidth="1"/>
    <col min="5" max="7" width="11.5703125" style="42"/>
    <col min="8" max="9" width="13" style="42" customWidth="1"/>
    <col min="10" max="10" width="11.5703125" style="42"/>
    <col min="11" max="11" width="12" style="42" bestFit="1" customWidth="1"/>
    <col min="12" max="17" width="11.5703125" style="42"/>
    <col min="18" max="18" width="13.7109375" style="42" customWidth="1"/>
  </cols>
  <sheetData>
    <row r="1" spans="1:18" x14ac:dyDescent="0.25">
      <c r="F1"/>
      <c r="G1"/>
      <c r="H1"/>
      <c r="I1"/>
      <c r="J1"/>
      <c r="K1"/>
      <c r="L1"/>
      <c r="M1"/>
      <c r="N1"/>
      <c r="O1"/>
      <c r="P1"/>
      <c r="Q1"/>
      <c r="R1"/>
    </row>
    <row r="2" spans="1:18" ht="23.25" x14ac:dyDescent="0.25">
      <c r="B2"/>
      <c r="C2" s="205" t="s">
        <v>42</v>
      </c>
      <c r="D2" s="206"/>
      <c r="E2" s="206"/>
      <c r="F2" s="206"/>
      <c r="G2" s="207"/>
      <c r="H2"/>
      <c r="I2"/>
      <c r="J2"/>
      <c r="K2"/>
      <c r="L2"/>
      <c r="M2"/>
      <c r="N2"/>
      <c r="O2"/>
      <c r="P2"/>
      <c r="Q2"/>
      <c r="R2"/>
    </row>
    <row r="3" spans="1:18" x14ac:dyDescent="0.25">
      <c r="B3"/>
      <c r="C3"/>
      <c r="D3"/>
      <c r="E3"/>
      <c r="F3"/>
      <c r="G3"/>
      <c r="H3"/>
      <c r="I3"/>
      <c r="J3"/>
      <c r="K3"/>
      <c r="L3"/>
      <c r="M3"/>
      <c r="N3"/>
      <c r="O3"/>
      <c r="P3"/>
      <c r="Q3"/>
      <c r="R3"/>
    </row>
    <row r="4" spans="1:18" x14ac:dyDescent="0.25">
      <c r="A4" s="37"/>
      <c r="B4" s="37" t="s">
        <v>13</v>
      </c>
      <c r="C4" s="37" t="s">
        <v>19</v>
      </c>
      <c r="D4" s="37" t="s">
        <v>20</v>
      </c>
      <c r="E4" s="37" t="s">
        <v>12</v>
      </c>
      <c r="F4" s="37" t="s">
        <v>21</v>
      </c>
      <c r="G4" s="37" t="s">
        <v>22</v>
      </c>
      <c r="H4" s="37" t="s">
        <v>14</v>
      </c>
      <c r="I4" s="37" t="s">
        <v>27</v>
      </c>
      <c r="J4"/>
      <c r="K4"/>
      <c r="L4"/>
      <c r="M4"/>
      <c r="N4"/>
    </row>
    <row r="5" spans="1:18" x14ac:dyDescent="0.25">
      <c r="A5" s="165" t="s">
        <v>71</v>
      </c>
      <c r="B5" s="167">
        <f xml:space="preserve"> Portafolio!F5</f>
        <v>57.06</v>
      </c>
      <c r="C5" s="167">
        <f xml:space="preserve"> Portafolio!G5</f>
        <v>40.409999999999997</v>
      </c>
      <c r="D5" s="167">
        <f xml:space="preserve"> Portafolio!H5</f>
        <v>14.3</v>
      </c>
      <c r="E5" s="167">
        <f xml:space="preserve"> Portafolio!I5</f>
        <v>226.34</v>
      </c>
      <c r="F5" s="167">
        <f xml:space="preserve"> Portafolio!J5</f>
        <v>13.76</v>
      </c>
      <c r="G5" s="167">
        <f xml:space="preserve"> Portafolio!K5</f>
        <v>267.95</v>
      </c>
      <c r="H5" s="167">
        <f xml:space="preserve"> Portafolio!L5 * Portafolio!$E5</f>
        <v>2671.3023999999996</v>
      </c>
      <c r="I5" s="167">
        <f xml:space="preserve"> Portafolio!M5 * Portafolio!$E5</f>
        <v>3223.6354799999999</v>
      </c>
      <c r="J5" s="38"/>
      <c r="K5"/>
      <c r="L5"/>
      <c r="M5"/>
      <c r="N5"/>
      <c r="O5"/>
      <c r="P5"/>
      <c r="Q5"/>
      <c r="R5"/>
    </row>
    <row r="6" spans="1:18" x14ac:dyDescent="0.25">
      <c r="A6" s="165" t="s">
        <v>5</v>
      </c>
      <c r="B6" s="168">
        <f xml:space="preserve"> 'VaR Histórico'!AD2</f>
        <v>20000</v>
      </c>
      <c r="C6" s="168">
        <f xml:space="preserve"> 'VaR Histórico'!AE2</f>
        <v>28500</v>
      </c>
      <c r="D6" s="168">
        <f xml:space="preserve"> 'VaR Histórico'!AF2</f>
        <v>88800</v>
      </c>
      <c r="E6" s="168">
        <f xml:space="preserve"> 'VaR Histórico'!AG2</f>
        <v>3800</v>
      </c>
      <c r="F6" s="168">
        <f xml:space="preserve"> 'VaR Histórico'!AH2</f>
        <v>44700</v>
      </c>
      <c r="G6" s="168">
        <f xml:space="preserve"> 'VaR Histórico'!AI2</f>
        <v>5300</v>
      </c>
      <c r="H6" s="168">
        <f xml:space="preserve"> 'VaR Histórico'!AJ2</f>
        <v>300</v>
      </c>
      <c r="I6" s="168">
        <f xml:space="preserve"> 'VaR Histórico'!AK2</f>
        <v>250</v>
      </c>
      <c r="J6"/>
      <c r="K6"/>
      <c r="L6"/>
      <c r="M6"/>
      <c r="N6"/>
      <c r="O6"/>
      <c r="P6"/>
      <c r="Q6"/>
      <c r="R6"/>
    </row>
    <row r="7" spans="1:18" x14ac:dyDescent="0.25">
      <c r="A7" s="165" t="s">
        <v>70</v>
      </c>
      <c r="B7" s="166">
        <f xml:space="preserve"> Portafolio!N259</f>
        <v>2.3776949575538616E-4</v>
      </c>
      <c r="C7" s="166">
        <f xml:space="preserve"> Portafolio!O259</f>
        <v>1.9934108282874973E-4</v>
      </c>
      <c r="D7" s="166">
        <f xml:space="preserve"> Portafolio!P259</f>
        <v>1.6317683450948557E-3</v>
      </c>
      <c r="E7" s="166">
        <f xml:space="preserve"> Portafolio!Q259</f>
        <v>-4.0477206995668185E-4</v>
      </c>
      <c r="F7" s="166">
        <f xml:space="preserve"> Portafolio!R259</f>
        <v>-1.1476358676782762E-3</v>
      </c>
      <c r="G7" s="166">
        <f xml:space="preserve"> Portafolio!S259</f>
        <v>-4.1219333309898518E-4</v>
      </c>
      <c r="H7" s="166">
        <f xml:space="preserve"> Portafolio!T259</f>
        <v>1.5550448569087217E-3</v>
      </c>
      <c r="I7" s="166">
        <f xml:space="preserve"> Portafolio!U259</f>
        <v>5.8172348920755058E-4</v>
      </c>
      <c r="J7"/>
      <c r="K7"/>
      <c r="L7"/>
      <c r="M7"/>
      <c r="N7"/>
      <c r="O7"/>
    </row>
    <row r="8" spans="1:18" x14ac:dyDescent="0.25">
      <c r="A8" s="165" t="s">
        <v>10</v>
      </c>
      <c r="B8" s="39" cm="1">
        <f t="array" ref="B8" xml:space="preserve"> V_Dinamica(Portafolio!N5:N256)</f>
        <v>0.15760966719372907</v>
      </c>
      <c r="C8" s="39" cm="1">
        <f t="array" ref="C8" xml:space="preserve"> V_Dinamica(Portafolio!O5:O256)</f>
        <v>0.38935965501127173</v>
      </c>
      <c r="D8" s="39" cm="1">
        <f t="array" ref="D8" xml:space="preserve"> V_Dinamica(Portafolio!P5:P256)</f>
        <v>0.28385098752741117</v>
      </c>
      <c r="E8" s="39" cm="1">
        <f t="array" ref="E8" xml:space="preserve"> V_Dinamica(Portafolio!Q5:Q256)</f>
        <v>0.43640904315421197</v>
      </c>
      <c r="F8" s="39" cm="1">
        <f t="array" ref="F8" xml:space="preserve"> V_Dinamica(Portafolio!R5:R256)</f>
        <v>0.4498740865406457</v>
      </c>
      <c r="G8" s="39" cm="1">
        <f t="array" ref="G8" xml:space="preserve"> V_Dinamica(Portafolio!S5:S256)</f>
        <v>0.43627507974958551</v>
      </c>
      <c r="H8" s="39" cm="1">
        <f t="array" ref="H8" xml:space="preserve"> V_Dinamica(Portafolio!T5:T256)</f>
        <v>0.21414708770041449</v>
      </c>
      <c r="I8" s="39" cm="1">
        <f t="array" ref="I8" xml:space="preserve"> V_Dinamica(Portafolio!U5:U256)</f>
        <v>0.51530691310577126</v>
      </c>
      <c r="J8"/>
      <c r="K8"/>
      <c r="L8"/>
      <c r="M8"/>
      <c r="N8"/>
      <c r="O8"/>
    </row>
    <row r="9" spans="1:18" x14ac:dyDescent="0.25">
      <c r="B9"/>
      <c r="C9"/>
      <c r="D9"/>
      <c r="E9"/>
      <c r="F9"/>
      <c r="G9"/>
      <c r="H9"/>
      <c r="I9"/>
      <c r="J9"/>
      <c r="K9"/>
      <c r="L9"/>
      <c r="M9"/>
      <c r="N9"/>
      <c r="O9"/>
    </row>
    <row r="10" spans="1:18" x14ac:dyDescent="0.25">
      <c r="B10"/>
      <c r="C10"/>
      <c r="D10"/>
      <c r="E10"/>
      <c r="F10"/>
      <c r="G10"/>
      <c r="H10"/>
      <c r="I10" s="211" t="s">
        <v>50</v>
      </c>
      <c r="J10" s="212"/>
      <c r="K10" s="169">
        <f xml:space="preserve"> SUMPRODUCT(B6:I6,B5:I5)</f>
        <v>8065323.5899999999</v>
      </c>
      <c r="L10"/>
      <c r="M10"/>
      <c r="N10"/>
      <c r="O10"/>
    </row>
    <row r="11" spans="1:18" x14ac:dyDescent="0.25">
      <c r="A11" s="4" t="s">
        <v>43</v>
      </c>
      <c r="B11" s="40">
        <v>10</v>
      </c>
      <c r="C11"/>
      <c r="D11"/>
      <c r="E11"/>
      <c r="F11"/>
      <c r="G11"/>
      <c r="H11"/>
      <c r="I11"/>
      <c r="J11"/>
      <c r="K11"/>
      <c r="L11"/>
      <c r="M11"/>
      <c r="N11"/>
      <c r="O11"/>
    </row>
    <row r="12" spans="1:18" ht="18" x14ac:dyDescent="0.25">
      <c r="B12"/>
      <c r="C12"/>
      <c r="D12"/>
      <c r="E12"/>
      <c r="F12"/>
      <c r="G12"/>
      <c r="H12"/>
      <c r="I12"/>
      <c r="J12" s="3" t="s">
        <v>48</v>
      </c>
      <c r="K12" s="170">
        <f xml:space="preserve"> PERCENTILE(R18:R1017, 0.01)</f>
        <v>-86569.700700000001</v>
      </c>
      <c r="L12" s="171">
        <f xml:space="preserve"> K12 / K10</f>
        <v>-1.0733568186567949E-2</v>
      </c>
      <c r="M12"/>
      <c r="N12"/>
      <c r="O12"/>
      <c r="P12"/>
      <c r="Q12"/>
      <c r="R12"/>
    </row>
    <row r="13" spans="1:18" ht="18" x14ac:dyDescent="0.25">
      <c r="D13"/>
      <c r="E13"/>
      <c r="F13"/>
      <c r="G13"/>
      <c r="H13"/>
      <c r="I13"/>
      <c r="J13" s="3" t="s">
        <v>49</v>
      </c>
      <c r="K13" s="172">
        <f xml:space="preserve"> AVERAGEIF(R18:R1017, "&lt;" &amp; K12, R18:R1017)</f>
        <v>-86921.85</v>
      </c>
      <c r="L13" s="173">
        <f xml:space="preserve"> K13 / K10</f>
        <v>-1.0777230328089044E-2</v>
      </c>
      <c r="M13"/>
      <c r="N13"/>
      <c r="O13"/>
      <c r="P13"/>
      <c r="Q13"/>
      <c r="R13"/>
    </row>
    <row r="14" spans="1:18" ht="18.75" x14ac:dyDescent="0.25">
      <c r="B14" s="208" t="s">
        <v>44</v>
      </c>
      <c r="C14" s="209"/>
      <c r="D14" s="210"/>
      <c r="E14"/>
      <c r="F14"/>
      <c r="G14"/>
      <c r="H14"/>
      <c r="I14"/>
      <c r="J14"/>
      <c r="K14"/>
      <c r="L14"/>
      <c r="M14"/>
      <c r="N14"/>
      <c r="O14"/>
      <c r="P14"/>
      <c r="Q14"/>
      <c r="R14"/>
    </row>
    <row r="15" spans="1:18" x14ac:dyDescent="0.25">
      <c r="B15"/>
      <c r="C15"/>
      <c r="D15"/>
      <c r="E15"/>
      <c r="F15"/>
      <c r="G15"/>
      <c r="H15"/>
      <c r="I15"/>
      <c r="J15"/>
      <c r="K15"/>
      <c r="L15"/>
      <c r="M15"/>
      <c r="N15"/>
      <c r="O15"/>
      <c r="P15"/>
      <c r="Q15"/>
      <c r="R15"/>
    </row>
    <row r="16" spans="1:18" x14ac:dyDescent="0.25">
      <c r="B16" s="199" t="s">
        <v>46</v>
      </c>
      <c r="C16" s="200"/>
      <c r="D16" s="200"/>
      <c r="E16" s="200"/>
      <c r="F16" s="200"/>
      <c r="G16" s="200"/>
      <c r="H16" s="200"/>
      <c r="I16" s="201"/>
      <c r="J16" s="202" t="s">
        <v>47</v>
      </c>
      <c r="K16" s="203"/>
      <c r="L16" s="203"/>
      <c r="M16" s="203"/>
      <c r="N16" s="203"/>
      <c r="O16" s="203"/>
      <c r="P16" s="203"/>
      <c r="Q16" s="204"/>
      <c r="R16"/>
    </row>
    <row r="17" spans="1:18" x14ac:dyDescent="0.25">
      <c r="A17" s="37" t="s">
        <v>45</v>
      </c>
      <c r="B17" s="37" t="s">
        <v>13</v>
      </c>
      <c r="C17" s="37" t="s">
        <v>19</v>
      </c>
      <c r="D17" s="37" t="s">
        <v>20</v>
      </c>
      <c r="E17" s="37" t="s">
        <v>12</v>
      </c>
      <c r="F17" s="37" t="s">
        <v>21</v>
      </c>
      <c r="G17" s="37" t="s">
        <v>22</v>
      </c>
      <c r="H17" s="37" t="s">
        <v>14</v>
      </c>
      <c r="I17" s="37" t="s">
        <v>27</v>
      </c>
      <c r="J17" s="37" t="s">
        <v>13</v>
      </c>
      <c r="K17" s="37" t="s">
        <v>19</v>
      </c>
      <c r="L17" s="37" t="s">
        <v>20</v>
      </c>
      <c r="M17" s="37" t="s">
        <v>12</v>
      </c>
      <c r="N17" s="37" t="s">
        <v>21</v>
      </c>
      <c r="O17" s="37" t="s">
        <v>22</v>
      </c>
      <c r="P17" s="37" t="s">
        <v>14</v>
      </c>
      <c r="Q17" s="37" t="s">
        <v>27</v>
      </c>
      <c r="R17" s="41" t="s">
        <v>17</v>
      </c>
    </row>
    <row r="18" spans="1:18" x14ac:dyDescent="0.25">
      <c r="A18">
        <v>1</v>
      </c>
      <c r="B18" s="42">
        <v>56.87</v>
      </c>
      <c r="C18" s="42">
        <v>39.299999999999997</v>
      </c>
      <c r="D18" s="42">
        <v>13.96</v>
      </c>
      <c r="E18" s="42">
        <v>220.64</v>
      </c>
      <c r="F18" s="42">
        <v>14.45</v>
      </c>
      <c r="G18" s="42">
        <v>262.06</v>
      </c>
      <c r="H18" s="42">
        <v>2628.19</v>
      </c>
      <c r="I18" s="42">
        <v>3206.35</v>
      </c>
      <c r="J18" s="42">
        <v>3892</v>
      </c>
      <c r="K18" s="42">
        <v>31495.35</v>
      </c>
      <c r="L18" s="42">
        <v>30103.200000000001</v>
      </c>
      <c r="M18" s="42">
        <v>21663.040000000001</v>
      </c>
      <c r="N18" s="42">
        <v>-30659.73</v>
      </c>
      <c r="O18" s="42">
        <v>31216.47</v>
      </c>
      <c r="P18" s="42">
        <v>12935.039999999999</v>
      </c>
      <c r="Q18" s="42">
        <v>4321.95</v>
      </c>
      <c r="R18" s="42">
        <v>104967.31999999999</v>
      </c>
    </row>
    <row r="19" spans="1:18" x14ac:dyDescent="0.25">
      <c r="A19">
        <v>2</v>
      </c>
      <c r="B19" s="42">
        <v>56.501199999999997</v>
      </c>
      <c r="C19" s="42">
        <v>40.681699999999999</v>
      </c>
      <c r="D19" s="42">
        <v>14.346399999999999</v>
      </c>
      <c r="E19" s="42">
        <v>230.86080000000001</v>
      </c>
      <c r="F19" s="42">
        <v>14.291700000000001</v>
      </c>
      <c r="G19" s="42">
        <v>255.77209999999999</v>
      </c>
      <c r="H19" s="42">
        <v>2687.0018</v>
      </c>
      <c r="I19" s="42">
        <v>3357.5001999999999</v>
      </c>
      <c r="J19" s="42">
        <v>11176</v>
      </c>
      <c r="K19" s="42">
        <v>-7743.45</v>
      </c>
      <c r="L19" s="42">
        <v>-4120.32</v>
      </c>
      <c r="M19" s="42">
        <v>-17179.04</v>
      </c>
      <c r="N19" s="42">
        <v>-23766.989999999998</v>
      </c>
      <c r="O19" s="42">
        <v>64542.869999999995</v>
      </c>
      <c r="P19" s="42">
        <v>-4709.8200000000006</v>
      </c>
      <c r="Q19" s="42">
        <v>-33466.175000000003</v>
      </c>
      <c r="R19" s="42">
        <v>-15266.92500000001</v>
      </c>
    </row>
    <row r="20" spans="1:18" x14ac:dyDescent="0.25">
      <c r="A20">
        <v>3</v>
      </c>
      <c r="B20" s="42">
        <v>57.2</v>
      </c>
      <c r="C20" s="42">
        <v>39.24</v>
      </c>
      <c r="D20" s="42">
        <v>13.84</v>
      </c>
      <c r="E20" s="42">
        <v>229.03</v>
      </c>
      <c r="F20" s="42">
        <v>14.15</v>
      </c>
      <c r="G20" s="42">
        <v>262.08</v>
      </c>
      <c r="H20" s="42">
        <v>2686.75</v>
      </c>
      <c r="I20" s="42">
        <v>3225.75</v>
      </c>
      <c r="J20" s="42">
        <v>-2716</v>
      </c>
      <c r="K20" s="42">
        <v>33441.9</v>
      </c>
      <c r="L20" s="42">
        <v>41158.800000000003</v>
      </c>
      <c r="M20" s="42">
        <v>-10240.24</v>
      </c>
      <c r="N20" s="42">
        <v>-17227.38</v>
      </c>
      <c r="O20" s="42">
        <v>31129.02</v>
      </c>
      <c r="P20" s="42">
        <v>-4633.08</v>
      </c>
      <c r="Q20" s="42">
        <v>-527.85</v>
      </c>
      <c r="R20" s="42">
        <v>70385.170000000013</v>
      </c>
    </row>
    <row r="21" spans="1:18" x14ac:dyDescent="0.25">
      <c r="A21">
        <v>4</v>
      </c>
      <c r="B21" s="42">
        <v>56.866300000000003</v>
      </c>
      <c r="C21" s="42">
        <v>41.222700000000003</v>
      </c>
      <c r="D21" s="42">
        <v>14.402100000000001</v>
      </c>
      <c r="E21" s="42">
        <v>213.40209999999999</v>
      </c>
      <c r="F21" s="42">
        <v>14.162100000000001</v>
      </c>
      <c r="G21" s="42">
        <v>275.0772</v>
      </c>
      <c r="H21" s="42">
        <v>2716.8542000000002</v>
      </c>
      <c r="I21" s="42">
        <v>3170.8679999999999</v>
      </c>
      <c r="J21" s="42">
        <v>3874</v>
      </c>
      <c r="K21" s="42">
        <v>-23161.95</v>
      </c>
      <c r="L21" s="42">
        <v>-9066.48</v>
      </c>
      <c r="M21" s="42">
        <v>49164.020000000004</v>
      </c>
      <c r="N21" s="42">
        <v>-17973.87</v>
      </c>
      <c r="O21" s="42">
        <v>-37774.160000000003</v>
      </c>
      <c r="P21" s="42">
        <v>-13665.54</v>
      </c>
      <c r="Q21" s="42">
        <v>13191.875</v>
      </c>
      <c r="R21" s="42">
        <v>-35412.105000000003</v>
      </c>
    </row>
    <row r="22" spans="1:18" x14ac:dyDescent="0.25">
      <c r="A22">
        <v>5</v>
      </c>
      <c r="B22" s="42">
        <v>55.57</v>
      </c>
      <c r="C22" s="42">
        <v>41.93</v>
      </c>
      <c r="D22" s="42">
        <v>14.03</v>
      </c>
      <c r="E22" s="42">
        <v>226.43</v>
      </c>
      <c r="F22" s="42">
        <v>12.19</v>
      </c>
      <c r="G22" s="42">
        <v>263.79000000000002</v>
      </c>
      <c r="H22" s="42">
        <v>2719.77</v>
      </c>
      <c r="I22" s="42">
        <v>3147.68</v>
      </c>
      <c r="J22" s="42">
        <v>29766</v>
      </c>
      <c r="K22" s="42">
        <v>-43197.450000000004</v>
      </c>
      <c r="L22" s="42">
        <v>23754</v>
      </c>
      <c r="M22" s="42">
        <v>-335.16</v>
      </c>
      <c r="N22" s="42">
        <v>69959.97</v>
      </c>
      <c r="O22" s="42">
        <v>22073.439999999999</v>
      </c>
      <c r="P22" s="42">
        <v>-14540.88</v>
      </c>
      <c r="Q22" s="42">
        <v>18989.525000000001</v>
      </c>
      <c r="R22" s="42">
        <v>106469.44500000001</v>
      </c>
    </row>
    <row r="23" spans="1:18" x14ac:dyDescent="0.25">
      <c r="A23">
        <v>6</v>
      </c>
      <c r="B23" s="42">
        <v>56.654000000000003</v>
      </c>
      <c r="C23" s="42">
        <v>40.967199999999998</v>
      </c>
      <c r="D23" s="42">
        <v>14.0185</v>
      </c>
      <c r="E23" s="42">
        <v>218.4922</v>
      </c>
      <c r="F23" s="42">
        <v>13.3795</v>
      </c>
      <c r="G23" s="42">
        <v>254.0797</v>
      </c>
      <c r="H23" s="42">
        <v>2705.7482</v>
      </c>
      <c r="I23" s="42">
        <v>3075.9126000000001</v>
      </c>
      <c r="J23" s="42">
        <v>8120.0000000000009</v>
      </c>
      <c r="K23" s="42">
        <v>-15880.2</v>
      </c>
      <c r="L23" s="42">
        <v>24997.199999999997</v>
      </c>
      <c r="M23" s="42">
        <v>29821.640000000003</v>
      </c>
      <c r="N23" s="42">
        <v>17008.349999999999</v>
      </c>
      <c r="O23" s="42">
        <v>73512.59</v>
      </c>
      <c r="P23" s="42">
        <v>-10333.74</v>
      </c>
      <c r="Q23" s="42">
        <v>36930.725000000006</v>
      </c>
      <c r="R23" s="42">
        <v>164176.565</v>
      </c>
    </row>
    <row r="24" spans="1:18" x14ac:dyDescent="0.25">
      <c r="A24">
        <v>7</v>
      </c>
      <c r="B24" s="42">
        <v>56.86</v>
      </c>
      <c r="C24" s="42">
        <v>42.07</v>
      </c>
      <c r="D24" s="42">
        <v>14.48</v>
      </c>
      <c r="E24" s="42">
        <v>229.39</v>
      </c>
      <c r="F24" s="42">
        <v>13.4</v>
      </c>
      <c r="G24" s="42">
        <v>265.06</v>
      </c>
      <c r="H24" s="42">
        <v>2693.32</v>
      </c>
      <c r="I24" s="42">
        <v>3371.29</v>
      </c>
      <c r="J24" s="42">
        <v>4022</v>
      </c>
      <c r="K24" s="42">
        <v>-47275.8</v>
      </c>
      <c r="L24" s="42">
        <v>-16028.4</v>
      </c>
      <c r="M24" s="42">
        <v>-11598.74</v>
      </c>
      <c r="N24" s="42">
        <v>16074.119999999999</v>
      </c>
      <c r="O24" s="42">
        <v>15318.060000000001</v>
      </c>
      <c r="P24" s="42">
        <v>-6605.8200000000006</v>
      </c>
      <c r="Q24" s="42">
        <v>-36914.5</v>
      </c>
      <c r="R24" s="42">
        <v>-83009.080000000016</v>
      </c>
    </row>
    <row r="25" spans="1:18" x14ac:dyDescent="0.25">
      <c r="A25">
        <v>8</v>
      </c>
      <c r="B25" s="42">
        <v>57.174199999999999</v>
      </c>
      <c r="C25" s="42">
        <v>40.199800000000003</v>
      </c>
      <c r="D25" s="42">
        <v>14.5587</v>
      </c>
      <c r="E25" s="42">
        <v>220.755</v>
      </c>
      <c r="F25" s="42">
        <v>13.646599999999999</v>
      </c>
      <c r="G25" s="42">
        <v>267.30540000000002</v>
      </c>
      <c r="H25" s="42">
        <v>2707.8923</v>
      </c>
      <c r="I25" s="42">
        <v>3317.8944000000001</v>
      </c>
      <c r="J25" s="42">
        <v>-2284</v>
      </c>
      <c r="K25" s="42">
        <v>5990.7</v>
      </c>
      <c r="L25" s="42">
        <v>-22972.559999999998</v>
      </c>
      <c r="M25" s="42">
        <v>21223</v>
      </c>
      <c r="N25" s="42">
        <v>5068.9800000000005</v>
      </c>
      <c r="O25" s="42">
        <v>3416.3799999999997</v>
      </c>
      <c r="P25" s="42">
        <v>-10976.97</v>
      </c>
      <c r="Q25" s="42">
        <v>-23564.724999999999</v>
      </c>
      <c r="R25" s="42">
        <v>-24099.194999999992</v>
      </c>
    </row>
    <row r="26" spans="1:18" x14ac:dyDescent="0.25">
      <c r="A26">
        <v>9</v>
      </c>
      <c r="B26" s="42">
        <v>56.57</v>
      </c>
      <c r="C26" s="42">
        <v>38.61</v>
      </c>
      <c r="D26" s="42">
        <v>14.27</v>
      </c>
      <c r="E26" s="42">
        <v>230.57</v>
      </c>
      <c r="F26" s="42">
        <v>13.95</v>
      </c>
      <c r="G26" s="42">
        <v>268.62</v>
      </c>
      <c r="H26" s="42">
        <v>2686.86</v>
      </c>
      <c r="I26" s="42">
        <v>3103.8</v>
      </c>
      <c r="J26" s="42">
        <v>9718</v>
      </c>
      <c r="K26" s="42">
        <v>51337.049999999996</v>
      </c>
      <c r="L26" s="42">
        <v>2495.2800000000002</v>
      </c>
      <c r="M26" s="42">
        <v>-16084.260000000002</v>
      </c>
      <c r="N26" s="42">
        <v>-8636.0400000000009</v>
      </c>
      <c r="O26" s="42">
        <v>-3575.91</v>
      </c>
      <c r="P26" s="42">
        <v>-4668.3899999999994</v>
      </c>
      <c r="Q26" s="42">
        <v>29958.924999999999</v>
      </c>
      <c r="R26" s="42">
        <v>60544.654999999999</v>
      </c>
    </row>
    <row r="27" spans="1:18" x14ac:dyDescent="0.25">
      <c r="A27">
        <v>10</v>
      </c>
      <c r="B27" s="42">
        <v>57.065899999999999</v>
      </c>
      <c r="C27" s="42">
        <v>41.909399999999998</v>
      </c>
      <c r="D27" s="42">
        <v>14.248200000000001</v>
      </c>
      <c r="E27" s="42">
        <v>243.25399999999999</v>
      </c>
      <c r="F27" s="42">
        <v>13.862299999999999</v>
      </c>
      <c r="G27" s="42">
        <v>251.6848</v>
      </c>
      <c r="H27" s="42">
        <v>2683.5196999999998</v>
      </c>
      <c r="I27" s="42">
        <v>3473.0961000000002</v>
      </c>
      <c r="J27" s="42">
        <v>-118</v>
      </c>
      <c r="K27" s="42">
        <v>-42732.9</v>
      </c>
      <c r="L27" s="42">
        <v>4599.84</v>
      </c>
      <c r="M27" s="42">
        <v>-64273.200000000004</v>
      </c>
      <c r="N27" s="42">
        <v>-4572.8100000000004</v>
      </c>
      <c r="O27" s="42">
        <v>86205.56</v>
      </c>
      <c r="P27" s="42">
        <v>-3665.19</v>
      </c>
      <c r="Q27" s="42">
        <v>-62365.15</v>
      </c>
      <c r="R27" s="42">
        <v>-86921.85</v>
      </c>
    </row>
  </sheetData>
  <mergeCells count="5">
    <mergeCell ref="B16:I16"/>
    <mergeCell ref="J16:Q16"/>
    <mergeCell ref="C2:G2"/>
    <mergeCell ref="B14:D14"/>
    <mergeCell ref="I10:J10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51" r:id="rId3" name="Button 7">
              <controlPr defaultSize="0" print="0" autoFill="0" autoPict="0" macro="[0]!VaR_Simulaciones">
                <anchor moveWithCells="1" sizeWithCells="1">
                  <from>
                    <xdr:col>6</xdr:col>
                    <xdr:colOff>257175</xdr:colOff>
                    <xdr:row>11</xdr:row>
                    <xdr:rowOff>57150</xdr:rowOff>
                  </from>
                  <to>
                    <xdr:col>8</xdr:col>
                    <xdr:colOff>361950</xdr:colOff>
                    <xdr:row>12</xdr:row>
                    <xdr:rowOff>209550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4</vt:i4>
      </vt:variant>
    </vt:vector>
  </HeadingPairs>
  <TitlesOfParts>
    <vt:vector size="4" baseType="lpstr">
      <vt:lpstr>Portafolio</vt:lpstr>
      <vt:lpstr>VaR Paramétrico</vt:lpstr>
      <vt:lpstr>VaR Histórico</vt:lpstr>
      <vt:lpstr>Var Simulación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Alex</dc:creator>
  <cp:lastModifiedBy>DAVID MENDIETA LOPEZ</cp:lastModifiedBy>
  <dcterms:created xsi:type="dcterms:W3CDTF">2013-04-03T15:49:21Z</dcterms:created>
  <dcterms:modified xsi:type="dcterms:W3CDTF">2024-04-06T22:17:21Z</dcterms:modified>
</cp:coreProperties>
</file>