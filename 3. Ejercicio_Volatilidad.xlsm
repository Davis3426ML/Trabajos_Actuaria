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"/>
    </mc:Choice>
  </mc:AlternateContent>
  <xr:revisionPtr revIDLastSave="0" documentId="13_ncr:1_{DB945E02-BB28-4A7A-8587-D6A8A466EDB9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Precios" sheetId="7" r:id="rId1"/>
    <sheet name="Histórica" sheetId="1" r:id="rId2"/>
    <sheet name="Dinámica" sheetId="2" r:id="rId3"/>
    <sheet name="Resumen" sheetId="8" r:id="rId4"/>
  </sheets>
  <functionGroups builtInGroupCount="19"/>
  <definedNames>
    <definedName name="_xlnm._FilterDatabase" localSheetId="0" hidden="1">Precios!$A$2:$H$255</definedName>
    <definedName name="solver_adj" localSheetId="2" hidden="1">Dinámica!$C$7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Dinámica!$C$7</definedName>
    <definedName name="solver_lhs2" localSheetId="2" hidden="1">Dinámica!$C$7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Dinámica!$K$6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3</definedName>
    <definedName name="solver_rhs1" localSheetId="2" hidden="1">1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2" l="1"/>
  <c r="F2" i="1"/>
  <c r="F15" i="2" l="1"/>
  <c r="C267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D266" i="2" s="1"/>
  <c r="E266" i="2" l="1"/>
  <c r="D229" i="2"/>
  <c r="E229" i="2" s="1"/>
  <c r="D225" i="2"/>
  <c r="E225" i="2" s="1"/>
  <c r="D221" i="2"/>
  <c r="E221" i="2" s="1"/>
  <c r="D217" i="2"/>
  <c r="E217" i="2" s="1"/>
  <c r="D213" i="2"/>
  <c r="E213" i="2" s="1"/>
  <c r="D209" i="2"/>
  <c r="E209" i="2" s="1"/>
  <c r="D205" i="2"/>
  <c r="E205" i="2" s="1"/>
  <c r="D263" i="2"/>
  <c r="E263" i="2" s="1"/>
  <c r="D255" i="2"/>
  <c r="E255" i="2" s="1"/>
  <c r="D251" i="2"/>
  <c r="E251" i="2" s="1"/>
  <c r="D247" i="2"/>
  <c r="E247" i="2" s="1"/>
  <c r="D243" i="2"/>
  <c r="E243" i="2" s="1"/>
  <c r="D239" i="2"/>
  <c r="E239" i="2" s="1"/>
  <c r="D235" i="2"/>
  <c r="E235" i="2" s="1"/>
  <c r="D231" i="2"/>
  <c r="E231" i="2" s="1"/>
  <c r="D227" i="2"/>
  <c r="E227" i="2" s="1"/>
  <c r="D223" i="2"/>
  <c r="E223" i="2" s="1"/>
  <c r="D219" i="2"/>
  <c r="E219" i="2" s="1"/>
  <c r="D215" i="2"/>
  <c r="E215" i="2" s="1"/>
  <c r="D211" i="2"/>
  <c r="E211" i="2" s="1"/>
  <c r="D207" i="2"/>
  <c r="E207" i="2" s="1"/>
  <c r="D203" i="2"/>
  <c r="E203" i="2" s="1"/>
  <c r="D199" i="2"/>
  <c r="E199" i="2" s="1"/>
  <c r="D195" i="2"/>
  <c r="E195" i="2" s="1"/>
  <c r="D191" i="2"/>
  <c r="E191" i="2" s="1"/>
  <c r="D187" i="2"/>
  <c r="E187" i="2" s="1"/>
  <c r="D183" i="2"/>
  <c r="E183" i="2" s="1"/>
  <c r="D179" i="2"/>
  <c r="E179" i="2" s="1"/>
  <c r="D175" i="2"/>
  <c r="E175" i="2" s="1"/>
  <c r="D171" i="2"/>
  <c r="E171" i="2" s="1"/>
  <c r="D167" i="2"/>
  <c r="E167" i="2" s="1"/>
  <c r="D163" i="2"/>
  <c r="E163" i="2" s="1"/>
  <c r="D159" i="2"/>
  <c r="E159" i="2" s="1"/>
  <c r="D155" i="2"/>
  <c r="E155" i="2" s="1"/>
  <c r="D259" i="2"/>
  <c r="E259" i="2" s="1"/>
  <c r="D265" i="2"/>
  <c r="D257" i="2"/>
  <c r="E257" i="2" s="1"/>
  <c r="D201" i="2"/>
  <c r="E201" i="2" s="1"/>
  <c r="D197" i="2"/>
  <c r="E197" i="2" s="1"/>
  <c r="D193" i="2"/>
  <c r="E193" i="2" s="1"/>
  <c r="D189" i="2"/>
  <c r="E189" i="2" s="1"/>
  <c r="D185" i="2"/>
  <c r="E185" i="2" s="1"/>
  <c r="D181" i="2"/>
  <c r="E181" i="2" s="1"/>
  <c r="D177" i="2"/>
  <c r="E177" i="2" s="1"/>
  <c r="D173" i="2"/>
  <c r="E173" i="2" s="1"/>
  <c r="D169" i="2"/>
  <c r="E169" i="2" s="1"/>
  <c r="D165" i="2"/>
  <c r="E165" i="2" s="1"/>
  <c r="D161" i="2"/>
  <c r="E161" i="2" s="1"/>
  <c r="D157" i="2"/>
  <c r="E157" i="2" s="1"/>
  <c r="D153" i="2"/>
  <c r="E153" i="2" s="1"/>
  <c r="D149" i="2"/>
  <c r="E149" i="2" s="1"/>
  <c r="D145" i="2"/>
  <c r="E145" i="2" s="1"/>
  <c r="D258" i="2"/>
  <c r="E258" i="2" s="1"/>
  <c r="D261" i="2"/>
  <c r="E261" i="2" s="1"/>
  <c r="D151" i="2"/>
  <c r="E151" i="2" s="1"/>
  <c r="D147" i="2"/>
  <c r="E147" i="2" s="1"/>
  <c r="D262" i="2"/>
  <c r="E262" i="2" s="1"/>
  <c r="D254" i="2"/>
  <c r="E254" i="2" s="1"/>
  <c r="D250" i="2"/>
  <c r="E250" i="2" s="1"/>
  <c r="D246" i="2"/>
  <c r="E246" i="2" s="1"/>
  <c r="D249" i="2"/>
  <c r="E249" i="2" s="1"/>
  <c r="D237" i="2"/>
  <c r="E237" i="2" s="1"/>
  <c r="D233" i="2"/>
  <c r="E233" i="2" s="1"/>
  <c r="D253" i="2"/>
  <c r="E253" i="2" s="1"/>
  <c r="D245" i="2"/>
  <c r="E245" i="2" s="1"/>
  <c r="D241" i="2"/>
  <c r="E241" i="2" s="1"/>
  <c r="D264" i="2"/>
  <c r="E264" i="2" s="1"/>
  <c r="D260" i="2"/>
  <c r="E260" i="2" s="1"/>
  <c r="D256" i="2"/>
  <c r="E256" i="2" s="1"/>
  <c r="D252" i="2"/>
  <c r="E252" i="2" s="1"/>
  <c r="D248" i="2"/>
  <c r="E248" i="2" s="1"/>
  <c r="D244" i="2"/>
  <c r="E244" i="2" s="1"/>
  <c r="D240" i="2"/>
  <c r="E240" i="2" s="1"/>
  <c r="D236" i="2"/>
  <c r="E236" i="2" s="1"/>
  <c r="D232" i="2"/>
  <c r="E232" i="2" s="1"/>
  <c r="D228" i="2"/>
  <c r="E228" i="2" s="1"/>
  <c r="D224" i="2"/>
  <c r="E224" i="2" s="1"/>
  <c r="D220" i="2"/>
  <c r="E220" i="2" s="1"/>
  <c r="D216" i="2"/>
  <c r="E216" i="2" s="1"/>
  <c r="D212" i="2"/>
  <c r="E212" i="2" s="1"/>
  <c r="D208" i="2"/>
  <c r="E208" i="2" s="1"/>
  <c r="D204" i="2"/>
  <c r="E204" i="2" s="1"/>
  <c r="D200" i="2"/>
  <c r="E200" i="2" s="1"/>
  <c r="D196" i="2"/>
  <c r="E196" i="2" s="1"/>
  <c r="D192" i="2"/>
  <c r="E192" i="2" s="1"/>
  <c r="D188" i="2"/>
  <c r="E188" i="2" s="1"/>
  <c r="D184" i="2"/>
  <c r="E184" i="2" s="1"/>
  <c r="D180" i="2"/>
  <c r="E180" i="2" s="1"/>
  <c r="D176" i="2"/>
  <c r="E176" i="2" s="1"/>
  <c r="D172" i="2"/>
  <c r="E172" i="2" s="1"/>
  <c r="D168" i="2"/>
  <c r="E168" i="2" s="1"/>
  <c r="D164" i="2"/>
  <c r="E164" i="2" s="1"/>
  <c r="D160" i="2"/>
  <c r="E160" i="2" s="1"/>
  <c r="D156" i="2"/>
  <c r="E156" i="2" s="1"/>
  <c r="D152" i="2"/>
  <c r="E152" i="2" s="1"/>
  <c r="D148" i="2"/>
  <c r="E148" i="2" s="1"/>
  <c r="D242" i="2"/>
  <c r="E242" i="2" s="1"/>
  <c r="D238" i="2"/>
  <c r="E238" i="2" s="1"/>
  <c r="D234" i="2"/>
  <c r="E234" i="2" s="1"/>
  <c r="D230" i="2"/>
  <c r="E230" i="2" s="1"/>
  <c r="D226" i="2"/>
  <c r="E226" i="2" s="1"/>
  <c r="D222" i="2"/>
  <c r="E222" i="2" s="1"/>
  <c r="D218" i="2"/>
  <c r="E218" i="2" s="1"/>
  <c r="D214" i="2"/>
  <c r="E214" i="2" s="1"/>
  <c r="D210" i="2"/>
  <c r="E210" i="2" s="1"/>
  <c r="D206" i="2"/>
  <c r="E206" i="2" s="1"/>
  <c r="D202" i="2"/>
  <c r="E202" i="2" s="1"/>
  <c r="D198" i="2"/>
  <c r="E198" i="2" s="1"/>
  <c r="D194" i="2"/>
  <c r="E194" i="2" s="1"/>
  <c r="D190" i="2"/>
  <c r="E190" i="2" s="1"/>
  <c r="D186" i="2"/>
  <c r="E186" i="2" s="1"/>
  <c r="D182" i="2"/>
  <c r="E182" i="2" s="1"/>
  <c r="D178" i="2"/>
  <c r="E178" i="2" s="1"/>
  <c r="D174" i="2"/>
  <c r="E174" i="2" s="1"/>
  <c r="D170" i="2"/>
  <c r="E170" i="2" s="1"/>
  <c r="D166" i="2"/>
  <c r="E166" i="2" s="1"/>
  <c r="D162" i="2"/>
  <c r="E162" i="2" s="1"/>
  <c r="D158" i="2"/>
  <c r="E158" i="2" s="1"/>
  <c r="D154" i="2"/>
  <c r="E154" i="2" s="1"/>
  <c r="D150" i="2"/>
  <c r="E150" i="2" s="1"/>
  <c r="D146" i="2"/>
  <c r="E146" i="2" s="1"/>
  <c r="E265" i="2" l="1"/>
  <c r="M264" i="2" s="1"/>
  <c r="M265" i="2"/>
  <c r="K265" i="2"/>
  <c r="K264" i="2" l="1"/>
  <c r="L265" i="2"/>
  <c r="P254" i="2" l="1"/>
  <c r="O254" i="2"/>
  <c r="K263" i="2"/>
  <c r="L264" i="2"/>
  <c r="M263" i="2"/>
  <c r="P253" i="2" l="1"/>
  <c r="O253" i="2"/>
  <c r="K262" i="2"/>
  <c r="L263" i="2"/>
  <c r="M262" i="2"/>
  <c r="P252" i="2" l="1"/>
  <c r="O252" i="2"/>
  <c r="L262" i="2"/>
  <c r="K261" i="2"/>
  <c r="M261" i="2"/>
  <c r="L261" i="2" l="1"/>
  <c r="K260" i="2"/>
  <c r="M260" i="2"/>
  <c r="O251" i="2"/>
  <c r="P251" i="2"/>
  <c r="L260" i="2" l="1"/>
  <c r="K259" i="2"/>
  <c r="M259" i="2"/>
  <c r="O250" i="2"/>
  <c r="P250" i="2"/>
  <c r="L259" i="2" l="1"/>
  <c r="K258" i="2"/>
  <c r="M258" i="2"/>
  <c r="P249" i="2"/>
  <c r="O249" i="2"/>
  <c r="L258" i="2" l="1"/>
  <c r="M257" i="2"/>
  <c r="K257" i="2"/>
  <c r="P248" i="2"/>
  <c r="O248" i="2"/>
  <c r="L257" i="2" l="1"/>
  <c r="M256" i="2"/>
  <c r="K256" i="2"/>
  <c r="P247" i="2"/>
  <c r="O247" i="2"/>
  <c r="L256" i="2" l="1"/>
  <c r="M255" i="2"/>
  <c r="K255" i="2"/>
  <c r="P246" i="2"/>
  <c r="O246" i="2"/>
  <c r="L255" i="2" l="1"/>
  <c r="K254" i="2"/>
  <c r="M254" i="2"/>
  <c r="O245" i="2"/>
  <c r="P245" i="2"/>
  <c r="L254" i="2" l="1"/>
  <c r="K253" i="2"/>
  <c r="M253" i="2"/>
  <c r="P244" i="2"/>
  <c r="O244" i="2"/>
  <c r="L253" i="2" l="1"/>
  <c r="M252" i="2"/>
  <c r="K252" i="2"/>
  <c r="O243" i="2"/>
  <c r="P243" i="2"/>
  <c r="L252" i="2" l="1"/>
  <c r="K251" i="2"/>
  <c r="M251" i="2"/>
  <c r="O242" i="2"/>
  <c r="P242" i="2"/>
  <c r="L251" i="2" l="1"/>
  <c r="K250" i="2"/>
  <c r="M250" i="2"/>
  <c r="O241" i="2"/>
  <c r="P241" i="2"/>
  <c r="L250" i="2" l="1"/>
  <c r="M249" i="2"/>
  <c r="K249" i="2"/>
  <c r="O240" i="2"/>
  <c r="P240" i="2"/>
  <c r="L249" i="2" l="1"/>
  <c r="K248" i="2"/>
  <c r="M248" i="2"/>
  <c r="O239" i="2"/>
  <c r="P239" i="2"/>
  <c r="L248" i="2" l="1"/>
  <c r="M247" i="2"/>
  <c r="K247" i="2"/>
  <c r="P238" i="2"/>
  <c r="O238" i="2"/>
  <c r="L247" i="2" l="1"/>
  <c r="K246" i="2"/>
  <c r="M246" i="2"/>
  <c r="P237" i="2"/>
  <c r="O237" i="2"/>
  <c r="L246" i="2" l="1"/>
  <c r="K245" i="2"/>
  <c r="M245" i="2"/>
  <c r="O236" i="2"/>
  <c r="P236" i="2"/>
  <c r="L245" i="2" l="1"/>
  <c r="K244" i="2"/>
  <c r="M244" i="2"/>
  <c r="O235" i="2"/>
  <c r="P235" i="2"/>
  <c r="L244" i="2" l="1"/>
  <c r="M243" i="2"/>
  <c r="K243" i="2"/>
  <c r="O234" i="2"/>
  <c r="P234" i="2"/>
  <c r="L243" i="2" l="1"/>
  <c r="M242" i="2"/>
  <c r="K242" i="2"/>
  <c r="O233" i="2"/>
  <c r="P233" i="2"/>
  <c r="L242" i="2" l="1"/>
  <c r="K241" i="2"/>
  <c r="M241" i="2"/>
  <c r="P232" i="2"/>
  <c r="O232" i="2"/>
  <c r="L241" i="2" l="1"/>
  <c r="M240" i="2"/>
  <c r="K240" i="2"/>
  <c r="P231" i="2"/>
  <c r="O231" i="2"/>
  <c r="L240" i="2" l="1"/>
  <c r="K239" i="2"/>
  <c r="M239" i="2"/>
  <c r="P230" i="2"/>
  <c r="O230" i="2"/>
  <c r="L239" i="2" l="1"/>
  <c r="K238" i="2"/>
  <c r="M238" i="2"/>
  <c r="P229" i="2"/>
  <c r="O229" i="2"/>
  <c r="L238" i="2" l="1"/>
  <c r="K237" i="2"/>
  <c r="M237" i="2"/>
  <c r="O228" i="2"/>
  <c r="P228" i="2"/>
  <c r="L237" i="2" l="1"/>
  <c r="K236" i="2"/>
  <c r="M236" i="2"/>
  <c r="O227" i="2"/>
  <c r="P227" i="2"/>
  <c r="L236" i="2" l="1"/>
  <c r="M235" i="2"/>
  <c r="K235" i="2"/>
  <c r="P226" i="2"/>
  <c r="O226" i="2"/>
  <c r="L235" i="2" l="1"/>
  <c r="M234" i="2"/>
  <c r="K234" i="2"/>
  <c r="P225" i="2"/>
  <c r="O225" i="2"/>
  <c r="L234" i="2" l="1"/>
  <c r="M233" i="2"/>
  <c r="K233" i="2"/>
  <c r="P224" i="2"/>
  <c r="O224" i="2"/>
  <c r="L233" i="2" l="1"/>
  <c r="K232" i="2"/>
  <c r="M232" i="2"/>
  <c r="O223" i="2"/>
  <c r="P223" i="2"/>
  <c r="L232" i="2" l="1"/>
  <c r="K231" i="2"/>
  <c r="M231" i="2"/>
  <c r="O222" i="2"/>
  <c r="P222" i="2"/>
  <c r="L231" i="2" l="1"/>
  <c r="M230" i="2"/>
  <c r="K230" i="2"/>
  <c r="O221" i="2"/>
  <c r="P221" i="2"/>
  <c r="L230" i="2" l="1"/>
  <c r="K229" i="2"/>
  <c r="M229" i="2"/>
  <c r="P220" i="2"/>
  <c r="O220" i="2"/>
  <c r="L229" i="2" l="1"/>
  <c r="K228" i="2"/>
  <c r="M228" i="2"/>
  <c r="P219" i="2"/>
  <c r="O219" i="2"/>
  <c r="L228" i="2" l="1"/>
  <c r="K227" i="2"/>
  <c r="M227" i="2"/>
  <c r="P218" i="2"/>
  <c r="O218" i="2"/>
  <c r="L227" i="2" l="1"/>
  <c r="M226" i="2"/>
  <c r="K226" i="2"/>
  <c r="P217" i="2"/>
  <c r="O217" i="2"/>
  <c r="L226" i="2" l="1"/>
  <c r="M225" i="2"/>
  <c r="K225" i="2"/>
  <c r="O216" i="2"/>
  <c r="P216" i="2"/>
  <c r="L225" i="2" l="1"/>
  <c r="K224" i="2"/>
  <c r="M224" i="2"/>
  <c r="P215" i="2"/>
  <c r="O215" i="2"/>
  <c r="L224" i="2" l="1"/>
  <c r="K223" i="2"/>
  <c r="M223" i="2"/>
  <c r="O214" i="2"/>
  <c r="P214" i="2"/>
  <c r="L223" i="2" l="1"/>
  <c r="K222" i="2"/>
  <c r="M222" i="2"/>
  <c r="P213" i="2"/>
  <c r="O213" i="2"/>
  <c r="L222" i="2" l="1"/>
  <c r="M221" i="2"/>
  <c r="K221" i="2"/>
  <c r="P212" i="2"/>
  <c r="O212" i="2"/>
  <c r="L221" i="2" l="1"/>
  <c r="M220" i="2"/>
  <c r="K220" i="2"/>
  <c r="P211" i="2"/>
  <c r="O211" i="2"/>
  <c r="L220" i="2" l="1"/>
  <c r="K219" i="2"/>
  <c r="M219" i="2"/>
  <c r="O210" i="2"/>
  <c r="P210" i="2"/>
  <c r="L219" i="2" l="1"/>
  <c r="M218" i="2"/>
  <c r="K218" i="2"/>
  <c r="O209" i="2"/>
  <c r="P209" i="2"/>
  <c r="L218" i="2" l="1"/>
  <c r="K217" i="2"/>
  <c r="M217" i="2"/>
  <c r="P208" i="2"/>
  <c r="O208" i="2"/>
  <c r="L217" i="2" l="1"/>
  <c r="M216" i="2"/>
  <c r="K216" i="2"/>
  <c r="P207" i="2"/>
  <c r="O207" i="2"/>
  <c r="L216" i="2" l="1"/>
  <c r="K215" i="2"/>
  <c r="M215" i="2"/>
  <c r="P206" i="2"/>
  <c r="O206" i="2"/>
  <c r="L215" i="2" l="1"/>
  <c r="K214" i="2"/>
  <c r="M214" i="2"/>
  <c r="P205" i="2"/>
  <c r="O205" i="2"/>
  <c r="L214" i="2" l="1"/>
  <c r="M213" i="2"/>
  <c r="K213" i="2"/>
  <c r="O204" i="2"/>
  <c r="P204" i="2"/>
  <c r="L213" i="2" l="1"/>
  <c r="M212" i="2"/>
  <c r="K212" i="2"/>
  <c r="O203" i="2"/>
  <c r="P203" i="2"/>
  <c r="L212" i="2" l="1"/>
  <c r="M211" i="2"/>
  <c r="K211" i="2"/>
  <c r="P202" i="2"/>
  <c r="O202" i="2"/>
  <c r="L211" i="2" l="1"/>
  <c r="K210" i="2"/>
  <c r="M210" i="2"/>
  <c r="P201" i="2"/>
  <c r="O201" i="2"/>
  <c r="L210" i="2" l="1"/>
  <c r="K209" i="2"/>
  <c r="M209" i="2"/>
  <c r="O200" i="2"/>
  <c r="P200" i="2"/>
  <c r="L209" i="2" l="1"/>
  <c r="K208" i="2"/>
  <c r="M208" i="2"/>
  <c r="O199" i="2"/>
  <c r="P199" i="2"/>
  <c r="L208" i="2" l="1"/>
  <c r="K207" i="2"/>
  <c r="M207" i="2"/>
  <c r="O198" i="2"/>
  <c r="P198" i="2"/>
  <c r="L207" i="2" l="1"/>
  <c r="M206" i="2"/>
  <c r="K206" i="2"/>
  <c r="O197" i="2"/>
  <c r="P197" i="2"/>
  <c r="L206" i="2" l="1"/>
  <c r="K205" i="2"/>
  <c r="M205" i="2"/>
  <c r="P196" i="2"/>
  <c r="O196" i="2"/>
  <c r="L205" i="2" l="1"/>
  <c r="K204" i="2"/>
  <c r="M204" i="2"/>
  <c r="P195" i="2"/>
  <c r="O195" i="2"/>
  <c r="L204" i="2" l="1"/>
  <c r="K203" i="2"/>
  <c r="M203" i="2"/>
  <c r="P194" i="2"/>
  <c r="O194" i="2"/>
  <c r="L203" i="2" l="1"/>
  <c r="K202" i="2"/>
  <c r="M202" i="2"/>
  <c r="P193" i="2"/>
  <c r="O193" i="2"/>
  <c r="L202" i="2" l="1"/>
  <c r="K201" i="2"/>
  <c r="M201" i="2"/>
  <c r="O192" i="2"/>
  <c r="P192" i="2"/>
  <c r="L201" i="2" l="1"/>
  <c r="K200" i="2"/>
  <c r="M200" i="2"/>
  <c r="O191" i="2"/>
  <c r="P191" i="2"/>
  <c r="L200" i="2" l="1"/>
  <c r="K199" i="2"/>
  <c r="M199" i="2"/>
  <c r="P190" i="2"/>
  <c r="O190" i="2"/>
  <c r="L199" i="2" l="1"/>
  <c r="M198" i="2"/>
  <c r="K198" i="2"/>
  <c r="O189" i="2"/>
  <c r="P189" i="2"/>
  <c r="L198" i="2" l="1"/>
  <c r="K197" i="2"/>
  <c r="M197" i="2"/>
  <c r="P188" i="2"/>
  <c r="O188" i="2"/>
  <c r="L197" i="2" l="1"/>
  <c r="M196" i="2"/>
  <c r="K196" i="2"/>
  <c r="P187" i="2"/>
  <c r="O187" i="2"/>
  <c r="L196" i="2" l="1"/>
  <c r="K195" i="2"/>
  <c r="M195" i="2"/>
  <c r="O186" i="2"/>
  <c r="P186" i="2"/>
  <c r="L195" i="2" l="1"/>
  <c r="M194" i="2"/>
  <c r="K194" i="2"/>
  <c r="O185" i="2"/>
  <c r="P185" i="2"/>
  <c r="L194" i="2" l="1"/>
  <c r="K193" i="2"/>
  <c r="M193" i="2"/>
  <c r="P184" i="2"/>
  <c r="O184" i="2"/>
  <c r="L193" i="2" l="1"/>
  <c r="M192" i="2"/>
  <c r="K192" i="2"/>
  <c r="P183" i="2"/>
  <c r="O183" i="2"/>
  <c r="L192" i="2" l="1"/>
  <c r="M191" i="2"/>
  <c r="K191" i="2"/>
  <c r="P182" i="2"/>
  <c r="O182" i="2"/>
  <c r="L191" i="2" l="1"/>
  <c r="K190" i="2"/>
  <c r="M190" i="2"/>
  <c r="O181" i="2"/>
  <c r="P181" i="2"/>
  <c r="L190" i="2" l="1"/>
  <c r="K189" i="2"/>
  <c r="M189" i="2"/>
  <c r="P180" i="2"/>
  <c r="O180" i="2"/>
  <c r="L189" i="2" l="1"/>
  <c r="K188" i="2"/>
  <c r="M188" i="2"/>
  <c r="O179" i="2"/>
  <c r="P179" i="2"/>
  <c r="L188" i="2" l="1"/>
  <c r="M187" i="2"/>
  <c r="K187" i="2"/>
  <c r="O178" i="2"/>
  <c r="P178" i="2"/>
  <c r="L187" i="2" l="1"/>
  <c r="K186" i="2"/>
  <c r="M186" i="2"/>
  <c r="O177" i="2"/>
  <c r="P177" i="2"/>
  <c r="L186" i="2" l="1"/>
  <c r="M185" i="2"/>
  <c r="K185" i="2"/>
  <c r="P176" i="2"/>
  <c r="O176" i="2"/>
  <c r="L185" i="2" l="1"/>
  <c r="K184" i="2"/>
  <c r="M184" i="2"/>
  <c r="P175" i="2"/>
  <c r="O175" i="2"/>
  <c r="L184" i="2" l="1"/>
  <c r="M183" i="2"/>
  <c r="K183" i="2"/>
  <c r="O174" i="2"/>
  <c r="P174" i="2"/>
  <c r="L183" i="2" l="1"/>
  <c r="K182" i="2"/>
  <c r="M182" i="2"/>
  <c r="O173" i="2"/>
  <c r="P173" i="2"/>
  <c r="L182" i="2" l="1"/>
  <c r="M181" i="2"/>
  <c r="K181" i="2"/>
  <c r="O172" i="2"/>
  <c r="P172" i="2"/>
  <c r="L181" i="2" l="1"/>
  <c r="M180" i="2"/>
  <c r="K180" i="2"/>
  <c r="P171" i="2"/>
  <c r="O171" i="2"/>
  <c r="L180" i="2" l="1"/>
  <c r="M179" i="2"/>
  <c r="K179" i="2"/>
  <c r="P170" i="2"/>
  <c r="O170" i="2"/>
  <c r="L179" i="2" l="1"/>
  <c r="M178" i="2"/>
  <c r="K178" i="2"/>
  <c r="O169" i="2"/>
  <c r="P169" i="2"/>
  <c r="L178" i="2" l="1"/>
  <c r="M177" i="2"/>
  <c r="K177" i="2"/>
  <c r="O168" i="2"/>
  <c r="P168" i="2"/>
  <c r="L177" i="2" l="1"/>
  <c r="K176" i="2"/>
  <c r="M176" i="2"/>
  <c r="P167" i="2"/>
  <c r="O167" i="2"/>
  <c r="L176" i="2" l="1"/>
  <c r="K175" i="2"/>
  <c r="M175" i="2"/>
  <c r="O166" i="2"/>
  <c r="P166" i="2"/>
  <c r="L175" i="2" l="1"/>
  <c r="K174" i="2"/>
  <c r="M174" i="2"/>
  <c r="P165" i="2"/>
  <c r="O165" i="2"/>
  <c r="L174" i="2" l="1"/>
  <c r="K173" i="2"/>
  <c r="M173" i="2"/>
  <c r="P164" i="2"/>
  <c r="O164" i="2"/>
  <c r="L173" i="2" l="1"/>
  <c r="K172" i="2"/>
  <c r="M172" i="2"/>
  <c r="P163" i="2"/>
  <c r="O163" i="2"/>
  <c r="L172" i="2" l="1"/>
  <c r="K171" i="2"/>
  <c r="M171" i="2"/>
  <c r="O162" i="2"/>
  <c r="P162" i="2"/>
  <c r="L171" i="2" l="1"/>
  <c r="K170" i="2"/>
  <c r="M170" i="2"/>
  <c r="O161" i="2"/>
  <c r="P161" i="2"/>
  <c r="L170" i="2" l="1"/>
  <c r="K169" i="2"/>
  <c r="M169" i="2"/>
  <c r="O160" i="2"/>
  <c r="P160" i="2"/>
  <c r="L169" i="2" l="1"/>
  <c r="M168" i="2"/>
  <c r="K168" i="2"/>
  <c r="O159" i="2"/>
  <c r="P159" i="2"/>
  <c r="L168" i="2" l="1"/>
  <c r="M167" i="2"/>
  <c r="K167" i="2"/>
  <c r="P158" i="2"/>
  <c r="O158" i="2"/>
  <c r="L167" i="2" l="1"/>
  <c r="K166" i="2"/>
  <c r="M166" i="2"/>
  <c r="P157" i="2"/>
  <c r="O157" i="2"/>
  <c r="L166" i="2" l="1"/>
  <c r="K165" i="2"/>
  <c r="M165" i="2"/>
  <c r="P156" i="2"/>
  <c r="O156" i="2"/>
  <c r="L165" i="2" l="1"/>
  <c r="K164" i="2"/>
  <c r="M164" i="2"/>
  <c r="O155" i="2"/>
  <c r="P155" i="2"/>
  <c r="L164" i="2" l="1"/>
  <c r="K163" i="2"/>
  <c r="M163" i="2"/>
  <c r="P154" i="2"/>
  <c r="O154" i="2"/>
  <c r="L163" i="2" l="1"/>
  <c r="M162" i="2"/>
  <c r="K162" i="2"/>
  <c r="P153" i="2"/>
  <c r="O153" i="2"/>
  <c r="L162" i="2" l="1"/>
  <c r="K161" i="2"/>
  <c r="M161" i="2"/>
  <c r="P152" i="2"/>
  <c r="O152" i="2"/>
  <c r="L161" i="2" l="1"/>
  <c r="M160" i="2"/>
  <c r="K160" i="2"/>
  <c r="P151" i="2"/>
  <c r="O151" i="2"/>
  <c r="L160" i="2" l="1"/>
  <c r="K159" i="2"/>
  <c r="M159" i="2"/>
  <c r="P150" i="2"/>
  <c r="O150" i="2"/>
  <c r="L159" i="2" l="1"/>
  <c r="K158" i="2"/>
  <c r="M158" i="2"/>
  <c r="O149" i="2"/>
  <c r="P149" i="2"/>
  <c r="C259" i="1"/>
  <c r="L158" i="2" l="1"/>
  <c r="K157" i="2"/>
  <c r="M157" i="2"/>
  <c r="P148" i="2"/>
  <c r="O148" i="2"/>
  <c r="L157" i="2" l="1"/>
  <c r="K156" i="2"/>
  <c r="M156" i="2"/>
  <c r="P147" i="2"/>
  <c r="O147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0" i="2" s="1"/>
  <c r="E30" i="2" s="1"/>
  <c r="C31" i="2"/>
  <c r="C32" i="2"/>
  <c r="C33" i="2"/>
  <c r="C34" i="2"/>
  <c r="D34" i="2" s="1"/>
  <c r="E34" i="2" s="1"/>
  <c r="C35" i="2"/>
  <c r="C36" i="2"/>
  <c r="C37" i="2"/>
  <c r="C38" i="2"/>
  <c r="D38" i="2" s="1"/>
  <c r="E38" i="2" s="1"/>
  <c r="C39" i="2"/>
  <c r="C40" i="2"/>
  <c r="C41" i="2"/>
  <c r="C42" i="2"/>
  <c r="D42" i="2" s="1"/>
  <c r="E42" i="2" s="1"/>
  <c r="C43" i="2"/>
  <c r="C44" i="2"/>
  <c r="C45" i="2"/>
  <c r="C46" i="2"/>
  <c r="D46" i="2" s="1"/>
  <c r="E46" i="2" s="1"/>
  <c r="C47" i="2"/>
  <c r="C48" i="2"/>
  <c r="C49" i="2"/>
  <c r="C50" i="2"/>
  <c r="D50" i="2" s="1"/>
  <c r="E50" i="2" s="1"/>
  <c r="C51" i="2"/>
  <c r="C52" i="2"/>
  <c r="C53" i="2"/>
  <c r="C54" i="2"/>
  <c r="D54" i="2" s="1"/>
  <c r="E54" i="2" s="1"/>
  <c r="C55" i="2"/>
  <c r="C56" i="2"/>
  <c r="C57" i="2"/>
  <c r="C58" i="2"/>
  <c r="D58" i="2" s="1"/>
  <c r="E58" i="2" s="1"/>
  <c r="C59" i="2"/>
  <c r="C60" i="2"/>
  <c r="C61" i="2"/>
  <c r="C62" i="2"/>
  <c r="D62" i="2" s="1"/>
  <c r="E62" i="2" s="1"/>
  <c r="C63" i="2"/>
  <c r="C64" i="2"/>
  <c r="C65" i="2"/>
  <c r="C66" i="2"/>
  <c r="D66" i="2" s="1"/>
  <c r="E66" i="2" s="1"/>
  <c r="C67" i="2"/>
  <c r="C68" i="2"/>
  <c r="C69" i="2"/>
  <c r="C70" i="2"/>
  <c r="D70" i="2" s="1"/>
  <c r="E70" i="2" s="1"/>
  <c r="C71" i="2"/>
  <c r="C72" i="2"/>
  <c r="C73" i="2"/>
  <c r="C74" i="2"/>
  <c r="D74" i="2" s="1"/>
  <c r="E74" i="2" s="1"/>
  <c r="C75" i="2"/>
  <c r="C76" i="2"/>
  <c r="C77" i="2"/>
  <c r="C78" i="2"/>
  <c r="D78" i="2" s="1"/>
  <c r="E78" i="2" s="1"/>
  <c r="C79" i="2"/>
  <c r="C80" i="2"/>
  <c r="C81" i="2"/>
  <c r="C82" i="2"/>
  <c r="D82" i="2" s="1"/>
  <c r="E82" i="2" s="1"/>
  <c r="C83" i="2"/>
  <c r="C84" i="2"/>
  <c r="C85" i="2"/>
  <c r="C86" i="2"/>
  <c r="D86" i="2" s="1"/>
  <c r="E86" i="2" s="1"/>
  <c r="C87" i="2"/>
  <c r="C88" i="2"/>
  <c r="C89" i="2"/>
  <c r="C90" i="2"/>
  <c r="D90" i="2" s="1"/>
  <c r="E90" i="2" s="1"/>
  <c r="C91" i="2"/>
  <c r="C92" i="2"/>
  <c r="C93" i="2"/>
  <c r="C94" i="2"/>
  <c r="D94" i="2" s="1"/>
  <c r="E94" i="2" s="1"/>
  <c r="C95" i="2"/>
  <c r="C96" i="2"/>
  <c r="C97" i="2"/>
  <c r="C98" i="2"/>
  <c r="D98" i="2" s="1"/>
  <c r="E98" i="2" s="1"/>
  <c r="C99" i="2"/>
  <c r="C100" i="2"/>
  <c r="C101" i="2"/>
  <c r="C102" i="2"/>
  <c r="D102" i="2" s="1"/>
  <c r="E102" i="2" s="1"/>
  <c r="C103" i="2"/>
  <c r="C104" i="2"/>
  <c r="C105" i="2"/>
  <c r="C106" i="2"/>
  <c r="D106" i="2" s="1"/>
  <c r="E106" i="2" s="1"/>
  <c r="C107" i="2"/>
  <c r="C108" i="2"/>
  <c r="C109" i="2"/>
  <c r="C110" i="2"/>
  <c r="D110" i="2" s="1"/>
  <c r="E110" i="2" s="1"/>
  <c r="C111" i="2"/>
  <c r="C112" i="2"/>
  <c r="C113" i="2"/>
  <c r="C114" i="2"/>
  <c r="D114" i="2" s="1"/>
  <c r="E114" i="2" s="1"/>
  <c r="C115" i="2"/>
  <c r="C116" i="2"/>
  <c r="C117" i="2"/>
  <c r="C118" i="2"/>
  <c r="D118" i="2" s="1"/>
  <c r="E118" i="2" s="1"/>
  <c r="C119" i="2"/>
  <c r="C120" i="2"/>
  <c r="C121" i="2"/>
  <c r="C122" i="2"/>
  <c r="D122" i="2" s="1"/>
  <c r="E122" i="2" s="1"/>
  <c r="C123" i="2"/>
  <c r="C124" i="2"/>
  <c r="C125" i="2"/>
  <c r="C126" i="2"/>
  <c r="D126" i="2" s="1"/>
  <c r="E126" i="2" s="1"/>
  <c r="C127" i="2"/>
  <c r="C128" i="2"/>
  <c r="C129" i="2"/>
  <c r="C130" i="2"/>
  <c r="D130" i="2" s="1"/>
  <c r="E130" i="2" s="1"/>
  <c r="C131" i="2"/>
  <c r="C132" i="2"/>
  <c r="C133" i="2"/>
  <c r="C134" i="2"/>
  <c r="D134" i="2" s="1"/>
  <c r="E134" i="2" s="1"/>
  <c r="C135" i="2"/>
  <c r="C136" i="2"/>
  <c r="C137" i="2"/>
  <c r="C138" i="2"/>
  <c r="C139" i="2"/>
  <c r="C140" i="2"/>
  <c r="C141" i="2"/>
  <c r="C142" i="2"/>
  <c r="C143" i="2"/>
  <c r="C144" i="2"/>
  <c r="D144" i="2" s="1"/>
  <c r="C15" i="2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D258" i="1" s="1"/>
  <c r="C7" i="1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E144" i="2" l="1"/>
  <c r="L156" i="2"/>
  <c r="K155" i="2"/>
  <c r="M155" i="2"/>
  <c r="D15" i="2"/>
  <c r="E15" i="2" s="1"/>
  <c r="O146" i="2"/>
  <c r="P146" i="2"/>
  <c r="D26" i="2"/>
  <c r="E26" i="2" s="1"/>
  <c r="D140" i="2"/>
  <c r="E140" i="2" s="1"/>
  <c r="D136" i="2"/>
  <c r="E136" i="2" s="1"/>
  <c r="D132" i="2"/>
  <c r="E132" i="2" s="1"/>
  <c r="D128" i="2"/>
  <c r="E128" i="2" s="1"/>
  <c r="D124" i="2"/>
  <c r="E124" i="2" s="1"/>
  <c r="D120" i="2"/>
  <c r="E120" i="2" s="1"/>
  <c r="D116" i="2"/>
  <c r="E116" i="2" s="1"/>
  <c r="D112" i="2"/>
  <c r="E112" i="2" s="1"/>
  <c r="D108" i="2"/>
  <c r="E108" i="2" s="1"/>
  <c r="D104" i="2"/>
  <c r="E104" i="2" s="1"/>
  <c r="D100" i="2"/>
  <c r="E100" i="2" s="1"/>
  <c r="D96" i="2"/>
  <c r="E96" i="2" s="1"/>
  <c r="D92" i="2"/>
  <c r="E92" i="2" s="1"/>
  <c r="D88" i="2"/>
  <c r="E88" i="2" s="1"/>
  <c r="D84" i="2"/>
  <c r="E84" i="2" s="1"/>
  <c r="D80" i="2"/>
  <c r="E80" i="2" s="1"/>
  <c r="D76" i="2"/>
  <c r="E76" i="2" s="1"/>
  <c r="D72" i="2"/>
  <c r="E72" i="2" s="1"/>
  <c r="D68" i="2"/>
  <c r="E68" i="2" s="1"/>
  <c r="D64" i="2"/>
  <c r="E64" i="2" s="1"/>
  <c r="D60" i="2"/>
  <c r="E60" i="2" s="1"/>
  <c r="D56" i="2"/>
  <c r="E56" i="2" s="1"/>
  <c r="D52" i="2"/>
  <c r="E52" i="2" s="1"/>
  <c r="D48" i="2"/>
  <c r="E48" i="2" s="1"/>
  <c r="D44" i="2"/>
  <c r="E44" i="2" s="1"/>
  <c r="D40" i="2"/>
  <c r="E40" i="2" s="1"/>
  <c r="D36" i="2"/>
  <c r="E36" i="2" s="1"/>
  <c r="D32" i="2"/>
  <c r="E32" i="2" s="1"/>
  <c r="D28" i="2"/>
  <c r="E28" i="2" s="1"/>
  <c r="D24" i="2"/>
  <c r="E24" i="2" s="1"/>
  <c r="D22" i="2"/>
  <c r="E22" i="2" s="1"/>
  <c r="D20" i="2"/>
  <c r="E20" i="2" s="1"/>
  <c r="D18" i="2"/>
  <c r="E18" i="2" s="1"/>
  <c r="D16" i="2"/>
  <c r="E16" i="2" s="1"/>
  <c r="D21" i="2"/>
  <c r="E21" i="2" s="1"/>
  <c r="D17" i="2"/>
  <c r="E17" i="2" s="1"/>
  <c r="D138" i="2"/>
  <c r="E138" i="2" s="1"/>
  <c r="D142" i="2"/>
  <c r="E142" i="2" s="1"/>
  <c r="D141" i="2"/>
  <c r="E141" i="2" s="1"/>
  <c r="D137" i="2"/>
  <c r="E137" i="2" s="1"/>
  <c r="D133" i="2"/>
  <c r="E133" i="2" s="1"/>
  <c r="D129" i="2"/>
  <c r="E129" i="2" s="1"/>
  <c r="D125" i="2"/>
  <c r="E125" i="2" s="1"/>
  <c r="D121" i="2"/>
  <c r="E121" i="2" s="1"/>
  <c r="D117" i="2"/>
  <c r="E117" i="2" s="1"/>
  <c r="D113" i="2"/>
  <c r="E113" i="2" s="1"/>
  <c r="D109" i="2"/>
  <c r="E109" i="2" s="1"/>
  <c r="D105" i="2"/>
  <c r="E105" i="2" s="1"/>
  <c r="D101" i="2"/>
  <c r="E101" i="2" s="1"/>
  <c r="D97" i="2"/>
  <c r="E97" i="2" s="1"/>
  <c r="D93" i="2"/>
  <c r="E93" i="2" s="1"/>
  <c r="D89" i="2"/>
  <c r="E89" i="2" s="1"/>
  <c r="D85" i="2"/>
  <c r="E85" i="2" s="1"/>
  <c r="D81" i="2"/>
  <c r="E81" i="2" s="1"/>
  <c r="D77" i="2"/>
  <c r="E77" i="2" s="1"/>
  <c r="D73" i="2"/>
  <c r="E73" i="2" s="1"/>
  <c r="D69" i="2"/>
  <c r="E69" i="2" s="1"/>
  <c r="D65" i="2"/>
  <c r="E65" i="2" s="1"/>
  <c r="D61" i="2"/>
  <c r="E61" i="2" s="1"/>
  <c r="D57" i="2"/>
  <c r="E57" i="2" s="1"/>
  <c r="D53" i="2"/>
  <c r="E53" i="2" s="1"/>
  <c r="D49" i="2"/>
  <c r="E49" i="2" s="1"/>
  <c r="D45" i="2"/>
  <c r="E45" i="2" s="1"/>
  <c r="D41" i="2"/>
  <c r="E41" i="2" s="1"/>
  <c r="D37" i="2"/>
  <c r="E37" i="2" s="1"/>
  <c r="D33" i="2"/>
  <c r="E33" i="2" s="1"/>
  <c r="D29" i="2"/>
  <c r="E29" i="2" s="1"/>
  <c r="D25" i="2"/>
  <c r="E25" i="2" s="1"/>
  <c r="D143" i="2"/>
  <c r="D139" i="2"/>
  <c r="E139" i="2" s="1"/>
  <c r="D135" i="2"/>
  <c r="E135" i="2" s="1"/>
  <c r="D131" i="2"/>
  <c r="E131" i="2" s="1"/>
  <c r="D127" i="2"/>
  <c r="E127" i="2" s="1"/>
  <c r="D123" i="2"/>
  <c r="E123" i="2" s="1"/>
  <c r="D119" i="2"/>
  <c r="E119" i="2" s="1"/>
  <c r="D115" i="2"/>
  <c r="E115" i="2" s="1"/>
  <c r="D111" i="2"/>
  <c r="E111" i="2" s="1"/>
  <c r="D107" i="2"/>
  <c r="E107" i="2" s="1"/>
  <c r="D103" i="2"/>
  <c r="E103" i="2" s="1"/>
  <c r="D99" i="2"/>
  <c r="E99" i="2" s="1"/>
  <c r="D95" i="2"/>
  <c r="E95" i="2" s="1"/>
  <c r="D91" i="2"/>
  <c r="E91" i="2" s="1"/>
  <c r="D87" i="2"/>
  <c r="E87" i="2" s="1"/>
  <c r="D83" i="2"/>
  <c r="E83" i="2" s="1"/>
  <c r="D79" i="2"/>
  <c r="E79" i="2" s="1"/>
  <c r="D75" i="2"/>
  <c r="E75" i="2" s="1"/>
  <c r="D71" i="2"/>
  <c r="E71" i="2" s="1"/>
  <c r="D67" i="2"/>
  <c r="E67" i="2" s="1"/>
  <c r="D63" i="2"/>
  <c r="E63" i="2" s="1"/>
  <c r="D59" i="2"/>
  <c r="E59" i="2" s="1"/>
  <c r="D55" i="2"/>
  <c r="E55" i="2" s="1"/>
  <c r="D51" i="2"/>
  <c r="E51" i="2" s="1"/>
  <c r="D47" i="2"/>
  <c r="E47" i="2" s="1"/>
  <c r="D43" i="2"/>
  <c r="E43" i="2" s="1"/>
  <c r="D39" i="2"/>
  <c r="E39" i="2" s="1"/>
  <c r="D35" i="2"/>
  <c r="E35" i="2" s="1"/>
  <c r="D31" i="2"/>
  <c r="E31" i="2" s="1"/>
  <c r="D27" i="2"/>
  <c r="E27" i="2" s="1"/>
  <c r="D23" i="2"/>
  <c r="E23" i="2" s="1"/>
  <c r="D19" i="2"/>
  <c r="E19" i="2" s="1"/>
  <c r="D212" i="1"/>
  <c r="D208" i="1"/>
  <c r="D204" i="1"/>
  <c r="D200" i="1"/>
  <c r="D196" i="1"/>
  <c r="D192" i="1"/>
  <c r="D188" i="1"/>
  <c r="D184" i="1"/>
  <c r="D180" i="1"/>
  <c r="D176" i="1"/>
  <c r="D39" i="1"/>
  <c r="D31" i="1"/>
  <c r="D27" i="1"/>
  <c r="D23" i="1"/>
  <c r="D19" i="1"/>
  <c r="D15" i="1"/>
  <c r="D11" i="1"/>
  <c r="D7" i="1"/>
  <c r="D222" i="1"/>
  <c r="D218" i="1"/>
  <c r="D214" i="1"/>
  <c r="D210" i="1"/>
  <c r="D206" i="1"/>
  <c r="D202" i="1"/>
  <c r="D198" i="1"/>
  <c r="D194" i="1"/>
  <c r="D190" i="1"/>
  <c r="D186" i="1"/>
  <c r="D182" i="1"/>
  <c r="D178" i="1"/>
  <c r="D174" i="1"/>
  <c r="D170" i="1"/>
  <c r="D166" i="1"/>
  <c r="D162" i="1"/>
  <c r="D158" i="1"/>
  <c r="D154" i="1"/>
  <c r="D150" i="1"/>
  <c r="D146" i="1"/>
  <c r="D142" i="1"/>
  <c r="D138" i="1"/>
  <c r="D22" i="1"/>
  <c r="D18" i="1"/>
  <c r="D14" i="1"/>
  <c r="D17" i="1"/>
  <c r="D9" i="1"/>
  <c r="D252" i="1"/>
  <c r="D244" i="1"/>
  <c r="D240" i="1"/>
  <c r="D232" i="1"/>
  <c r="D224" i="1"/>
  <c r="D216" i="1"/>
  <c r="D256" i="1"/>
  <c r="D248" i="1"/>
  <c r="D236" i="1"/>
  <c r="D228" i="1"/>
  <c r="D220" i="1"/>
  <c r="D172" i="1"/>
  <c r="D168" i="1"/>
  <c r="D164" i="1"/>
  <c r="D160" i="1"/>
  <c r="D156" i="1"/>
  <c r="D152" i="1"/>
  <c r="D148" i="1"/>
  <c r="D144" i="1"/>
  <c r="D140" i="1"/>
  <c r="D136" i="1"/>
  <c r="D132" i="1"/>
  <c r="D128" i="1"/>
  <c r="D124" i="1"/>
  <c r="D120" i="1"/>
  <c r="D116" i="1"/>
  <c r="D112" i="1"/>
  <c r="D108" i="1"/>
  <c r="D104" i="1"/>
  <c r="D100" i="1"/>
  <c r="D96" i="1"/>
  <c r="D92" i="1"/>
  <c r="D88" i="1"/>
  <c r="D254" i="1"/>
  <c r="D250" i="1"/>
  <c r="D246" i="1"/>
  <c r="D242" i="1"/>
  <c r="D238" i="1"/>
  <c r="D234" i="1"/>
  <c r="D230" i="1"/>
  <c r="D226" i="1"/>
  <c r="D134" i="1"/>
  <c r="D130" i="1"/>
  <c r="D126" i="1"/>
  <c r="D122" i="1"/>
  <c r="D118" i="1"/>
  <c r="D114" i="1"/>
  <c r="D110" i="1"/>
  <c r="D106" i="1"/>
  <c r="D102" i="1"/>
  <c r="D98" i="1"/>
  <c r="D94" i="1"/>
  <c r="D90" i="1"/>
  <c r="D86" i="1"/>
  <c r="D82" i="1"/>
  <c r="D78" i="1"/>
  <c r="D74" i="1"/>
  <c r="D70" i="1"/>
  <c r="D66" i="1"/>
  <c r="D62" i="1"/>
  <c r="D58" i="1"/>
  <c r="D54" i="1"/>
  <c r="D50" i="1"/>
  <c r="D46" i="1"/>
  <c r="D42" i="1"/>
  <c r="D38" i="1"/>
  <c r="D34" i="1"/>
  <c r="D30" i="1"/>
  <c r="D26" i="1"/>
  <c r="D10" i="1"/>
  <c r="D13" i="1"/>
  <c r="D84" i="1"/>
  <c r="D80" i="1"/>
  <c r="D76" i="1"/>
  <c r="D72" i="1"/>
  <c r="D68" i="1"/>
  <c r="D64" i="1"/>
  <c r="D255" i="1"/>
  <c r="D251" i="1"/>
  <c r="D247" i="1"/>
  <c r="D243" i="1"/>
  <c r="D239" i="1"/>
  <c r="D235" i="1"/>
  <c r="D231" i="1"/>
  <c r="D227" i="1"/>
  <c r="D223" i="1"/>
  <c r="D219" i="1"/>
  <c r="D215" i="1"/>
  <c r="D211" i="1"/>
  <c r="D207" i="1"/>
  <c r="D203" i="1"/>
  <c r="D199" i="1"/>
  <c r="D195" i="1"/>
  <c r="D191" i="1"/>
  <c r="D187" i="1"/>
  <c r="D183" i="1"/>
  <c r="D179" i="1"/>
  <c r="D175" i="1"/>
  <c r="D171" i="1"/>
  <c r="D167" i="1"/>
  <c r="D163" i="1"/>
  <c r="D159" i="1"/>
  <c r="D155" i="1"/>
  <c r="D151" i="1"/>
  <c r="D147" i="1"/>
  <c r="D143" i="1"/>
  <c r="D139" i="1"/>
  <c r="D135" i="1"/>
  <c r="D131" i="1"/>
  <c r="D127" i="1"/>
  <c r="D123" i="1"/>
  <c r="D119" i="1"/>
  <c r="D115" i="1"/>
  <c r="D111" i="1"/>
  <c r="D107" i="1"/>
  <c r="D103" i="1"/>
  <c r="D99" i="1"/>
  <c r="D95" i="1"/>
  <c r="D91" i="1"/>
  <c r="D87" i="1"/>
  <c r="D83" i="1"/>
  <c r="D79" i="1"/>
  <c r="D75" i="1"/>
  <c r="D71" i="1"/>
  <c r="D67" i="1"/>
  <c r="D63" i="1"/>
  <c r="D59" i="1"/>
  <c r="D55" i="1"/>
  <c r="D51" i="1"/>
  <c r="D47" i="1"/>
  <c r="D43" i="1"/>
  <c r="D35" i="1"/>
  <c r="D257" i="1"/>
  <c r="D253" i="1"/>
  <c r="D249" i="1"/>
  <c r="D245" i="1"/>
  <c r="D241" i="1"/>
  <c r="D237" i="1"/>
  <c r="D233" i="1"/>
  <c r="D229" i="1"/>
  <c r="D225" i="1"/>
  <c r="D221" i="1"/>
  <c r="D21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97" i="1"/>
  <c r="D93" i="1"/>
  <c r="D89" i="1"/>
  <c r="D85" i="1"/>
  <c r="D81" i="1"/>
  <c r="D77" i="1"/>
  <c r="D73" i="1"/>
  <c r="D69" i="1"/>
  <c r="D65" i="1"/>
  <c r="D61" i="1"/>
  <c r="D57" i="1"/>
  <c r="D53" i="1"/>
  <c r="D49" i="1"/>
  <c r="D45" i="1"/>
  <c r="D41" i="1"/>
  <c r="D37" i="1"/>
  <c r="D33" i="1"/>
  <c r="D29" i="1"/>
  <c r="D25" i="1"/>
  <c r="D21" i="1"/>
  <c r="D60" i="1"/>
  <c r="D56" i="1"/>
  <c r="D52" i="1"/>
  <c r="D48" i="1"/>
  <c r="D44" i="1"/>
  <c r="D40" i="1"/>
  <c r="D36" i="1"/>
  <c r="D32" i="1"/>
  <c r="D28" i="1"/>
  <c r="D24" i="1"/>
  <c r="D20" i="1"/>
  <c r="D16" i="1"/>
  <c r="D12" i="1"/>
  <c r="D8" i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16" i="2"/>
  <c r="F16" i="2" s="1"/>
  <c r="J5" i="2" a="1"/>
  <c r="J5" i="2" l="1"/>
  <c r="E143" i="2"/>
  <c r="G15" i="2"/>
  <c r="P145" i="2"/>
  <c r="O145" i="2"/>
  <c r="G16" i="2"/>
  <c r="L155" i="2"/>
  <c r="K154" i="2"/>
  <c r="M154" i="2"/>
  <c r="E65" i="1"/>
  <c r="B17" i="2"/>
  <c r="F17" i="2" s="1"/>
  <c r="G17" i="2" s="1"/>
  <c r="P144" i="2" l="1"/>
  <c r="O144" i="2"/>
  <c r="L154" i="2"/>
  <c r="M153" i="2"/>
  <c r="K153" i="2"/>
  <c r="E126" i="1"/>
  <c r="E62" i="1"/>
  <c r="E68" i="1"/>
  <c r="E199" i="1"/>
  <c r="E135" i="1"/>
  <c r="E71" i="1"/>
  <c r="E165" i="1"/>
  <c r="E101" i="1"/>
  <c r="E16" i="1"/>
  <c r="E136" i="1"/>
  <c r="E243" i="1"/>
  <c r="E241" i="1"/>
  <c r="E49" i="1"/>
  <c r="E44" i="1"/>
  <c r="E174" i="1"/>
  <c r="E164" i="1"/>
  <c r="E118" i="1"/>
  <c r="E255" i="1"/>
  <c r="E127" i="1"/>
  <c r="E63" i="1"/>
  <c r="E221" i="1"/>
  <c r="E157" i="1"/>
  <c r="E93" i="1"/>
  <c r="E29" i="1"/>
  <c r="E8" i="1"/>
  <c r="E146" i="1"/>
  <c r="E226" i="1"/>
  <c r="E227" i="1"/>
  <c r="E51" i="1"/>
  <c r="E218" i="1"/>
  <c r="E154" i="1"/>
  <c r="E256" i="1"/>
  <c r="E128" i="1"/>
  <c r="E234" i="1"/>
  <c r="E82" i="1"/>
  <c r="E13" i="1"/>
  <c r="E219" i="1"/>
  <c r="E155" i="1"/>
  <c r="E91" i="1"/>
  <c r="E249" i="1"/>
  <c r="E185" i="1"/>
  <c r="E121" i="1"/>
  <c r="E57" i="1"/>
  <c r="E36" i="1"/>
  <c r="E194" i="1"/>
  <c r="E120" i="1"/>
  <c r="E26" i="1"/>
  <c r="E115" i="1"/>
  <c r="E161" i="1"/>
  <c r="E182" i="1"/>
  <c r="E9" i="1"/>
  <c r="E156" i="1"/>
  <c r="E92" i="1"/>
  <c r="E110" i="1"/>
  <c r="E46" i="1"/>
  <c r="E247" i="1"/>
  <c r="E183" i="1"/>
  <c r="E119" i="1"/>
  <c r="E55" i="1"/>
  <c r="E213" i="1"/>
  <c r="E149" i="1"/>
  <c r="E85" i="1"/>
  <c r="E210" i="1"/>
  <c r="E88" i="1"/>
  <c r="E179" i="1"/>
  <c r="E193" i="1"/>
  <c r="E28" i="1"/>
  <c r="E39" i="1"/>
  <c r="E19" i="1"/>
  <c r="E200" i="1"/>
  <c r="E184" i="1"/>
  <c r="E258" i="1"/>
  <c r="E204" i="1"/>
  <c r="E31" i="1"/>
  <c r="E15" i="1"/>
  <c r="E212" i="1"/>
  <c r="E196" i="1"/>
  <c r="E180" i="1"/>
  <c r="E23" i="1"/>
  <c r="E7" i="1"/>
  <c r="E27" i="1"/>
  <c r="E11" i="1"/>
  <c r="E208" i="1"/>
  <c r="E192" i="1"/>
  <c r="E176" i="1"/>
  <c r="E188" i="1"/>
  <c r="E100" i="1"/>
  <c r="E54" i="1"/>
  <c r="E191" i="1"/>
  <c r="E222" i="1"/>
  <c r="E158" i="1"/>
  <c r="E244" i="1"/>
  <c r="E148" i="1"/>
  <c r="E254" i="1"/>
  <c r="E102" i="1"/>
  <c r="E38" i="1"/>
  <c r="E239" i="1"/>
  <c r="E175" i="1"/>
  <c r="E111" i="1"/>
  <c r="E47" i="1"/>
  <c r="E205" i="1"/>
  <c r="E141" i="1"/>
  <c r="E77" i="1"/>
  <c r="E56" i="1"/>
  <c r="E37" i="1"/>
  <c r="E224" i="1"/>
  <c r="E90" i="1"/>
  <c r="E195" i="1"/>
  <c r="E225" i="1"/>
  <c r="E202" i="1"/>
  <c r="E138" i="1"/>
  <c r="E220" i="1"/>
  <c r="E112" i="1"/>
  <c r="E130" i="1"/>
  <c r="E66" i="1"/>
  <c r="E72" i="1"/>
  <c r="E203" i="1"/>
  <c r="E139" i="1"/>
  <c r="E75" i="1"/>
  <c r="E233" i="1"/>
  <c r="E169" i="1"/>
  <c r="E105" i="1"/>
  <c r="E41" i="1"/>
  <c r="E20" i="1"/>
  <c r="E162" i="1"/>
  <c r="E242" i="1"/>
  <c r="E64" i="1"/>
  <c r="E67" i="1"/>
  <c r="E113" i="1"/>
  <c r="E166" i="1"/>
  <c r="E232" i="1"/>
  <c r="E140" i="1"/>
  <c r="E246" i="1"/>
  <c r="E94" i="1"/>
  <c r="E30" i="1"/>
  <c r="E231" i="1"/>
  <c r="E167" i="1"/>
  <c r="E103" i="1"/>
  <c r="E35" i="1"/>
  <c r="E197" i="1"/>
  <c r="E133" i="1"/>
  <c r="E69" i="1"/>
  <c r="E18" i="1"/>
  <c r="E122" i="1"/>
  <c r="E131" i="1"/>
  <c r="E129" i="1"/>
  <c r="E81" i="1"/>
  <c r="E60" i="1"/>
  <c r="E190" i="1"/>
  <c r="E14" i="1"/>
  <c r="E228" i="1"/>
  <c r="E116" i="1"/>
  <c r="E134" i="1"/>
  <c r="E70" i="1"/>
  <c r="E76" i="1"/>
  <c r="E207" i="1"/>
  <c r="E143" i="1"/>
  <c r="E79" i="1"/>
  <c r="E237" i="1"/>
  <c r="E173" i="1"/>
  <c r="E109" i="1"/>
  <c r="E45" i="1"/>
  <c r="E24" i="1"/>
  <c r="E178" i="1"/>
  <c r="E104" i="1"/>
  <c r="E80" i="1"/>
  <c r="E99" i="1"/>
  <c r="E145" i="1"/>
  <c r="E170" i="1"/>
  <c r="E240" i="1"/>
  <c r="E144" i="1"/>
  <c r="E250" i="1"/>
  <c r="E98" i="1"/>
  <c r="E34" i="1"/>
  <c r="E235" i="1"/>
  <c r="E171" i="1"/>
  <c r="E107" i="1"/>
  <c r="E43" i="1"/>
  <c r="E201" i="1"/>
  <c r="E137" i="1"/>
  <c r="E73" i="1"/>
  <c r="E52" i="1"/>
  <c r="E48" i="1"/>
  <c r="E168" i="1"/>
  <c r="E74" i="1"/>
  <c r="E163" i="1"/>
  <c r="E209" i="1"/>
  <c r="E198" i="1"/>
  <c r="E22" i="1"/>
  <c r="E172" i="1"/>
  <c r="E108" i="1"/>
  <c r="E229" i="1"/>
  <c r="E206" i="1"/>
  <c r="E142" i="1"/>
  <c r="E216" i="1"/>
  <c r="E132" i="1"/>
  <c r="E238" i="1"/>
  <c r="E86" i="1"/>
  <c r="E10" i="1"/>
  <c r="E223" i="1"/>
  <c r="E159" i="1"/>
  <c r="E95" i="1"/>
  <c r="E253" i="1"/>
  <c r="E189" i="1"/>
  <c r="E125" i="1"/>
  <c r="E61" i="1"/>
  <c r="E40" i="1"/>
  <c r="E32" i="1"/>
  <c r="E152" i="1"/>
  <c r="E58" i="1"/>
  <c r="E147" i="1"/>
  <c r="E177" i="1"/>
  <c r="E186" i="1"/>
  <c r="E17" i="1"/>
  <c r="E160" i="1"/>
  <c r="E96" i="1"/>
  <c r="E114" i="1"/>
  <c r="E50" i="1"/>
  <c r="E251" i="1"/>
  <c r="E187" i="1"/>
  <c r="E123" i="1"/>
  <c r="E59" i="1"/>
  <c r="E217" i="1"/>
  <c r="E153" i="1"/>
  <c r="E89" i="1"/>
  <c r="E25" i="1"/>
  <c r="E53" i="1"/>
  <c r="E252" i="1"/>
  <c r="E106" i="1"/>
  <c r="E211" i="1"/>
  <c r="E257" i="1"/>
  <c r="E214" i="1"/>
  <c r="E150" i="1"/>
  <c r="E248" i="1"/>
  <c r="E124" i="1"/>
  <c r="E230" i="1"/>
  <c r="E78" i="1"/>
  <c r="E84" i="1"/>
  <c r="E215" i="1"/>
  <c r="E151" i="1"/>
  <c r="E87" i="1"/>
  <c r="E245" i="1"/>
  <c r="E181" i="1"/>
  <c r="E117" i="1"/>
  <c r="E21" i="1"/>
  <c r="E236" i="1"/>
  <c r="E42" i="1"/>
  <c r="E83" i="1"/>
  <c r="E97" i="1"/>
  <c r="E33" i="1"/>
  <c r="E12" i="1"/>
  <c r="B18" i="2"/>
  <c r="F18" i="2" s="1"/>
  <c r="G18" i="2" s="1"/>
  <c r="L153" i="2" l="1"/>
  <c r="M152" i="2"/>
  <c r="K152" i="2"/>
  <c r="O143" i="2"/>
  <c r="P143" i="2"/>
  <c r="F3" i="1"/>
  <c r="G3" i="1" s="1"/>
  <c r="B19" i="2"/>
  <c r="F19" i="2" s="1"/>
  <c r="G19" i="2" s="1"/>
  <c r="L152" i="2" l="1"/>
  <c r="K151" i="2"/>
  <c r="M151" i="2"/>
  <c r="P142" i="2"/>
  <c r="O142" i="2"/>
  <c r="I46" i="1"/>
  <c r="I55" i="1"/>
  <c r="I38" i="1"/>
  <c r="I145" i="1"/>
  <c r="H251" i="1"/>
  <c r="I71" i="1"/>
  <c r="I147" i="1"/>
  <c r="H250" i="1"/>
  <c r="I70" i="1"/>
  <c r="H82" i="1"/>
  <c r="H130" i="1"/>
  <c r="I115" i="1"/>
  <c r="I102" i="1"/>
  <c r="I87" i="1"/>
  <c r="H38" i="1"/>
  <c r="H214" i="1"/>
  <c r="I199" i="1"/>
  <c r="H59" i="1"/>
  <c r="H135" i="1"/>
  <c r="I237" i="1"/>
  <c r="H19" i="1"/>
  <c r="I69" i="1"/>
  <c r="I53" i="1"/>
  <c r="H103" i="1"/>
  <c r="H51" i="1"/>
  <c r="H255" i="1"/>
  <c r="I170" i="1"/>
  <c r="I34" i="1"/>
  <c r="I122" i="1"/>
  <c r="I39" i="1"/>
  <c r="I250" i="1"/>
  <c r="H210" i="1"/>
  <c r="H26" i="1"/>
  <c r="H238" i="1"/>
  <c r="H219" i="1"/>
  <c r="H159" i="1"/>
  <c r="I206" i="1"/>
  <c r="I165" i="1"/>
  <c r="I139" i="1"/>
  <c r="H195" i="1"/>
  <c r="H33" i="1"/>
  <c r="I222" i="1"/>
  <c r="I249" i="1"/>
  <c r="I174" i="1"/>
  <c r="I173" i="1"/>
  <c r="H27" i="1"/>
  <c r="H23" i="1"/>
  <c r="H162" i="1"/>
  <c r="H147" i="1"/>
  <c r="H243" i="1"/>
  <c r="H37" i="1"/>
  <c r="I225" i="1"/>
  <c r="I134" i="1"/>
  <c r="I257" i="1"/>
  <c r="I211" i="1"/>
  <c r="H171" i="1"/>
  <c r="H167" i="1"/>
  <c r="I166" i="1"/>
  <c r="I151" i="1"/>
  <c r="I75" i="1"/>
  <c r="H74" i="1"/>
  <c r="I84" i="1"/>
  <c r="H187" i="1"/>
  <c r="H186" i="1"/>
  <c r="H78" i="1"/>
  <c r="H213" i="1"/>
  <c r="H110" i="1"/>
  <c r="H18" i="1"/>
  <c r="I65" i="1"/>
  <c r="I178" i="1"/>
  <c r="H117" i="1"/>
  <c r="I97" i="1"/>
  <c r="I197" i="1"/>
  <c r="I14" i="1"/>
  <c r="H178" i="1"/>
  <c r="I214" i="1"/>
  <c r="I149" i="1"/>
  <c r="I83" i="1"/>
  <c r="I183" i="1"/>
  <c r="I205" i="1"/>
  <c r="I110" i="1"/>
  <c r="I33" i="1"/>
  <c r="H122" i="1"/>
  <c r="I167" i="1"/>
  <c r="H98" i="1"/>
  <c r="I186" i="1"/>
  <c r="I19" i="1"/>
  <c r="H83" i="1"/>
  <c r="H107" i="1"/>
  <c r="I142" i="1"/>
  <c r="I154" i="1"/>
  <c r="H154" i="1"/>
  <c r="H114" i="1"/>
  <c r="I43" i="1"/>
  <c r="I61" i="1"/>
  <c r="I80" i="1"/>
  <c r="I45" i="1"/>
  <c r="I94" i="1"/>
  <c r="H155" i="1"/>
  <c r="H206" i="1"/>
  <c r="I230" i="1"/>
  <c r="I13" i="1"/>
  <c r="I242" i="1"/>
  <c r="H151" i="1"/>
  <c r="I59" i="1"/>
  <c r="H248" i="1"/>
  <c r="H230" i="1"/>
  <c r="H134" i="1"/>
  <c r="H247" i="1"/>
  <c r="H119" i="1"/>
  <c r="I189" i="1"/>
  <c r="I194" i="1"/>
  <c r="H209" i="1"/>
  <c r="H29" i="1"/>
  <c r="H244" i="1"/>
  <c r="I203" i="1"/>
  <c r="H127" i="1"/>
  <c r="I241" i="1"/>
  <c r="I81" i="1"/>
  <c r="H163" i="1"/>
  <c r="I187" i="1"/>
  <c r="H205" i="1"/>
  <c r="I188" i="1"/>
  <c r="H224" i="1"/>
  <c r="I7" i="1"/>
  <c r="I103" i="1"/>
  <c r="I193" i="1"/>
  <c r="I51" i="1"/>
  <c r="I141" i="1"/>
  <c r="I254" i="1"/>
  <c r="H75" i="1"/>
  <c r="H198" i="1"/>
  <c r="I107" i="1"/>
  <c r="I234" i="1"/>
  <c r="I42" i="1"/>
  <c r="I143" i="1"/>
  <c r="H175" i="1"/>
  <c r="H197" i="1"/>
  <c r="I184" i="1"/>
  <c r="H132" i="1"/>
  <c r="I223" i="1"/>
  <c r="H58" i="1"/>
  <c r="I158" i="1"/>
  <c r="I231" i="1"/>
  <c r="H66" i="1"/>
  <c r="I179" i="1"/>
  <c r="H14" i="1"/>
  <c r="I127" i="1"/>
  <c r="I215" i="1"/>
  <c r="H50" i="1"/>
  <c r="H191" i="1"/>
  <c r="H102" i="1"/>
  <c r="I227" i="1"/>
  <c r="I35" i="1"/>
  <c r="I86" i="1"/>
  <c r="I73" i="1"/>
  <c r="H133" i="1"/>
  <c r="I180" i="1"/>
  <c r="H116" i="1"/>
  <c r="I255" i="1"/>
  <c r="H115" i="1"/>
  <c r="H203" i="1"/>
  <c r="H11" i="1"/>
  <c r="I185" i="1"/>
  <c r="H95" i="1"/>
  <c r="I177" i="1"/>
  <c r="H30" i="1"/>
  <c r="I79" i="1"/>
  <c r="I66" i="1"/>
  <c r="H121" i="1"/>
  <c r="I96" i="1"/>
  <c r="H112" i="1"/>
  <c r="H109" i="1"/>
  <c r="H9" i="1"/>
  <c r="I168" i="1"/>
  <c r="I68" i="1"/>
  <c r="H216" i="1"/>
  <c r="H100" i="1"/>
  <c r="I22" i="1"/>
  <c r="I137" i="1"/>
  <c r="I9" i="1"/>
  <c r="H173" i="1"/>
  <c r="H85" i="1"/>
  <c r="I244" i="1"/>
  <c r="I144" i="1"/>
  <c r="I40" i="1"/>
  <c r="H184" i="1"/>
  <c r="H68" i="1"/>
  <c r="I99" i="1"/>
  <c r="I17" i="1"/>
  <c r="H138" i="1"/>
  <c r="I15" i="1"/>
  <c r="I130" i="1"/>
  <c r="H249" i="1"/>
  <c r="H169" i="1"/>
  <c r="H77" i="1"/>
  <c r="I228" i="1"/>
  <c r="I136" i="1"/>
  <c r="I36" i="1"/>
  <c r="H180" i="1"/>
  <c r="H64" i="1"/>
  <c r="I101" i="1"/>
  <c r="I235" i="1"/>
  <c r="I153" i="1"/>
  <c r="I57" i="1"/>
  <c r="H222" i="1"/>
  <c r="H94" i="1"/>
  <c r="H227" i="1"/>
  <c r="H131" i="1"/>
  <c r="H10" i="1"/>
  <c r="I123" i="1"/>
  <c r="H245" i="1"/>
  <c r="H165" i="1"/>
  <c r="H73" i="1"/>
  <c r="I224" i="1"/>
  <c r="I132" i="1"/>
  <c r="I32" i="1"/>
  <c r="H176" i="1"/>
  <c r="H60" i="1"/>
  <c r="I50" i="1"/>
  <c r="H183" i="1"/>
  <c r="H87" i="1"/>
  <c r="I221" i="1"/>
  <c r="I125" i="1"/>
  <c r="H239" i="1"/>
  <c r="H111" i="1"/>
  <c r="H237" i="1"/>
  <c r="H149" i="1"/>
  <c r="H65" i="1"/>
  <c r="I216" i="1"/>
  <c r="I116" i="1"/>
  <c r="I24" i="1"/>
  <c r="H152" i="1"/>
  <c r="H36" i="1"/>
  <c r="H67" i="1"/>
  <c r="H246" i="1"/>
  <c r="H182" i="1"/>
  <c r="H118" i="1"/>
  <c r="I41" i="1"/>
  <c r="H241" i="1"/>
  <c r="H201" i="1"/>
  <c r="H153" i="1"/>
  <c r="H113" i="1"/>
  <c r="H69" i="1"/>
  <c r="H13" i="1"/>
  <c r="I220" i="1"/>
  <c r="I176" i="1"/>
  <c r="I120" i="1"/>
  <c r="I72" i="1"/>
  <c r="I28" i="1"/>
  <c r="H220" i="1"/>
  <c r="H172" i="1"/>
  <c r="H108" i="1"/>
  <c r="H44" i="1"/>
  <c r="H31" i="1"/>
  <c r="I202" i="1"/>
  <c r="I138" i="1"/>
  <c r="I74" i="1"/>
  <c r="I246" i="1"/>
  <c r="I182" i="1"/>
  <c r="I118" i="1"/>
  <c r="H42" i="1"/>
  <c r="I233" i="1"/>
  <c r="I169" i="1"/>
  <c r="I91" i="1"/>
  <c r="I27" i="1"/>
  <c r="H233" i="1"/>
  <c r="H185" i="1"/>
  <c r="H145" i="1"/>
  <c r="H105" i="1"/>
  <c r="H53" i="1"/>
  <c r="I256" i="1"/>
  <c r="I212" i="1"/>
  <c r="I156" i="1"/>
  <c r="I112" i="1"/>
  <c r="I64" i="1"/>
  <c r="I8" i="1"/>
  <c r="H212" i="1"/>
  <c r="H148" i="1"/>
  <c r="H96" i="1"/>
  <c r="H32" i="1"/>
  <c r="I89" i="1"/>
  <c r="I195" i="1"/>
  <c r="I131" i="1"/>
  <c r="I67" i="1"/>
  <c r="I239" i="1"/>
  <c r="I175" i="1"/>
  <c r="I111" i="1"/>
  <c r="H35" i="1"/>
  <c r="I226" i="1"/>
  <c r="I162" i="1"/>
  <c r="H86" i="1"/>
  <c r="H22" i="1"/>
  <c r="H229" i="1"/>
  <c r="H181" i="1"/>
  <c r="H141" i="1"/>
  <c r="H101" i="1"/>
  <c r="H45" i="1"/>
  <c r="I252" i="1"/>
  <c r="I208" i="1"/>
  <c r="I152" i="1"/>
  <c r="I104" i="1"/>
  <c r="I60" i="1"/>
  <c r="H256" i="1"/>
  <c r="H208" i="1"/>
  <c r="H144" i="1"/>
  <c r="H80" i="1"/>
  <c r="H28" i="1"/>
  <c r="I25" i="1"/>
  <c r="I213" i="1"/>
  <c r="I85" i="1"/>
  <c r="H199" i="1"/>
  <c r="H46" i="1"/>
  <c r="I159" i="1"/>
  <c r="I31" i="1"/>
  <c r="I119" i="1"/>
  <c r="I245" i="1"/>
  <c r="I117" i="1"/>
  <c r="I218" i="1"/>
  <c r="I90" i="1"/>
  <c r="H218" i="1"/>
  <c r="I63" i="1"/>
  <c r="I190" i="1"/>
  <c r="I62" i="1"/>
  <c r="I210" i="1"/>
  <c r="I146" i="1"/>
  <c r="I82" i="1"/>
  <c r="H254" i="1"/>
  <c r="H190" i="1"/>
  <c r="H126" i="1"/>
  <c r="I49" i="1"/>
  <c r="H234" i="1"/>
  <c r="H170" i="1"/>
  <c r="I93" i="1"/>
  <c r="I29" i="1"/>
  <c r="I219" i="1"/>
  <c r="H143" i="1"/>
  <c r="H79" i="1"/>
  <c r="H15" i="1"/>
  <c r="H217" i="1"/>
  <c r="H177" i="1"/>
  <c r="H137" i="1"/>
  <c r="H89" i="1"/>
  <c r="H41" i="1"/>
  <c r="I248" i="1"/>
  <c r="I192" i="1"/>
  <c r="I148" i="1"/>
  <c r="I100" i="1"/>
  <c r="I48" i="1"/>
  <c r="H252" i="1"/>
  <c r="H188" i="1"/>
  <c r="H140" i="1"/>
  <c r="H76" i="1"/>
  <c r="H24" i="1"/>
  <c r="H204" i="1"/>
  <c r="H128" i="1"/>
  <c r="H56" i="1"/>
  <c r="I238" i="1"/>
  <c r="H34" i="1"/>
  <c r="H71" i="1"/>
  <c r="I109" i="1"/>
  <c r="H146" i="1"/>
  <c r="H194" i="1"/>
  <c r="I243" i="1"/>
  <c r="H39" i="1"/>
  <c r="H90" i="1"/>
  <c r="H139" i="1"/>
  <c r="H223" i="1"/>
  <c r="I121" i="1"/>
  <c r="I18" i="1"/>
  <c r="I163" i="1"/>
  <c r="H62" i="1"/>
  <c r="I207" i="1"/>
  <c r="H106" i="1"/>
  <c r="I54" i="1"/>
  <c r="H207" i="1"/>
  <c r="I155" i="1"/>
  <c r="I105" i="1"/>
  <c r="H54" i="1"/>
  <c r="H225" i="1"/>
  <c r="H193" i="1"/>
  <c r="H161" i="1"/>
  <c r="H129" i="1"/>
  <c r="H97" i="1"/>
  <c r="H61" i="1"/>
  <c r="H25" i="1"/>
  <c r="I240" i="1"/>
  <c r="I200" i="1"/>
  <c r="I164" i="1"/>
  <c r="I128" i="1"/>
  <c r="I92" i="1"/>
  <c r="I56" i="1"/>
  <c r="I20" i="1"/>
  <c r="H236" i="1"/>
  <c r="H196" i="1"/>
  <c r="H160" i="1"/>
  <c r="H124" i="1"/>
  <c r="H88" i="1"/>
  <c r="H52" i="1"/>
  <c r="H16" i="1"/>
  <c r="H240" i="1"/>
  <c r="H164" i="1"/>
  <c r="H92" i="1"/>
  <c r="H20" i="1"/>
  <c r="I135" i="1"/>
  <c r="H174" i="1"/>
  <c r="H211" i="1"/>
  <c r="I247" i="1"/>
  <c r="H43" i="1"/>
  <c r="H91" i="1"/>
  <c r="H142" i="1"/>
  <c r="I191" i="1"/>
  <c r="H242" i="1"/>
  <c r="I37" i="1"/>
  <c r="I171" i="1"/>
  <c r="H70" i="1"/>
  <c r="H215" i="1"/>
  <c r="I113" i="1"/>
  <c r="I10" i="1"/>
  <c r="I157" i="1"/>
  <c r="H7" i="1"/>
  <c r="H257" i="1"/>
  <c r="H226" i="1"/>
  <c r="H123" i="1"/>
  <c r="I21" i="1"/>
  <c r="I161" i="1"/>
  <c r="I58" i="1"/>
  <c r="I198" i="1"/>
  <c r="I95" i="1"/>
  <c r="H235" i="1"/>
  <c r="I133" i="1"/>
  <c r="I30" i="1"/>
  <c r="I181" i="1"/>
  <c r="I78" i="1"/>
  <c r="H231" i="1"/>
  <c r="I129" i="1"/>
  <c r="I26" i="1"/>
  <c r="H179" i="1"/>
  <c r="I77" i="1"/>
  <c r="I229" i="1"/>
  <c r="I126" i="1"/>
  <c r="I23" i="1"/>
  <c r="I217" i="1"/>
  <c r="H166" i="1"/>
  <c r="I114" i="1"/>
  <c r="H63" i="1"/>
  <c r="I11" i="1"/>
  <c r="I209" i="1"/>
  <c r="H158" i="1"/>
  <c r="I106" i="1"/>
  <c r="H55" i="1"/>
  <c r="I253" i="1"/>
  <c r="H202" i="1"/>
  <c r="I150" i="1"/>
  <c r="H99" i="1"/>
  <c r="I47" i="1"/>
  <c r="I251" i="1"/>
  <c r="I201" i="1"/>
  <c r="H150" i="1"/>
  <c r="I98" i="1"/>
  <c r="H47" i="1"/>
  <c r="H253" i="1"/>
  <c r="H221" i="1"/>
  <c r="H189" i="1"/>
  <c r="H157" i="1"/>
  <c r="H125" i="1"/>
  <c r="H93" i="1"/>
  <c r="H57" i="1"/>
  <c r="H21" i="1"/>
  <c r="I232" i="1"/>
  <c r="I196" i="1"/>
  <c r="I160" i="1"/>
  <c r="I124" i="1"/>
  <c r="I88" i="1"/>
  <c r="I52" i="1"/>
  <c r="I16" i="1"/>
  <c r="H228" i="1"/>
  <c r="H192" i="1"/>
  <c r="H156" i="1"/>
  <c r="H120" i="1"/>
  <c r="H84" i="1"/>
  <c r="H48" i="1"/>
  <c r="H12" i="1"/>
  <c r="H81" i="1"/>
  <c r="H49" i="1"/>
  <c r="H17" i="1"/>
  <c r="I236" i="1"/>
  <c r="I204" i="1"/>
  <c r="I172" i="1"/>
  <c r="I140" i="1"/>
  <c r="I108" i="1"/>
  <c r="I76" i="1"/>
  <c r="I44" i="1"/>
  <c r="I12" i="1"/>
  <c r="H232" i="1"/>
  <c r="H200" i="1"/>
  <c r="H168" i="1"/>
  <c r="H136" i="1"/>
  <c r="H104" i="1"/>
  <c r="H72" i="1"/>
  <c r="H40" i="1"/>
  <c r="H8" i="1"/>
  <c r="B20" i="2"/>
  <c r="F20" i="2" s="1"/>
  <c r="G20" i="2" s="1"/>
  <c r="L151" i="2" l="1"/>
  <c r="K150" i="2"/>
  <c r="M150" i="2"/>
  <c r="O141" i="2"/>
  <c r="P141" i="2"/>
  <c r="B21" i="2"/>
  <c r="F21" i="2" s="1"/>
  <c r="G21" i="2" s="1"/>
  <c r="L150" i="2" l="1"/>
  <c r="M149" i="2"/>
  <c r="K149" i="2"/>
  <c r="P140" i="2"/>
  <c r="O140" i="2"/>
  <c r="B22" i="2"/>
  <c r="F22" i="2" s="1"/>
  <c r="G22" i="2" s="1"/>
  <c r="L149" i="2" l="1"/>
  <c r="K148" i="2"/>
  <c r="M148" i="2"/>
  <c r="O139" i="2"/>
  <c r="P139" i="2"/>
  <c r="B23" i="2"/>
  <c r="F23" i="2" s="1"/>
  <c r="G23" i="2" s="1"/>
  <c r="L148" i="2" l="1"/>
  <c r="M147" i="2"/>
  <c r="K147" i="2"/>
  <c r="P138" i="2"/>
  <c r="O138" i="2"/>
  <c r="B24" i="2"/>
  <c r="F24" i="2" s="1"/>
  <c r="G24" i="2" s="1"/>
  <c r="L147" i="2" l="1"/>
  <c r="M146" i="2"/>
  <c r="K146" i="2"/>
  <c r="O137" i="2"/>
  <c r="P137" i="2"/>
  <c r="B25" i="2"/>
  <c r="F25" i="2" s="1"/>
  <c r="G25" i="2" s="1"/>
  <c r="L146" i="2" l="1"/>
  <c r="K145" i="2"/>
  <c r="M145" i="2"/>
  <c r="P136" i="2"/>
  <c r="O136" i="2"/>
  <c r="B26" i="2"/>
  <c r="F26" i="2" s="1"/>
  <c r="G26" i="2" s="1"/>
  <c r="L145" i="2" l="1"/>
  <c r="K144" i="2"/>
  <c r="M144" i="2"/>
  <c r="O135" i="2"/>
  <c r="P135" i="2"/>
  <c r="B27" i="2"/>
  <c r="F27" i="2" s="1"/>
  <c r="G27" i="2" s="1"/>
  <c r="L144" i="2" l="1"/>
  <c r="M143" i="2"/>
  <c r="K143" i="2"/>
  <c r="P134" i="2"/>
  <c r="O134" i="2"/>
  <c r="B28" i="2"/>
  <c r="F28" i="2" s="1"/>
  <c r="G28" i="2" s="1"/>
  <c r="L143" i="2" l="1"/>
  <c r="M142" i="2"/>
  <c r="K142" i="2"/>
  <c r="O133" i="2"/>
  <c r="P133" i="2"/>
  <c r="B29" i="2"/>
  <c r="F29" i="2" s="1"/>
  <c r="G29" i="2" s="1"/>
  <c r="L142" i="2" l="1"/>
  <c r="K141" i="2"/>
  <c r="M141" i="2"/>
  <c r="P132" i="2"/>
  <c r="O132" i="2"/>
  <c r="B30" i="2"/>
  <c r="F30" i="2" s="1"/>
  <c r="G30" i="2" s="1"/>
  <c r="L141" i="2" l="1"/>
  <c r="K140" i="2"/>
  <c r="M140" i="2"/>
  <c r="O131" i="2"/>
  <c r="P131" i="2"/>
  <c r="B31" i="2"/>
  <c r="F31" i="2" s="1"/>
  <c r="G31" i="2" s="1"/>
  <c r="L140" i="2" l="1"/>
  <c r="M139" i="2"/>
  <c r="K139" i="2"/>
  <c r="O130" i="2"/>
  <c r="P130" i="2"/>
  <c r="B32" i="2"/>
  <c r="F32" i="2" s="1"/>
  <c r="G32" i="2" s="1"/>
  <c r="L139" i="2" l="1"/>
  <c r="M138" i="2"/>
  <c r="K138" i="2"/>
  <c r="P129" i="2"/>
  <c r="O129" i="2"/>
  <c r="B33" i="2"/>
  <c r="F33" i="2" s="1"/>
  <c r="G33" i="2" s="1"/>
  <c r="L138" i="2" l="1"/>
  <c r="M137" i="2"/>
  <c r="K137" i="2"/>
  <c r="O128" i="2"/>
  <c r="P128" i="2"/>
  <c r="B34" i="2"/>
  <c r="F34" i="2" s="1"/>
  <c r="G34" i="2" s="1"/>
  <c r="L137" i="2" l="1"/>
  <c r="M136" i="2"/>
  <c r="K136" i="2"/>
  <c r="P127" i="2"/>
  <c r="O127" i="2"/>
  <c r="B35" i="2"/>
  <c r="F35" i="2" s="1"/>
  <c r="G35" i="2" s="1"/>
  <c r="L136" i="2" l="1"/>
  <c r="M135" i="2"/>
  <c r="K135" i="2"/>
  <c r="P126" i="2"/>
  <c r="O126" i="2"/>
  <c r="B36" i="2"/>
  <c r="F36" i="2" s="1"/>
  <c r="G36" i="2" s="1"/>
  <c r="L135" i="2" l="1"/>
  <c r="K134" i="2"/>
  <c r="M134" i="2"/>
  <c r="P125" i="2"/>
  <c r="O125" i="2"/>
  <c r="B37" i="2"/>
  <c r="F37" i="2" s="1"/>
  <c r="G37" i="2" s="1"/>
  <c r="L134" i="2" l="1"/>
  <c r="M133" i="2"/>
  <c r="K133" i="2"/>
  <c r="P124" i="2"/>
  <c r="O124" i="2"/>
  <c r="B38" i="2"/>
  <c r="F38" i="2" s="1"/>
  <c r="G38" i="2" s="1"/>
  <c r="L133" i="2" l="1"/>
  <c r="M132" i="2"/>
  <c r="K132" i="2"/>
  <c r="P123" i="2"/>
  <c r="O123" i="2"/>
  <c r="B39" i="2"/>
  <c r="F39" i="2" s="1"/>
  <c r="G39" i="2" s="1"/>
  <c r="L132" i="2" l="1"/>
  <c r="M131" i="2"/>
  <c r="K131" i="2"/>
  <c r="O122" i="2"/>
  <c r="P122" i="2"/>
  <c r="B40" i="2"/>
  <c r="F40" i="2" s="1"/>
  <c r="G40" i="2" s="1"/>
  <c r="L131" i="2" l="1"/>
  <c r="M130" i="2"/>
  <c r="K130" i="2"/>
  <c r="O121" i="2"/>
  <c r="P121" i="2"/>
  <c r="B41" i="2"/>
  <c r="F41" i="2" s="1"/>
  <c r="G41" i="2" s="1"/>
  <c r="L130" i="2" l="1"/>
  <c r="K129" i="2"/>
  <c r="M129" i="2"/>
  <c r="P120" i="2"/>
  <c r="O120" i="2"/>
  <c r="B42" i="2"/>
  <c r="F42" i="2" s="1"/>
  <c r="G42" i="2" s="1"/>
  <c r="L129" i="2" l="1"/>
  <c r="M128" i="2"/>
  <c r="K128" i="2"/>
  <c r="P119" i="2"/>
  <c r="O119" i="2"/>
  <c r="B43" i="2"/>
  <c r="F43" i="2" s="1"/>
  <c r="G43" i="2" s="1"/>
  <c r="L128" i="2" l="1"/>
  <c r="M127" i="2"/>
  <c r="K127" i="2"/>
  <c r="O118" i="2"/>
  <c r="P118" i="2"/>
  <c r="B44" i="2"/>
  <c r="F44" i="2" s="1"/>
  <c r="G44" i="2" s="1"/>
  <c r="L127" i="2" l="1"/>
  <c r="K126" i="2"/>
  <c r="M126" i="2"/>
  <c r="P117" i="2"/>
  <c r="O117" i="2"/>
  <c r="B45" i="2"/>
  <c r="F45" i="2" s="1"/>
  <c r="G45" i="2" s="1"/>
  <c r="L126" i="2" l="1"/>
  <c r="M125" i="2"/>
  <c r="K125" i="2"/>
  <c r="O116" i="2"/>
  <c r="P116" i="2"/>
  <c r="B46" i="2"/>
  <c r="F46" i="2" s="1"/>
  <c r="G46" i="2" s="1"/>
  <c r="L125" i="2" l="1"/>
  <c r="M124" i="2"/>
  <c r="K124" i="2"/>
  <c r="P115" i="2"/>
  <c r="O115" i="2"/>
  <c r="B47" i="2"/>
  <c r="F47" i="2" s="1"/>
  <c r="G47" i="2" s="1"/>
  <c r="L124" i="2" l="1"/>
  <c r="M123" i="2"/>
  <c r="K123" i="2"/>
  <c r="O114" i="2"/>
  <c r="P114" i="2"/>
  <c r="B48" i="2"/>
  <c r="F48" i="2" s="1"/>
  <c r="G48" i="2" s="1"/>
  <c r="L123" i="2" l="1"/>
  <c r="M122" i="2"/>
  <c r="K122" i="2"/>
  <c r="O113" i="2"/>
  <c r="P113" i="2"/>
  <c r="B49" i="2"/>
  <c r="F49" i="2" s="1"/>
  <c r="G49" i="2" s="1"/>
  <c r="L122" i="2" l="1"/>
  <c r="K121" i="2"/>
  <c r="M121" i="2"/>
  <c r="P112" i="2"/>
  <c r="O112" i="2"/>
  <c r="B50" i="2"/>
  <c r="F50" i="2" s="1"/>
  <c r="G50" i="2" s="1"/>
  <c r="L121" i="2" l="1"/>
  <c r="M120" i="2"/>
  <c r="K120" i="2"/>
  <c r="P111" i="2"/>
  <c r="O111" i="2"/>
  <c r="B51" i="2"/>
  <c r="F51" i="2" s="1"/>
  <c r="G51" i="2" s="1"/>
  <c r="L120" i="2" l="1"/>
  <c r="K119" i="2"/>
  <c r="M119" i="2"/>
  <c r="O110" i="2"/>
  <c r="P110" i="2"/>
  <c r="B52" i="2"/>
  <c r="F52" i="2" s="1"/>
  <c r="G52" i="2" s="1"/>
  <c r="L119" i="2" l="1"/>
  <c r="M118" i="2"/>
  <c r="K118" i="2"/>
  <c r="P109" i="2"/>
  <c r="O109" i="2"/>
  <c r="B53" i="2"/>
  <c r="F53" i="2" s="1"/>
  <c r="G53" i="2" s="1"/>
  <c r="L118" i="2" l="1"/>
  <c r="M117" i="2"/>
  <c r="K117" i="2"/>
  <c r="O108" i="2"/>
  <c r="P108" i="2"/>
  <c r="B54" i="2"/>
  <c r="F54" i="2" s="1"/>
  <c r="G54" i="2" s="1"/>
  <c r="L117" i="2" l="1"/>
  <c r="M116" i="2"/>
  <c r="K116" i="2"/>
  <c r="P107" i="2"/>
  <c r="O107" i="2"/>
  <c r="B55" i="2"/>
  <c r="F55" i="2" s="1"/>
  <c r="G55" i="2" s="1"/>
  <c r="L116" i="2" l="1"/>
  <c r="K115" i="2"/>
  <c r="M115" i="2"/>
  <c r="O106" i="2"/>
  <c r="P106" i="2"/>
  <c r="B56" i="2"/>
  <c r="F56" i="2" s="1"/>
  <c r="G56" i="2" s="1"/>
  <c r="L115" i="2" l="1"/>
  <c r="M114" i="2"/>
  <c r="K114" i="2"/>
  <c r="P105" i="2"/>
  <c r="O105" i="2"/>
  <c r="B57" i="2"/>
  <c r="F57" i="2" s="1"/>
  <c r="G57" i="2" s="1"/>
  <c r="L114" i="2" l="1"/>
  <c r="K113" i="2"/>
  <c r="M113" i="2"/>
  <c r="O104" i="2"/>
  <c r="P104" i="2"/>
  <c r="B58" i="2"/>
  <c r="F58" i="2" s="1"/>
  <c r="G58" i="2" s="1"/>
  <c r="L113" i="2" l="1"/>
  <c r="M112" i="2"/>
  <c r="K112" i="2"/>
  <c r="P103" i="2"/>
  <c r="O103" i="2"/>
  <c r="B59" i="2"/>
  <c r="F59" i="2" s="1"/>
  <c r="G59" i="2" s="1"/>
  <c r="L112" i="2" l="1"/>
  <c r="M111" i="2"/>
  <c r="K111" i="2"/>
  <c r="O102" i="2"/>
  <c r="P102" i="2"/>
  <c r="B60" i="2"/>
  <c r="F60" i="2" s="1"/>
  <c r="G60" i="2" s="1"/>
  <c r="L111" i="2" l="1"/>
  <c r="M110" i="2"/>
  <c r="K110" i="2"/>
  <c r="O101" i="2"/>
  <c r="P101" i="2"/>
  <c r="B61" i="2"/>
  <c r="F61" i="2" s="1"/>
  <c r="G61" i="2" s="1"/>
  <c r="L110" i="2" l="1"/>
  <c r="M109" i="2"/>
  <c r="K109" i="2"/>
  <c r="O100" i="2"/>
  <c r="P100" i="2"/>
  <c r="B62" i="2"/>
  <c r="F62" i="2" s="1"/>
  <c r="G62" i="2" s="1"/>
  <c r="L109" i="2" l="1"/>
  <c r="K108" i="2"/>
  <c r="M108" i="2"/>
  <c r="P99" i="2"/>
  <c r="O99" i="2"/>
  <c r="B63" i="2"/>
  <c r="F63" i="2" s="1"/>
  <c r="G63" i="2" s="1"/>
  <c r="L108" i="2" l="1"/>
  <c r="M107" i="2"/>
  <c r="K107" i="2"/>
  <c r="P98" i="2"/>
  <c r="O98" i="2"/>
  <c r="B64" i="2"/>
  <c r="F64" i="2" s="1"/>
  <c r="G64" i="2" s="1"/>
  <c r="L107" i="2" l="1"/>
  <c r="M106" i="2"/>
  <c r="K106" i="2"/>
  <c r="P97" i="2"/>
  <c r="O97" i="2"/>
  <c r="B65" i="2"/>
  <c r="F65" i="2" s="1"/>
  <c r="G65" i="2" s="1"/>
  <c r="L106" i="2" l="1"/>
  <c r="K105" i="2"/>
  <c r="M105" i="2"/>
  <c r="O96" i="2"/>
  <c r="P96" i="2"/>
  <c r="B66" i="2"/>
  <c r="F66" i="2" s="1"/>
  <c r="G66" i="2" s="1"/>
  <c r="L105" i="2" l="1"/>
  <c r="M104" i="2"/>
  <c r="K104" i="2"/>
  <c r="O95" i="2"/>
  <c r="P95" i="2"/>
  <c r="B67" i="2"/>
  <c r="F67" i="2" s="1"/>
  <c r="G67" i="2" s="1"/>
  <c r="L104" i="2" l="1"/>
  <c r="K103" i="2"/>
  <c r="M103" i="2"/>
  <c r="O94" i="2"/>
  <c r="P94" i="2"/>
  <c r="B68" i="2"/>
  <c r="F68" i="2" s="1"/>
  <c r="G68" i="2" s="1"/>
  <c r="L103" i="2" l="1"/>
  <c r="K102" i="2"/>
  <c r="M102" i="2"/>
  <c r="O93" i="2"/>
  <c r="P93" i="2"/>
  <c r="B69" i="2"/>
  <c r="F69" i="2" s="1"/>
  <c r="G69" i="2" s="1"/>
  <c r="L102" i="2" l="1"/>
  <c r="M101" i="2"/>
  <c r="K101" i="2"/>
  <c r="P92" i="2"/>
  <c r="O92" i="2"/>
  <c r="B70" i="2"/>
  <c r="F70" i="2" s="1"/>
  <c r="G70" i="2" s="1"/>
  <c r="L101" i="2" l="1"/>
  <c r="M100" i="2"/>
  <c r="K100" i="2"/>
  <c r="O91" i="2"/>
  <c r="P91" i="2"/>
  <c r="B71" i="2"/>
  <c r="F71" i="2" s="1"/>
  <c r="G71" i="2" s="1"/>
  <c r="L100" i="2" l="1"/>
  <c r="M99" i="2"/>
  <c r="K99" i="2"/>
  <c r="O90" i="2"/>
  <c r="P90" i="2"/>
  <c r="B72" i="2"/>
  <c r="F72" i="2" s="1"/>
  <c r="G72" i="2" s="1"/>
  <c r="L99" i="2" l="1"/>
  <c r="M98" i="2"/>
  <c r="K98" i="2"/>
  <c r="P89" i="2"/>
  <c r="O89" i="2"/>
  <c r="B73" i="2"/>
  <c r="F73" i="2" s="1"/>
  <c r="G73" i="2" s="1"/>
  <c r="L98" i="2" l="1"/>
  <c r="K97" i="2"/>
  <c r="M97" i="2"/>
  <c r="O88" i="2"/>
  <c r="P88" i="2"/>
  <c r="B74" i="2"/>
  <c r="F74" i="2" s="1"/>
  <c r="G74" i="2" s="1"/>
  <c r="L97" i="2" l="1"/>
  <c r="M96" i="2"/>
  <c r="K96" i="2"/>
  <c r="P87" i="2"/>
  <c r="O87" i="2"/>
  <c r="B75" i="2"/>
  <c r="F75" i="2" s="1"/>
  <c r="G75" i="2" s="1"/>
  <c r="L96" i="2" l="1"/>
  <c r="M95" i="2"/>
  <c r="K95" i="2"/>
  <c r="O86" i="2"/>
  <c r="P86" i="2"/>
  <c r="B76" i="2"/>
  <c r="F76" i="2" s="1"/>
  <c r="G76" i="2" s="1"/>
  <c r="L95" i="2" l="1"/>
  <c r="K94" i="2"/>
  <c r="M94" i="2"/>
  <c r="P85" i="2"/>
  <c r="O85" i="2"/>
  <c r="B77" i="2"/>
  <c r="F77" i="2" s="1"/>
  <c r="G77" i="2" s="1"/>
  <c r="L94" i="2" l="1"/>
  <c r="M93" i="2"/>
  <c r="K93" i="2"/>
  <c r="P84" i="2"/>
  <c r="O84" i="2"/>
  <c r="B78" i="2"/>
  <c r="F78" i="2" s="1"/>
  <c r="G78" i="2" s="1"/>
  <c r="L93" i="2" l="1"/>
  <c r="M92" i="2"/>
  <c r="K92" i="2"/>
  <c r="O83" i="2"/>
  <c r="P83" i="2"/>
  <c r="B79" i="2"/>
  <c r="F79" i="2" s="1"/>
  <c r="G79" i="2" s="1"/>
  <c r="L92" i="2" l="1"/>
  <c r="M91" i="2"/>
  <c r="K91" i="2"/>
  <c r="O82" i="2"/>
  <c r="P82" i="2"/>
  <c r="B80" i="2"/>
  <c r="F80" i="2" s="1"/>
  <c r="G80" i="2" s="1"/>
  <c r="L91" i="2" l="1"/>
  <c r="M90" i="2"/>
  <c r="K90" i="2"/>
  <c r="O81" i="2"/>
  <c r="P81" i="2"/>
  <c r="B81" i="2"/>
  <c r="F81" i="2" s="1"/>
  <c r="G81" i="2" s="1"/>
  <c r="L90" i="2" l="1"/>
  <c r="K89" i="2"/>
  <c r="M89" i="2"/>
  <c r="P80" i="2"/>
  <c r="O80" i="2"/>
  <c r="B82" i="2"/>
  <c r="F82" i="2" s="1"/>
  <c r="G82" i="2" s="1"/>
  <c r="L89" i="2" l="1"/>
  <c r="M88" i="2"/>
  <c r="K88" i="2"/>
  <c r="O79" i="2"/>
  <c r="P79" i="2"/>
  <c r="B83" i="2"/>
  <c r="F83" i="2" s="1"/>
  <c r="G83" i="2" s="1"/>
  <c r="L88" i="2" l="1"/>
  <c r="M87" i="2"/>
  <c r="K87" i="2"/>
  <c r="O78" i="2"/>
  <c r="P78" i="2"/>
  <c r="B84" i="2"/>
  <c r="F84" i="2" s="1"/>
  <c r="G84" i="2" s="1"/>
  <c r="L87" i="2" l="1"/>
  <c r="M86" i="2"/>
  <c r="K86" i="2"/>
  <c r="P77" i="2"/>
  <c r="O77" i="2"/>
  <c r="B85" i="2"/>
  <c r="F85" i="2" s="1"/>
  <c r="G85" i="2" s="1"/>
  <c r="L86" i="2" l="1"/>
  <c r="M85" i="2"/>
  <c r="K85" i="2"/>
  <c r="O76" i="2"/>
  <c r="P76" i="2"/>
  <c r="B86" i="2"/>
  <c r="F86" i="2" s="1"/>
  <c r="G86" i="2" s="1"/>
  <c r="L85" i="2" l="1"/>
  <c r="M84" i="2"/>
  <c r="K84" i="2"/>
  <c r="P75" i="2"/>
  <c r="O75" i="2"/>
  <c r="B87" i="2"/>
  <c r="F87" i="2" s="1"/>
  <c r="G87" i="2" s="1"/>
  <c r="L84" i="2" l="1"/>
  <c r="K83" i="2"/>
  <c r="M83" i="2"/>
  <c r="P74" i="2"/>
  <c r="O74" i="2"/>
  <c r="B88" i="2"/>
  <c r="F88" i="2" s="1"/>
  <c r="G88" i="2" s="1"/>
  <c r="L83" i="2" l="1"/>
  <c r="M82" i="2"/>
  <c r="K82" i="2"/>
  <c r="P73" i="2"/>
  <c r="O73" i="2"/>
  <c r="B89" i="2"/>
  <c r="F89" i="2" s="1"/>
  <c r="G89" i="2" s="1"/>
  <c r="L82" i="2" l="1"/>
  <c r="K81" i="2"/>
  <c r="M81" i="2"/>
  <c r="O72" i="2"/>
  <c r="P72" i="2"/>
  <c r="B90" i="2"/>
  <c r="F90" i="2" s="1"/>
  <c r="G90" i="2" s="1"/>
  <c r="L81" i="2" l="1"/>
  <c r="M80" i="2"/>
  <c r="K80" i="2"/>
  <c r="P71" i="2"/>
  <c r="O71" i="2"/>
  <c r="B91" i="2"/>
  <c r="F91" i="2" s="1"/>
  <c r="G91" i="2" s="1"/>
  <c r="L80" i="2" l="1"/>
  <c r="M79" i="2"/>
  <c r="K79" i="2"/>
  <c r="P70" i="2"/>
  <c r="O70" i="2"/>
  <c r="B92" i="2"/>
  <c r="F92" i="2" s="1"/>
  <c r="G92" i="2" s="1"/>
  <c r="L79" i="2" l="1"/>
  <c r="M78" i="2"/>
  <c r="K78" i="2"/>
  <c r="P69" i="2"/>
  <c r="O69" i="2"/>
  <c r="B93" i="2"/>
  <c r="F93" i="2" s="1"/>
  <c r="G93" i="2" s="1"/>
  <c r="L78" i="2" l="1"/>
  <c r="M77" i="2"/>
  <c r="K77" i="2"/>
  <c r="P68" i="2"/>
  <c r="O68" i="2"/>
  <c r="B94" i="2"/>
  <c r="F94" i="2" s="1"/>
  <c r="G94" i="2" s="1"/>
  <c r="L77" i="2" l="1"/>
  <c r="K76" i="2"/>
  <c r="M76" i="2"/>
  <c r="O67" i="2"/>
  <c r="P67" i="2"/>
  <c r="B95" i="2"/>
  <c r="F95" i="2" s="1"/>
  <c r="G95" i="2" s="1"/>
  <c r="L76" i="2" l="1"/>
  <c r="M75" i="2"/>
  <c r="K75" i="2"/>
  <c r="P66" i="2"/>
  <c r="O66" i="2"/>
  <c r="B96" i="2"/>
  <c r="F96" i="2" s="1"/>
  <c r="G96" i="2" s="1"/>
  <c r="L75" i="2" l="1"/>
  <c r="K74" i="2"/>
  <c r="M74" i="2"/>
  <c r="O65" i="2"/>
  <c r="P65" i="2"/>
  <c r="B97" i="2"/>
  <c r="F97" i="2" s="1"/>
  <c r="G97" i="2" s="1"/>
  <c r="L74" i="2" l="1"/>
  <c r="K73" i="2"/>
  <c r="M73" i="2"/>
  <c r="P64" i="2"/>
  <c r="O64" i="2"/>
  <c r="B98" i="2"/>
  <c r="F98" i="2" s="1"/>
  <c r="G98" i="2" s="1"/>
  <c r="L73" i="2" l="1"/>
  <c r="M72" i="2"/>
  <c r="K72" i="2"/>
  <c r="P63" i="2"/>
  <c r="O63" i="2"/>
  <c r="B99" i="2"/>
  <c r="F99" i="2" s="1"/>
  <c r="G99" i="2" s="1"/>
  <c r="L72" i="2" l="1"/>
  <c r="K71" i="2"/>
  <c r="M71" i="2"/>
  <c r="O62" i="2"/>
  <c r="P62" i="2"/>
  <c r="B100" i="2"/>
  <c r="F100" i="2" s="1"/>
  <c r="G100" i="2" s="1"/>
  <c r="L71" i="2" l="1"/>
  <c r="K70" i="2"/>
  <c r="M70" i="2"/>
  <c r="O61" i="2"/>
  <c r="P61" i="2"/>
  <c r="B101" i="2"/>
  <c r="F101" i="2" s="1"/>
  <c r="G101" i="2" s="1"/>
  <c r="L70" i="2" l="1"/>
  <c r="M69" i="2"/>
  <c r="K69" i="2"/>
  <c r="O60" i="2"/>
  <c r="P60" i="2"/>
  <c r="B102" i="2"/>
  <c r="F102" i="2" s="1"/>
  <c r="G102" i="2" s="1"/>
  <c r="L69" i="2" l="1"/>
  <c r="M68" i="2"/>
  <c r="K68" i="2"/>
  <c r="O59" i="2"/>
  <c r="P59" i="2"/>
  <c r="B103" i="2"/>
  <c r="F103" i="2" s="1"/>
  <c r="G103" i="2" s="1"/>
  <c r="L68" i="2" l="1"/>
  <c r="M67" i="2"/>
  <c r="K67" i="2"/>
  <c r="O58" i="2"/>
  <c r="P58" i="2"/>
  <c r="B104" i="2"/>
  <c r="F104" i="2" s="1"/>
  <c r="G104" i="2" s="1"/>
  <c r="L67" i="2" l="1"/>
  <c r="M66" i="2"/>
  <c r="K66" i="2"/>
  <c r="P57" i="2"/>
  <c r="O57" i="2"/>
  <c r="B105" i="2"/>
  <c r="F105" i="2" s="1"/>
  <c r="G105" i="2" s="1"/>
  <c r="L66" i="2" l="1"/>
  <c r="K65" i="2"/>
  <c r="M65" i="2"/>
  <c r="O56" i="2"/>
  <c r="P56" i="2"/>
  <c r="B106" i="2"/>
  <c r="F106" i="2" s="1"/>
  <c r="G106" i="2" s="1"/>
  <c r="L65" i="2" l="1"/>
  <c r="K64" i="2"/>
  <c r="M64" i="2"/>
  <c r="O55" i="2"/>
  <c r="P55" i="2"/>
  <c r="B107" i="2"/>
  <c r="F107" i="2" s="1"/>
  <c r="G107" i="2" s="1"/>
  <c r="L64" i="2" l="1"/>
  <c r="M63" i="2"/>
  <c r="K63" i="2"/>
  <c r="P54" i="2"/>
  <c r="O54" i="2"/>
  <c r="B108" i="2"/>
  <c r="F108" i="2" s="1"/>
  <c r="G108" i="2" s="1"/>
  <c r="L63" i="2" l="1"/>
  <c r="K62" i="2"/>
  <c r="M62" i="2"/>
  <c r="P53" i="2"/>
  <c r="O53" i="2"/>
  <c r="B109" i="2"/>
  <c r="F109" i="2" s="1"/>
  <c r="G109" i="2" s="1"/>
  <c r="L62" i="2" l="1"/>
  <c r="M61" i="2"/>
  <c r="K61" i="2"/>
  <c r="O52" i="2"/>
  <c r="P52" i="2"/>
  <c r="B110" i="2"/>
  <c r="F110" i="2" s="1"/>
  <c r="G110" i="2" s="1"/>
  <c r="L61" i="2" l="1"/>
  <c r="M60" i="2"/>
  <c r="K60" i="2"/>
  <c r="O51" i="2"/>
  <c r="P51" i="2"/>
  <c r="B111" i="2"/>
  <c r="F111" i="2" s="1"/>
  <c r="G111" i="2" s="1"/>
  <c r="L60" i="2" l="1"/>
  <c r="M59" i="2"/>
  <c r="K59" i="2"/>
  <c r="P50" i="2"/>
  <c r="O50" i="2"/>
  <c r="B112" i="2"/>
  <c r="F112" i="2" s="1"/>
  <c r="G112" i="2" s="1"/>
  <c r="L59" i="2" l="1"/>
  <c r="M58" i="2"/>
  <c r="K58" i="2"/>
  <c r="P49" i="2"/>
  <c r="O49" i="2"/>
  <c r="B113" i="2"/>
  <c r="F113" i="2" s="1"/>
  <c r="G113" i="2" s="1"/>
  <c r="L58" i="2" l="1"/>
  <c r="K57" i="2"/>
  <c r="M57" i="2"/>
  <c r="O48" i="2"/>
  <c r="P48" i="2"/>
  <c r="B114" i="2"/>
  <c r="F114" i="2" s="1"/>
  <c r="G114" i="2" s="1"/>
  <c r="L57" i="2" l="1"/>
  <c r="M56" i="2"/>
  <c r="K56" i="2"/>
  <c r="P47" i="2"/>
  <c r="O47" i="2"/>
  <c r="B115" i="2"/>
  <c r="F115" i="2" s="1"/>
  <c r="G115" i="2" s="1"/>
  <c r="L56" i="2" l="1"/>
  <c r="M55" i="2"/>
  <c r="K55" i="2"/>
  <c r="P46" i="2"/>
  <c r="O46" i="2"/>
  <c r="B116" i="2"/>
  <c r="F116" i="2" s="1"/>
  <c r="G116" i="2" s="1"/>
  <c r="L55" i="2" l="1"/>
  <c r="M54" i="2"/>
  <c r="K54" i="2"/>
  <c r="P45" i="2"/>
  <c r="O45" i="2"/>
  <c r="B117" i="2"/>
  <c r="F117" i="2" s="1"/>
  <c r="G117" i="2" s="1"/>
  <c r="L54" i="2" l="1"/>
  <c r="M53" i="2"/>
  <c r="K53" i="2"/>
  <c r="P44" i="2"/>
  <c r="O44" i="2"/>
  <c r="B118" i="2"/>
  <c r="F118" i="2" s="1"/>
  <c r="G118" i="2" s="1"/>
  <c r="L53" i="2" l="1"/>
  <c r="M52" i="2"/>
  <c r="K52" i="2"/>
  <c r="O43" i="2"/>
  <c r="P43" i="2"/>
  <c r="B119" i="2"/>
  <c r="F119" i="2" s="1"/>
  <c r="G119" i="2" s="1"/>
  <c r="L52" i="2" l="1"/>
  <c r="K51" i="2"/>
  <c r="M51" i="2"/>
  <c r="P42" i="2"/>
  <c r="O42" i="2"/>
  <c r="B120" i="2"/>
  <c r="F120" i="2" s="1"/>
  <c r="G120" i="2" s="1"/>
  <c r="L51" i="2" l="1"/>
  <c r="M50" i="2"/>
  <c r="K50" i="2"/>
  <c r="P41" i="2"/>
  <c r="O41" i="2"/>
  <c r="B121" i="2"/>
  <c r="F121" i="2" s="1"/>
  <c r="G121" i="2" s="1"/>
  <c r="L50" i="2" l="1"/>
  <c r="K49" i="2"/>
  <c r="M49" i="2"/>
  <c r="P40" i="2"/>
  <c r="O40" i="2"/>
  <c r="B122" i="2"/>
  <c r="F122" i="2" s="1"/>
  <c r="G122" i="2" s="1"/>
  <c r="L49" i="2" l="1"/>
  <c r="M48" i="2"/>
  <c r="K48" i="2"/>
  <c r="O39" i="2"/>
  <c r="P39" i="2"/>
  <c r="B123" i="2"/>
  <c r="F123" i="2" s="1"/>
  <c r="G123" i="2" s="1"/>
  <c r="L48" i="2" l="1"/>
  <c r="M47" i="2"/>
  <c r="K47" i="2"/>
  <c r="O38" i="2"/>
  <c r="P38" i="2"/>
  <c r="B124" i="2"/>
  <c r="F124" i="2" s="1"/>
  <c r="G124" i="2" s="1"/>
  <c r="L47" i="2" l="1"/>
  <c r="M46" i="2"/>
  <c r="K46" i="2"/>
  <c r="O37" i="2"/>
  <c r="P37" i="2"/>
  <c r="B125" i="2"/>
  <c r="F125" i="2" s="1"/>
  <c r="G125" i="2" s="1"/>
  <c r="L46" i="2" l="1"/>
  <c r="M45" i="2"/>
  <c r="K45" i="2"/>
  <c r="P36" i="2"/>
  <c r="O36" i="2"/>
  <c r="B126" i="2"/>
  <c r="F126" i="2" s="1"/>
  <c r="G126" i="2" s="1"/>
  <c r="L45" i="2" l="1"/>
  <c r="K44" i="2"/>
  <c r="M44" i="2"/>
  <c r="O35" i="2"/>
  <c r="P35" i="2"/>
  <c r="B127" i="2"/>
  <c r="F127" i="2" s="1"/>
  <c r="G127" i="2" s="1"/>
  <c r="L44" i="2" l="1"/>
  <c r="M43" i="2"/>
  <c r="K43" i="2"/>
  <c r="O34" i="2"/>
  <c r="P34" i="2"/>
  <c r="B128" i="2"/>
  <c r="F128" i="2" s="1"/>
  <c r="G128" i="2" s="1"/>
  <c r="L43" i="2" l="1"/>
  <c r="M42" i="2"/>
  <c r="K42" i="2"/>
  <c r="O33" i="2"/>
  <c r="P33" i="2"/>
  <c r="B129" i="2"/>
  <c r="F129" i="2" s="1"/>
  <c r="G129" i="2" s="1"/>
  <c r="L42" i="2" l="1"/>
  <c r="K41" i="2"/>
  <c r="M41" i="2"/>
  <c r="P32" i="2"/>
  <c r="O32" i="2"/>
  <c r="B130" i="2"/>
  <c r="F130" i="2" s="1"/>
  <c r="G130" i="2" s="1"/>
  <c r="L41" i="2" l="1"/>
  <c r="M40" i="2"/>
  <c r="K40" i="2"/>
  <c r="O31" i="2"/>
  <c r="P31" i="2"/>
  <c r="B131" i="2"/>
  <c r="F131" i="2" s="1"/>
  <c r="G131" i="2" s="1"/>
  <c r="L40" i="2" l="1"/>
  <c r="M39" i="2"/>
  <c r="K39" i="2"/>
  <c r="O30" i="2"/>
  <c r="P30" i="2"/>
  <c r="B132" i="2"/>
  <c r="F132" i="2" s="1"/>
  <c r="G132" i="2" s="1"/>
  <c r="L39" i="2" l="1"/>
  <c r="K38" i="2"/>
  <c r="M38" i="2"/>
  <c r="O29" i="2"/>
  <c r="P29" i="2"/>
  <c r="B133" i="2"/>
  <c r="F133" i="2" s="1"/>
  <c r="G133" i="2" s="1"/>
  <c r="L38" i="2" l="1"/>
  <c r="M37" i="2"/>
  <c r="K37" i="2"/>
  <c r="O28" i="2"/>
  <c r="P28" i="2"/>
  <c r="B134" i="2"/>
  <c r="F134" i="2" s="1"/>
  <c r="G134" i="2" s="1"/>
  <c r="L37" i="2" l="1"/>
  <c r="M36" i="2"/>
  <c r="K36" i="2"/>
  <c r="P27" i="2"/>
  <c r="O27" i="2"/>
  <c r="B135" i="2"/>
  <c r="F135" i="2" s="1"/>
  <c r="G135" i="2" s="1"/>
  <c r="L36" i="2" l="1"/>
  <c r="M35" i="2"/>
  <c r="K35" i="2"/>
  <c r="P26" i="2"/>
  <c r="O26" i="2"/>
  <c r="B136" i="2"/>
  <c r="F136" i="2" s="1"/>
  <c r="G136" i="2" s="1"/>
  <c r="L35" i="2" l="1"/>
  <c r="M34" i="2"/>
  <c r="K34" i="2"/>
  <c r="O25" i="2"/>
  <c r="P25" i="2"/>
  <c r="B137" i="2"/>
  <c r="F137" i="2" s="1"/>
  <c r="G137" i="2" s="1"/>
  <c r="L34" i="2" l="1"/>
  <c r="K33" i="2"/>
  <c r="M33" i="2"/>
  <c r="P24" i="2"/>
  <c r="O24" i="2"/>
  <c r="B138" i="2"/>
  <c r="F138" i="2" s="1"/>
  <c r="G138" i="2" s="1"/>
  <c r="L33" i="2" l="1"/>
  <c r="M32" i="2"/>
  <c r="K32" i="2"/>
  <c r="O23" i="2"/>
  <c r="P23" i="2"/>
  <c r="B139" i="2"/>
  <c r="F139" i="2" s="1"/>
  <c r="G139" i="2" s="1"/>
  <c r="L32" i="2" l="1"/>
  <c r="M31" i="2"/>
  <c r="K31" i="2"/>
  <c r="P22" i="2"/>
  <c r="O22" i="2"/>
  <c r="B140" i="2"/>
  <c r="F140" i="2" s="1"/>
  <c r="G140" i="2" s="1"/>
  <c r="L31" i="2" l="1"/>
  <c r="K30" i="2"/>
  <c r="M30" i="2"/>
  <c r="O21" i="2"/>
  <c r="P21" i="2"/>
  <c r="B141" i="2"/>
  <c r="F141" i="2" s="1"/>
  <c r="G141" i="2" s="1"/>
  <c r="L30" i="2" l="1"/>
  <c r="M29" i="2"/>
  <c r="K29" i="2"/>
  <c r="O20" i="2"/>
  <c r="P20" i="2"/>
  <c r="B142" i="2"/>
  <c r="F142" i="2" s="1"/>
  <c r="G142" i="2" s="1"/>
  <c r="L29" i="2" l="1"/>
  <c r="M28" i="2"/>
  <c r="K28" i="2"/>
  <c r="O19" i="2"/>
  <c r="P19" i="2"/>
  <c r="B143" i="2"/>
  <c r="F143" i="2" s="1"/>
  <c r="G143" i="2" s="1"/>
  <c r="L28" i="2" l="1"/>
  <c r="M27" i="2"/>
  <c r="K27" i="2"/>
  <c r="O18" i="2"/>
  <c r="P18" i="2"/>
  <c r="B144" i="2"/>
  <c r="F144" i="2" s="1"/>
  <c r="G144" i="2" s="1"/>
  <c r="L27" i="2" l="1"/>
  <c r="M26" i="2"/>
  <c r="K26" i="2"/>
  <c r="O17" i="2"/>
  <c r="P17" i="2"/>
  <c r="B145" i="2"/>
  <c r="F145" i="2" s="1"/>
  <c r="G145" i="2" s="1"/>
  <c r="L26" i="2" l="1"/>
  <c r="M25" i="2"/>
  <c r="K25" i="2"/>
  <c r="O16" i="2"/>
  <c r="P16" i="2"/>
  <c r="B146" i="2"/>
  <c r="F146" i="2" s="1"/>
  <c r="G146" i="2" s="1"/>
  <c r="L25" i="2" l="1"/>
  <c r="M24" i="2"/>
  <c r="K24" i="2"/>
  <c r="P15" i="2"/>
  <c r="O15" i="2"/>
  <c r="B147" i="2"/>
  <c r="F147" i="2" s="1"/>
  <c r="G147" i="2" s="1"/>
  <c r="L24" i="2" l="1"/>
  <c r="M23" i="2"/>
  <c r="K23" i="2"/>
  <c r="P14" i="2"/>
  <c r="O14" i="2"/>
  <c r="B148" i="2"/>
  <c r="F148" i="2" s="1"/>
  <c r="G148" i="2" s="1"/>
  <c r="L23" i="2" l="1"/>
  <c r="M22" i="2"/>
  <c r="K22" i="2"/>
  <c r="O13" i="2"/>
  <c r="P13" i="2"/>
  <c r="B149" i="2"/>
  <c r="F149" i="2" s="1"/>
  <c r="G149" i="2" s="1"/>
  <c r="L22" i="2" l="1"/>
  <c r="K21" i="2"/>
  <c r="M21" i="2"/>
  <c r="O12" i="2"/>
  <c r="P12" i="2"/>
  <c r="B150" i="2"/>
  <c r="F150" i="2" s="1"/>
  <c r="G150" i="2" s="1"/>
  <c r="L21" i="2" l="1"/>
  <c r="M20" i="2"/>
  <c r="K20" i="2"/>
  <c r="O11" i="2"/>
  <c r="P11" i="2"/>
  <c r="B151" i="2"/>
  <c r="F151" i="2" s="1"/>
  <c r="G151" i="2" s="1"/>
  <c r="L20" i="2" l="1"/>
  <c r="M19" i="2"/>
  <c r="K19" i="2"/>
  <c r="O10" i="2"/>
  <c r="P10" i="2"/>
  <c r="B152" i="2"/>
  <c r="F152" i="2" s="1"/>
  <c r="G152" i="2" s="1"/>
  <c r="L19" i="2" l="1"/>
  <c r="M18" i="2"/>
  <c r="K18" i="2"/>
  <c r="O9" i="2"/>
  <c r="P9" i="2"/>
  <c r="B153" i="2"/>
  <c r="F153" i="2" s="1"/>
  <c r="G153" i="2" s="1"/>
  <c r="L18" i="2" l="1"/>
  <c r="M17" i="2"/>
  <c r="K17" i="2"/>
  <c r="O8" i="2"/>
  <c r="P8" i="2"/>
  <c r="B154" i="2"/>
  <c r="F154" i="2" s="1"/>
  <c r="G154" i="2" s="1"/>
  <c r="L17" i="2" l="1"/>
  <c r="M16" i="2"/>
  <c r="K16" i="2"/>
  <c r="O7" i="2"/>
  <c r="P7" i="2"/>
  <c r="B155" i="2"/>
  <c r="F155" i="2" s="1"/>
  <c r="G155" i="2" s="1"/>
  <c r="L16" i="2" l="1"/>
  <c r="M15" i="2"/>
  <c r="K15" i="2"/>
  <c r="P6" i="2"/>
  <c r="O6" i="2"/>
  <c r="B156" i="2"/>
  <c r="F156" i="2" s="1"/>
  <c r="G156" i="2" s="1"/>
  <c r="L15" i="2" l="1"/>
  <c r="K14" i="2"/>
  <c r="L14" i="2" s="1"/>
  <c r="M14" i="2"/>
  <c r="M12" i="2" s="1"/>
  <c r="O5" i="2"/>
  <c r="P5" i="2"/>
  <c r="B157" i="2"/>
  <c r="F157" i="2" s="1"/>
  <c r="G157" i="2" s="1"/>
  <c r="P4" i="2" l="1"/>
  <c r="O4" i="2"/>
  <c r="B158" i="2"/>
  <c r="F158" i="2" s="1"/>
  <c r="G158" i="2" s="1"/>
  <c r="B159" i="2" l="1"/>
  <c r="F159" i="2" s="1"/>
  <c r="G159" i="2" s="1"/>
  <c r="B160" i="2" l="1"/>
  <c r="F160" i="2" s="1"/>
  <c r="G160" i="2" s="1"/>
  <c r="B161" i="2" l="1"/>
  <c r="F161" i="2" s="1"/>
  <c r="G161" i="2" s="1"/>
  <c r="B162" i="2" l="1"/>
  <c r="F162" i="2" s="1"/>
  <c r="G162" i="2" s="1"/>
  <c r="B163" i="2" l="1"/>
  <c r="F163" i="2" s="1"/>
  <c r="G163" i="2" s="1"/>
  <c r="B164" i="2" l="1"/>
  <c r="F164" i="2" s="1"/>
  <c r="G164" i="2" s="1"/>
  <c r="B165" i="2" l="1"/>
  <c r="F165" i="2" s="1"/>
  <c r="G165" i="2" s="1"/>
  <c r="B166" i="2" l="1"/>
  <c r="F166" i="2" s="1"/>
  <c r="G166" i="2" s="1"/>
  <c r="B167" i="2" l="1"/>
  <c r="F167" i="2" s="1"/>
  <c r="G167" i="2" s="1"/>
  <c r="B168" i="2" l="1"/>
  <c r="F168" i="2" s="1"/>
  <c r="G168" i="2" s="1"/>
  <c r="B169" i="2" l="1"/>
  <c r="F169" i="2" s="1"/>
  <c r="G169" i="2" s="1"/>
  <c r="B170" i="2" l="1"/>
  <c r="F170" i="2" s="1"/>
  <c r="G170" i="2" s="1"/>
  <c r="B171" i="2" l="1"/>
  <c r="F171" i="2" s="1"/>
  <c r="G171" i="2" s="1"/>
  <c r="B172" i="2" l="1"/>
  <c r="F172" i="2" s="1"/>
  <c r="G172" i="2" s="1"/>
  <c r="B173" i="2" l="1"/>
  <c r="F173" i="2" s="1"/>
  <c r="G173" i="2" s="1"/>
  <c r="B174" i="2" l="1"/>
  <c r="F174" i="2" s="1"/>
  <c r="G174" i="2" s="1"/>
  <c r="B175" i="2" l="1"/>
  <c r="F175" i="2" s="1"/>
  <c r="G175" i="2" s="1"/>
  <c r="B176" i="2" l="1"/>
  <c r="F176" i="2" s="1"/>
  <c r="G176" i="2" s="1"/>
  <c r="B177" i="2" l="1"/>
  <c r="F177" i="2" s="1"/>
  <c r="G177" i="2" s="1"/>
  <c r="B178" i="2" l="1"/>
  <c r="F178" i="2" s="1"/>
  <c r="G178" i="2" s="1"/>
  <c r="B179" i="2" l="1"/>
  <c r="F179" i="2" s="1"/>
  <c r="G179" i="2" s="1"/>
  <c r="B180" i="2" l="1"/>
  <c r="F180" i="2" s="1"/>
  <c r="G180" i="2" s="1"/>
  <c r="B181" i="2" l="1"/>
  <c r="F181" i="2" s="1"/>
  <c r="G181" i="2" s="1"/>
  <c r="B182" i="2" l="1"/>
  <c r="F182" i="2" s="1"/>
  <c r="G182" i="2" s="1"/>
  <c r="B183" i="2" l="1"/>
  <c r="F183" i="2" s="1"/>
  <c r="G183" i="2" s="1"/>
  <c r="B184" i="2" l="1"/>
  <c r="F184" i="2" s="1"/>
  <c r="G184" i="2" s="1"/>
  <c r="B185" i="2" l="1"/>
  <c r="F185" i="2" s="1"/>
  <c r="G185" i="2" s="1"/>
  <c r="B186" i="2" l="1"/>
  <c r="F186" i="2" s="1"/>
  <c r="G186" i="2" s="1"/>
  <c r="B187" i="2" l="1"/>
  <c r="F187" i="2" s="1"/>
  <c r="G187" i="2" s="1"/>
  <c r="B188" i="2" l="1"/>
  <c r="F188" i="2" s="1"/>
  <c r="G188" i="2" s="1"/>
  <c r="B189" i="2" l="1"/>
  <c r="F189" i="2" s="1"/>
  <c r="G189" i="2" s="1"/>
  <c r="B190" i="2" l="1"/>
  <c r="F190" i="2" s="1"/>
  <c r="G190" i="2" s="1"/>
  <c r="B191" i="2" l="1"/>
  <c r="F191" i="2" s="1"/>
  <c r="G191" i="2" s="1"/>
  <c r="B192" i="2" l="1"/>
  <c r="F192" i="2" s="1"/>
  <c r="G192" i="2" s="1"/>
  <c r="B193" i="2" l="1"/>
  <c r="F193" i="2" s="1"/>
  <c r="G193" i="2" s="1"/>
  <c r="B194" i="2" l="1"/>
  <c r="F194" i="2" s="1"/>
  <c r="G194" i="2" s="1"/>
  <c r="B195" i="2" l="1"/>
  <c r="F195" i="2" s="1"/>
  <c r="G195" i="2" s="1"/>
  <c r="B196" i="2" l="1"/>
  <c r="F196" i="2" s="1"/>
  <c r="G196" i="2" s="1"/>
  <c r="B197" i="2" l="1"/>
  <c r="F197" i="2" s="1"/>
  <c r="G197" i="2" s="1"/>
  <c r="B198" i="2" l="1"/>
  <c r="F198" i="2" s="1"/>
  <c r="G198" i="2" s="1"/>
  <c r="B199" i="2" l="1"/>
  <c r="F199" i="2" s="1"/>
  <c r="G199" i="2" s="1"/>
  <c r="B200" i="2" l="1"/>
  <c r="F200" i="2" s="1"/>
  <c r="G200" i="2" s="1"/>
  <c r="B201" i="2" l="1"/>
  <c r="F201" i="2" s="1"/>
  <c r="G201" i="2" s="1"/>
  <c r="B202" i="2" l="1"/>
  <c r="F202" i="2" s="1"/>
  <c r="G202" i="2" s="1"/>
  <c r="B203" i="2" l="1"/>
  <c r="F203" i="2" s="1"/>
  <c r="G203" i="2" s="1"/>
  <c r="B204" i="2" l="1"/>
  <c r="F204" i="2" s="1"/>
  <c r="G204" i="2" s="1"/>
  <c r="B205" i="2" l="1"/>
  <c r="F205" i="2" s="1"/>
  <c r="G205" i="2" s="1"/>
  <c r="B206" i="2" l="1"/>
  <c r="F206" i="2" s="1"/>
  <c r="G206" i="2" s="1"/>
  <c r="B207" i="2" l="1"/>
  <c r="F207" i="2" s="1"/>
  <c r="G207" i="2" s="1"/>
  <c r="B208" i="2" l="1"/>
  <c r="F208" i="2" s="1"/>
  <c r="G208" i="2" s="1"/>
  <c r="B209" i="2" l="1"/>
  <c r="F209" i="2" s="1"/>
  <c r="G209" i="2" s="1"/>
  <c r="B210" i="2" l="1"/>
  <c r="F210" i="2" s="1"/>
  <c r="G210" i="2" s="1"/>
  <c r="B211" i="2" l="1"/>
  <c r="F211" i="2" s="1"/>
  <c r="G211" i="2" s="1"/>
  <c r="B212" i="2" l="1"/>
  <c r="F212" i="2" s="1"/>
  <c r="G212" i="2" s="1"/>
  <c r="B213" i="2" l="1"/>
  <c r="F213" i="2" s="1"/>
  <c r="G213" i="2" s="1"/>
  <c r="B214" i="2" l="1"/>
  <c r="F214" i="2" s="1"/>
  <c r="G214" i="2" s="1"/>
  <c r="B215" i="2" l="1"/>
  <c r="F215" i="2" s="1"/>
  <c r="G215" i="2" s="1"/>
  <c r="B216" i="2" l="1"/>
  <c r="F216" i="2" s="1"/>
  <c r="G216" i="2" s="1"/>
  <c r="B217" i="2" l="1"/>
  <c r="F217" i="2" s="1"/>
  <c r="G217" i="2" s="1"/>
  <c r="B218" i="2" l="1"/>
  <c r="F218" i="2" s="1"/>
  <c r="G218" i="2" s="1"/>
  <c r="B219" i="2" l="1"/>
  <c r="F219" i="2" s="1"/>
  <c r="G219" i="2" s="1"/>
  <c r="B220" i="2" l="1"/>
  <c r="F220" i="2" s="1"/>
  <c r="G220" i="2" s="1"/>
  <c r="B221" i="2" l="1"/>
  <c r="F221" i="2" s="1"/>
  <c r="G221" i="2" s="1"/>
  <c r="B222" i="2" l="1"/>
  <c r="F222" i="2" s="1"/>
  <c r="G222" i="2" s="1"/>
  <c r="B223" i="2" l="1"/>
  <c r="F223" i="2" s="1"/>
  <c r="G223" i="2" s="1"/>
  <c r="B224" i="2" l="1"/>
  <c r="F224" i="2" s="1"/>
  <c r="G224" i="2" s="1"/>
  <c r="B225" i="2" l="1"/>
  <c r="F225" i="2" s="1"/>
  <c r="G225" i="2" s="1"/>
  <c r="B226" i="2" l="1"/>
  <c r="F226" i="2" s="1"/>
  <c r="G226" i="2" s="1"/>
  <c r="B227" i="2" l="1"/>
  <c r="F227" i="2" s="1"/>
  <c r="G227" i="2" s="1"/>
  <c r="B228" i="2" l="1"/>
  <c r="F228" i="2" s="1"/>
  <c r="G228" i="2" s="1"/>
  <c r="B229" i="2" l="1"/>
  <c r="F229" i="2" s="1"/>
  <c r="G229" i="2" s="1"/>
  <c r="B230" i="2" l="1"/>
  <c r="F230" i="2" s="1"/>
  <c r="G230" i="2" s="1"/>
  <c r="B231" i="2" l="1"/>
  <c r="F231" i="2" s="1"/>
  <c r="G231" i="2" s="1"/>
  <c r="B232" i="2" l="1"/>
  <c r="F232" i="2" s="1"/>
  <c r="G232" i="2" s="1"/>
  <c r="B233" i="2" l="1"/>
  <c r="F233" i="2" s="1"/>
  <c r="G233" i="2" s="1"/>
  <c r="B234" i="2" l="1"/>
  <c r="F234" i="2" s="1"/>
  <c r="G234" i="2" s="1"/>
  <c r="B235" i="2" l="1"/>
  <c r="F235" i="2" s="1"/>
  <c r="G235" i="2" s="1"/>
  <c r="B236" i="2" l="1"/>
  <c r="F236" i="2" s="1"/>
  <c r="G236" i="2" s="1"/>
  <c r="B237" i="2" l="1"/>
  <c r="F237" i="2" s="1"/>
  <c r="G237" i="2" s="1"/>
  <c r="B238" i="2" l="1"/>
  <c r="F238" i="2" s="1"/>
  <c r="G238" i="2" s="1"/>
  <c r="B239" i="2" l="1"/>
  <c r="F239" i="2" s="1"/>
  <c r="G239" i="2" s="1"/>
  <c r="B240" i="2" l="1"/>
  <c r="F240" i="2" s="1"/>
  <c r="G240" i="2" s="1"/>
  <c r="B241" i="2" l="1"/>
  <c r="F241" i="2" s="1"/>
  <c r="G241" i="2" s="1"/>
  <c r="B242" i="2" l="1"/>
  <c r="F242" i="2" s="1"/>
  <c r="G242" i="2" s="1"/>
  <c r="B243" i="2" l="1"/>
  <c r="F243" i="2" s="1"/>
  <c r="G243" i="2" s="1"/>
  <c r="B244" i="2" l="1"/>
  <c r="F244" i="2" s="1"/>
  <c r="G244" i="2" s="1"/>
  <c r="B245" i="2" l="1"/>
  <c r="F245" i="2" s="1"/>
  <c r="G245" i="2" s="1"/>
  <c r="B246" i="2" l="1"/>
  <c r="F246" i="2" s="1"/>
  <c r="G246" i="2" s="1"/>
  <c r="B247" i="2" l="1"/>
  <c r="F247" i="2" s="1"/>
  <c r="G247" i="2" s="1"/>
  <c r="B248" i="2" l="1"/>
  <c r="F248" i="2" s="1"/>
  <c r="G248" i="2" s="1"/>
  <c r="B249" i="2" l="1"/>
  <c r="F249" i="2" s="1"/>
  <c r="G249" i="2" s="1"/>
  <c r="B250" i="2" l="1"/>
  <c r="F250" i="2" s="1"/>
  <c r="G250" i="2" s="1"/>
  <c r="B251" i="2" l="1"/>
  <c r="F251" i="2" s="1"/>
  <c r="G251" i="2" s="1"/>
  <c r="B252" i="2" l="1"/>
  <c r="F252" i="2" s="1"/>
  <c r="G252" i="2" s="1"/>
  <c r="B253" i="2" l="1"/>
  <c r="F253" i="2" s="1"/>
  <c r="G253" i="2" s="1"/>
  <c r="B254" i="2" l="1"/>
  <c r="F254" i="2" s="1"/>
  <c r="G254" i="2" s="1"/>
  <c r="B255" i="2" l="1"/>
  <c r="F255" i="2" s="1"/>
  <c r="G255" i="2" s="1"/>
  <c r="B256" i="2" l="1"/>
  <c r="F256" i="2" s="1"/>
  <c r="G256" i="2" s="1"/>
  <c r="B257" i="2" l="1"/>
  <c r="F257" i="2" s="1"/>
  <c r="G257" i="2" s="1"/>
  <c r="B258" i="2" l="1"/>
  <c r="F258" i="2" s="1"/>
  <c r="G258" i="2" s="1"/>
  <c r="B259" i="2" l="1"/>
  <c r="F259" i="2" s="1"/>
  <c r="G259" i="2" s="1"/>
  <c r="B260" i="2" l="1"/>
  <c r="F260" i="2" s="1"/>
  <c r="G260" i="2" s="1"/>
  <c r="B261" i="2" l="1"/>
  <c r="F261" i="2" s="1"/>
  <c r="G261" i="2" s="1"/>
  <c r="B262" i="2" l="1"/>
  <c r="F262" i="2" s="1"/>
  <c r="G262" i="2" s="1"/>
  <c r="B263" i="2" l="1"/>
  <c r="F263" i="2" s="1"/>
  <c r="G263" i="2" s="1"/>
  <c r="B264" i="2" l="1"/>
  <c r="F264" i="2" s="1"/>
  <c r="G264" i="2" s="1"/>
  <c r="B265" i="2" l="1"/>
  <c r="F265" i="2" s="1"/>
  <c r="G265" i="2" s="1"/>
  <c r="B266" i="2" l="1"/>
  <c r="F266" i="2" s="1"/>
  <c r="G266" i="2" s="1"/>
  <c r="G5" i="2" l="1"/>
  <c r="G6" i="2" s="1"/>
  <c r="B267" i="2"/>
  <c r="F267" i="2" s="1"/>
  <c r="G26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tc={A30078E9-21E9-4E42-B745-035136C46E1F}</author>
    <author>tc={609038E3-4F0E-487A-A972-42D582E7FA61}</author>
    <author>tc={04CF0EE6-8B35-48FD-A999-512E6E6F9423}</author>
  </authors>
  <commentList>
    <comment ref="H5" authorId="0" shapeId="0" xr:uid="{A30078E9-21E9-4E42-B745-035136C46E1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Un valor arbitrario con el fin de establecer una cota como limite de la volatibilidad de nuestra grafica</t>
      </text>
    </comment>
    <comment ref="C6" authorId="1" shapeId="0" xr:uid="{609038E3-4F0E-487A-A972-42D582E7FA6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precio de cierre a esa fecha</t>
      </text>
    </comment>
    <comment ref="D6" authorId="2" shapeId="0" xr:uid="{04CF0EE6-8B35-48FD-A999-512E6E6F942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Hacemos uso del rendimiento clasico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tc={D6AA230F-3427-4942-9B60-29A48DD4EC47}</author>
    <author>tc={A83F7CB1-1883-4F55-A789-047BA1C573D8}</author>
    <author>tc={C4FF649D-8F1D-493E-AC84-BB01D657E3BD}</author>
    <author>tc={775EFE14-628A-4E30-B777-08B7A4EE7C5A}</author>
    <author>tc={71CFFB88-C608-4E8A-8594-2888A07DDB5F}</author>
    <author>tc={8A35455B-2266-4DDE-9C32-A3040BA2929A}</author>
    <author>tc={77182931-AA6F-4FFA-9D21-44F429DDF435}</author>
    <author>tc={BC561886-FB67-44A3-85C2-8F5E47AAE5B8}</author>
  </authors>
  <commentList>
    <comment ref="E5" authorId="0" shapeId="0" xr:uid="{D6AA230F-3427-4942-9B60-29A48DD4EC4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Recordemos como habiamos definido la volatilidad dinamica en nuestras clases</t>
      </text>
    </comment>
    <comment ref="I5" authorId="1" shapeId="0" xr:uid="{A83F7CB1-1883-4F55-A789-047BA1C573D8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Pues bien hacer esta tabla es mucha trabajo y podemos realizarlo en una macro </t>
      </text>
    </comment>
    <comment ref="B7" authorId="2" shapeId="0" xr:uid="{C4FF649D-8F1D-493E-AC84-BB01D657E3B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Comunmente el valor lambda es de .95 (pero cuando los buscamos una optimizacion puede cambiar)</t>
      </text>
    </comment>
    <comment ref="M12" authorId="3" shapeId="0" xr:uid="{775EFE14-628A-4E30-B777-08B7A4EE7C5A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Y esto es la raiz de la media de los errores cuadraticos que necesitamos que sea el minimo </t>
      </text>
    </comment>
    <comment ref="B13" authorId="4" shapeId="0" xr:uid="{71CFFB88-C608-4E8A-8594-2888A07DDB5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Indicamos de manera numerica la fecha</t>
      </text>
    </comment>
    <comment ref="D13" authorId="5" shapeId="0" xr:uid="{8A35455B-2266-4DDE-9C32-A3040BA292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Hacemos uso del rendimiento clasico</t>
      </text>
    </comment>
    <comment ref="F13" authorId="6" shapeId="0" xr:uid="{77182931-AA6F-4FFA-9D21-44F429DDF43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los ponderadores del decaimento de los rendimientos</t>
      </text>
    </comment>
    <comment ref="M13" authorId="7" shapeId="0" xr:uid="{BC561886-FB67-44A3-85C2-8F5E47AAE5B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diferencia que tenemos entre nuestra estimacion y los rendimientos al cuadrado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<sst xmlns="http://schemas.openxmlformats.org/spreadsheetml/2006/main" count="61" uniqueCount="42">
  <si>
    <t>Fecha</t>
  </si>
  <si>
    <r>
      <t>Rendimiento 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</si>
  <si>
    <r>
      <t>Lamda (</t>
    </r>
    <r>
      <rPr>
        <b/>
        <sz val="11"/>
        <color theme="1"/>
        <rFont val="Calibri"/>
        <family val="2"/>
      </rPr>
      <t>λ) :=</t>
    </r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</si>
  <si>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</si>
  <si>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 -µ)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</si>
  <si>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(</t>
    </r>
    <r>
      <rPr>
        <b/>
        <sz val="11"/>
        <color theme="1"/>
        <rFont val="Calibri"/>
        <family val="2"/>
      </rPr>
      <t>λ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i-1</t>
    </r>
  </si>
  <si>
    <t>Periodo</t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</si>
  <si>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*(</t>
    </r>
    <r>
      <rPr>
        <b/>
        <sz val="11"/>
        <color theme="1"/>
        <rFont val="Calibri"/>
        <family val="2"/>
      </rPr>
      <t>λ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i-1</t>
    </r>
  </si>
  <si>
    <r>
      <t>Media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) :=</t>
    </r>
  </si>
  <si>
    <r>
      <t>Vol. Hist. (</t>
    </r>
    <r>
      <rPr>
        <b/>
        <sz val="11"/>
        <color rgb="FFFF0000"/>
        <rFont val="Calibri"/>
        <family val="2"/>
      </rPr>
      <t>σ</t>
    </r>
    <r>
      <rPr>
        <b/>
        <sz val="11"/>
        <color rgb="FFFF0000"/>
        <rFont val="Calibri"/>
        <family val="2"/>
        <scheme val="minor"/>
      </rPr>
      <t>) :=</t>
    </r>
  </si>
  <si>
    <r>
      <t>(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  <scheme val="minor"/>
      </rPr>
      <t>t+1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</si>
  <si>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</si>
  <si>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t>Volatilidad Histórica</t>
  </si>
  <si>
    <t>Volatilidad Dinámica</t>
  </si>
  <si>
    <t>K :=</t>
  </si>
  <si>
    <t>Vol. Dinámica (anual) :=</t>
  </si>
  <si>
    <t>Vol. Dinámica (diaria) :=</t>
  </si>
  <si>
    <t>Diaria</t>
  </si>
  <si>
    <t>Anual</t>
  </si>
  <si>
    <r>
      <rPr>
        <b/>
        <sz val="11"/>
        <color theme="1"/>
        <rFont val="Calibri"/>
        <family val="2"/>
      </rPr>
      <t>-K*σ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</si>
  <si>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r>
      <rPr>
        <b/>
        <sz val="11"/>
        <color theme="1"/>
        <rFont val="Calibri"/>
        <family val="2"/>
      </rPr>
      <t>+K*σ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</si>
  <si>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t>Modelo Original</t>
  </si>
  <si>
    <t>Modelo Recursivo</t>
  </si>
  <si>
    <r>
      <rPr>
        <b/>
        <sz val="11"/>
        <color theme="1"/>
        <rFont val="Calibri"/>
        <family val="2"/>
      </rPr>
      <t>-K*σ</t>
    </r>
  </si>
  <si>
    <r>
      <rPr>
        <b/>
        <sz val="11"/>
        <color theme="1"/>
        <rFont val="Calibri"/>
        <family val="2"/>
      </rPr>
      <t>+K*σ</t>
    </r>
  </si>
  <si>
    <t>No.</t>
  </si>
  <si>
    <t>Date</t>
  </si>
  <si>
    <t>CEMEX</t>
  </si>
  <si>
    <t>Instrumento: =</t>
  </si>
  <si>
    <t>PRECIOS</t>
  </si>
  <si>
    <t>Instrumento</t>
  </si>
  <si>
    <t>Histórica</t>
  </si>
  <si>
    <t>Dinámica</t>
  </si>
  <si>
    <t>NAFTRAC</t>
  </si>
  <si>
    <t>LACOMER</t>
  </si>
  <si>
    <t>PEÑOLES</t>
  </si>
  <si>
    <t>VOLAR</t>
  </si>
  <si>
    <t>GAP</t>
  </si>
  <si>
    <t>Error cuadrático</t>
  </si>
  <si>
    <t>Vol. Dinámica 
Visual Basic =</t>
  </si>
  <si>
    <t>electrocardiograma como grafica</t>
  </si>
  <si>
    <t>Siempre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</si>
</sst>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000_-;\-* #,##0.00000_-;_-* &quot;-&quot;??_-;_-@_-"/>
    <numFmt numFmtId="165" formatCode="0.0000%"/>
    <numFmt numFmtId="166" formatCode="#,##0.000_ ;\-#,##0.000\ "/>
    <numFmt numFmtId="167" formatCode="#,##0.0000_ ;\-#,##0.0000\ "/>
    <numFmt numFmtId="168" formatCode="0.0000"/>
    <numFmt numFmtId="169" formatCode="0.0%"/>
    <numFmt numFmtId="170" formatCode="0.000000%"/>
    <numFmt numFmtId="171" formatCode="0.000%"/>
    <numFmt numFmtId="182" formatCode="_-* #,##0.0000000000_-;\-* #,##0.00000000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7">
    <xf numFmtId="0" fontId="0" fillId="0" borderId="0" xfId="0"/>
    <xf numFmtId="14" fontId="0" fillId="0" borderId="0" xfId="0" applyNumberFormat="1"/>
    <xf numFmtId="1" fontId="0" fillId="0" borderId="0" xfId="0" applyNumberFormat="1" applyAlignment="1">
      <alignment horizontal="center"/>
    </xf>
    <xf numFmtId="4" fontId="0" fillId="0" borderId="0" xfId="0" applyNumberFormat="1"/>
    <xf numFmtId="14" fontId="3" fillId="0" borderId="0" xfId="0" applyNumberFormat="1" applyFont="1"/>
    <xf numFmtId="1" fontId="3" fillId="0" borderId="0" xfId="0" applyNumberFormat="1" applyFont="1" applyAlignment="1">
      <alignment horizontal="center"/>
    </xf>
    <xf numFmtId="4" fontId="3" fillId="0" borderId="0" xfId="0" applyNumberFormat="1" applyFont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0" fontId="2" fillId="0" borderId="0" xfId="0" applyFont="1"/>
    <xf numFmtId="164" fontId="0" fillId="0" borderId="0" xfId="1" applyNumberFormat="1" applyFont="1"/>
    <xf numFmtId="165" fontId="3" fillId="0" borderId="0" xfId="0" applyNumberFormat="1" applyFon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164" fontId="2" fillId="0" borderId="0" xfId="0" applyNumberFormat="1" applyFont="1"/>
    <xf numFmtId="0" fontId="8" fillId="0" borderId="0" xfId="0" applyFont="1"/>
    <xf numFmtId="10" fontId="0" fillId="3" borderId="0" xfId="2" applyNumberFormat="1" applyFont="1" applyFill="1" applyAlignment="1">
      <alignment horizontal="center"/>
    </xf>
    <xf numFmtId="167" fontId="0" fillId="0" borderId="0" xfId="1" applyNumberFormat="1" applyFont="1" applyAlignment="1">
      <alignment horizontal="center"/>
    </xf>
    <xf numFmtId="166" fontId="0" fillId="0" borderId="0" xfId="0" applyNumberFormat="1"/>
    <xf numFmtId="0" fontId="2" fillId="0" borderId="1" xfId="0" quotePrefix="1" applyFont="1" applyBorder="1" applyAlignment="1">
      <alignment horizontal="center" vertical="center"/>
    </xf>
    <xf numFmtId="165" fontId="3" fillId="0" borderId="0" xfId="2" applyNumberFormat="1" applyFont="1" applyAlignment="1">
      <alignment horizontal="center"/>
    </xf>
    <xf numFmtId="168" fontId="0" fillId="4" borderId="0" xfId="0" applyNumberFormat="1" applyFill="1" applyAlignment="1">
      <alignment horizontal="center"/>
    </xf>
    <xf numFmtId="10" fontId="0" fillId="4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2" fontId="2" fillId="2" borderId="0" xfId="0" applyNumberFormat="1" applyFont="1" applyFill="1" applyAlignment="1">
      <alignment horizontal="center"/>
    </xf>
    <xf numFmtId="10" fontId="0" fillId="3" borderId="0" xfId="0" applyNumberFormat="1" applyFill="1" applyAlignment="1">
      <alignment horizontal="center"/>
    </xf>
    <xf numFmtId="43" fontId="0" fillId="0" borderId="0" xfId="1" applyFont="1"/>
    <xf numFmtId="169" fontId="0" fillId="0" borderId="0" xfId="0" applyNumberFormat="1"/>
    <xf numFmtId="0" fontId="0" fillId="0" borderId="0" xfId="0" applyAlignment="1">
      <alignment vertical="center"/>
    </xf>
    <xf numFmtId="0" fontId="2" fillId="0" borderId="1" xfId="0" applyFont="1" applyBorder="1"/>
    <xf numFmtId="0" fontId="10" fillId="0" borderId="0" xfId="0" applyFont="1"/>
    <xf numFmtId="171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170" fontId="3" fillId="3" borderId="0" xfId="2" applyNumberFormat="1" applyFont="1" applyFill="1" applyAlignment="1">
      <alignment horizontal="center"/>
    </xf>
    <xf numFmtId="10" fontId="0" fillId="0" borderId="0" xfId="2" applyNumberFormat="1" applyFont="1"/>
    <xf numFmtId="168" fontId="3" fillId="2" borderId="0" xfId="0" applyNumberFormat="1" applyFont="1" applyFill="1" applyAlignment="1">
      <alignment horizontal="center" vertical="center"/>
    </xf>
    <xf numFmtId="0" fontId="2" fillId="0" borderId="5" xfId="0" applyFont="1" applyBorder="1" applyAlignment="1">
      <alignment horizontal="left" indent="1"/>
    </xf>
    <xf numFmtId="169" fontId="0" fillId="0" borderId="5" xfId="2" applyNumberFormat="1" applyFont="1" applyFill="1" applyBorder="1" applyAlignment="1">
      <alignment horizontal="center"/>
    </xf>
    <xf numFmtId="0" fontId="2" fillId="0" borderId="6" xfId="0" applyFont="1" applyBorder="1" applyAlignment="1">
      <alignment horizontal="left" indent="1"/>
    </xf>
    <xf numFmtId="169" fontId="0" fillId="0" borderId="6" xfId="2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left" indent="1"/>
    </xf>
    <xf numFmtId="169" fontId="0" fillId="0" borderId="7" xfId="2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4" fontId="3" fillId="0" borderId="1" xfId="0" applyNumberFormat="1" applyFont="1" applyBorder="1"/>
    <xf numFmtId="2" fontId="2" fillId="2" borderId="1" xfId="0" applyNumberFormat="1" applyFont="1" applyFill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0" fontId="0" fillId="6" borderId="1" xfId="0" applyFill="1" applyBorder="1"/>
    <xf numFmtId="165" fontId="3" fillId="0" borderId="1" xfId="0" applyNumberFormat="1" applyFont="1" applyBorder="1" applyAlignment="1">
      <alignment horizontal="center"/>
    </xf>
    <xf numFmtId="10" fontId="3" fillId="0" borderId="1" xfId="2" applyNumberFormat="1" applyFont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170" fontId="3" fillId="0" borderId="0" xfId="2" applyNumberFormat="1" applyFont="1" applyAlignment="1">
      <alignment horizontal="center" vertical="center"/>
    </xf>
    <xf numFmtId="182" fontId="0" fillId="0" borderId="0" xfId="1" applyNumberFormat="1" applyFont="1"/>
    <xf numFmtId="182" fontId="3" fillId="0" borderId="0" xfId="0" applyNumberFormat="1" applyFont="1" applyAlignment="1">
      <alignment horizontal="center" vertical="center"/>
    </xf>
    <xf numFmtId="171" fontId="3" fillId="5" borderId="0" xfId="2" applyNumberFormat="1" applyFont="1" applyFill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chemeClr val="tx1"/>
                </a:solidFill>
              </a:rPr>
              <a:t>Volatilidad </a:t>
            </a:r>
          </a:p>
        </c:rich>
      </c:tx>
      <c:layout>
        <c:manualLayout>
          <c:xMode val="edge"/>
          <c:yMode val="edge"/>
          <c:x val="0.45981645521742487"/>
          <c:y val="3.166561114629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Rendimientos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Histórica!$A$7:$A$258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Histórica!$D$7:$D$258</c:f>
              <c:numCache>
                <c:formatCode>0.00%</c:formatCode>
                <c:ptCount val="252"/>
                <c:pt idx="0">
                  <c:v>-1.3438880706922118E-2</c:v>
                </c:pt>
                <c:pt idx="1">
                  <c:v>-1.4656798722971875E-2</c:v>
                </c:pt>
                <c:pt idx="2">
                  <c:v>1.2080044060950756E-2</c:v>
                </c:pt>
                <c:pt idx="3">
                  <c:v>2.2795553552651615E-2</c:v>
                </c:pt>
                <c:pt idx="4">
                  <c:v>2.6285361905495908E-2</c:v>
                </c:pt>
                <c:pt idx="5">
                  <c:v>-4.3745203376824859E-3</c:v>
                </c:pt>
                <c:pt idx="6">
                  <c:v>3.0528313824739195E-2</c:v>
                </c:pt>
                <c:pt idx="7">
                  <c:v>-4.7819865953761531E-2</c:v>
                </c:pt>
                <c:pt idx="8">
                  <c:v>1.817205950007672E-2</c:v>
                </c:pt>
                <c:pt idx="9">
                  <c:v>4.6217840086273387E-3</c:v>
                </c:pt>
                <c:pt idx="10">
                  <c:v>-5.058246474555439E-3</c:v>
                </c:pt>
                <c:pt idx="11">
                  <c:v>-3.3731995408597837E-2</c:v>
                </c:pt>
                <c:pt idx="12">
                  <c:v>7.535907479947701E-3</c:v>
                </c:pt>
                <c:pt idx="13">
                  <c:v>-1.5318492395856365E-2</c:v>
                </c:pt>
                <c:pt idx="14">
                  <c:v>-1.0720645419195374E-2</c:v>
                </c:pt>
                <c:pt idx="15">
                  <c:v>7.1739687419933862E-3</c:v>
                </c:pt>
                <c:pt idx="16">
                  <c:v>-5.2505635512398285E-2</c:v>
                </c:pt>
                <c:pt idx="17">
                  <c:v>1.346126810066095E-2</c:v>
                </c:pt>
                <c:pt idx="18">
                  <c:v>-2.8109627547445726E-4</c:v>
                </c:pt>
                <c:pt idx="19">
                  <c:v>-7.7241766729851946E-4</c:v>
                </c:pt>
                <c:pt idx="20">
                  <c:v>-2.4722640734146095E-2</c:v>
                </c:pt>
                <c:pt idx="21">
                  <c:v>-1.4809567182808681E-2</c:v>
                </c:pt>
                <c:pt idx="22">
                  <c:v>-1.650276168664977E-3</c:v>
                </c:pt>
                <c:pt idx="23">
                  <c:v>-6.6575223311364784E-3</c:v>
                </c:pt>
                <c:pt idx="24">
                  <c:v>-6.2502077861631422E-3</c:v>
                </c:pt>
                <c:pt idx="25">
                  <c:v>-1.6595306847223545E-3</c:v>
                </c:pt>
                <c:pt idx="26">
                  <c:v>6.8506884106402932E-3</c:v>
                </c:pt>
                <c:pt idx="27">
                  <c:v>-6.8370394955193925E-3</c:v>
                </c:pt>
                <c:pt idx="28">
                  <c:v>-1.1709909141601305E-2</c:v>
                </c:pt>
                <c:pt idx="29">
                  <c:v>-1.1189673066943406E-2</c:v>
                </c:pt>
                <c:pt idx="30">
                  <c:v>5.8723737439645429E-3</c:v>
                </c:pt>
                <c:pt idx="31">
                  <c:v>3.0492519751218694E-2</c:v>
                </c:pt>
                <c:pt idx="32">
                  <c:v>0.17198581560283688</c:v>
                </c:pt>
                <c:pt idx="33">
                  <c:v>1.4307409479658029E-2</c:v>
                </c:pt>
                <c:pt idx="34">
                  <c:v>-2.2730823308858117E-2</c:v>
                </c:pt>
                <c:pt idx="35">
                  <c:v>-1.8665440190103855E-2</c:v>
                </c:pt>
                <c:pt idx="36">
                  <c:v>-1.1496895838114529E-4</c:v>
                </c:pt>
                <c:pt idx="37">
                  <c:v>1.4968336211858002E-3</c:v>
                </c:pt>
                <c:pt idx="38">
                  <c:v>-5.9516996680782919E-3</c:v>
                </c:pt>
                <c:pt idx="39">
                  <c:v>6.8720650555498253E-4</c:v>
                </c:pt>
                <c:pt idx="40">
                  <c:v>-9.9410341699425198E-3</c:v>
                </c:pt>
                <c:pt idx="41">
                  <c:v>4.2765362027511689E-2</c:v>
                </c:pt>
                <c:pt idx="42">
                  <c:v>-8.286752921862206E-3</c:v>
                </c:pt>
                <c:pt idx="43">
                  <c:v>1.0466861521447157E-2</c:v>
                </c:pt>
                <c:pt idx="44">
                  <c:v>1.0134056814554926E-2</c:v>
                </c:pt>
                <c:pt idx="45">
                  <c:v>-8.034194799540928E-3</c:v>
                </c:pt>
                <c:pt idx="46">
                  <c:v>2.4157918203558726E-2</c:v>
                </c:pt>
                <c:pt idx="47">
                  <c:v>1.260055820062389E-2</c:v>
                </c:pt>
                <c:pt idx="48">
                  <c:v>-3.5581366815263804E-3</c:v>
                </c:pt>
                <c:pt idx="49">
                  <c:v>4.4066783381015329E-2</c:v>
                </c:pt>
                <c:pt idx="50">
                  <c:v>2.0391268354320147E-2</c:v>
                </c:pt>
                <c:pt idx="51">
                  <c:v>1.5665796344647376E-2</c:v>
                </c:pt>
                <c:pt idx="52">
                  <c:v>1.0102364668544084E-2</c:v>
                </c:pt>
                <c:pt idx="53">
                  <c:v>-5.8077197998573915E-4</c:v>
                </c:pt>
                <c:pt idx="54">
                  <c:v>-1.3399153737658653E-2</c:v>
                </c:pt>
                <c:pt idx="55">
                  <c:v>2.8288543140027045E-3</c:v>
                </c:pt>
                <c:pt idx="56">
                  <c:v>-8.8929776142288031E-3</c:v>
                </c:pt>
                <c:pt idx="57">
                  <c:v>-1.7009732150546797E-2</c:v>
                </c:pt>
                <c:pt idx="58">
                  <c:v>3.5402175851614093E-2</c:v>
                </c:pt>
                <c:pt idx="59">
                  <c:v>5.5882491408125734E-2</c:v>
                </c:pt>
                <c:pt idx="60">
                  <c:v>9.9852598545004945E-3</c:v>
                </c:pt>
                <c:pt idx="61">
                  <c:v>2.60025368328618E-2</c:v>
                </c:pt>
                <c:pt idx="62">
                  <c:v>4.6243364638627993E-2</c:v>
                </c:pt>
                <c:pt idx="63">
                  <c:v>-2.2160111798762316E-2</c:v>
                </c:pt>
                <c:pt idx="64">
                  <c:v>-4.6948580126528028E-2</c:v>
                </c:pt>
                <c:pt idx="65">
                  <c:v>-3.743720974315301E-3</c:v>
                </c:pt>
                <c:pt idx="66">
                  <c:v>-6.6902498341808503E-2</c:v>
                </c:pt>
                <c:pt idx="67">
                  <c:v>-1.4167393199651213E-2</c:v>
                </c:pt>
                <c:pt idx="68">
                  <c:v>-1.6379384272360853E-2</c:v>
                </c:pt>
                <c:pt idx="69">
                  <c:v>-2.6749572257229848E-2</c:v>
                </c:pt>
                <c:pt idx="70">
                  <c:v>8.3531721171103968E-4</c:v>
                </c:pt>
                <c:pt idx="71">
                  <c:v>-2.5677545373158583E-2</c:v>
                </c:pt>
                <c:pt idx="72">
                  <c:v>1.1608760085624947E-2</c:v>
                </c:pt>
                <c:pt idx="73">
                  <c:v>-1.4763140817650955E-2</c:v>
                </c:pt>
                <c:pt idx="74">
                  <c:v>-2.9482385357213148E-2</c:v>
                </c:pt>
                <c:pt idx="75">
                  <c:v>8.5751717019335594E-3</c:v>
                </c:pt>
                <c:pt idx="76">
                  <c:v>4.5837658293543582E-2</c:v>
                </c:pt>
                <c:pt idx="77">
                  <c:v>7.0633205916559305E-4</c:v>
                </c:pt>
                <c:pt idx="78">
                  <c:v>5.3811462848636138E-2</c:v>
                </c:pt>
                <c:pt idx="79">
                  <c:v>-0.22276671771311907</c:v>
                </c:pt>
                <c:pt idx="80">
                  <c:v>2.4795982423101215E-2</c:v>
                </c:pt>
                <c:pt idx="81">
                  <c:v>-2.1164743633508509E-2</c:v>
                </c:pt>
                <c:pt idx="82">
                  <c:v>2.2692361402038896E-2</c:v>
                </c:pt>
                <c:pt idx="83">
                  <c:v>-6.2757672927164498E-2</c:v>
                </c:pt>
                <c:pt idx="84">
                  <c:v>1.8028649162487032E-3</c:v>
                </c:pt>
                <c:pt idx="85">
                  <c:v>2.5303976339139389E-3</c:v>
                </c:pt>
                <c:pt idx="86">
                  <c:v>-1.230160018176496E-2</c:v>
                </c:pt>
                <c:pt idx="87">
                  <c:v>1.1324842436974736E-2</c:v>
                </c:pt>
                <c:pt idx="88">
                  <c:v>-8.1396106010288571E-3</c:v>
                </c:pt>
                <c:pt idx="89">
                  <c:v>-3.2452781203349268E-3</c:v>
                </c:pt>
                <c:pt idx="90">
                  <c:v>-2.8154428659267206E-3</c:v>
                </c:pt>
                <c:pt idx="91">
                  <c:v>1.718101659750948E-3</c:v>
                </c:pt>
                <c:pt idx="92">
                  <c:v>-1.4031386837983773E-2</c:v>
                </c:pt>
                <c:pt idx="93">
                  <c:v>7.2111515307600182E-3</c:v>
                </c:pt>
                <c:pt idx="94">
                  <c:v>6.1542448093803159E-3</c:v>
                </c:pt>
                <c:pt idx="95">
                  <c:v>-9.3845058572250561E-4</c:v>
                </c:pt>
                <c:pt idx="96">
                  <c:v>6.1522520480528087E-4</c:v>
                </c:pt>
                <c:pt idx="97">
                  <c:v>1.4267648107915143E-3</c:v>
                </c:pt>
                <c:pt idx="98">
                  <c:v>1.879748926329694E-2</c:v>
                </c:pt>
                <c:pt idx="99">
                  <c:v>1.2238282671253042E-3</c:v>
                </c:pt>
                <c:pt idx="100">
                  <c:v>-1.630116483373456E-2</c:v>
                </c:pt>
                <c:pt idx="101">
                  <c:v>4.3462631940132113E-3</c:v>
                </c:pt>
                <c:pt idx="102">
                  <c:v>7.0756269334562027E-3</c:v>
                </c:pt>
                <c:pt idx="103">
                  <c:v>-3.0007022920257809E-2</c:v>
                </c:pt>
                <c:pt idx="104">
                  <c:v>-2.8440281611512575E-2</c:v>
                </c:pt>
                <c:pt idx="105">
                  <c:v>2.1867968180521835E-2</c:v>
                </c:pt>
                <c:pt idx="106">
                  <c:v>2.090141391917677E-2</c:v>
                </c:pt>
                <c:pt idx="107">
                  <c:v>7.9246021393164501E-3</c:v>
                </c:pt>
                <c:pt idx="108">
                  <c:v>8.1867499589018955E-3</c:v>
                </c:pt>
                <c:pt idx="109">
                  <c:v>2.6372177352891324E-3</c:v>
                </c:pt>
                <c:pt idx="110">
                  <c:v>6.597394029359549E-4</c:v>
                </c:pt>
                <c:pt idx="111">
                  <c:v>4.606309650053042E-3</c:v>
                </c:pt>
                <c:pt idx="112">
                  <c:v>-4.1581413768068121E-3</c:v>
                </c:pt>
                <c:pt idx="113">
                  <c:v>-1.0219892526291963E-3</c:v>
                </c:pt>
                <c:pt idx="114">
                  <c:v>-3.42884431709648E-2</c:v>
                </c:pt>
                <c:pt idx="115">
                  <c:v>-1.8748609742921252E-3</c:v>
                </c:pt>
                <c:pt idx="116">
                  <c:v>1.6407738768127622E-2</c:v>
                </c:pt>
                <c:pt idx="117">
                  <c:v>1.0377573997323974E-2</c:v>
                </c:pt>
                <c:pt idx="118">
                  <c:v>-1.390185036202729E-2</c:v>
                </c:pt>
                <c:pt idx="119">
                  <c:v>-3.2169856844144196E-4</c:v>
                </c:pt>
                <c:pt idx="120">
                  <c:v>2.5478939560086289E-3</c:v>
                </c:pt>
                <c:pt idx="121">
                  <c:v>6.4507805444424804E-5</c:v>
                </c:pt>
                <c:pt idx="122">
                  <c:v>-1.3528312826127653E-3</c:v>
                </c:pt>
                <c:pt idx="123">
                  <c:v>5.6361751749156586E-3</c:v>
                </c:pt>
                <c:pt idx="124">
                  <c:v>2.891206185232198E-3</c:v>
                </c:pt>
                <c:pt idx="125">
                  <c:v>-1.8336628611518635E-2</c:v>
                </c:pt>
                <c:pt idx="126">
                  <c:v>-1.7144648174267418E-2</c:v>
                </c:pt>
                <c:pt idx="127">
                  <c:v>9.7158047977718986E-3</c:v>
                </c:pt>
                <c:pt idx="128">
                  <c:v>5.1213538187486751E-3</c:v>
                </c:pt>
                <c:pt idx="129">
                  <c:v>1.1258725512272028E-2</c:v>
                </c:pt>
                <c:pt idx="130">
                  <c:v>4.8253304558942611E-2</c:v>
                </c:pt>
                <c:pt idx="131">
                  <c:v>-8.6578639478521735E-3</c:v>
                </c:pt>
                <c:pt idx="132">
                  <c:v>-2.560177192925317E-2</c:v>
                </c:pt>
                <c:pt idx="133">
                  <c:v>-2.6050994822357509E-4</c:v>
                </c:pt>
                <c:pt idx="134">
                  <c:v>-2.0821376187743268E-2</c:v>
                </c:pt>
                <c:pt idx="135">
                  <c:v>-1.401006177163544E-3</c:v>
                </c:pt>
                <c:pt idx="136">
                  <c:v>1.5947983049202641E-2</c:v>
                </c:pt>
                <c:pt idx="137">
                  <c:v>2.6921829386961083E-3</c:v>
                </c:pt>
                <c:pt idx="138">
                  <c:v>-1.952677776364331E-2</c:v>
                </c:pt>
                <c:pt idx="139">
                  <c:v>3.6066515591586246E-3</c:v>
                </c:pt>
                <c:pt idx="140">
                  <c:v>-8.6695143173548539E-3</c:v>
                </c:pt>
                <c:pt idx="141">
                  <c:v>-3.7825059101654901E-3</c:v>
                </c:pt>
                <c:pt idx="142">
                  <c:v>-7.2908192002002492E-3</c:v>
                </c:pt>
                <c:pt idx="143">
                  <c:v>1.9816829945431769E-2</c:v>
                </c:pt>
                <c:pt idx="144">
                  <c:v>-1.2385754806177096E-2</c:v>
                </c:pt>
                <c:pt idx="145">
                  <c:v>8.0376147663374642E-3</c:v>
                </c:pt>
                <c:pt idx="146">
                  <c:v>-3.4003375786404888E-2</c:v>
                </c:pt>
                <c:pt idx="147">
                  <c:v>6.0606060606060552E-2</c:v>
                </c:pt>
                <c:pt idx="148">
                  <c:v>9.9937539038101875E-3</c:v>
                </c:pt>
                <c:pt idx="149">
                  <c:v>-3.8641647837049931E-3</c:v>
                </c:pt>
                <c:pt idx="150">
                  <c:v>-8.957258300068105E-3</c:v>
                </c:pt>
                <c:pt idx="151">
                  <c:v>6.5331721817527555E-3</c:v>
                </c:pt>
                <c:pt idx="152">
                  <c:v>-5.0053628888094837E-3</c:v>
                </c:pt>
                <c:pt idx="153">
                  <c:v>-2.1436977195381846E-2</c:v>
                </c:pt>
                <c:pt idx="154">
                  <c:v>-7.4502004609020567E-3</c:v>
                </c:pt>
                <c:pt idx="155">
                  <c:v>-2.7389497544390018E-3</c:v>
                </c:pt>
                <c:pt idx="156">
                  <c:v>-2.1049711837766383E-2</c:v>
                </c:pt>
                <c:pt idx="157">
                  <c:v>-2.0408779398001342E-2</c:v>
                </c:pt>
                <c:pt idx="158">
                  <c:v>1.0587014888943314E-2</c:v>
                </c:pt>
                <c:pt idx="159">
                  <c:v>4.7823421213979422E-3</c:v>
                </c:pt>
                <c:pt idx="160">
                  <c:v>2.0076302457939788E-2</c:v>
                </c:pt>
                <c:pt idx="161">
                  <c:v>1.1962025316455627E-2</c:v>
                </c:pt>
                <c:pt idx="162">
                  <c:v>2.8578868563244431E-2</c:v>
                </c:pt>
                <c:pt idx="163">
                  <c:v>-1.205904106505451E-2</c:v>
                </c:pt>
                <c:pt idx="164">
                  <c:v>-1.1161282116509796E-2</c:v>
                </c:pt>
                <c:pt idx="165">
                  <c:v>-8.2623777988016789E-3</c:v>
                </c:pt>
                <c:pt idx="166">
                  <c:v>4.0490878067988012E-2</c:v>
                </c:pt>
                <c:pt idx="167">
                  <c:v>-2.0757020757020905E-2</c:v>
                </c:pt>
                <c:pt idx="168">
                  <c:v>3.2615547961113656E-2</c:v>
                </c:pt>
                <c:pt idx="169">
                  <c:v>-3.7000351471387138E-2</c:v>
                </c:pt>
                <c:pt idx="170">
                  <c:v>3.9455956887151089E-3</c:v>
                </c:pt>
                <c:pt idx="171">
                  <c:v>-5.2173913043478182E-2</c:v>
                </c:pt>
                <c:pt idx="172">
                  <c:v>3.2750337551417541E-2</c:v>
                </c:pt>
                <c:pt idx="173">
                  <c:v>1.9397586504913411E-2</c:v>
                </c:pt>
                <c:pt idx="174">
                  <c:v>-1.3745045390612942E-3</c:v>
                </c:pt>
                <c:pt idx="175">
                  <c:v>4.3984974475870242E-3</c:v>
                </c:pt>
                <c:pt idx="176">
                  <c:v>-2.504147494287412E-2</c:v>
                </c:pt>
                <c:pt idx="177">
                  <c:v>2.2588235294118686E-3</c:v>
                </c:pt>
                <c:pt idx="178">
                  <c:v>-2.8023418918094789E-2</c:v>
                </c:pt>
                <c:pt idx="179">
                  <c:v>6.1052308636293517E-3</c:v>
                </c:pt>
                <c:pt idx="180">
                  <c:v>1.0071273628757371E-2</c:v>
                </c:pt>
                <c:pt idx="181">
                  <c:v>-6.3125481139337802E-3</c:v>
                </c:pt>
                <c:pt idx="182">
                  <c:v>1.3039273793555184E-2</c:v>
                </c:pt>
                <c:pt idx="183">
                  <c:v>-2.9237037728220283E-3</c:v>
                </c:pt>
                <c:pt idx="184">
                  <c:v>-6.9802637674892809E-3</c:v>
                </c:pt>
                <c:pt idx="185">
                  <c:v>4.2182314444338953E-3</c:v>
                </c:pt>
                <c:pt idx="186">
                  <c:v>9.0132381935970063E-3</c:v>
                </c:pt>
                <c:pt idx="187">
                  <c:v>1.5832141154029422E-2</c:v>
                </c:pt>
                <c:pt idx="188">
                  <c:v>1.226105425757873E-2</c:v>
                </c:pt>
                <c:pt idx="189">
                  <c:v>-2.2245996035367033E-2</c:v>
                </c:pt>
                <c:pt idx="190">
                  <c:v>-1.749775867932124E-2</c:v>
                </c:pt>
                <c:pt idx="191">
                  <c:v>1.1191347025540255E-2</c:v>
                </c:pt>
                <c:pt idx="192">
                  <c:v>1.9667219176335404E-2</c:v>
                </c:pt>
                <c:pt idx="193">
                  <c:v>8.4865629420085575E-3</c:v>
                </c:pt>
                <c:pt idx="194">
                  <c:v>-5.4987212276215169E-3</c:v>
                </c:pt>
                <c:pt idx="195">
                  <c:v>-1.1284255776464192E-2</c:v>
                </c:pt>
                <c:pt idx="196">
                  <c:v>9.0903291656034835E-3</c:v>
                </c:pt>
                <c:pt idx="197">
                  <c:v>-3.33302500539574E-2</c:v>
                </c:pt>
                <c:pt idx="198">
                  <c:v>-3.2947701115152994E-2</c:v>
                </c:pt>
                <c:pt idx="199">
                  <c:v>3.7110193332137165E-3</c:v>
                </c:pt>
                <c:pt idx="200">
                  <c:v>-5.1762302060275878E-2</c:v>
                </c:pt>
                <c:pt idx="201">
                  <c:v>9.5112588093737571E-3</c:v>
                </c:pt>
                <c:pt idx="202">
                  <c:v>-2.4577046181984974E-3</c:v>
                </c:pt>
                <c:pt idx="203">
                  <c:v>-3.5027765912002407E-3</c:v>
                </c:pt>
                <c:pt idx="204">
                  <c:v>-2.3297440122739266E-3</c:v>
                </c:pt>
                <c:pt idx="205">
                  <c:v>-1.7255339941365189E-2</c:v>
                </c:pt>
                <c:pt idx="206">
                  <c:v>2.3022651318232557E-2</c:v>
                </c:pt>
                <c:pt idx="207">
                  <c:v>-1.6656367619796608E-2</c:v>
                </c:pt>
                <c:pt idx="208">
                  <c:v>9.8139323803039247E-3</c:v>
                </c:pt>
                <c:pt idx="209">
                  <c:v>5.5617352614014681E-3</c:v>
                </c:pt>
                <c:pt idx="210">
                  <c:v>-5.1923731699011766E-3</c:v>
                </c:pt>
                <c:pt idx="211">
                  <c:v>-5.3901509806688619E-3</c:v>
                </c:pt>
                <c:pt idx="212">
                  <c:v>4.4503656669880876E-3</c:v>
                </c:pt>
                <c:pt idx="213">
                  <c:v>2.9653843908703514E-2</c:v>
                </c:pt>
                <c:pt idx="214">
                  <c:v>1.7129286032358637E-2</c:v>
                </c:pt>
                <c:pt idx="215">
                  <c:v>2.0525940028557343E-3</c:v>
                </c:pt>
                <c:pt idx="216">
                  <c:v>5.1729808928624443E-3</c:v>
                </c:pt>
                <c:pt idx="217">
                  <c:v>8.5343787696019469E-3</c:v>
                </c:pt>
                <c:pt idx="218">
                  <c:v>-1.0267430754536733E-2</c:v>
                </c:pt>
                <c:pt idx="219">
                  <c:v>-6.4940841562138862E-3</c:v>
                </c:pt>
                <c:pt idx="220">
                  <c:v>9.8823106639116531E-3</c:v>
                </c:pt>
                <c:pt idx="221">
                  <c:v>-2.3110903080478584E-2</c:v>
                </c:pt>
                <c:pt idx="222">
                  <c:v>-8.2685389346640603E-3</c:v>
                </c:pt>
                <c:pt idx="223">
                  <c:v>2.1819044230997342E-2</c:v>
                </c:pt>
                <c:pt idx="224">
                  <c:v>5.5446252906456994E-3</c:v>
                </c:pt>
                <c:pt idx="225">
                  <c:v>-5.2781401968925445E-3</c:v>
                </c:pt>
                <c:pt idx="226">
                  <c:v>-3.260708463020956E-4</c:v>
                </c:pt>
                <c:pt idx="227">
                  <c:v>-8.1150216106553597E-3</c:v>
                </c:pt>
                <c:pt idx="228">
                  <c:v>-1.7079937575862569E-2</c:v>
                </c:pt>
                <c:pt idx="229">
                  <c:v>4.7913581322414078E-3</c:v>
                </c:pt>
                <c:pt idx="230">
                  <c:v>1.1046832756766989E-3</c:v>
                </c:pt>
                <c:pt idx="231">
                  <c:v>-1.1437767623645789E-2</c:v>
                </c:pt>
                <c:pt idx="232">
                  <c:v>1.0365853658536706E-2</c:v>
                </c:pt>
                <c:pt idx="233">
                  <c:v>-5.199306759098854E-3</c:v>
                </c:pt>
                <c:pt idx="234">
                  <c:v>-2.7365692063948677E-3</c:v>
                </c:pt>
                <c:pt idx="235">
                  <c:v>3.555735430157192E-3</c:v>
                </c:pt>
                <c:pt idx="236">
                  <c:v>4.3381438528511396E-4</c:v>
                </c:pt>
                <c:pt idx="237">
                  <c:v>-6.9460143172398903E-2</c:v>
                </c:pt>
                <c:pt idx="238">
                  <c:v>4.2475591964987069E-2</c:v>
                </c:pt>
                <c:pt idx="239">
                  <c:v>-4.30191630817367E-3</c:v>
                </c:pt>
                <c:pt idx="240">
                  <c:v>-6.9627451524313377E-3</c:v>
                </c:pt>
                <c:pt idx="241">
                  <c:v>7.546326057184416E-3</c:v>
                </c:pt>
                <c:pt idx="242">
                  <c:v>1.8200145601166007E-3</c:v>
                </c:pt>
                <c:pt idx="243">
                  <c:v>2.162595114136967E-2</c:v>
                </c:pt>
                <c:pt idx="244">
                  <c:v>1.2315623657455088E-3</c:v>
                </c:pt>
                <c:pt idx="245">
                  <c:v>3.9681398625528441E-3</c:v>
                </c:pt>
                <c:pt idx="246">
                  <c:v>7.0657052674254484E-3</c:v>
                </c:pt>
                <c:pt idx="247">
                  <c:v>9.1466978375218666E-3</c:v>
                </c:pt>
                <c:pt idx="248">
                  <c:v>1.7453096661017575E-2</c:v>
                </c:pt>
                <c:pt idx="249">
                  <c:v>2.5038004113384638E-3</c:v>
                </c:pt>
                <c:pt idx="250">
                  <c:v>3.199114091482369E-2</c:v>
                </c:pt>
                <c:pt idx="251">
                  <c:v>-2.669039145907437E-3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2-4C62-9D15-F4BEA1EFC576}"/>
            </c:ext>
          </c:extLst>
        </c:ser>
        <c:ser>
          <c:idx val="1"/>
          <c:order val="1"/>
          <c:tx>
            <c:v>-volatilidad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Histórica!$A$7:$A$258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Histórica!$H$7:$H$258</c:f>
              <c:numCache>
                <c:formatCode>0.00%</c:formatCode>
                <c:ptCount val="252"/>
                <c:pt idx="0">
                  <c:v>-5.324384893422944E-2</c:v>
                </c:pt>
                <c:pt idx="1">
                  <c:v>-5.324384893422944E-2</c:v>
                </c:pt>
                <c:pt idx="2">
                  <c:v>-5.324384893422944E-2</c:v>
                </c:pt>
                <c:pt idx="3">
                  <c:v>-5.324384893422944E-2</c:v>
                </c:pt>
                <c:pt idx="4">
                  <c:v>-5.324384893422944E-2</c:v>
                </c:pt>
                <c:pt idx="5">
                  <c:v>-5.324384893422944E-2</c:v>
                </c:pt>
                <c:pt idx="6">
                  <c:v>-5.324384893422944E-2</c:v>
                </c:pt>
                <c:pt idx="7">
                  <c:v>-5.324384893422944E-2</c:v>
                </c:pt>
                <c:pt idx="8">
                  <c:v>-5.324384893422944E-2</c:v>
                </c:pt>
                <c:pt idx="9">
                  <c:v>-5.324384893422944E-2</c:v>
                </c:pt>
                <c:pt idx="10">
                  <c:v>-5.324384893422944E-2</c:v>
                </c:pt>
                <c:pt idx="11">
                  <c:v>-5.324384893422944E-2</c:v>
                </c:pt>
                <c:pt idx="12">
                  <c:v>-5.324384893422944E-2</c:v>
                </c:pt>
                <c:pt idx="13">
                  <c:v>-5.324384893422944E-2</c:v>
                </c:pt>
                <c:pt idx="14">
                  <c:v>-5.324384893422944E-2</c:v>
                </c:pt>
                <c:pt idx="15">
                  <c:v>-5.324384893422944E-2</c:v>
                </c:pt>
                <c:pt idx="16">
                  <c:v>-5.324384893422944E-2</c:v>
                </c:pt>
                <c:pt idx="17">
                  <c:v>-5.324384893422944E-2</c:v>
                </c:pt>
                <c:pt idx="18">
                  <c:v>-5.324384893422944E-2</c:v>
                </c:pt>
                <c:pt idx="19">
                  <c:v>-5.324384893422944E-2</c:v>
                </c:pt>
                <c:pt idx="20">
                  <c:v>-5.324384893422944E-2</c:v>
                </c:pt>
                <c:pt idx="21">
                  <c:v>-5.324384893422944E-2</c:v>
                </c:pt>
                <c:pt idx="22">
                  <c:v>-5.324384893422944E-2</c:v>
                </c:pt>
                <c:pt idx="23">
                  <c:v>-5.324384893422944E-2</c:v>
                </c:pt>
                <c:pt idx="24">
                  <c:v>-5.324384893422944E-2</c:v>
                </c:pt>
                <c:pt idx="25">
                  <c:v>-5.324384893422944E-2</c:v>
                </c:pt>
                <c:pt idx="26">
                  <c:v>-5.324384893422944E-2</c:v>
                </c:pt>
                <c:pt idx="27">
                  <c:v>-5.324384893422944E-2</c:v>
                </c:pt>
                <c:pt idx="28">
                  <c:v>-5.324384893422944E-2</c:v>
                </c:pt>
                <c:pt idx="29">
                  <c:v>-5.324384893422944E-2</c:v>
                </c:pt>
                <c:pt idx="30">
                  <c:v>-5.324384893422944E-2</c:v>
                </c:pt>
                <c:pt idx="31">
                  <c:v>-5.324384893422944E-2</c:v>
                </c:pt>
                <c:pt idx="32">
                  <c:v>-5.324384893422944E-2</c:v>
                </c:pt>
                <c:pt idx="33">
                  <c:v>-5.324384893422944E-2</c:v>
                </c:pt>
                <c:pt idx="34">
                  <c:v>-5.324384893422944E-2</c:v>
                </c:pt>
                <c:pt idx="35">
                  <c:v>-5.324384893422944E-2</c:v>
                </c:pt>
                <c:pt idx="36">
                  <c:v>-5.324384893422944E-2</c:v>
                </c:pt>
                <c:pt idx="37">
                  <c:v>-5.324384893422944E-2</c:v>
                </c:pt>
                <c:pt idx="38">
                  <c:v>-5.324384893422944E-2</c:v>
                </c:pt>
                <c:pt idx="39">
                  <c:v>-5.324384893422944E-2</c:v>
                </c:pt>
                <c:pt idx="40">
                  <c:v>-5.324384893422944E-2</c:v>
                </c:pt>
                <c:pt idx="41">
                  <c:v>-5.324384893422944E-2</c:v>
                </c:pt>
                <c:pt idx="42">
                  <c:v>-5.324384893422944E-2</c:v>
                </c:pt>
                <c:pt idx="43">
                  <c:v>-5.324384893422944E-2</c:v>
                </c:pt>
                <c:pt idx="44">
                  <c:v>-5.324384893422944E-2</c:v>
                </c:pt>
                <c:pt idx="45">
                  <c:v>-5.324384893422944E-2</c:v>
                </c:pt>
                <c:pt idx="46">
                  <c:v>-5.324384893422944E-2</c:v>
                </c:pt>
                <c:pt idx="47">
                  <c:v>-5.324384893422944E-2</c:v>
                </c:pt>
                <c:pt idx="48">
                  <c:v>-5.324384893422944E-2</c:v>
                </c:pt>
                <c:pt idx="49">
                  <c:v>-5.324384893422944E-2</c:v>
                </c:pt>
                <c:pt idx="50">
                  <c:v>-5.324384893422944E-2</c:v>
                </c:pt>
                <c:pt idx="51">
                  <c:v>-5.324384893422944E-2</c:v>
                </c:pt>
                <c:pt idx="52">
                  <c:v>-5.324384893422944E-2</c:v>
                </c:pt>
                <c:pt idx="53">
                  <c:v>-5.324384893422944E-2</c:v>
                </c:pt>
                <c:pt idx="54">
                  <c:v>-5.324384893422944E-2</c:v>
                </c:pt>
                <c:pt idx="55">
                  <c:v>-5.324384893422944E-2</c:v>
                </c:pt>
                <c:pt idx="56">
                  <c:v>-5.324384893422944E-2</c:v>
                </c:pt>
                <c:pt idx="57">
                  <c:v>-5.324384893422944E-2</c:v>
                </c:pt>
                <c:pt idx="58">
                  <c:v>-5.324384893422944E-2</c:v>
                </c:pt>
                <c:pt idx="59">
                  <c:v>-5.324384893422944E-2</c:v>
                </c:pt>
                <c:pt idx="60">
                  <c:v>-5.324384893422944E-2</c:v>
                </c:pt>
                <c:pt idx="61">
                  <c:v>-5.324384893422944E-2</c:v>
                </c:pt>
                <c:pt idx="62">
                  <c:v>-5.324384893422944E-2</c:v>
                </c:pt>
                <c:pt idx="63">
                  <c:v>-5.324384893422944E-2</c:v>
                </c:pt>
                <c:pt idx="64">
                  <c:v>-5.324384893422944E-2</c:v>
                </c:pt>
                <c:pt idx="65">
                  <c:v>-5.324384893422944E-2</c:v>
                </c:pt>
                <c:pt idx="66">
                  <c:v>-5.324384893422944E-2</c:v>
                </c:pt>
                <c:pt idx="67">
                  <c:v>-5.324384893422944E-2</c:v>
                </c:pt>
                <c:pt idx="68">
                  <c:v>-5.324384893422944E-2</c:v>
                </c:pt>
                <c:pt idx="69">
                  <c:v>-5.324384893422944E-2</c:v>
                </c:pt>
                <c:pt idx="70">
                  <c:v>-5.324384893422944E-2</c:v>
                </c:pt>
                <c:pt idx="71">
                  <c:v>-5.324384893422944E-2</c:v>
                </c:pt>
                <c:pt idx="72">
                  <c:v>-5.324384893422944E-2</c:v>
                </c:pt>
                <c:pt idx="73">
                  <c:v>-5.324384893422944E-2</c:v>
                </c:pt>
                <c:pt idx="74">
                  <c:v>-5.324384893422944E-2</c:v>
                </c:pt>
                <c:pt idx="75">
                  <c:v>-5.324384893422944E-2</c:v>
                </c:pt>
                <c:pt idx="76">
                  <c:v>-5.324384893422944E-2</c:v>
                </c:pt>
                <c:pt idx="77">
                  <c:v>-5.324384893422944E-2</c:v>
                </c:pt>
                <c:pt idx="78">
                  <c:v>-5.324384893422944E-2</c:v>
                </c:pt>
                <c:pt idx="79">
                  <c:v>-5.324384893422944E-2</c:v>
                </c:pt>
                <c:pt idx="80">
                  <c:v>-5.324384893422944E-2</c:v>
                </c:pt>
                <c:pt idx="81">
                  <c:v>-5.324384893422944E-2</c:v>
                </c:pt>
                <c:pt idx="82">
                  <c:v>-5.324384893422944E-2</c:v>
                </c:pt>
                <c:pt idx="83">
                  <c:v>-5.324384893422944E-2</c:v>
                </c:pt>
                <c:pt idx="84">
                  <c:v>-5.324384893422944E-2</c:v>
                </c:pt>
                <c:pt idx="85">
                  <c:v>-5.324384893422944E-2</c:v>
                </c:pt>
                <c:pt idx="86">
                  <c:v>-5.324384893422944E-2</c:v>
                </c:pt>
                <c:pt idx="87">
                  <c:v>-5.324384893422944E-2</c:v>
                </c:pt>
                <c:pt idx="88">
                  <c:v>-5.324384893422944E-2</c:v>
                </c:pt>
                <c:pt idx="89">
                  <c:v>-5.324384893422944E-2</c:v>
                </c:pt>
                <c:pt idx="90">
                  <c:v>-5.324384893422944E-2</c:v>
                </c:pt>
                <c:pt idx="91">
                  <c:v>-5.324384893422944E-2</c:v>
                </c:pt>
                <c:pt idx="92">
                  <c:v>-5.324384893422944E-2</c:v>
                </c:pt>
                <c:pt idx="93">
                  <c:v>-5.324384893422944E-2</c:v>
                </c:pt>
                <c:pt idx="94">
                  <c:v>-5.324384893422944E-2</c:v>
                </c:pt>
                <c:pt idx="95">
                  <c:v>-5.324384893422944E-2</c:v>
                </c:pt>
                <c:pt idx="96">
                  <c:v>-5.324384893422944E-2</c:v>
                </c:pt>
                <c:pt idx="97">
                  <c:v>-5.324384893422944E-2</c:v>
                </c:pt>
                <c:pt idx="98">
                  <c:v>-5.324384893422944E-2</c:v>
                </c:pt>
                <c:pt idx="99">
                  <c:v>-5.324384893422944E-2</c:v>
                </c:pt>
                <c:pt idx="100">
                  <c:v>-5.324384893422944E-2</c:v>
                </c:pt>
                <c:pt idx="101">
                  <c:v>-5.324384893422944E-2</c:v>
                </c:pt>
                <c:pt idx="102">
                  <c:v>-5.324384893422944E-2</c:v>
                </c:pt>
                <c:pt idx="103">
                  <c:v>-5.324384893422944E-2</c:v>
                </c:pt>
                <c:pt idx="104">
                  <c:v>-5.324384893422944E-2</c:v>
                </c:pt>
                <c:pt idx="105">
                  <c:v>-5.324384893422944E-2</c:v>
                </c:pt>
                <c:pt idx="106">
                  <c:v>-5.324384893422944E-2</c:v>
                </c:pt>
                <c:pt idx="107">
                  <c:v>-5.324384893422944E-2</c:v>
                </c:pt>
                <c:pt idx="108">
                  <c:v>-5.324384893422944E-2</c:v>
                </c:pt>
                <c:pt idx="109">
                  <c:v>-5.324384893422944E-2</c:v>
                </c:pt>
                <c:pt idx="110">
                  <c:v>-5.324384893422944E-2</c:v>
                </c:pt>
                <c:pt idx="111">
                  <c:v>-5.324384893422944E-2</c:v>
                </c:pt>
                <c:pt idx="112">
                  <c:v>-5.324384893422944E-2</c:v>
                </c:pt>
                <c:pt idx="113">
                  <c:v>-5.324384893422944E-2</c:v>
                </c:pt>
                <c:pt idx="114">
                  <c:v>-5.324384893422944E-2</c:v>
                </c:pt>
                <c:pt idx="115">
                  <c:v>-5.324384893422944E-2</c:v>
                </c:pt>
                <c:pt idx="116">
                  <c:v>-5.324384893422944E-2</c:v>
                </c:pt>
                <c:pt idx="117">
                  <c:v>-5.324384893422944E-2</c:v>
                </c:pt>
                <c:pt idx="118">
                  <c:v>-5.324384893422944E-2</c:v>
                </c:pt>
                <c:pt idx="119">
                  <c:v>-5.324384893422944E-2</c:v>
                </c:pt>
                <c:pt idx="120">
                  <c:v>-5.324384893422944E-2</c:v>
                </c:pt>
                <c:pt idx="121">
                  <c:v>-5.324384893422944E-2</c:v>
                </c:pt>
                <c:pt idx="122">
                  <c:v>-5.324384893422944E-2</c:v>
                </c:pt>
                <c:pt idx="123">
                  <c:v>-5.324384893422944E-2</c:v>
                </c:pt>
                <c:pt idx="124">
                  <c:v>-5.324384893422944E-2</c:v>
                </c:pt>
                <c:pt idx="125">
                  <c:v>-5.324384893422944E-2</c:v>
                </c:pt>
                <c:pt idx="126">
                  <c:v>-5.324384893422944E-2</c:v>
                </c:pt>
                <c:pt idx="127">
                  <c:v>-5.324384893422944E-2</c:v>
                </c:pt>
                <c:pt idx="128">
                  <c:v>-5.324384893422944E-2</c:v>
                </c:pt>
                <c:pt idx="129">
                  <c:v>-5.324384893422944E-2</c:v>
                </c:pt>
                <c:pt idx="130">
                  <c:v>-5.324384893422944E-2</c:v>
                </c:pt>
                <c:pt idx="131">
                  <c:v>-5.324384893422944E-2</c:v>
                </c:pt>
                <c:pt idx="132">
                  <c:v>-5.324384893422944E-2</c:v>
                </c:pt>
                <c:pt idx="133">
                  <c:v>-5.324384893422944E-2</c:v>
                </c:pt>
                <c:pt idx="134">
                  <c:v>-5.324384893422944E-2</c:v>
                </c:pt>
                <c:pt idx="135">
                  <c:v>-5.324384893422944E-2</c:v>
                </c:pt>
                <c:pt idx="136">
                  <c:v>-5.324384893422944E-2</c:v>
                </c:pt>
                <c:pt idx="137">
                  <c:v>-5.324384893422944E-2</c:v>
                </c:pt>
                <c:pt idx="138">
                  <c:v>-5.324384893422944E-2</c:v>
                </c:pt>
                <c:pt idx="139">
                  <c:v>-5.324384893422944E-2</c:v>
                </c:pt>
                <c:pt idx="140">
                  <c:v>-5.324384893422944E-2</c:v>
                </c:pt>
                <c:pt idx="141">
                  <c:v>-5.324384893422944E-2</c:v>
                </c:pt>
                <c:pt idx="142">
                  <c:v>-5.324384893422944E-2</c:v>
                </c:pt>
                <c:pt idx="143">
                  <c:v>-5.324384893422944E-2</c:v>
                </c:pt>
                <c:pt idx="144">
                  <c:v>-5.324384893422944E-2</c:v>
                </c:pt>
                <c:pt idx="145">
                  <c:v>-5.324384893422944E-2</c:v>
                </c:pt>
                <c:pt idx="146">
                  <c:v>-5.324384893422944E-2</c:v>
                </c:pt>
                <c:pt idx="147">
                  <c:v>-5.324384893422944E-2</c:v>
                </c:pt>
                <c:pt idx="148">
                  <c:v>-5.324384893422944E-2</c:v>
                </c:pt>
                <c:pt idx="149">
                  <c:v>-5.324384893422944E-2</c:v>
                </c:pt>
                <c:pt idx="150">
                  <c:v>-5.324384893422944E-2</c:v>
                </c:pt>
                <c:pt idx="151">
                  <c:v>-5.324384893422944E-2</c:v>
                </c:pt>
                <c:pt idx="152">
                  <c:v>-5.324384893422944E-2</c:v>
                </c:pt>
                <c:pt idx="153">
                  <c:v>-5.324384893422944E-2</c:v>
                </c:pt>
                <c:pt idx="154">
                  <c:v>-5.324384893422944E-2</c:v>
                </c:pt>
                <c:pt idx="155">
                  <c:v>-5.324384893422944E-2</c:v>
                </c:pt>
                <c:pt idx="156">
                  <c:v>-5.324384893422944E-2</c:v>
                </c:pt>
                <c:pt idx="157">
                  <c:v>-5.324384893422944E-2</c:v>
                </c:pt>
                <c:pt idx="158">
                  <c:v>-5.324384893422944E-2</c:v>
                </c:pt>
                <c:pt idx="159">
                  <c:v>-5.324384893422944E-2</c:v>
                </c:pt>
                <c:pt idx="160">
                  <c:v>-5.324384893422944E-2</c:v>
                </c:pt>
                <c:pt idx="161">
                  <c:v>-5.324384893422944E-2</c:v>
                </c:pt>
                <c:pt idx="162">
                  <c:v>-5.324384893422944E-2</c:v>
                </c:pt>
                <c:pt idx="163">
                  <c:v>-5.324384893422944E-2</c:v>
                </c:pt>
                <c:pt idx="164">
                  <c:v>-5.324384893422944E-2</c:v>
                </c:pt>
                <c:pt idx="165">
                  <c:v>-5.324384893422944E-2</c:v>
                </c:pt>
                <c:pt idx="166">
                  <c:v>-5.324384893422944E-2</c:v>
                </c:pt>
                <c:pt idx="167">
                  <c:v>-5.324384893422944E-2</c:v>
                </c:pt>
                <c:pt idx="168">
                  <c:v>-5.324384893422944E-2</c:v>
                </c:pt>
                <c:pt idx="169">
                  <c:v>-5.324384893422944E-2</c:v>
                </c:pt>
                <c:pt idx="170">
                  <c:v>-5.324384893422944E-2</c:v>
                </c:pt>
                <c:pt idx="171">
                  <c:v>-5.324384893422944E-2</c:v>
                </c:pt>
                <c:pt idx="172">
                  <c:v>-5.324384893422944E-2</c:v>
                </c:pt>
                <c:pt idx="173">
                  <c:v>-5.324384893422944E-2</c:v>
                </c:pt>
                <c:pt idx="174">
                  <c:v>-5.324384893422944E-2</c:v>
                </c:pt>
                <c:pt idx="175">
                  <c:v>-5.324384893422944E-2</c:v>
                </c:pt>
                <c:pt idx="176">
                  <c:v>-5.324384893422944E-2</c:v>
                </c:pt>
                <c:pt idx="177">
                  <c:v>-5.324384893422944E-2</c:v>
                </c:pt>
                <c:pt idx="178">
                  <c:v>-5.324384893422944E-2</c:v>
                </c:pt>
                <c:pt idx="179">
                  <c:v>-5.324384893422944E-2</c:v>
                </c:pt>
                <c:pt idx="180">
                  <c:v>-5.324384893422944E-2</c:v>
                </c:pt>
                <c:pt idx="181">
                  <c:v>-5.324384893422944E-2</c:v>
                </c:pt>
                <c:pt idx="182">
                  <c:v>-5.324384893422944E-2</c:v>
                </c:pt>
                <c:pt idx="183">
                  <c:v>-5.324384893422944E-2</c:v>
                </c:pt>
                <c:pt idx="184">
                  <c:v>-5.324384893422944E-2</c:v>
                </c:pt>
                <c:pt idx="185">
                  <c:v>-5.324384893422944E-2</c:v>
                </c:pt>
                <c:pt idx="186">
                  <c:v>-5.324384893422944E-2</c:v>
                </c:pt>
                <c:pt idx="187">
                  <c:v>-5.324384893422944E-2</c:v>
                </c:pt>
                <c:pt idx="188">
                  <c:v>-5.324384893422944E-2</c:v>
                </c:pt>
                <c:pt idx="189">
                  <c:v>-5.324384893422944E-2</c:v>
                </c:pt>
                <c:pt idx="190">
                  <c:v>-5.324384893422944E-2</c:v>
                </c:pt>
                <c:pt idx="191">
                  <c:v>-5.324384893422944E-2</c:v>
                </c:pt>
                <c:pt idx="192">
                  <c:v>-5.324384893422944E-2</c:v>
                </c:pt>
                <c:pt idx="193">
                  <c:v>-5.324384893422944E-2</c:v>
                </c:pt>
                <c:pt idx="194">
                  <c:v>-5.324384893422944E-2</c:v>
                </c:pt>
                <c:pt idx="195">
                  <c:v>-5.324384893422944E-2</c:v>
                </c:pt>
                <c:pt idx="196">
                  <c:v>-5.324384893422944E-2</c:v>
                </c:pt>
                <c:pt idx="197">
                  <c:v>-5.324384893422944E-2</c:v>
                </c:pt>
                <c:pt idx="198">
                  <c:v>-5.324384893422944E-2</c:v>
                </c:pt>
                <c:pt idx="199">
                  <c:v>-5.324384893422944E-2</c:v>
                </c:pt>
                <c:pt idx="200">
                  <c:v>-5.324384893422944E-2</c:v>
                </c:pt>
                <c:pt idx="201">
                  <c:v>-5.324384893422944E-2</c:v>
                </c:pt>
                <c:pt idx="202">
                  <c:v>-5.324384893422944E-2</c:v>
                </c:pt>
                <c:pt idx="203">
                  <c:v>-5.324384893422944E-2</c:v>
                </c:pt>
                <c:pt idx="204">
                  <c:v>-5.324384893422944E-2</c:v>
                </c:pt>
                <c:pt idx="205">
                  <c:v>-5.324384893422944E-2</c:v>
                </c:pt>
                <c:pt idx="206">
                  <c:v>-5.324384893422944E-2</c:v>
                </c:pt>
                <c:pt idx="207">
                  <c:v>-5.324384893422944E-2</c:v>
                </c:pt>
                <c:pt idx="208">
                  <c:v>-5.324384893422944E-2</c:v>
                </c:pt>
                <c:pt idx="209">
                  <c:v>-5.324384893422944E-2</c:v>
                </c:pt>
                <c:pt idx="210">
                  <c:v>-5.324384893422944E-2</c:v>
                </c:pt>
                <c:pt idx="211">
                  <c:v>-5.324384893422944E-2</c:v>
                </c:pt>
                <c:pt idx="212">
                  <c:v>-5.324384893422944E-2</c:v>
                </c:pt>
                <c:pt idx="213">
                  <c:v>-5.324384893422944E-2</c:v>
                </c:pt>
                <c:pt idx="214">
                  <c:v>-5.324384893422944E-2</c:v>
                </c:pt>
                <c:pt idx="215">
                  <c:v>-5.324384893422944E-2</c:v>
                </c:pt>
                <c:pt idx="216">
                  <c:v>-5.324384893422944E-2</c:v>
                </c:pt>
                <c:pt idx="217">
                  <c:v>-5.324384893422944E-2</c:v>
                </c:pt>
                <c:pt idx="218">
                  <c:v>-5.324384893422944E-2</c:v>
                </c:pt>
                <c:pt idx="219">
                  <c:v>-5.324384893422944E-2</c:v>
                </c:pt>
                <c:pt idx="220">
                  <c:v>-5.324384893422944E-2</c:v>
                </c:pt>
                <c:pt idx="221">
                  <c:v>-5.324384893422944E-2</c:v>
                </c:pt>
                <c:pt idx="222">
                  <c:v>-5.324384893422944E-2</c:v>
                </c:pt>
                <c:pt idx="223">
                  <c:v>-5.324384893422944E-2</c:v>
                </c:pt>
                <c:pt idx="224">
                  <c:v>-5.324384893422944E-2</c:v>
                </c:pt>
                <c:pt idx="225">
                  <c:v>-5.324384893422944E-2</c:v>
                </c:pt>
                <c:pt idx="226">
                  <c:v>-5.324384893422944E-2</c:v>
                </c:pt>
                <c:pt idx="227">
                  <c:v>-5.324384893422944E-2</c:v>
                </c:pt>
                <c:pt idx="228">
                  <c:v>-5.324384893422944E-2</c:v>
                </c:pt>
                <c:pt idx="229">
                  <c:v>-5.324384893422944E-2</c:v>
                </c:pt>
                <c:pt idx="230">
                  <c:v>-5.324384893422944E-2</c:v>
                </c:pt>
                <c:pt idx="231">
                  <c:v>-5.324384893422944E-2</c:v>
                </c:pt>
                <c:pt idx="232">
                  <c:v>-5.324384893422944E-2</c:v>
                </c:pt>
                <c:pt idx="233">
                  <c:v>-5.324384893422944E-2</c:v>
                </c:pt>
                <c:pt idx="234">
                  <c:v>-5.324384893422944E-2</c:v>
                </c:pt>
                <c:pt idx="235">
                  <c:v>-5.324384893422944E-2</c:v>
                </c:pt>
                <c:pt idx="236">
                  <c:v>-5.324384893422944E-2</c:v>
                </c:pt>
                <c:pt idx="237">
                  <c:v>-5.324384893422944E-2</c:v>
                </c:pt>
                <c:pt idx="238">
                  <c:v>-5.324384893422944E-2</c:v>
                </c:pt>
                <c:pt idx="239">
                  <c:v>-5.324384893422944E-2</c:v>
                </c:pt>
                <c:pt idx="240">
                  <c:v>-5.324384893422944E-2</c:v>
                </c:pt>
                <c:pt idx="241">
                  <c:v>-5.324384893422944E-2</c:v>
                </c:pt>
                <c:pt idx="242">
                  <c:v>-5.324384893422944E-2</c:v>
                </c:pt>
                <c:pt idx="243">
                  <c:v>-5.324384893422944E-2</c:v>
                </c:pt>
                <c:pt idx="244">
                  <c:v>-5.324384893422944E-2</c:v>
                </c:pt>
                <c:pt idx="245">
                  <c:v>-5.324384893422944E-2</c:v>
                </c:pt>
                <c:pt idx="246">
                  <c:v>-5.324384893422944E-2</c:v>
                </c:pt>
                <c:pt idx="247">
                  <c:v>-5.324384893422944E-2</c:v>
                </c:pt>
                <c:pt idx="248">
                  <c:v>-5.324384893422944E-2</c:v>
                </c:pt>
                <c:pt idx="249">
                  <c:v>-5.324384893422944E-2</c:v>
                </c:pt>
                <c:pt idx="250">
                  <c:v>-5.324384893422944E-2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2-4C62-9D15-F4BEA1EFC576}"/>
            </c:ext>
          </c:extLst>
        </c:ser>
        <c:ser>
          <c:idx val="2"/>
          <c:order val="2"/>
          <c:tx>
            <c:v>"+volatilidad"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Histórica!$A$7:$A$258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Histórica!$I$7:$I$258</c:f>
              <c:numCache>
                <c:formatCode>0.00%</c:formatCode>
                <c:ptCount val="252"/>
                <c:pt idx="0">
                  <c:v>5.324384893422944E-2</c:v>
                </c:pt>
                <c:pt idx="1">
                  <c:v>5.324384893422944E-2</c:v>
                </c:pt>
                <c:pt idx="2">
                  <c:v>5.324384893422944E-2</c:v>
                </c:pt>
                <c:pt idx="3">
                  <c:v>5.324384893422944E-2</c:v>
                </c:pt>
                <c:pt idx="4">
                  <c:v>5.324384893422944E-2</c:v>
                </c:pt>
                <c:pt idx="5">
                  <c:v>5.324384893422944E-2</c:v>
                </c:pt>
                <c:pt idx="6">
                  <c:v>5.324384893422944E-2</c:v>
                </c:pt>
                <c:pt idx="7">
                  <c:v>5.324384893422944E-2</c:v>
                </c:pt>
                <c:pt idx="8">
                  <c:v>5.324384893422944E-2</c:v>
                </c:pt>
                <c:pt idx="9">
                  <c:v>5.324384893422944E-2</c:v>
                </c:pt>
                <c:pt idx="10">
                  <c:v>5.324384893422944E-2</c:v>
                </c:pt>
                <c:pt idx="11">
                  <c:v>5.324384893422944E-2</c:v>
                </c:pt>
                <c:pt idx="12">
                  <c:v>5.324384893422944E-2</c:v>
                </c:pt>
                <c:pt idx="13">
                  <c:v>5.324384893422944E-2</c:v>
                </c:pt>
                <c:pt idx="14">
                  <c:v>5.324384893422944E-2</c:v>
                </c:pt>
                <c:pt idx="15">
                  <c:v>5.324384893422944E-2</c:v>
                </c:pt>
                <c:pt idx="16">
                  <c:v>5.324384893422944E-2</c:v>
                </c:pt>
                <c:pt idx="17">
                  <c:v>5.324384893422944E-2</c:v>
                </c:pt>
                <c:pt idx="18">
                  <c:v>5.324384893422944E-2</c:v>
                </c:pt>
                <c:pt idx="19">
                  <c:v>5.324384893422944E-2</c:v>
                </c:pt>
                <c:pt idx="20">
                  <c:v>5.324384893422944E-2</c:v>
                </c:pt>
                <c:pt idx="21">
                  <c:v>5.324384893422944E-2</c:v>
                </c:pt>
                <c:pt idx="22">
                  <c:v>5.324384893422944E-2</c:v>
                </c:pt>
                <c:pt idx="23">
                  <c:v>5.324384893422944E-2</c:v>
                </c:pt>
                <c:pt idx="24">
                  <c:v>5.324384893422944E-2</c:v>
                </c:pt>
                <c:pt idx="25">
                  <c:v>5.324384893422944E-2</c:v>
                </c:pt>
                <c:pt idx="26">
                  <c:v>5.324384893422944E-2</c:v>
                </c:pt>
                <c:pt idx="27">
                  <c:v>5.324384893422944E-2</c:v>
                </c:pt>
                <c:pt idx="28">
                  <c:v>5.324384893422944E-2</c:v>
                </c:pt>
                <c:pt idx="29">
                  <c:v>5.324384893422944E-2</c:v>
                </c:pt>
                <c:pt idx="30">
                  <c:v>5.324384893422944E-2</c:v>
                </c:pt>
                <c:pt idx="31">
                  <c:v>5.324384893422944E-2</c:v>
                </c:pt>
                <c:pt idx="32">
                  <c:v>5.324384893422944E-2</c:v>
                </c:pt>
                <c:pt idx="33">
                  <c:v>5.324384893422944E-2</c:v>
                </c:pt>
                <c:pt idx="34">
                  <c:v>5.324384893422944E-2</c:v>
                </c:pt>
                <c:pt idx="35">
                  <c:v>5.324384893422944E-2</c:v>
                </c:pt>
                <c:pt idx="36">
                  <c:v>5.324384893422944E-2</c:v>
                </c:pt>
                <c:pt idx="37">
                  <c:v>5.324384893422944E-2</c:v>
                </c:pt>
                <c:pt idx="38">
                  <c:v>5.324384893422944E-2</c:v>
                </c:pt>
                <c:pt idx="39">
                  <c:v>5.324384893422944E-2</c:v>
                </c:pt>
                <c:pt idx="40">
                  <c:v>5.324384893422944E-2</c:v>
                </c:pt>
                <c:pt idx="41">
                  <c:v>5.324384893422944E-2</c:v>
                </c:pt>
                <c:pt idx="42">
                  <c:v>5.324384893422944E-2</c:v>
                </c:pt>
                <c:pt idx="43">
                  <c:v>5.324384893422944E-2</c:v>
                </c:pt>
                <c:pt idx="44">
                  <c:v>5.324384893422944E-2</c:v>
                </c:pt>
                <c:pt idx="45">
                  <c:v>5.324384893422944E-2</c:v>
                </c:pt>
                <c:pt idx="46">
                  <c:v>5.324384893422944E-2</c:v>
                </c:pt>
                <c:pt idx="47">
                  <c:v>5.324384893422944E-2</c:v>
                </c:pt>
                <c:pt idx="48">
                  <c:v>5.324384893422944E-2</c:v>
                </c:pt>
                <c:pt idx="49">
                  <c:v>5.324384893422944E-2</c:v>
                </c:pt>
                <c:pt idx="50">
                  <c:v>5.324384893422944E-2</c:v>
                </c:pt>
                <c:pt idx="51">
                  <c:v>5.324384893422944E-2</c:v>
                </c:pt>
                <c:pt idx="52">
                  <c:v>5.324384893422944E-2</c:v>
                </c:pt>
                <c:pt idx="53">
                  <c:v>5.324384893422944E-2</c:v>
                </c:pt>
                <c:pt idx="54">
                  <c:v>5.324384893422944E-2</c:v>
                </c:pt>
                <c:pt idx="55">
                  <c:v>5.324384893422944E-2</c:v>
                </c:pt>
                <c:pt idx="56">
                  <c:v>5.324384893422944E-2</c:v>
                </c:pt>
                <c:pt idx="57">
                  <c:v>5.324384893422944E-2</c:v>
                </c:pt>
                <c:pt idx="58">
                  <c:v>5.324384893422944E-2</c:v>
                </c:pt>
                <c:pt idx="59">
                  <c:v>5.324384893422944E-2</c:v>
                </c:pt>
                <c:pt idx="60">
                  <c:v>5.324384893422944E-2</c:v>
                </c:pt>
                <c:pt idx="61">
                  <c:v>5.324384893422944E-2</c:v>
                </c:pt>
                <c:pt idx="62">
                  <c:v>5.324384893422944E-2</c:v>
                </c:pt>
                <c:pt idx="63">
                  <c:v>5.324384893422944E-2</c:v>
                </c:pt>
                <c:pt idx="64">
                  <c:v>5.324384893422944E-2</c:v>
                </c:pt>
                <c:pt idx="65">
                  <c:v>5.324384893422944E-2</c:v>
                </c:pt>
                <c:pt idx="66">
                  <c:v>5.324384893422944E-2</c:v>
                </c:pt>
                <c:pt idx="67">
                  <c:v>5.324384893422944E-2</c:v>
                </c:pt>
                <c:pt idx="68">
                  <c:v>5.324384893422944E-2</c:v>
                </c:pt>
                <c:pt idx="69">
                  <c:v>5.324384893422944E-2</c:v>
                </c:pt>
                <c:pt idx="70">
                  <c:v>5.324384893422944E-2</c:v>
                </c:pt>
                <c:pt idx="71">
                  <c:v>5.324384893422944E-2</c:v>
                </c:pt>
                <c:pt idx="72">
                  <c:v>5.324384893422944E-2</c:v>
                </c:pt>
                <c:pt idx="73">
                  <c:v>5.324384893422944E-2</c:v>
                </c:pt>
                <c:pt idx="74">
                  <c:v>5.324384893422944E-2</c:v>
                </c:pt>
                <c:pt idx="75">
                  <c:v>5.324384893422944E-2</c:v>
                </c:pt>
                <c:pt idx="76">
                  <c:v>5.324384893422944E-2</c:v>
                </c:pt>
                <c:pt idx="77">
                  <c:v>5.324384893422944E-2</c:v>
                </c:pt>
                <c:pt idx="78">
                  <c:v>5.324384893422944E-2</c:v>
                </c:pt>
                <c:pt idx="79">
                  <c:v>5.324384893422944E-2</c:v>
                </c:pt>
                <c:pt idx="80">
                  <c:v>5.324384893422944E-2</c:v>
                </c:pt>
                <c:pt idx="81">
                  <c:v>5.324384893422944E-2</c:v>
                </c:pt>
                <c:pt idx="82">
                  <c:v>5.324384893422944E-2</c:v>
                </c:pt>
                <c:pt idx="83">
                  <c:v>5.324384893422944E-2</c:v>
                </c:pt>
                <c:pt idx="84">
                  <c:v>5.324384893422944E-2</c:v>
                </c:pt>
                <c:pt idx="85">
                  <c:v>5.324384893422944E-2</c:v>
                </c:pt>
                <c:pt idx="86">
                  <c:v>5.324384893422944E-2</c:v>
                </c:pt>
                <c:pt idx="87">
                  <c:v>5.324384893422944E-2</c:v>
                </c:pt>
                <c:pt idx="88">
                  <c:v>5.324384893422944E-2</c:v>
                </c:pt>
                <c:pt idx="89">
                  <c:v>5.324384893422944E-2</c:v>
                </c:pt>
                <c:pt idx="90">
                  <c:v>5.324384893422944E-2</c:v>
                </c:pt>
                <c:pt idx="91">
                  <c:v>5.324384893422944E-2</c:v>
                </c:pt>
                <c:pt idx="92">
                  <c:v>5.324384893422944E-2</c:v>
                </c:pt>
                <c:pt idx="93">
                  <c:v>5.324384893422944E-2</c:v>
                </c:pt>
                <c:pt idx="94">
                  <c:v>5.324384893422944E-2</c:v>
                </c:pt>
                <c:pt idx="95">
                  <c:v>5.324384893422944E-2</c:v>
                </c:pt>
                <c:pt idx="96">
                  <c:v>5.324384893422944E-2</c:v>
                </c:pt>
                <c:pt idx="97">
                  <c:v>5.324384893422944E-2</c:v>
                </c:pt>
                <c:pt idx="98">
                  <c:v>5.324384893422944E-2</c:v>
                </c:pt>
                <c:pt idx="99">
                  <c:v>5.324384893422944E-2</c:v>
                </c:pt>
                <c:pt idx="100">
                  <c:v>5.324384893422944E-2</c:v>
                </c:pt>
                <c:pt idx="101">
                  <c:v>5.324384893422944E-2</c:v>
                </c:pt>
                <c:pt idx="102">
                  <c:v>5.324384893422944E-2</c:v>
                </c:pt>
                <c:pt idx="103">
                  <c:v>5.324384893422944E-2</c:v>
                </c:pt>
                <c:pt idx="104">
                  <c:v>5.324384893422944E-2</c:v>
                </c:pt>
                <c:pt idx="105">
                  <c:v>5.324384893422944E-2</c:v>
                </c:pt>
                <c:pt idx="106">
                  <c:v>5.324384893422944E-2</c:v>
                </c:pt>
                <c:pt idx="107">
                  <c:v>5.324384893422944E-2</c:v>
                </c:pt>
                <c:pt idx="108">
                  <c:v>5.324384893422944E-2</c:v>
                </c:pt>
                <c:pt idx="109">
                  <c:v>5.324384893422944E-2</c:v>
                </c:pt>
                <c:pt idx="110">
                  <c:v>5.324384893422944E-2</c:v>
                </c:pt>
                <c:pt idx="111">
                  <c:v>5.324384893422944E-2</c:v>
                </c:pt>
                <c:pt idx="112">
                  <c:v>5.324384893422944E-2</c:v>
                </c:pt>
                <c:pt idx="113">
                  <c:v>5.324384893422944E-2</c:v>
                </c:pt>
                <c:pt idx="114">
                  <c:v>5.324384893422944E-2</c:v>
                </c:pt>
                <c:pt idx="115">
                  <c:v>5.324384893422944E-2</c:v>
                </c:pt>
                <c:pt idx="116">
                  <c:v>5.324384893422944E-2</c:v>
                </c:pt>
                <c:pt idx="117">
                  <c:v>5.324384893422944E-2</c:v>
                </c:pt>
                <c:pt idx="118">
                  <c:v>5.324384893422944E-2</c:v>
                </c:pt>
                <c:pt idx="119">
                  <c:v>5.324384893422944E-2</c:v>
                </c:pt>
                <c:pt idx="120">
                  <c:v>5.324384893422944E-2</c:v>
                </c:pt>
                <c:pt idx="121">
                  <c:v>5.324384893422944E-2</c:v>
                </c:pt>
                <c:pt idx="122">
                  <c:v>5.324384893422944E-2</c:v>
                </c:pt>
                <c:pt idx="123">
                  <c:v>5.324384893422944E-2</c:v>
                </c:pt>
                <c:pt idx="124">
                  <c:v>5.324384893422944E-2</c:v>
                </c:pt>
                <c:pt idx="125">
                  <c:v>5.324384893422944E-2</c:v>
                </c:pt>
                <c:pt idx="126">
                  <c:v>5.324384893422944E-2</c:v>
                </c:pt>
                <c:pt idx="127">
                  <c:v>5.324384893422944E-2</c:v>
                </c:pt>
                <c:pt idx="128">
                  <c:v>5.324384893422944E-2</c:v>
                </c:pt>
                <c:pt idx="129">
                  <c:v>5.324384893422944E-2</c:v>
                </c:pt>
                <c:pt idx="130">
                  <c:v>5.324384893422944E-2</c:v>
                </c:pt>
                <c:pt idx="131">
                  <c:v>5.324384893422944E-2</c:v>
                </c:pt>
                <c:pt idx="132">
                  <c:v>5.324384893422944E-2</c:v>
                </c:pt>
                <c:pt idx="133">
                  <c:v>5.324384893422944E-2</c:v>
                </c:pt>
                <c:pt idx="134">
                  <c:v>5.324384893422944E-2</c:v>
                </c:pt>
                <c:pt idx="135">
                  <c:v>5.324384893422944E-2</c:v>
                </c:pt>
                <c:pt idx="136">
                  <c:v>5.324384893422944E-2</c:v>
                </c:pt>
                <c:pt idx="137">
                  <c:v>5.324384893422944E-2</c:v>
                </c:pt>
                <c:pt idx="138">
                  <c:v>5.324384893422944E-2</c:v>
                </c:pt>
                <c:pt idx="139">
                  <c:v>5.324384893422944E-2</c:v>
                </c:pt>
                <c:pt idx="140">
                  <c:v>5.324384893422944E-2</c:v>
                </c:pt>
                <c:pt idx="141">
                  <c:v>5.324384893422944E-2</c:v>
                </c:pt>
                <c:pt idx="142">
                  <c:v>5.324384893422944E-2</c:v>
                </c:pt>
                <c:pt idx="143">
                  <c:v>5.324384893422944E-2</c:v>
                </c:pt>
                <c:pt idx="144">
                  <c:v>5.324384893422944E-2</c:v>
                </c:pt>
                <c:pt idx="145">
                  <c:v>5.324384893422944E-2</c:v>
                </c:pt>
                <c:pt idx="146">
                  <c:v>5.324384893422944E-2</c:v>
                </c:pt>
                <c:pt idx="147">
                  <c:v>5.324384893422944E-2</c:v>
                </c:pt>
                <c:pt idx="148">
                  <c:v>5.324384893422944E-2</c:v>
                </c:pt>
                <c:pt idx="149">
                  <c:v>5.324384893422944E-2</c:v>
                </c:pt>
                <c:pt idx="150">
                  <c:v>5.324384893422944E-2</c:v>
                </c:pt>
                <c:pt idx="151">
                  <c:v>5.324384893422944E-2</c:v>
                </c:pt>
                <c:pt idx="152">
                  <c:v>5.324384893422944E-2</c:v>
                </c:pt>
                <c:pt idx="153">
                  <c:v>5.324384893422944E-2</c:v>
                </c:pt>
                <c:pt idx="154">
                  <c:v>5.324384893422944E-2</c:v>
                </c:pt>
                <c:pt idx="155">
                  <c:v>5.324384893422944E-2</c:v>
                </c:pt>
                <c:pt idx="156">
                  <c:v>5.324384893422944E-2</c:v>
                </c:pt>
                <c:pt idx="157">
                  <c:v>5.324384893422944E-2</c:v>
                </c:pt>
                <c:pt idx="158">
                  <c:v>5.324384893422944E-2</c:v>
                </c:pt>
                <c:pt idx="159">
                  <c:v>5.324384893422944E-2</c:v>
                </c:pt>
                <c:pt idx="160">
                  <c:v>5.324384893422944E-2</c:v>
                </c:pt>
                <c:pt idx="161">
                  <c:v>5.324384893422944E-2</c:v>
                </c:pt>
                <c:pt idx="162">
                  <c:v>5.324384893422944E-2</c:v>
                </c:pt>
                <c:pt idx="163">
                  <c:v>5.324384893422944E-2</c:v>
                </c:pt>
                <c:pt idx="164">
                  <c:v>5.324384893422944E-2</c:v>
                </c:pt>
                <c:pt idx="165">
                  <c:v>5.324384893422944E-2</c:v>
                </c:pt>
                <c:pt idx="166">
                  <c:v>5.324384893422944E-2</c:v>
                </c:pt>
                <c:pt idx="167">
                  <c:v>5.324384893422944E-2</c:v>
                </c:pt>
                <c:pt idx="168">
                  <c:v>5.324384893422944E-2</c:v>
                </c:pt>
                <c:pt idx="169">
                  <c:v>5.324384893422944E-2</c:v>
                </c:pt>
                <c:pt idx="170">
                  <c:v>5.324384893422944E-2</c:v>
                </c:pt>
                <c:pt idx="171">
                  <c:v>5.324384893422944E-2</c:v>
                </c:pt>
                <c:pt idx="172">
                  <c:v>5.324384893422944E-2</c:v>
                </c:pt>
                <c:pt idx="173">
                  <c:v>5.324384893422944E-2</c:v>
                </c:pt>
                <c:pt idx="174">
                  <c:v>5.324384893422944E-2</c:v>
                </c:pt>
                <c:pt idx="175">
                  <c:v>5.324384893422944E-2</c:v>
                </c:pt>
                <c:pt idx="176">
                  <c:v>5.324384893422944E-2</c:v>
                </c:pt>
                <c:pt idx="177">
                  <c:v>5.324384893422944E-2</c:v>
                </c:pt>
                <c:pt idx="178">
                  <c:v>5.324384893422944E-2</c:v>
                </c:pt>
                <c:pt idx="179">
                  <c:v>5.324384893422944E-2</c:v>
                </c:pt>
                <c:pt idx="180">
                  <c:v>5.324384893422944E-2</c:v>
                </c:pt>
                <c:pt idx="181">
                  <c:v>5.324384893422944E-2</c:v>
                </c:pt>
                <c:pt idx="182">
                  <c:v>5.324384893422944E-2</c:v>
                </c:pt>
                <c:pt idx="183">
                  <c:v>5.324384893422944E-2</c:v>
                </c:pt>
                <c:pt idx="184">
                  <c:v>5.324384893422944E-2</c:v>
                </c:pt>
                <c:pt idx="185">
                  <c:v>5.324384893422944E-2</c:v>
                </c:pt>
                <c:pt idx="186">
                  <c:v>5.324384893422944E-2</c:v>
                </c:pt>
                <c:pt idx="187">
                  <c:v>5.324384893422944E-2</c:v>
                </c:pt>
                <c:pt idx="188">
                  <c:v>5.324384893422944E-2</c:v>
                </c:pt>
                <c:pt idx="189">
                  <c:v>5.324384893422944E-2</c:v>
                </c:pt>
                <c:pt idx="190">
                  <c:v>5.324384893422944E-2</c:v>
                </c:pt>
                <c:pt idx="191">
                  <c:v>5.324384893422944E-2</c:v>
                </c:pt>
                <c:pt idx="192">
                  <c:v>5.324384893422944E-2</c:v>
                </c:pt>
                <c:pt idx="193">
                  <c:v>5.324384893422944E-2</c:v>
                </c:pt>
                <c:pt idx="194">
                  <c:v>5.324384893422944E-2</c:v>
                </c:pt>
                <c:pt idx="195">
                  <c:v>5.324384893422944E-2</c:v>
                </c:pt>
                <c:pt idx="196">
                  <c:v>5.324384893422944E-2</c:v>
                </c:pt>
                <c:pt idx="197">
                  <c:v>5.324384893422944E-2</c:v>
                </c:pt>
                <c:pt idx="198">
                  <c:v>5.324384893422944E-2</c:v>
                </c:pt>
                <c:pt idx="199">
                  <c:v>5.324384893422944E-2</c:v>
                </c:pt>
                <c:pt idx="200">
                  <c:v>5.324384893422944E-2</c:v>
                </c:pt>
                <c:pt idx="201">
                  <c:v>5.324384893422944E-2</c:v>
                </c:pt>
                <c:pt idx="202">
                  <c:v>5.324384893422944E-2</c:v>
                </c:pt>
                <c:pt idx="203">
                  <c:v>5.324384893422944E-2</c:v>
                </c:pt>
                <c:pt idx="204">
                  <c:v>5.324384893422944E-2</c:v>
                </c:pt>
                <c:pt idx="205">
                  <c:v>5.324384893422944E-2</c:v>
                </c:pt>
                <c:pt idx="206">
                  <c:v>5.324384893422944E-2</c:v>
                </c:pt>
                <c:pt idx="207">
                  <c:v>5.324384893422944E-2</c:v>
                </c:pt>
                <c:pt idx="208">
                  <c:v>5.324384893422944E-2</c:v>
                </c:pt>
                <c:pt idx="209">
                  <c:v>5.324384893422944E-2</c:v>
                </c:pt>
                <c:pt idx="210">
                  <c:v>5.324384893422944E-2</c:v>
                </c:pt>
                <c:pt idx="211">
                  <c:v>5.324384893422944E-2</c:v>
                </c:pt>
                <c:pt idx="212">
                  <c:v>5.324384893422944E-2</c:v>
                </c:pt>
                <c:pt idx="213">
                  <c:v>5.324384893422944E-2</c:v>
                </c:pt>
                <c:pt idx="214">
                  <c:v>5.324384893422944E-2</c:v>
                </c:pt>
                <c:pt idx="215">
                  <c:v>5.324384893422944E-2</c:v>
                </c:pt>
                <c:pt idx="216">
                  <c:v>5.324384893422944E-2</c:v>
                </c:pt>
                <c:pt idx="217">
                  <c:v>5.324384893422944E-2</c:v>
                </c:pt>
                <c:pt idx="218">
                  <c:v>5.324384893422944E-2</c:v>
                </c:pt>
                <c:pt idx="219">
                  <c:v>5.324384893422944E-2</c:v>
                </c:pt>
                <c:pt idx="220">
                  <c:v>5.324384893422944E-2</c:v>
                </c:pt>
                <c:pt idx="221">
                  <c:v>5.324384893422944E-2</c:v>
                </c:pt>
                <c:pt idx="222">
                  <c:v>5.324384893422944E-2</c:v>
                </c:pt>
                <c:pt idx="223">
                  <c:v>5.324384893422944E-2</c:v>
                </c:pt>
                <c:pt idx="224">
                  <c:v>5.324384893422944E-2</c:v>
                </c:pt>
                <c:pt idx="225">
                  <c:v>5.324384893422944E-2</c:v>
                </c:pt>
                <c:pt idx="226">
                  <c:v>5.324384893422944E-2</c:v>
                </c:pt>
                <c:pt idx="227">
                  <c:v>5.324384893422944E-2</c:v>
                </c:pt>
                <c:pt idx="228">
                  <c:v>5.324384893422944E-2</c:v>
                </c:pt>
                <c:pt idx="229">
                  <c:v>5.324384893422944E-2</c:v>
                </c:pt>
                <c:pt idx="230">
                  <c:v>5.324384893422944E-2</c:v>
                </c:pt>
                <c:pt idx="231">
                  <c:v>5.324384893422944E-2</c:v>
                </c:pt>
                <c:pt idx="232">
                  <c:v>5.324384893422944E-2</c:v>
                </c:pt>
                <c:pt idx="233">
                  <c:v>5.324384893422944E-2</c:v>
                </c:pt>
                <c:pt idx="234">
                  <c:v>5.324384893422944E-2</c:v>
                </c:pt>
                <c:pt idx="235">
                  <c:v>5.324384893422944E-2</c:v>
                </c:pt>
                <c:pt idx="236">
                  <c:v>5.324384893422944E-2</c:v>
                </c:pt>
                <c:pt idx="237">
                  <c:v>5.324384893422944E-2</c:v>
                </c:pt>
                <c:pt idx="238">
                  <c:v>5.324384893422944E-2</c:v>
                </c:pt>
                <c:pt idx="239">
                  <c:v>5.324384893422944E-2</c:v>
                </c:pt>
                <c:pt idx="240">
                  <c:v>5.324384893422944E-2</c:v>
                </c:pt>
                <c:pt idx="241">
                  <c:v>5.324384893422944E-2</c:v>
                </c:pt>
                <c:pt idx="242">
                  <c:v>5.324384893422944E-2</c:v>
                </c:pt>
                <c:pt idx="243">
                  <c:v>5.324384893422944E-2</c:v>
                </c:pt>
                <c:pt idx="244">
                  <c:v>5.324384893422944E-2</c:v>
                </c:pt>
                <c:pt idx="245">
                  <c:v>5.324384893422944E-2</c:v>
                </c:pt>
                <c:pt idx="246">
                  <c:v>5.324384893422944E-2</c:v>
                </c:pt>
                <c:pt idx="247">
                  <c:v>5.324384893422944E-2</c:v>
                </c:pt>
                <c:pt idx="248">
                  <c:v>5.324384893422944E-2</c:v>
                </c:pt>
                <c:pt idx="249">
                  <c:v>5.324384893422944E-2</c:v>
                </c:pt>
                <c:pt idx="250">
                  <c:v>5.324384893422944E-2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12-4C62-9D15-F4BEA1EFC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551480"/>
        <c:axId val="442549128"/>
      </c:lineChart>
      <c:dateAx>
        <c:axId val="4425514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9128"/>
        <c:crosses val="autoZero"/>
        <c:auto val="1"/>
        <c:lblOffset val="100"/>
        <c:baseTimeUnit val="days"/>
      </c:dateAx>
      <c:valAx>
        <c:axId val="44254912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51480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Volatilidad Dinámica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Rendimientos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Dinámica!$A$15:$A$266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Dinámica!$D$15:$D$266</c:f>
              <c:numCache>
                <c:formatCode>0.00%</c:formatCode>
                <c:ptCount val="252"/>
                <c:pt idx="0">
                  <c:v>-2.2731246721453546E-3</c:v>
                </c:pt>
                <c:pt idx="1">
                  <c:v>6.1576354679802048E-3</c:v>
                </c:pt>
                <c:pt idx="2">
                  <c:v>5.4838139041217815E-3</c:v>
                </c:pt>
                <c:pt idx="3">
                  <c:v>1.0366398570151869E-2</c:v>
                </c:pt>
                <c:pt idx="4">
                  <c:v>1.4873934337021666E-2</c:v>
                </c:pt>
                <c:pt idx="5">
                  <c:v>-3.2543843789549776E-3</c:v>
                </c:pt>
                <c:pt idx="6">
                  <c:v>1.5607785530664664E-2</c:v>
                </c:pt>
                <c:pt idx="7">
                  <c:v>-1.2869313032445207E-2</c:v>
                </c:pt>
                <c:pt idx="8">
                  <c:v>1.3968020584451457E-2</c:v>
                </c:pt>
                <c:pt idx="9">
                  <c:v>-1.1015237745548578E-3</c:v>
                </c:pt>
                <c:pt idx="10">
                  <c:v>-6.5657486777311869E-3</c:v>
                </c:pt>
                <c:pt idx="11">
                  <c:v>-7.9609191242989708E-3</c:v>
                </c:pt>
                <c:pt idx="12">
                  <c:v>-1.0844026748598745E-3</c:v>
                </c:pt>
                <c:pt idx="13">
                  <c:v>2.9001268805508573E-3</c:v>
                </c:pt>
                <c:pt idx="14">
                  <c:v>2.5440668726148807E-3</c:v>
                </c:pt>
                <c:pt idx="15">
                  <c:v>3.4646243617797445E-3</c:v>
                </c:pt>
                <c:pt idx="16">
                  <c:v>-1.8611309949892574E-2</c:v>
                </c:pt>
                <c:pt idx="17">
                  <c:v>-8.9397461112095122E-4</c:v>
                </c:pt>
                <c:pt idx="18">
                  <c:v>1.4695210449927387E-2</c:v>
                </c:pt>
                <c:pt idx="19">
                  <c:v>-5.9513074842201252E-3</c:v>
                </c:pt>
                <c:pt idx="20">
                  <c:v>-2.1873346269183136E-2</c:v>
                </c:pt>
                <c:pt idx="21">
                  <c:v>-7.528011204481766E-3</c:v>
                </c:pt>
                <c:pt idx="22">
                  <c:v>-1.3986013986014845E-3</c:v>
                </c:pt>
                <c:pt idx="23">
                  <c:v>-2.4415765608650775E-3</c:v>
                </c:pt>
                <c:pt idx="24">
                  <c:v>-6.755586350251086E-3</c:v>
                </c:pt>
                <c:pt idx="25">
                  <c:v>7.5043630017452845E-3</c:v>
                </c:pt>
                <c:pt idx="26">
                  <c:v>-2.9580650774316819E-3</c:v>
                </c:pt>
                <c:pt idx="27">
                  <c:v>9.4853328649218138E-3</c:v>
                </c:pt>
                <c:pt idx="28">
                  <c:v>-1.317386028774481E-2</c:v>
                </c:pt>
                <c:pt idx="29">
                  <c:v>-1.0389610389610615E-3</c:v>
                </c:pt>
                <c:pt idx="30">
                  <c:v>1.0675533776688839E-2</c:v>
                </c:pt>
                <c:pt idx="31">
                  <c:v>2.4561403508771562E-3</c:v>
                </c:pt>
                <c:pt idx="32">
                  <c:v>3.3357505438723845E-2</c:v>
                </c:pt>
                <c:pt idx="33">
                  <c:v>1.3039485766758396E-2</c:v>
                </c:pt>
                <c:pt idx="34">
                  <c:v>1.1031439602868787E-3</c:v>
                </c:pt>
                <c:pt idx="35">
                  <c:v>-5.5126791620729865E-4</c:v>
                </c:pt>
                <c:pt idx="36">
                  <c:v>6.8455134135061435E-3</c:v>
                </c:pt>
                <c:pt idx="37">
                  <c:v>-9.2421441774503954E-4</c:v>
                </c:pt>
                <c:pt idx="38">
                  <c:v>1.1102886750555818E-3</c:v>
                </c:pt>
                <c:pt idx="39">
                  <c:v>4.2742984575356857E-3</c:v>
                </c:pt>
                <c:pt idx="40">
                  <c:v>-3.1493145609483575E-3</c:v>
                </c:pt>
                <c:pt idx="41">
                  <c:v>2.5261158594491961E-2</c:v>
                </c:pt>
                <c:pt idx="42">
                  <c:v>6.8846815834766595E-3</c:v>
                </c:pt>
                <c:pt idx="43">
                  <c:v>-5.7339449541282672E-4</c:v>
                </c:pt>
                <c:pt idx="44">
                  <c:v>-1.1151011151011136E-2</c:v>
                </c:pt>
                <c:pt idx="45">
                  <c:v>2.2731577950367843E-3</c:v>
                </c:pt>
                <c:pt idx="46">
                  <c:v>3.230710756366495E-3</c:v>
                </c:pt>
                <c:pt idx="47">
                  <c:v>3.8153376573826225E-3</c:v>
                </c:pt>
                <c:pt idx="48">
                  <c:v>-4.1793313069908855E-3</c:v>
                </c:pt>
                <c:pt idx="49">
                  <c:v>5.1556234485392594E-3</c:v>
                </c:pt>
                <c:pt idx="50">
                  <c:v>-6.2618595825427725E-3</c:v>
                </c:pt>
                <c:pt idx="51">
                  <c:v>5.1497234407782422E-3</c:v>
                </c:pt>
                <c:pt idx="52">
                  <c:v>2.7837678886492911E-2</c:v>
                </c:pt>
                <c:pt idx="53">
                  <c:v>-3.5163117796445098E-3</c:v>
                </c:pt>
                <c:pt idx="54">
                  <c:v>3.922337713277102E-3</c:v>
                </c:pt>
                <c:pt idx="55">
                  <c:v>2.753195673549591E-3</c:v>
                </c:pt>
                <c:pt idx="56">
                  <c:v>-3.9177277179235359E-3</c:v>
                </c:pt>
                <c:pt idx="57">
                  <c:v>-8.7378640776699656E-3</c:v>
                </c:pt>
                <c:pt idx="58">
                  <c:v>7.0394994133751165E-3</c:v>
                </c:pt>
                <c:pt idx="59">
                  <c:v>3.1464300121016642E-2</c:v>
                </c:pt>
                <c:pt idx="60">
                  <c:v>1.4735980352026168E-2</c:v>
                </c:pt>
                <c:pt idx="61">
                  <c:v>-3.4672649398327371E-3</c:v>
                </c:pt>
                <c:pt idx="62">
                  <c:v>5.7435897435897942E-3</c:v>
                </c:pt>
                <c:pt idx="63">
                  <c:v>-9.1463414634146423E-3</c:v>
                </c:pt>
                <c:pt idx="64">
                  <c:v>9.8522167487684609E-3</c:v>
                </c:pt>
                <c:pt idx="65">
                  <c:v>9.1135045567523054E-3</c:v>
                </c:pt>
                <c:pt idx="66">
                  <c:v>4.1442188147544634E-4</c:v>
                </c:pt>
                <c:pt idx="67">
                  <c:v>-1.8614270941055278E-3</c:v>
                </c:pt>
                <c:pt idx="68">
                  <c:v>-1.0235414534288667E-2</c:v>
                </c:pt>
                <c:pt idx="69">
                  <c:v>-8.9267599918847473E-3</c:v>
                </c:pt>
                <c:pt idx="70">
                  <c:v>-7.4506645187273346E-3</c:v>
                </c:pt>
                <c:pt idx="71">
                  <c:v>-3.6115569823436111E-3</c:v>
                </c:pt>
                <c:pt idx="72">
                  <c:v>9.1111561044745493E-3</c:v>
                </c:pt>
                <c:pt idx="73">
                  <c:v>-8.0337417152038793E-3</c:v>
                </c:pt>
                <c:pt idx="74">
                  <c:v>-7.7720207253886286E-3</c:v>
                </c:pt>
                <c:pt idx="75">
                  <c:v>1.396926761125572E-3</c:v>
                </c:pt>
                <c:pt idx="76">
                  <c:v>2.1194212349704422E-2</c:v>
                </c:pt>
                <c:pt idx="77">
                  <c:v>-8.0857085102081783E-3</c:v>
                </c:pt>
                <c:pt idx="78">
                  <c:v>4.467005076142172E-3</c:v>
                </c:pt>
                <c:pt idx="79">
                  <c:v>-2.4559318676965813E-2</c:v>
                </c:pt>
                <c:pt idx="80">
                  <c:v>6.5789473684212396E-3</c:v>
                </c:pt>
                <c:pt idx="81">
                  <c:v>-1.6856134849078885E-2</c:v>
                </c:pt>
                <c:pt idx="82">
                  <c:v>7.5039494470774404E-3</c:v>
                </c:pt>
                <c:pt idx="83">
                  <c:v>-1.3442431326709525E-2</c:v>
                </c:pt>
                <c:pt idx="84">
                  <c:v>2.3432923257176164E-3</c:v>
                </c:pt>
                <c:pt idx="85">
                  <c:v>5.6952081696779455E-3</c:v>
                </c:pt>
                <c:pt idx="86">
                  <c:v>-5.2744676694665982E-3</c:v>
                </c:pt>
                <c:pt idx="87">
                  <c:v>-6.019417475728206E-3</c:v>
                </c:pt>
                <c:pt idx="88">
                  <c:v>-4.2536736272235087E-3</c:v>
                </c:pt>
                <c:pt idx="89">
                  <c:v>-1.0522288119380274E-2</c:v>
                </c:pt>
                <c:pt idx="90">
                  <c:v>5.1923076923077183E-3</c:v>
                </c:pt>
                <c:pt idx="91">
                  <c:v>1.0493587252234704E-2</c:v>
                </c:pt>
                <c:pt idx="92">
                  <c:v>5.8639562157936087E-3</c:v>
                </c:pt>
                <c:pt idx="93">
                  <c:v>-5.2498541707175495E-3</c:v>
                </c:pt>
                <c:pt idx="94">
                  <c:v>2.1434138737335129E-3</c:v>
                </c:pt>
                <c:pt idx="95">
                  <c:v>-6.5814943863723441E-3</c:v>
                </c:pt>
                <c:pt idx="96">
                  <c:v>-7.1112819527197058E-3</c:v>
                </c:pt>
                <c:pt idx="97">
                  <c:v>-4.9722700325109948E-3</c:v>
                </c:pt>
                <c:pt idx="98">
                  <c:v>1.9127773527150005E-4</c:v>
                </c:pt>
                <c:pt idx="99">
                  <c:v>-9.4732853353542978E-3</c:v>
                </c:pt>
                <c:pt idx="100">
                  <c:v>1.5180265654648473E-3</c:v>
                </c:pt>
                <c:pt idx="101">
                  <c:v>-2.0829388373414526E-3</c:v>
                </c:pt>
                <c:pt idx="102">
                  <c:v>-1.7013232514176968E-3</c:v>
                </c:pt>
                <c:pt idx="103">
                  <c:v>1.135503406510141E-3</c:v>
                </c:pt>
                <c:pt idx="104">
                  <c:v>-2.4192059095106133E-2</c:v>
                </c:pt>
                <c:pt idx="105">
                  <c:v>2.5921125717460747E-3</c:v>
                </c:pt>
                <c:pt idx="106">
                  <c:v>1.4844043592634248E-2</c:v>
                </c:pt>
                <c:pt idx="107">
                  <c:v>4.1509433962263476E-3</c:v>
                </c:pt>
                <c:pt idx="108">
                  <c:v>2.8382213812676582E-3</c:v>
                </c:pt>
                <c:pt idx="109">
                  <c:v>-9.1863517060367661E-3</c:v>
                </c:pt>
                <c:pt idx="110">
                  <c:v>8.6989409984872257E-3</c:v>
                </c:pt>
                <c:pt idx="111">
                  <c:v>7.570022710068347E-4</c:v>
                </c:pt>
                <c:pt idx="112">
                  <c:v>-1.5117157974300355E-3</c:v>
                </c:pt>
                <c:pt idx="113">
                  <c:v>-5.6657223796041656E-4</c:v>
                </c:pt>
                <c:pt idx="114">
                  <c:v>-1.1204481792716936E-2</c:v>
                </c:pt>
                <c:pt idx="115">
                  <c:v>4.5019696117050145E-3</c:v>
                </c:pt>
                <c:pt idx="116">
                  <c:v>4.711647191858237E-3</c:v>
                </c:pt>
                <c:pt idx="117">
                  <c:v>5.6571751838574436E-4</c:v>
                </c:pt>
                <c:pt idx="118">
                  <c:v>-1.0449710766934128E-2</c:v>
                </c:pt>
                <c:pt idx="119">
                  <c:v>-6.1201780415429674E-3</c:v>
                </c:pt>
                <c:pt idx="120">
                  <c:v>9.7378277153559178E-3</c:v>
                </c:pt>
                <c:pt idx="121">
                  <c:v>-6.8811604984192476E-3</c:v>
                </c:pt>
                <c:pt idx="122">
                  <c:v>7.4446305602093865E-4</c:v>
                </c:pt>
                <c:pt idx="123">
                  <c:v>1.0152284263959421E-2</c:v>
                </c:pt>
                <c:pt idx="124">
                  <c:v>2.4500565397662655E-3</c:v>
                </c:pt>
                <c:pt idx="125">
                  <c:v>-1.6679021497405411E-2</c:v>
                </c:pt>
                <c:pt idx="126">
                  <c:v>-1.1178303096939679E-2</c:v>
                </c:pt>
                <c:pt idx="127">
                  <c:v>-1.0982976386600951E-3</c:v>
                </c:pt>
                <c:pt idx="128">
                  <c:v>3.1215571061329328E-3</c:v>
                </c:pt>
                <c:pt idx="129">
                  <c:v>1.8395879323032105E-3</c:v>
                </c:pt>
                <c:pt idx="130">
                  <c:v>8.7214696604194231E-3</c:v>
                </c:pt>
                <c:pt idx="131">
                  <c:v>8.0433969322857291E-3</c:v>
                </c:pt>
                <c:pt idx="132">
                  <c:v>-2.4258257137526051E-3</c:v>
                </c:pt>
                <c:pt idx="133">
                  <c:v>2.0568436798804601E-3</c:v>
                </c:pt>
                <c:pt idx="134">
                  <c:v>-3.3544539694372322E-3</c:v>
                </c:pt>
                <c:pt idx="135">
                  <c:v>-5.5596738324685813E-3</c:v>
                </c:pt>
                <c:pt idx="136">
                  <c:v>8.2212257100149344E-3</c:v>
                </c:pt>
                <c:pt idx="137">
                  <c:v>-2.0510908073839706E-3</c:v>
                </c:pt>
                <c:pt idx="138">
                  <c:v>-9.0539541759052655E-3</c:v>
                </c:pt>
                <c:pt idx="139">
                  <c:v>7.2585147962032082E-3</c:v>
                </c:pt>
                <c:pt idx="140">
                  <c:v>-3.8932146829810943E-3</c:v>
                </c:pt>
                <c:pt idx="141">
                  <c:v>1.0301554598239226E-2</c:v>
                </c:pt>
                <c:pt idx="142">
                  <c:v>-6.1429635145197059E-3</c:v>
                </c:pt>
                <c:pt idx="143">
                  <c:v>9.205335337215903E-3</c:v>
                </c:pt>
                <c:pt idx="144">
                  <c:v>-1.0410857036623922E-2</c:v>
                </c:pt>
                <c:pt idx="145">
                  <c:v>1.6759776536312554E-3</c:v>
                </c:pt>
                <c:pt idx="146">
                  <c:v>-8.8593576965669829E-3</c:v>
                </c:pt>
                <c:pt idx="147">
                  <c:v>1.593849615600984E-2</c:v>
                </c:pt>
                <c:pt idx="148">
                  <c:v>-1.1238059561715641E-3</c:v>
                </c:pt>
                <c:pt idx="149">
                  <c:v>2.4408561772437665E-3</c:v>
                </c:pt>
                <c:pt idx="150">
                  <c:v>-1.6980435585086773E-2</c:v>
                </c:pt>
                <c:pt idx="151">
                  <c:v>1.100951670087702E-2</c:v>
                </c:pt>
                <c:pt idx="152">
                  <c:v>5.6011949215828416E-4</c:v>
                </c:pt>
                <c:pt idx="153">
                  <c:v>-4.8309178743960457E-3</c:v>
                </c:pt>
                <c:pt idx="154">
                  <c:v>-8.6572112727942852E-3</c:v>
                </c:pt>
                <c:pt idx="155">
                  <c:v>-4.9486803519062095E-3</c:v>
                </c:pt>
                <c:pt idx="156">
                  <c:v>-1.087744742567065E-2</c:v>
                </c:pt>
                <c:pt idx="157">
                  <c:v>5.4416832940318294E-4</c:v>
                </c:pt>
                <c:pt idx="158">
                  <c:v>-7.2033135242210999E-3</c:v>
                </c:pt>
                <c:pt idx="159">
                  <c:v>3.9775809076116886E-3</c:v>
                </c:pt>
                <c:pt idx="160">
                  <c:v>1.0412860796492618E-2</c:v>
                </c:pt>
                <c:pt idx="161">
                  <c:v>4.9568569854967492E-3</c:v>
                </c:pt>
                <c:pt idx="162">
                  <c:v>-4.0226732492228967E-3</c:v>
                </c:pt>
                <c:pt idx="163">
                  <c:v>1.8318373328447546E-3</c:v>
                </c:pt>
                <c:pt idx="164">
                  <c:v>8.3117842630218153E-3</c:v>
                </c:pt>
                <c:pt idx="165">
                  <c:v>-2.5792188651436732E-3</c:v>
                </c:pt>
                <c:pt idx="166">
                  <c:v>1.6098839385997765E-2</c:v>
                </c:pt>
                <c:pt idx="167">
                  <c:v>5.6475903614459089E-3</c:v>
                </c:pt>
                <c:pt idx="168">
                  <c:v>9.1185410334346795E-3</c:v>
                </c:pt>
                <c:pt idx="169">
                  <c:v>-7.5930144267277733E-4</c:v>
                </c:pt>
                <c:pt idx="170">
                  <c:v>-1.0704225352112684E-2</c:v>
                </c:pt>
                <c:pt idx="171">
                  <c:v>-1.6802067946824151E-2</c:v>
                </c:pt>
                <c:pt idx="172">
                  <c:v>1.1090573012937366E-3</c:v>
                </c:pt>
                <c:pt idx="173">
                  <c:v>5.3893328377625505E-3</c:v>
                </c:pt>
                <c:pt idx="174">
                  <c:v>8.4332833583209421E-3</c:v>
                </c:pt>
                <c:pt idx="175">
                  <c:v>3.762227238525151E-3</c:v>
                </c:pt>
                <c:pt idx="176">
                  <c:v>-4.3079228319911067E-3</c:v>
                </c:pt>
                <c:pt idx="177">
                  <c:v>-1.6939790093905338E-2</c:v>
                </c:pt>
                <c:pt idx="178">
                  <c:v>-1.7191458559536632E-2</c:v>
                </c:pt>
                <c:pt idx="179">
                  <c:v>4.362050163576825E-3</c:v>
                </c:pt>
                <c:pt idx="180">
                  <c:v>-2.3572076155937705E-3</c:v>
                </c:pt>
                <c:pt idx="181">
                  <c:v>-1.0867596449919414E-3</c:v>
                </c:pt>
                <c:pt idx="182">
                  <c:v>4.9144521295960697E-3</c:v>
                </c:pt>
                <c:pt idx="183">
                  <c:v>-3.639010189229186E-4</c:v>
                </c:pt>
                <c:pt idx="184">
                  <c:v>-8.3002526163840074E-3</c:v>
                </c:pt>
                <c:pt idx="185">
                  <c:v>1.4456089627754576E-3</c:v>
                </c:pt>
                <c:pt idx="186">
                  <c:v>7.4640451483707349E-3</c:v>
                </c:pt>
                <c:pt idx="187">
                  <c:v>2.3722627737225999E-3</c:v>
                </c:pt>
                <c:pt idx="188">
                  <c:v>4.5829514207149646E-3</c:v>
                </c:pt>
                <c:pt idx="189">
                  <c:v>-3.2888726475425178E-3</c:v>
                </c:pt>
                <c:pt idx="190">
                  <c:v>-4.0036396724295598E-3</c:v>
                </c:pt>
                <c:pt idx="191">
                  <c:v>9.107468123863427E-4</c:v>
                </c:pt>
                <c:pt idx="192">
                  <c:v>1.2915129151291449E-2</c:v>
                </c:pt>
                <c:pt idx="193">
                  <c:v>7.8095946448493159E-3</c:v>
                </c:pt>
                <c:pt idx="194">
                  <c:v>-9.2114959469418167E-3</c:v>
                </c:pt>
                <c:pt idx="195">
                  <c:v>-5.1319648093841597E-3</c:v>
                </c:pt>
                <c:pt idx="196">
                  <c:v>9.0623266136489189E-3</c:v>
                </c:pt>
                <c:pt idx="197">
                  <c:v>-1.8460402436772938E-3</c:v>
                </c:pt>
                <c:pt idx="198">
                  <c:v>-9.2216894134999894E-4</c:v>
                </c:pt>
                <c:pt idx="199">
                  <c:v>1.8446781036707272E-4</c:v>
                </c:pt>
                <c:pt idx="200">
                  <c:v>-7.5064079091906599E-3</c:v>
                </c:pt>
                <c:pt idx="201">
                  <c:v>5.8931860036832706E-3</c:v>
                </c:pt>
                <c:pt idx="202">
                  <c:v>-3.8525041276830096E-3</c:v>
                </c:pt>
                <c:pt idx="203">
                  <c:v>7.3923489188689739E-3</c:v>
                </c:pt>
                <c:pt idx="204">
                  <c:v>-5.330882352941213E-3</c:v>
                </c:pt>
                <c:pt idx="205">
                  <c:v>8.1541882876203786E-3</c:v>
                </c:pt>
                <c:pt idx="206">
                  <c:v>1.1244377811094441E-2</c:v>
                </c:pt>
                <c:pt idx="207">
                  <c:v>-1.0385756676557945E-2</c:v>
                </c:pt>
                <c:pt idx="208">
                  <c:v>5.7825032643163965E-3</c:v>
                </c:pt>
                <c:pt idx="209">
                  <c:v>-5.5928411633110464E-4</c:v>
                </c:pt>
                <c:pt idx="210">
                  <c:v>-5.7460611677480067E-3</c:v>
                </c:pt>
                <c:pt idx="211">
                  <c:v>6.9055617767823652E-3</c:v>
                </c:pt>
                <c:pt idx="212">
                  <c:v>9.2296100960631566E-3</c:v>
                </c:pt>
                <c:pt idx="213">
                  <c:v>6.8272330741514509E-3</c:v>
                </c:pt>
                <c:pt idx="214">
                  <c:v>1.7097264437688775E-3</c:v>
                </c:pt>
                <c:pt idx="215">
                  <c:v>-1.7068082685377517E-3</c:v>
                </c:pt>
                <c:pt idx="216">
                  <c:v>6.4897881275052249E-3</c:v>
                </c:pt>
                <c:pt idx="217">
                  <c:v>-1.7149390243901275E-3</c:v>
                </c:pt>
                <c:pt idx="218">
                  <c:v>1.3714506470928978E-2</c:v>
                </c:pt>
                <c:pt idx="219">
                  <c:v>-1.2022900763358657E-2</c:v>
                </c:pt>
                <c:pt idx="220">
                  <c:v>8.0800307810697802E-3</c:v>
                </c:pt>
                <c:pt idx="221">
                  <c:v>-1.1599163339037988E-2</c:v>
                </c:pt>
                <c:pt idx="222">
                  <c:v>-6.0480060480059272E-3</c:v>
                </c:pt>
                <c:pt idx="223">
                  <c:v>4.747436384352488E-3</c:v>
                </c:pt>
                <c:pt idx="224">
                  <c:v>-1.1265490048817162E-2</c:v>
                </c:pt>
                <c:pt idx="225">
                  <c:v>7.5159714393091548E-4</c:v>
                </c:pt>
                <c:pt idx="226">
                  <c:v>5.8590058590060057E-3</c:v>
                </c:pt>
                <c:pt idx="227">
                  <c:v>-1.6359918200409052E-2</c:v>
                </c:pt>
                <c:pt idx="228">
                  <c:v>-4.8103607770582091E-3</c:v>
                </c:pt>
                <c:pt idx="229">
                  <c:v>1.5786506295808911E-2</c:v>
                </c:pt>
                <c:pt idx="230">
                  <c:v>-1.6885553470918913E-3</c:v>
                </c:pt>
                <c:pt idx="231">
                  <c:v>1.2345679012345734E-2</c:v>
                </c:pt>
                <c:pt idx="232">
                  <c:v>-3.0297292179511937E-3</c:v>
                </c:pt>
                <c:pt idx="233">
                  <c:v>5.9047619047618571E-3</c:v>
                </c:pt>
                <c:pt idx="234">
                  <c:v>-7.7490077490076636E-3</c:v>
                </c:pt>
                <c:pt idx="235">
                  <c:v>-1.6981132075472027E-3</c:v>
                </c:pt>
                <c:pt idx="236">
                  <c:v>-1.8864365214110723E-4</c:v>
                </c:pt>
                <c:pt idx="237">
                  <c:v>-1.4500836586726185E-2</c:v>
                </c:pt>
                <c:pt idx="238">
                  <c:v>3.3575825405707249E-3</c:v>
                </c:pt>
                <c:pt idx="239">
                  <c:v>-3.1610264038676172E-3</c:v>
                </c:pt>
                <c:pt idx="240">
                  <c:v>1.1092310584696508E-2</c:v>
                </c:pt>
                <c:pt idx="241">
                  <c:v>1.4108674928503318E-2</c:v>
                </c:pt>
                <c:pt idx="242">
                  <c:v>-6.8168907403900469E-3</c:v>
                </c:pt>
                <c:pt idx="243">
                  <c:v>1.1492051331162711E-2</c:v>
                </c:pt>
                <c:pt idx="244">
                  <c:v>-7.6031172780839373E-3</c:v>
                </c:pt>
                <c:pt idx="245">
                  <c:v>-5.4820415879016648E-3</c:v>
                </c:pt>
                <c:pt idx="246">
                  <c:v>-4.141566265060237E-3</c:v>
                </c:pt>
                <c:pt idx="247">
                  <c:v>-1.3189671187070373E-2</c:v>
                </c:pt>
                <c:pt idx="248">
                  <c:v>1.6747301823594185E-3</c:v>
                </c:pt>
                <c:pt idx="249">
                  <c:v>-1.9164081036685432E-2</c:v>
                </c:pt>
                <c:pt idx="250">
                  <c:v>7.5395365943360382E-3</c:v>
                </c:pt>
                <c:pt idx="251">
                  <c:v>1.6577638607480072E-3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77-8128-307132A2EE3A}"/>
            </c:ext>
          </c:extLst>
        </c:ser>
        <c:ser>
          <c:idx val="1"/>
          <c:order val="1"/>
          <c:tx>
            <c:v>-volatilidad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Dinámica!$A$15:$A$266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Dinámica!$O$4:$O$266</c:f>
              <c:numCache>
                <c:formatCode>0.00%</c:formatCode>
                <c:ptCount val="263"/>
                <c:pt idx="0">
                  <c:v>-2.0346087370320814E-2</c:v>
                </c:pt>
                <c:pt idx="1">
                  <c:v>-2.0682562611493278E-2</c:v>
                </c:pt>
                <c:pt idx="2">
                  <c:v>-2.1070157324402827E-2</c:v>
                </c:pt>
                <c:pt idx="3">
                  <c:v>-2.1087763621090452E-2</c:v>
                </c:pt>
                <c:pt idx="4">
                  <c:v>-2.0531028892272957E-2</c:v>
                </c:pt>
                <c:pt idx="5">
                  <c:v>-2.1011399007459828E-2</c:v>
                </c:pt>
                <c:pt idx="6">
                  <c:v>-2.0332972817476824E-2</c:v>
                </c:pt>
                <c:pt idx="7">
                  <c:v>-2.000804943308248E-2</c:v>
                </c:pt>
                <c:pt idx="8">
                  <c:v>-1.9501711728033146E-2</c:v>
                </c:pt>
                <c:pt idx="9">
                  <c:v>-2.0001949625977216E-2</c:v>
                </c:pt>
                <c:pt idx="10">
                  <c:v>-2.0299239749837258E-2</c:v>
                </c:pt>
                <c:pt idx="11">
                  <c:v>-2.0503758006268722E-2</c:v>
                </c:pt>
                <c:pt idx="12">
                  <c:v>-2.1030526848454318E-2</c:v>
                </c:pt>
                <c:pt idx="13">
                  <c:v>-2.1535794251453706E-2</c:v>
                </c:pt>
                <c:pt idx="14">
                  <c:v>-2.2064402833773471E-2</c:v>
                </c:pt>
                <c:pt idx="15">
                  <c:v>-2.2581714727148115E-2</c:v>
                </c:pt>
                <c:pt idx="16">
                  <c:v>-2.1537181274987879E-2</c:v>
                </c:pt>
                <c:pt idx="17">
                  <c:v>-2.2092874277530317E-2</c:v>
                </c:pt>
                <c:pt idx="18">
                  <c:v>-2.1640732836341887E-2</c:v>
                </c:pt>
                <c:pt idx="19">
                  <c:v>-2.2034368024796819E-2</c:v>
                </c:pt>
                <c:pt idx="20">
                  <c:v>-2.0256895352339991E-2</c:v>
                </c:pt>
                <c:pt idx="21">
                  <c:v>-2.0494097193214926E-2</c:v>
                </c:pt>
                <c:pt idx="22">
                  <c:v>-2.1016705199999604E-2</c:v>
                </c:pt>
                <c:pt idx="23">
                  <c:v>-2.1533563477637643E-2</c:v>
                </c:pt>
                <c:pt idx="24">
                  <c:v>-2.1874444754656903E-2</c:v>
                </c:pt>
                <c:pt idx="25">
                  <c:v>-2.2176997103735642E-2</c:v>
                </c:pt>
                <c:pt idx="26">
                  <c:v>-2.2712601898242236E-2</c:v>
                </c:pt>
                <c:pt idx="27">
                  <c:v>-2.2892609174517981E-2</c:v>
                </c:pt>
                <c:pt idx="28">
                  <c:v>-2.2696195735966089E-2</c:v>
                </c:pt>
                <c:pt idx="29">
                  <c:v>-2.32809253948194E-2</c:v>
                </c:pt>
                <c:pt idx="30">
                  <c:v>-2.3378084270613299E-2</c:v>
                </c:pt>
                <c:pt idx="31">
                  <c:v>-2.395891876743355E-2</c:v>
                </c:pt>
                <c:pt idx="32">
                  <c:v>-1.9234977862041938E-2</c:v>
                </c:pt>
                <c:pt idx="33">
                  <c:v>-1.8805898725804217E-2</c:v>
                </c:pt>
                <c:pt idx="34">
                  <c:v>-1.9287804752602267E-2</c:v>
                </c:pt>
                <c:pt idx="35">
                  <c:v>-1.9787253550319996E-2</c:v>
                </c:pt>
                <c:pt idx="36">
                  <c:v>-2.0056845328000082E-2</c:v>
                </c:pt>
                <c:pt idx="37">
                  <c:v>-2.0573519261248761E-2</c:v>
                </c:pt>
                <c:pt idx="38">
                  <c:v>-2.110183695183113E-2</c:v>
                </c:pt>
                <c:pt idx="39">
                  <c:v>-2.1561017388378144E-2</c:v>
                </c:pt>
                <c:pt idx="40">
                  <c:v>-2.2073891088108318E-2</c:v>
                </c:pt>
                <c:pt idx="41">
                  <c:v>-1.9456603291548271E-2</c:v>
                </c:pt>
                <c:pt idx="42">
                  <c:v>-1.9710527337961851E-2</c:v>
                </c:pt>
                <c:pt idx="43">
                  <c:v>-2.022086290238162E-2</c:v>
                </c:pt>
                <c:pt idx="44">
                  <c:v>-2.0105361593861323E-2</c:v>
                </c:pt>
                <c:pt idx="45">
                  <c:v>-2.0601280377881642E-2</c:v>
                </c:pt>
                <c:pt idx="46">
                  <c:v>-2.1084423155491399E-2</c:v>
                </c:pt>
                <c:pt idx="47">
                  <c:v>-2.1561211261548106E-2</c:v>
                </c:pt>
                <c:pt idx="48">
                  <c:v>-2.2038064415685066E-2</c:v>
                </c:pt>
                <c:pt idx="49">
                  <c:v>-2.2486491677432024E-2</c:v>
                </c:pt>
                <c:pt idx="50">
                  <c:v>-2.2891049293576993E-2</c:v>
                </c:pt>
                <c:pt idx="51">
                  <c:v>-2.3366557466819551E-2</c:v>
                </c:pt>
                <c:pt idx="52">
                  <c:v>-2.0287635194417567E-2</c:v>
                </c:pt>
                <c:pt idx="53">
                  <c:v>-2.0752051314595815E-2</c:v>
                </c:pt>
                <c:pt idx="54">
                  <c:v>-2.1214957164977007E-2</c:v>
                </c:pt>
                <c:pt idx="55">
                  <c:v>-2.1729397749506343E-2</c:v>
                </c:pt>
                <c:pt idx="56">
                  <c:v>-2.2221303397792186E-2</c:v>
                </c:pt>
                <c:pt idx="57">
                  <c:v>-2.2443291600428319E-2</c:v>
                </c:pt>
                <c:pt idx="58">
                  <c:v>-2.279867095534702E-2</c:v>
                </c:pt>
                <c:pt idx="59">
                  <c:v>-1.8404203207251099E-2</c:v>
                </c:pt>
                <c:pt idx="60">
                  <c:v>-1.7630263224793517E-2</c:v>
                </c:pt>
                <c:pt idx="61">
                  <c:v>-1.8018172000946509E-2</c:v>
                </c:pt>
                <c:pt idx="62">
                  <c:v>-1.8297447553578521E-2</c:v>
                </c:pt>
                <c:pt idx="63">
                  <c:v>-1.8297698289039439E-2</c:v>
                </c:pt>
                <c:pt idx="64">
                  <c:v>-1.822065131725607E-2</c:v>
                </c:pt>
                <c:pt idx="65">
                  <c:v>-1.822031663494689E-2</c:v>
                </c:pt>
                <c:pt idx="66">
                  <c:v>-1.8692683318925485E-2</c:v>
                </c:pt>
                <c:pt idx="67">
                  <c:v>-1.9159261261890281E-2</c:v>
                </c:pt>
                <c:pt idx="68">
                  <c:v>-1.9087735107672071E-2</c:v>
                </c:pt>
                <c:pt idx="69">
                  <c:v>-1.9150490518662522E-2</c:v>
                </c:pt>
                <c:pt idx="70">
                  <c:v>-1.934829808240341E-2</c:v>
                </c:pt>
                <c:pt idx="71">
                  <c:v>-1.9781649388902478E-2</c:v>
                </c:pt>
                <c:pt idx="72">
                  <c:v>-1.9860328598369295E-2</c:v>
                </c:pt>
                <c:pt idx="73">
                  <c:v>-2.0040076973428283E-2</c:v>
                </c:pt>
                <c:pt idx="74">
                  <c:v>-2.0249075972933638E-2</c:v>
                </c:pt>
                <c:pt idx="75">
                  <c:v>-2.0765223885962712E-2</c:v>
                </c:pt>
                <c:pt idx="76">
                  <c:v>-1.895578222043922E-2</c:v>
                </c:pt>
                <c:pt idx="77">
                  <c:v>-1.9091082050509151E-2</c:v>
                </c:pt>
                <c:pt idx="78">
                  <c:v>-1.947950574832882E-2</c:v>
                </c:pt>
                <c:pt idx="79">
                  <c:v>-1.6505792202605823E-2</c:v>
                </c:pt>
                <c:pt idx="80">
                  <c:v>-1.6663375109575898E-2</c:v>
                </c:pt>
                <c:pt idx="81">
                  <c:v>-1.5246818948032103E-2</c:v>
                </c:pt>
                <c:pt idx="82">
                  <c:v>-1.5259290063268342E-2</c:v>
                </c:pt>
                <c:pt idx="83">
                  <c:v>-1.4389548152823306E-2</c:v>
                </c:pt>
                <c:pt idx="84">
                  <c:v>-1.4724161749267667E-2</c:v>
                </c:pt>
                <c:pt idx="85">
                  <c:v>-1.4878945208773645E-2</c:v>
                </c:pt>
                <c:pt idx="86">
                  <c:v>-1.507242196464993E-2</c:v>
                </c:pt>
                <c:pt idx="87">
                  <c:v>-1.5215339438974121E-2</c:v>
                </c:pt>
                <c:pt idx="88">
                  <c:v>-1.5488121301511377E-2</c:v>
                </c:pt>
                <c:pt idx="89">
                  <c:v>-1.5139289839316152E-2</c:v>
                </c:pt>
                <c:pt idx="90">
                  <c:v>-1.5348789940458421E-2</c:v>
                </c:pt>
                <c:pt idx="91">
                  <c:v>-1.4993411814676789E-2</c:v>
                </c:pt>
                <c:pt idx="92">
                  <c:v>-1.5145789803886638E-2</c:v>
                </c:pt>
                <c:pt idx="93">
                  <c:v>-1.5351418759078446E-2</c:v>
                </c:pt>
                <c:pt idx="94">
                  <c:v>-1.5719488853005066E-2</c:v>
                </c:pt>
                <c:pt idx="95">
                  <c:v>-1.584261794315641E-2</c:v>
                </c:pt>
                <c:pt idx="96">
                  <c:v>-1.5923318785605163E-2</c:v>
                </c:pt>
                <c:pt idx="97">
                  <c:v>-1.61768966932463E-2</c:v>
                </c:pt>
                <c:pt idx="98">
                  <c:v>-1.6596913764773479E-2</c:v>
                </c:pt>
                <c:pt idx="99">
                  <c:v>-1.6463961264925525E-2</c:v>
                </c:pt>
                <c:pt idx="100">
                  <c:v>-1.6877301468081377E-2</c:v>
                </c:pt>
                <c:pt idx="101">
                  <c:v>-1.7289351088382358E-2</c:v>
                </c:pt>
                <c:pt idx="102">
                  <c:v>-1.7721315173250228E-2</c:v>
                </c:pt>
                <c:pt idx="103">
                  <c:v>-1.8174219388794422E-2</c:v>
                </c:pt>
                <c:pt idx="104">
                  <c:v>-1.4982484712061879E-2</c:v>
                </c:pt>
                <c:pt idx="105">
                  <c:v>-1.5325624865091906E-2</c:v>
                </c:pt>
                <c:pt idx="106">
                  <c:v>-1.4172087149691117E-2</c:v>
                </c:pt>
                <c:pt idx="107">
                  <c:v>-1.4414977151439806E-2</c:v>
                </c:pt>
                <c:pt idx="108">
                  <c:v>-1.473200833683384E-2</c:v>
                </c:pt>
                <c:pt idx="109">
                  <c:v>-1.4515119453182198E-2</c:v>
                </c:pt>
                <c:pt idx="110">
                  <c:v>-1.4347359112985361E-2</c:v>
                </c:pt>
                <c:pt idx="111">
                  <c:v>-1.471598139615218E-2</c:v>
                </c:pt>
                <c:pt idx="112">
                  <c:v>-1.5082337230627617E-2</c:v>
                </c:pt>
                <c:pt idx="113">
                  <c:v>-1.5471967707955283E-2</c:v>
                </c:pt>
                <c:pt idx="114">
                  <c:v>-1.5018364277999118E-2</c:v>
                </c:pt>
                <c:pt idx="115">
                  <c:v>-1.5269430055531727E-2</c:v>
                </c:pt>
                <c:pt idx="116">
                  <c:v>-1.5516224797514936E-2</c:v>
                </c:pt>
                <c:pt idx="117">
                  <c:v>-1.5917194433590749E-2</c:v>
                </c:pt>
                <c:pt idx="118">
                  <c:v>-1.5610987615482699E-2</c:v>
                </c:pt>
                <c:pt idx="119">
                  <c:v>-1.5768443452825822E-2</c:v>
                </c:pt>
                <c:pt idx="120">
                  <c:v>-1.5548861904609128E-2</c:v>
                </c:pt>
                <c:pt idx="121">
                  <c:v>-1.563723735755217E-2</c:v>
                </c:pt>
                <c:pt idx="122">
                  <c:v>-1.6039830263180836E-2</c:v>
                </c:pt>
                <c:pt idx="123">
                  <c:v>-1.57834816956944E-2</c:v>
                </c:pt>
                <c:pt idx="124">
                  <c:v>-1.6154443385113969E-2</c:v>
                </c:pt>
                <c:pt idx="125">
                  <c:v>-1.4701524785246993E-2</c:v>
                </c:pt>
                <c:pt idx="126">
                  <c:v>-1.4184644736505199E-2</c:v>
                </c:pt>
                <c:pt idx="127">
                  <c:v>-1.4544410927270757E-2</c:v>
                </c:pt>
                <c:pt idx="128">
                  <c:v>-1.4853355653749839E-2</c:v>
                </c:pt>
                <c:pt idx="129">
                  <c:v>-1.5215828234705126E-2</c:v>
                </c:pt>
                <c:pt idx="130">
                  <c:v>-1.5089509156696509E-2</c:v>
                </c:pt>
                <c:pt idx="131">
                  <c:v>-1.5035188191214254E-2</c:v>
                </c:pt>
                <c:pt idx="132">
                  <c:v>-1.5385569379215737E-2</c:v>
                </c:pt>
                <c:pt idx="133">
                  <c:v>-1.5757024296216129E-2</c:v>
                </c:pt>
                <c:pt idx="134">
                  <c:v>-1.6092932165032828E-2</c:v>
                </c:pt>
                <c:pt idx="135">
                  <c:v>-1.6312748358058102E-2</c:v>
                </c:pt>
                <c:pt idx="136">
                  <c:v>-1.6305893302029927E-2</c:v>
                </c:pt>
                <c:pt idx="137">
                  <c:v>-1.670300198915271E-2</c:v>
                </c:pt>
                <c:pt idx="138">
                  <c:v>-1.6625771314304122E-2</c:v>
                </c:pt>
                <c:pt idx="139">
                  <c:v>-1.6729396263879103E-2</c:v>
                </c:pt>
                <c:pt idx="140">
                  <c:v>-1.70707899253092E-2</c:v>
                </c:pt>
                <c:pt idx="141">
                  <c:v>-1.6864396106838663E-2</c:v>
                </c:pt>
                <c:pt idx="142">
                  <c:v>-1.7071387447089449E-2</c:v>
                </c:pt>
                <c:pt idx="143">
                  <c:v>-1.6997976029191612E-2</c:v>
                </c:pt>
                <c:pt idx="144">
                  <c:v>-1.6772596705766297E-2</c:v>
                </c:pt>
                <c:pt idx="145">
                  <c:v>-1.7191130517161833E-2</c:v>
                </c:pt>
                <c:pt idx="146">
                  <c:v>-1.7162913649676786E-2</c:v>
                </c:pt>
                <c:pt idx="147">
                  <c:v>-1.60183602880942E-2</c:v>
                </c:pt>
                <c:pt idx="148">
                  <c:v>-1.6426399751419664E-2</c:v>
                </c:pt>
                <c:pt idx="149">
                  <c:v>-1.6815877616668754E-2</c:v>
                </c:pt>
                <c:pt idx="150">
                  <c:v>-1.5393323962608457E-2</c:v>
                </c:pt>
                <c:pt idx="151">
                  <c:v>-1.496355330093539E-2</c:v>
                </c:pt>
                <c:pt idx="152">
                  <c:v>-1.5350130485330368E-2</c:v>
                </c:pt>
                <c:pt idx="153">
                  <c:v>-1.559213541348522E-2</c:v>
                </c:pt>
                <c:pt idx="154">
                  <c:v>-1.5496187148969755E-2</c:v>
                </c:pt>
                <c:pt idx="155">
                  <c:v>-1.5735776491831294E-2</c:v>
                </c:pt>
                <c:pt idx="156">
                  <c:v>-1.5353754531443289E-2</c:v>
                </c:pt>
                <c:pt idx="157">
                  <c:v>-1.5750640901836352E-2</c:v>
                </c:pt>
                <c:pt idx="158">
                  <c:v>-1.5818215471676115E-2</c:v>
                </c:pt>
                <c:pt idx="159">
                  <c:v>-1.6126203283804388E-2</c:v>
                </c:pt>
                <c:pt idx="160">
                  <c:v>-1.5840285030568068E-2</c:v>
                </c:pt>
                <c:pt idx="161">
                  <c:v>-1.6091859452749956E-2</c:v>
                </c:pt>
                <c:pt idx="162">
                  <c:v>-1.6406403134882092E-2</c:v>
                </c:pt>
                <c:pt idx="163">
                  <c:v>-1.6811616855191409E-2</c:v>
                </c:pt>
                <c:pt idx="164">
                  <c:v>-1.6821455902906374E-2</c:v>
                </c:pt>
                <c:pt idx="165">
                  <c:v>-1.72178275022557E-2</c:v>
                </c:pt>
                <c:pt idx="166">
                  <c:v>-1.6046611643721651E-2</c:v>
                </c:pt>
                <c:pt idx="167">
                  <c:v>-1.6258267204435569E-2</c:v>
                </c:pt>
                <c:pt idx="168">
                  <c:v>-1.6147403062351569E-2</c:v>
                </c:pt>
                <c:pt idx="169">
                  <c:v>-1.6563222351179192E-2</c:v>
                </c:pt>
                <c:pt idx="170">
                  <c:v>-1.6268285148098159E-2</c:v>
                </c:pt>
                <c:pt idx="171">
                  <c:v>-1.4803811891817165E-2</c:v>
                </c:pt>
                <c:pt idx="172">
                  <c:v>-1.5179863563245008E-2</c:v>
                </c:pt>
                <c:pt idx="173">
                  <c:v>-1.5376649286345164E-2</c:v>
                </c:pt>
                <c:pt idx="174">
                  <c:v>-1.5294212515124889E-2</c:v>
                </c:pt>
                <c:pt idx="175">
                  <c:v>-1.5596290574463453E-2</c:v>
                </c:pt>
                <c:pt idx="176">
                  <c:v>-1.5878904902510371E-2</c:v>
                </c:pt>
                <c:pt idx="177">
                  <c:v>-1.4317759425488377E-2</c:v>
                </c:pt>
                <c:pt idx="178">
                  <c:v>-1.239222954687451E-2</c:v>
                </c:pt>
                <c:pt idx="179">
                  <c:v>-1.255563856627215E-2</c:v>
                </c:pt>
                <c:pt idx="180">
                  <c:v>-1.2836328966043292E-2</c:v>
                </c:pt>
                <c:pt idx="181">
                  <c:v>-1.3160352419664685E-2</c:v>
                </c:pt>
                <c:pt idx="182">
                  <c:v>-1.3312617990105472E-2</c:v>
                </c:pt>
                <c:pt idx="183">
                  <c:v>-1.365743726288529E-2</c:v>
                </c:pt>
                <c:pt idx="184">
                  <c:v>-1.3484757628736922E-2</c:v>
                </c:pt>
                <c:pt idx="185">
                  <c:v>-1.3819160278058152E-2</c:v>
                </c:pt>
                <c:pt idx="186">
                  <c:v>-1.3758319848283072E-2</c:v>
                </c:pt>
                <c:pt idx="187">
                  <c:v>-1.407370967869344E-2</c:v>
                </c:pt>
                <c:pt idx="188">
                  <c:v>-1.4285385073940457E-2</c:v>
                </c:pt>
                <c:pt idx="189">
                  <c:v>-1.457860328493025E-2</c:v>
                </c:pt>
                <c:pt idx="190">
                  <c:v>-1.4844096739606223E-2</c:v>
                </c:pt>
                <c:pt idx="191">
                  <c:v>-1.5223987860697574E-2</c:v>
                </c:pt>
                <c:pt idx="192">
                  <c:v>-1.4451723415119567E-2</c:v>
                </c:pt>
                <c:pt idx="193">
                  <c:v>-1.4387653916639537E-2</c:v>
                </c:pt>
                <c:pt idx="194">
                  <c:v>-1.4143410357324413E-2</c:v>
                </c:pt>
                <c:pt idx="195">
                  <c:v>-1.4318506389862994E-2</c:v>
                </c:pt>
                <c:pt idx="196">
                  <c:v>-1.4089730209439688E-2</c:v>
                </c:pt>
                <c:pt idx="197">
                  <c:v>-1.4430921641740153E-2</c:v>
                </c:pt>
                <c:pt idx="198">
                  <c:v>-1.4799766012331206E-2</c:v>
                </c:pt>
                <c:pt idx="199">
                  <c:v>-1.5184003644595731E-2</c:v>
                </c:pt>
                <c:pt idx="200">
                  <c:v>-1.5192960098928936E-2</c:v>
                </c:pt>
                <c:pt idx="201">
                  <c:v>-1.5351328017740289E-2</c:v>
                </c:pt>
                <c:pt idx="202">
                  <c:v>-1.5650623471606326E-2</c:v>
                </c:pt>
                <c:pt idx="203">
                  <c:v>-1.5694875145538304E-2</c:v>
                </c:pt>
                <c:pt idx="204">
                  <c:v>-1.591574673750748E-2</c:v>
                </c:pt>
                <c:pt idx="205">
                  <c:v>-1.5894813350884617E-2</c:v>
                </c:pt>
                <c:pt idx="206">
                  <c:v>-1.5470103085007928E-2</c:v>
                </c:pt>
                <c:pt idx="207">
                  <c:v>-1.5139745569434057E-2</c:v>
                </c:pt>
                <c:pt idx="208">
                  <c:v>-1.5304778308091344E-2</c:v>
                </c:pt>
                <c:pt idx="209">
                  <c:v>-1.5700274195234443E-2</c:v>
                </c:pt>
                <c:pt idx="210">
                  <c:v>-1.5890916505543404E-2</c:v>
                </c:pt>
                <c:pt idx="211">
                  <c:v>-1.5992888903166021E-2</c:v>
                </c:pt>
                <c:pt idx="212">
                  <c:v>-1.5852456391558165E-2</c:v>
                </c:pt>
                <c:pt idx="213">
                  <c:v>-1.5959757001068452E-2</c:v>
                </c:pt>
                <c:pt idx="214">
                  <c:v>-1.6355562730850579E-2</c:v>
                </c:pt>
                <c:pt idx="215">
                  <c:v>-1.6762168976273192E-2</c:v>
                </c:pt>
                <c:pt idx="216">
                  <c:v>-1.6937869088653759E-2</c:v>
                </c:pt>
                <c:pt idx="217">
                  <c:v>-1.736006324548561E-2</c:v>
                </c:pt>
                <c:pt idx="218">
                  <c:v>-1.6662414633224834E-2</c:v>
                </c:pt>
                <c:pt idx="219">
                  <c:v>-1.6180756369556334E-2</c:v>
                </c:pt>
                <c:pt idx="220">
                  <c:v>-1.6181844836805643E-2</c:v>
                </c:pt>
                <c:pt idx="221">
                  <c:v>-1.5726075707138423E-2</c:v>
                </c:pt>
                <c:pt idx="222">
                  <c:v>-1.5894182375464701E-2</c:v>
                </c:pt>
                <c:pt idx="223">
                  <c:v>-1.6160947175858288E-2</c:v>
                </c:pt>
                <c:pt idx="224">
                  <c:v>-1.5754496782051326E-2</c:v>
                </c:pt>
                <c:pt idx="225">
                  <c:v>-1.6160093446913004E-2</c:v>
                </c:pt>
                <c:pt idx="226">
                  <c:v>-1.6360511839946794E-2</c:v>
                </c:pt>
                <c:pt idx="227">
                  <c:v>-1.5013571508199333E-2</c:v>
                </c:pt>
                <c:pt idx="228">
                  <c:v>-1.5244651012584633E-2</c:v>
                </c:pt>
                <c:pt idx="229">
                  <c:v>-1.3862354485590965E-2</c:v>
                </c:pt>
                <c:pt idx="230">
                  <c:v>-1.4201357535262735E-2</c:v>
                </c:pt>
                <c:pt idx="231">
                  <c:v>-1.3424070987720405E-2</c:v>
                </c:pt>
                <c:pt idx="232">
                  <c:v>-1.3702471158480301E-2</c:v>
                </c:pt>
                <c:pt idx="233">
                  <c:v>-1.379490650541939E-2</c:v>
                </c:pt>
                <c:pt idx="234">
                  <c:v>-1.3699405337629039E-2</c:v>
                </c:pt>
                <c:pt idx="235">
                  <c:v>-1.4033680873321932E-2</c:v>
                </c:pt>
                <c:pt idx="236">
                  <c:v>-1.4397992607478059E-2</c:v>
                </c:pt>
                <c:pt idx="237">
                  <c:v>-1.31888046137227E-2</c:v>
                </c:pt>
                <c:pt idx="238">
                  <c:v>-1.3443444696231538E-2</c:v>
                </c:pt>
                <c:pt idx="239">
                  <c:v>-1.371621352213067E-2</c:v>
                </c:pt>
                <c:pt idx="240">
                  <c:v>-1.3119958382604331E-2</c:v>
                </c:pt>
                <c:pt idx="241">
                  <c:v>-1.1801978706249754E-2</c:v>
                </c:pt>
                <c:pt idx="242">
                  <c:v>-1.1697624658090544E-2</c:v>
                </c:pt>
                <c:pt idx="243">
                  <c:v>-1.0781122580059343E-2</c:v>
                </c:pt>
                <c:pt idx="244">
                  <c:v>-1.0496672436007905E-2</c:v>
                </c:pt>
                <c:pt idx="245">
                  <c:v>-1.0471493948336798E-2</c:v>
                </c:pt>
                <c:pt idx="246">
                  <c:v>-1.0574132851567903E-2</c:v>
                </c:pt>
                <c:pt idx="247">
                  <c:v>-9.004022513825382E-3</c:v>
                </c:pt>
                <c:pt idx="248">
                  <c:v>-9.2059178445591094E-3</c:v>
                </c:pt>
                <c:pt idx="249">
                  <c:v>-3.4483440670685503E-3</c:v>
                </c:pt>
                <c:pt idx="250">
                  <c:v>-7.4137453665500824E-4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5-4377-8128-307132A2EE3A}"/>
            </c:ext>
          </c:extLst>
        </c:ser>
        <c:ser>
          <c:idx val="2"/>
          <c:order val="2"/>
          <c:tx>
            <c:v>"+volatilidad"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Dinámica!$P$4:$P$266</c:f>
              <c:numCache>
                <c:formatCode>0.00%</c:formatCode>
                <c:ptCount val="263"/>
                <c:pt idx="0">
                  <c:v>2.0346087370320814E-2</c:v>
                </c:pt>
                <c:pt idx="1">
                  <c:v>2.0682562611493278E-2</c:v>
                </c:pt>
                <c:pt idx="2">
                  <c:v>2.1070157324402827E-2</c:v>
                </c:pt>
                <c:pt idx="3">
                  <c:v>2.1087763621090452E-2</c:v>
                </c:pt>
                <c:pt idx="4">
                  <c:v>2.0531028892272957E-2</c:v>
                </c:pt>
                <c:pt idx="5">
                  <c:v>2.1011399007459828E-2</c:v>
                </c:pt>
                <c:pt idx="6">
                  <c:v>2.0332972817476824E-2</c:v>
                </c:pt>
                <c:pt idx="7">
                  <c:v>2.000804943308248E-2</c:v>
                </c:pt>
                <c:pt idx="8">
                  <c:v>1.9501711728033146E-2</c:v>
                </c:pt>
                <c:pt idx="9">
                  <c:v>2.0001949625977216E-2</c:v>
                </c:pt>
                <c:pt idx="10">
                  <c:v>2.0299239749837258E-2</c:v>
                </c:pt>
                <c:pt idx="11">
                  <c:v>2.0503758006268722E-2</c:v>
                </c:pt>
                <c:pt idx="12">
                  <c:v>2.1030526848454318E-2</c:v>
                </c:pt>
                <c:pt idx="13">
                  <c:v>2.1535794251453706E-2</c:v>
                </c:pt>
                <c:pt idx="14">
                  <c:v>2.2064402833773471E-2</c:v>
                </c:pt>
                <c:pt idx="15">
                  <c:v>2.2581714727148115E-2</c:v>
                </c:pt>
                <c:pt idx="16">
                  <c:v>2.1537181274987879E-2</c:v>
                </c:pt>
                <c:pt idx="17">
                  <c:v>2.2092874277530317E-2</c:v>
                </c:pt>
                <c:pt idx="18">
                  <c:v>2.1640732836341887E-2</c:v>
                </c:pt>
                <c:pt idx="19">
                  <c:v>2.2034368024796819E-2</c:v>
                </c:pt>
                <c:pt idx="20">
                  <c:v>2.0256895352339991E-2</c:v>
                </c:pt>
                <c:pt idx="21">
                  <c:v>2.0494097193214926E-2</c:v>
                </c:pt>
                <c:pt idx="22">
                  <c:v>2.1016705199999604E-2</c:v>
                </c:pt>
                <c:pt idx="23">
                  <c:v>2.1533563477637643E-2</c:v>
                </c:pt>
                <c:pt idx="24">
                  <c:v>2.1874444754656903E-2</c:v>
                </c:pt>
                <c:pt idx="25">
                  <c:v>2.2176997103735642E-2</c:v>
                </c:pt>
                <c:pt idx="26">
                  <c:v>2.2712601898242236E-2</c:v>
                </c:pt>
                <c:pt idx="27">
                  <c:v>2.2892609174517981E-2</c:v>
                </c:pt>
                <c:pt idx="28">
                  <c:v>2.2696195735966089E-2</c:v>
                </c:pt>
                <c:pt idx="29">
                  <c:v>2.32809253948194E-2</c:v>
                </c:pt>
                <c:pt idx="30">
                  <c:v>2.3378084270613299E-2</c:v>
                </c:pt>
                <c:pt idx="31">
                  <c:v>2.395891876743355E-2</c:v>
                </c:pt>
                <c:pt idx="32">
                  <c:v>1.9234977862041938E-2</c:v>
                </c:pt>
                <c:pt idx="33">
                  <c:v>1.8805898725804217E-2</c:v>
                </c:pt>
                <c:pt idx="34">
                  <c:v>1.9287804752602267E-2</c:v>
                </c:pt>
                <c:pt idx="35">
                  <c:v>1.9787253550319996E-2</c:v>
                </c:pt>
                <c:pt idx="36">
                  <c:v>2.0056845328000082E-2</c:v>
                </c:pt>
                <c:pt idx="37">
                  <c:v>2.0573519261248761E-2</c:v>
                </c:pt>
                <c:pt idx="38">
                  <c:v>2.110183695183113E-2</c:v>
                </c:pt>
                <c:pt idx="39">
                  <c:v>2.1561017388378144E-2</c:v>
                </c:pt>
                <c:pt idx="40">
                  <c:v>2.2073891088108318E-2</c:v>
                </c:pt>
                <c:pt idx="41">
                  <c:v>1.9456603291548271E-2</c:v>
                </c:pt>
                <c:pt idx="42">
                  <c:v>1.9710527337961851E-2</c:v>
                </c:pt>
                <c:pt idx="43">
                  <c:v>2.022086290238162E-2</c:v>
                </c:pt>
                <c:pt idx="44">
                  <c:v>2.0105361593861323E-2</c:v>
                </c:pt>
                <c:pt idx="45">
                  <c:v>2.0601280377881642E-2</c:v>
                </c:pt>
                <c:pt idx="46">
                  <c:v>2.1084423155491399E-2</c:v>
                </c:pt>
                <c:pt idx="47">
                  <c:v>2.1561211261548106E-2</c:v>
                </c:pt>
                <c:pt idx="48">
                  <c:v>2.2038064415685066E-2</c:v>
                </c:pt>
                <c:pt idx="49">
                  <c:v>2.2486491677432024E-2</c:v>
                </c:pt>
                <c:pt idx="50">
                  <c:v>2.2891049293576993E-2</c:v>
                </c:pt>
                <c:pt idx="51">
                  <c:v>2.3366557466819551E-2</c:v>
                </c:pt>
                <c:pt idx="52">
                  <c:v>2.0287635194417567E-2</c:v>
                </c:pt>
                <c:pt idx="53">
                  <c:v>2.0752051314595815E-2</c:v>
                </c:pt>
                <c:pt idx="54">
                  <c:v>2.1214957164977007E-2</c:v>
                </c:pt>
                <c:pt idx="55">
                  <c:v>2.1729397749506343E-2</c:v>
                </c:pt>
                <c:pt idx="56">
                  <c:v>2.2221303397792186E-2</c:v>
                </c:pt>
                <c:pt idx="57">
                  <c:v>2.2443291600428319E-2</c:v>
                </c:pt>
                <c:pt idx="58">
                  <c:v>2.279867095534702E-2</c:v>
                </c:pt>
                <c:pt idx="59">
                  <c:v>1.8404203207251099E-2</c:v>
                </c:pt>
                <c:pt idx="60">
                  <c:v>1.7630263224793517E-2</c:v>
                </c:pt>
                <c:pt idx="61">
                  <c:v>1.8018172000946509E-2</c:v>
                </c:pt>
                <c:pt idx="62">
                  <c:v>1.8297447553578521E-2</c:v>
                </c:pt>
                <c:pt idx="63">
                  <c:v>1.8297698289039439E-2</c:v>
                </c:pt>
                <c:pt idx="64">
                  <c:v>1.822065131725607E-2</c:v>
                </c:pt>
                <c:pt idx="65">
                  <c:v>1.822031663494689E-2</c:v>
                </c:pt>
                <c:pt idx="66">
                  <c:v>1.8692683318925485E-2</c:v>
                </c:pt>
                <c:pt idx="67">
                  <c:v>1.9159261261890281E-2</c:v>
                </c:pt>
                <c:pt idx="68">
                  <c:v>1.9087735107672071E-2</c:v>
                </c:pt>
                <c:pt idx="69">
                  <c:v>1.9150490518662522E-2</c:v>
                </c:pt>
                <c:pt idx="70">
                  <c:v>1.934829808240341E-2</c:v>
                </c:pt>
                <c:pt idx="71">
                  <c:v>1.9781649388902478E-2</c:v>
                </c:pt>
                <c:pt idx="72">
                  <c:v>1.9860328598369295E-2</c:v>
                </c:pt>
                <c:pt idx="73">
                  <c:v>2.0040076973428283E-2</c:v>
                </c:pt>
                <c:pt idx="74">
                  <c:v>2.0249075972933638E-2</c:v>
                </c:pt>
                <c:pt idx="75">
                  <c:v>2.0765223885962712E-2</c:v>
                </c:pt>
                <c:pt idx="76">
                  <c:v>1.895578222043922E-2</c:v>
                </c:pt>
                <c:pt idx="77">
                  <c:v>1.9091082050509151E-2</c:v>
                </c:pt>
                <c:pt idx="78">
                  <c:v>1.947950574832882E-2</c:v>
                </c:pt>
                <c:pt idx="79">
                  <c:v>1.6505792202605823E-2</c:v>
                </c:pt>
                <c:pt idx="80">
                  <c:v>1.6663375109575898E-2</c:v>
                </c:pt>
                <c:pt idx="81">
                  <c:v>1.5246818948032103E-2</c:v>
                </c:pt>
                <c:pt idx="82">
                  <c:v>1.5259290063268342E-2</c:v>
                </c:pt>
                <c:pt idx="83">
                  <c:v>1.4389548152823306E-2</c:v>
                </c:pt>
                <c:pt idx="84">
                  <c:v>1.4724161749267667E-2</c:v>
                </c:pt>
                <c:pt idx="85">
                  <c:v>1.4878945208773645E-2</c:v>
                </c:pt>
                <c:pt idx="86">
                  <c:v>1.507242196464993E-2</c:v>
                </c:pt>
                <c:pt idx="87">
                  <c:v>1.5215339438974121E-2</c:v>
                </c:pt>
                <c:pt idx="88">
                  <c:v>1.5488121301511377E-2</c:v>
                </c:pt>
                <c:pt idx="89">
                  <c:v>1.5139289839316152E-2</c:v>
                </c:pt>
                <c:pt idx="90">
                  <c:v>1.5348789940458421E-2</c:v>
                </c:pt>
                <c:pt idx="91">
                  <c:v>1.4993411814676789E-2</c:v>
                </c:pt>
                <c:pt idx="92">
                  <c:v>1.5145789803886638E-2</c:v>
                </c:pt>
                <c:pt idx="93">
                  <c:v>1.5351418759078446E-2</c:v>
                </c:pt>
                <c:pt idx="94">
                  <c:v>1.5719488853005066E-2</c:v>
                </c:pt>
                <c:pt idx="95">
                  <c:v>1.584261794315641E-2</c:v>
                </c:pt>
                <c:pt idx="96">
                  <c:v>1.5923318785605163E-2</c:v>
                </c:pt>
                <c:pt idx="97">
                  <c:v>1.61768966932463E-2</c:v>
                </c:pt>
                <c:pt idx="98">
                  <c:v>1.6596913764773479E-2</c:v>
                </c:pt>
                <c:pt idx="99">
                  <c:v>1.6463961264925525E-2</c:v>
                </c:pt>
                <c:pt idx="100">
                  <c:v>1.6877301468081377E-2</c:v>
                </c:pt>
                <c:pt idx="101">
                  <c:v>1.7289351088382358E-2</c:v>
                </c:pt>
                <c:pt idx="102">
                  <c:v>1.7721315173250228E-2</c:v>
                </c:pt>
                <c:pt idx="103">
                  <c:v>1.8174219388794422E-2</c:v>
                </c:pt>
                <c:pt idx="104">
                  <c:v>1.4982484712061879E-2</c:v>
                </c:pt>
                <c:pt idx="105">
                  <c:v>1.5325624865091906E-2</c:v>
                </c:pt>
                <c:pt idx="106">
                  <c:v>1.4172087149691117E-2</c:v>
                </c:pt>
                <c:pt idx="107">
                  <c:v>1.4414977151439806E-2</c:v>
                </c:pt>
                <c:pt idx="108">
                  <c:v>1.473200833683384E-2</c:v>
                </c:pt>
                <c:pt idx="109">
                  <c:v>1.4515119453182198E-2</c:v>
                </c:pt>
                <c:pt idx="110">
                  <c:v>1.4347359112985361E-2</c:v>
                </c:pt>
                <c:pt idx="111">
                  <c:v>1.471598139615218E-2</c:v>
                </c:pt>
                <c:pt idx="112">
                  <c:v>1.5082337230627617E-2</c:v>
                </c:pt>
                <c:pt idx="113">
                  <c:v>1.5471967707955283E-2</c:v>
                </c:pt>
                <c:pt idx="114">
                  <c:v>1.5018364277999118E-2</c:v>
                </c:pt>
                <c:pt idx="115">
                  <c:v>1.5269430055531727E-2</c:v>
                </c:pt>
                <c:pt idx="116">
                  <c:v>1.5516224797514936E-2</c:v>
                </c:pt>
                <c:pt idx="117">
                  <c:v>1.5917194433590749E-2</c:v>
                </c:pt>
                <c:pt idx="118">
                  <c:v>1.5610987615482699E-2</c:v>
                </c:pt>
                <c:pt idx="119">
                  <c:v>1.5768443452825822E-2</c:v>
                </c:pt>
                <c:pt idx="120">
                  <c:v>1.5548861904609128E-2</c:v>
                </c:pt>
                <c:pt idx="121">
                  <c:v>1.563723735755217E-2</c:v>
                </c:pt>
                <c:pt idx="122">
                  <c:v>1.6039830263180836E-2</c:v>
                </c:pt>
                <c:pt idx="123">
                  <c:v>1.57834816956944E-2</c:v>
                </c:pt>
                <c:pt idx="124">
                  <c:v>1.6154443385113969E-2</c:v>
                </c:pt>
                <c:pt idx="125">
                  <c:v>1.4701524785246993E-2</c:v>
                </c:pt>
                <c:pt idx="126">
                  <c:v>1.4184644736505199E-2</c:v>
                </c:pt>
                <c:pt idx="127">
                  <c:v>1.4544410927270757E-2</c:v>
                </c:pt>
                <c:pt idx="128">
                  <c:v>1.4853355653749839E-2</c:v>
                </c:pt>
                <c:pt idx="129">
                  <c:v>1.5215828234705126E-2</c:v>
                </c:pt>
                <c:pt idx="130">
                  <c:v>1.5089509156696509E-2</c:v>
                </c:pt>
                <c:pt idx="131">
                  <c:v>1.5035188191214254E-2</c:v>
                </c:pt>
                <c:pt idx="132">
                  <c:v>1.5385569379215737E-2</c:v>
                </c:pt>
                <c:pt idx="133">
                  <c:v>1.5757024296216129E-2</c:v>
                </c:pt>
                <c:pt idx="134">
                  <c:v>1.6092932165032828E-2</c:v>
                </c:pt>
                <c:pt idx="135">
                  <c:v>1.6312748358058102E-2</c:v>
                </c:pt>
                <c:pt idx="136">
                  <c:v>1.6305893302029927E-2</c:v>
                </c:pt>
                <c:pt idx="137">
                  <c:v>1.670300198915271E-2</c:v>
                </c:pt>
                <c:pt idx="138">
                  <c:v>1.6625771314304122E-2</c:v>
                </c:pt>
                <c:pt idx="139">
                  <c:v>1.6729396263879103E-2</c:v>
                </c:pt>
                <c:pt idx="140">
                  <c:v>1.70707899253092E-2</c:v>
                </c:pt>
                <c:pt idx="141">
                  <c:v>1.6864396106838663E-2</c:v>
                </c:pt>
                <c:pt idx="142">
                  <c:v>1.7071387447089449E-2</c:v>
                </c:pt>
                <c:pt idx="143">
                  <c:v>1.6997976029191612E-2</c:v>
                </c:pt>
                <c:pt idx="144">
                  <c:v>1.6772596705766297E-2</c:v>
                </c:pt>
                <c:pt idx="145">
                  <c:v>1.7191130517161833E-2</c:v>
                </c:pt>
                <c:pt idx="146">
                  <c:v>1.7162913649676786E-2</c:v>
                </c:pt>
                <c:pt idx="147">
                  <c:v>1.60183602880942E-2</c:v>
                </c:pt>
                <c:pt idx="148">
                  <c:v>1.6426399751419664E-2</c:v>
                </c:pt>
                <c:pt idx="149">
                  <c:v>1.6815877616668754E-2</c:v>
                </c:pt>
                <c:pt idx="150">
                  <c:v>1.5393323962608457E-2</c:v>
                </c:pt>
                <c:pt idx="151">
                  <c:v>1.496355330093539E-2</c:v>
                </c:pt>
                <c:pt idx="152">
                  <c:v>1.5350130485330368E-2</c:v>
                </c:pt>
                <c:pt idx="153">
                  <c:v>1.559213541348522E-2</c:v>
                </c:pt>
                <c:pt idx="154">
                  <c:v>1.5496187148969755E-2</c:v>
                </c:pt>
                <c:pt idx="155">
                  <c:v>1.5735776491831294E-2</c:v>
                </c:pt>
                <c:pt idx="156">
                  <c:v>1.5353754531443289E-2</c:v>
                </c:pt>
                <c:pt idx="157">
                  <c:v>1.5750640901836352E-2</c:v>
                </c:pt>
                <c:pt idx="158">
                  <c:v>1.5818215471676115E-2</c:v>
                </c:pt>
                <c:pt idx="159">
                  <c:v>1.6126203283804388E-2</c:v>
                </c:pt>
                <c:pt idx="160">
                  <c:v>1.5840285030568068E-2</c:v>
                </c:pt>
                <c:pt idx="161">
                  <c:v>1.6091859452749956E-2</c:v>
                </c:pt>
                <c:pt idx="162">
                  <c:v>1.6406403134882092E-2</c:v>
                </c:pt>
                <c:pt idx="163">
                  <c:v>1.6811616855191409E-2</c:v>
                </c:pt>
                <c:pt idx="164">
                  <c:v>1.6821455902906374E-2</c:v>
                </c:pt>
                <c:pt idx="165">
                  <c:v>1.72178275022557E-2</c:v>
                </c:pt>
                <c:pt idx="166">
                  <c:v>1.6046611643721651E-2</c:v>
                </c:pt>
                <c:pt idx="167">
                  <c:v>1.6258267204435569E-2</c:v>
                </c:pt>
                <c:pt idx="168">
                  <c:v>1.6147403062351569E-2</c:v>
                </c:pt>
                <c:pt idx="169">
                  <c:v>1.6563222351179192E-2</c:v>
                </c:pt>
                <c:pt idx="170">
                  <c:v>1.6268285148098159E-2</c:v>
                </c:pt>
                <c:pt idx="171">
                  <c:v>1.4803811891817165E-2</c:v>
                </c:pt>
                <c:pt idx="172">
                  <c:v>1.5179863563245008E-2</c:v>
                </c:pt>
                <c:pt idx="173">
                  <c:v>1.5376649286345164E-2</c:v>
                </c:pt>
                <c:pt idx="174">
                  <c:v>1.5294212515124889E-2</c:v>
                </c:pt>
                <c:pt idx="175">
                  <c:v>1.5596290574463453E-2</c:v>
                </c:pt>
                <c:pt idx="176">
                  <c:v>1.5878904902510371E-2</c:v>
                </c:pt>
                <c:pt idx="177">
                  <c:v>1.4317759425488377E-2</c:v>
                </c:pt>
                <c:pt idx="178">
                  <c:v>1.239222954687451E-2</c:v>
                </c:pt>
                <c:pt idx="179">
                  <c:v>1.255563856627215E-2</c:v>
                </c:pt>
                <c:pt idx="180">
                  <c:v>1.2836328966043292E-2</c:v>
                </c:pt>
                <c:pt idx="181">
                  <c:v>1.3160352419664685E-2</c:v>
                </c:pt>
                <c:pt idx="182">
                  <c:v>1.3312617990105472E-2</c:v>
                </c:pt>
                <c:pt idx="183">
                  <c:v>1.365743726288529E-2</c:v>
                </c:pt>
                <c:pt idx="184">
                  <c:v>1.3484757628736922E-2</c:v>
                </c:pt>
                <c:pt idx="185">
                  <c:v>1.3819160278058152E-2</c:v>
                </c:pt>
                <c:pt idx="186">
                  <c:v>1.3758319848283072E-2</c:v>
                </c:pt>
                <c:pt idx="187">
                  <c:v>1.407370967869344E-2</c:v>
                </c:pt>
                <c:pt idx="188">
                  <c:v>1.4285385073940457E-2</c:v>
                </c:pt>
                <c:pt idx="189">
                  <c:v>1.457860328493025E-2</c:v>
                </c:pt>
                <c:pt idx="190">
                  <c:v>1.4844096739606223E-2</c:v>
                </c:pt>
                <c:pt idx="191">
                  <c:v>1.5223987860697574E-2</c:v>
                </c:pt>
                <c:pt idx="192">
                  <c:v>1.4451723415119567E-2</c:v>
                </c:pt>
                <c:pt idx="193">
                  <c:v>1.4387653916639537E-2</c:v>
                </c:pt>
                <c:pt idx="194">
                  <c:v>1.4143410357324413E-2</c:v>
                </c:pt>
                <c:pt idx="195">
                  <c:v>1.4318506389862994E-2</c:v>
                </c:pt>
                <c:pt idx="196">
                  <c:v>1.4089730209439688E-2</c:v>
                </c:pt>
                <c:pt idx="197">
                  <c:v>1.4430921641740153E-2</c:v>
                </c:pt>
                <c:pt idx="198">
                  <c:v>1.4799766012331206E-2</c:v>
                </c:pt>
                <c:pt idx="199">
                  <c:v>1.5184003644595731E-2</c:v>
                </c:pt>
                <c:pt idx="200">
                  <c:v>1.5192960098928936E-2</c:v>
                </c:pt>
                <c:pt idx="201">
                  <c:v>1.5351328017740289E-2</c:v>
                </c:pt>
                <c:pt idx="202">
                  <c:v>1.5650623471606326E-2</c:v>
                </c:pt>
                <c:pt idx="203">
                  <c:v>1.5694875145538304E-2</c:v>
                </c:pt>
                <c:pt idx="204">
                  <c:v>1.591574673750748E-2</c:v>
                </c:pt>
                <c:pt idx="205">
                  <c:v>1.5894813350884617E-2</c:v>
                </c:pt>
                <c:pt idx="206">
                  <c:v>1.5470103085007928E-2</c:v>
                </c:pt>
                <c:pt idx="207">
                  <c:v>1.5139745569434057E-2</c:v>
                </c:pt>
                <c:pt idx="208">
                  <c:v>1.5304778308091344E-2</c:v>
                </c:pt>
                <c:pt idx="209">
                  <c:v>1.5700274195234443E-2</c:v>
                </c:pt>
                <c:pt idx="210">
                  <c:v>1.5890916505543404E-2</c:v>
                </c:pt>
                <c:pt idx="211">
                  <c:v>1.5992888903166021E-2</c:v>
                </c:pt>
                <c:pt idx="212">
                  <c:v>1.5852456391558165E-2</c:v>
                </c:pt>
                <c:pt idx="213">
                  <c:v>1.5959757001068452E-2</c:v>
                </c:pt>
                <c:pt idx="214">
                  <c:v>1.6355562730850579E-2</c:v>
                </c:pt>
                <c:pt idx="215">
                  <c:v>1.6762168976273192E-2</c:v>
                </c:pt>
                <c:pt idx="216">
                  <c:v>1.6937869088653759E-2</c:v>
                </c:pt>
                <c:pt idx="217">
                  <c:v>1.736006324548561E-2</c:v>
                </c:pt>
                <c:pt idx="218">
                  <c:v>1.6662414633224834E-2</c:v>
                </c:pt>
                <c:pt idx="219">
                  <c:v>1.6180756369556334E-2</c:v>
                </c:pt>
                <c:pt idx="220">
                  <c:v>1.6181844836805643E-2</c:v>
                </c:pt>
                <c:pt idx="221">
                  <c:v>1.5726075707138423E-2</c:v>
                </c:pt>
                <c:pt idx="222">
                  <c:v>1.5894182375464701E-2</c:v>
                </c:pt>
                <c:pt idx="223">
                  <c:v>1.6160947175858288E-2</c:v>
                </c:pt>
                <c:pt idx="224">
                  <c:v>1.5754496782051326E-2</c:v>
                </c:pt>
                <c:pt idx="225">
                  <c:v>1.6160093446913004E-2</c:v>
                </c:pt>
                <c:pt idx="226">
                  <c:v>1.6360511839946794E-2</c:v>
                </c:pt>
                <c:pt idx="227">
                  <c:v>1.5013571508199333E-2</c:v>
                </c:pt>
                <c:pt idx="228">
                  <c:v>1.5244651012584633E-2</c:v>
                </c:pt>
                <c:pt idx="229">
                  <c:v>1.3862354485590965E-2</c:v>
                </c:pt>
                <c:pt idx="230">
                  <c:v>1.4201357535262735E-2</c:v>
                </c:pt>
                <c:pt idx="231">
                  <c:v>1.3424070987720405E-2</c:v>
                </c:pt>
                <c:pt idx="232">
                  <c:v>1.3702471158480301E-2</c:v>
                </c:pt>
                <c:pt idx="233">
                  <c:v>1.379490650541939E-2</c:v>
                </c:pt>
                <c:pt idx="234">
                  <c:v>1.3699405337629039E-2</c:v>
                </c:pt>
                <c:pt idx="235">
                  <c:v>1.4033680873321932E-2</c:v>
                </c:pt>
                <c:pt idx="236">
                  <c:v>1.4397992607478059E-2</c:v>
                </c:pt>
                <c:pt idx="237">
                  <c:v>1.31888046137227E-2</c:v>
                </c:pt>
                <c:pt idx="238">
                  <c:v>1.3443444696231538E-2</c:v>
                </c:pt>
                <c:pt idx="239">
                  <c:v>1.371621352213067E-2</c:v>
                </c:pt>
                <c:pt idx="240">
                  <c:v>1.3119958382604331E-2</c:v>
                </c:pt>
                <c:pt idx="241">
                  <c:v>1.1801978706249754E-2</c:v>
                </c:pt>
                <c:pt idx="242">
                  <c:v>1.1697624658090544E-2</c:v>
                </c:pt>
                <c:pt idx="243">
                  <c:v>1.0781122580059343E-2</c:v>
                </c:pt>
                <c:pt idx="244">
                  <c:v>1.0496672436007905E-2</c:v>
                </c:pt>
                <c:pt idx="245">
                  <c:v>1.0471493948336798E-2</c:v>
                </c:pt>
                <c:pt idx="246">
                  <c:v>1.0574132851567903E-2</c:v>
                </c:pt>
                <c:pt idx="247">
                  <c:v>9.004022513825382E-3</c:v>
                </c:pt>
                <c:pt idx="248">
                  <c:v>9.2059178445591094E-3</c:v>
                </c:pt>
                <c:pt idx="249">
                  <c:v>3.4483440670685503E-3</c:v>
                </c:pt>
                <c:pt idx="250">
                  <c:v>7.4137453665500824E-4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35-4377-8128-307132A2E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549912"/>
        <c:axId val="442545208"/>
      </c:lineChart>
      <c:dateAx>
        <c:axId val="4425499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5208"/>
        <c:crosses val="autoZero"/>
        <c:auto val="1"/>
        <c:lblOffset val="100"/>
        <c:baseTimeUnit val="days"/>
      </c:dateAx>
      <c:valAx>
        <c:axId val="442545208"/>
        <c:scaling>
          <c:orientation val="minMax"/>
          <c:max val="0.15000000000000002"/>
          <c:min val="-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9912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C3" fmlaRange="$XEZ$7:$XEZ$12" noThreeD="1" sel="6" val="0"/>
</file>

<file path=xl/ctrlProps/ctrlProp2.xml><?xml version="1.0" encoding="utf-8"?>
<formControlPr xmlns="http://schemas.microsoft.com/office/spreadsheetml/2009/9/main" objectType="Drop" dropStyle="combo" dx="16" fmlaLink="C5" fmlaRange="$XEZ$8:$XEZ$13" noThreeD="1" sel="1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182216</xdr:colOff>
      <xdr:row>0</xdr:row>
      <xdr:rowOff>8283</xdr:rowOff>
    </xdr:from>
    <xdr:to>
      <xdr:col>14</xdr:col>
      <xdr:colOff>704021</xdr:colOff>
      <xdr:row>1</xdr:row>
      <xdr:rowOff>256761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39238" y="8283"/>
          <a:ext cx="5093805" cy="571500"/>
        </a:xfrm>
        <a:prstGeom prst="rect">
          <a:avLst/>
        </a:prstGeom>
        <a:solidFill>
          <a:sysClr val="window" lastClr="FFFFFF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Aqui vamos a tener</a:t>
          </a:r>
          <a:r>
            <a:rPr lang="es-MX" sz="1100" baseline="0"/>
            <a:t> en cuenta que vamos a descargar los registro historicos (cierre) de los precios de las acciones, en este caso seria de los ultimos 252 dias.</a:t>
          </a:r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461952</xdr:colOff>
      <xdr:row>6</xdr:row>
      <xdr:rowOff>0</xdr:rowOff>
    </xdr:from>
    <xdr:to>
      <xdr:col>18</xdr:col>
      <xdr:colOff>273616</xdr:colOff>
      <xdr:row>26</xdr:row>
      <xdr:rowOff>66178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1</xdr:row>
          <xdr:rowOff>161925</xdr:rowOff>
        </xdr:from>
        <xdr:to>
          <xdr:col>3</xdr:col>
          <xdr:colOff>361950</xdr:colOff>
          <xdr:row>3</xdr:row>
          <xdr:rowOff>28575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427351</xdr:colOff>
      <xdr:row>1</xdr:row>
      <xdr:rowOff>186756</xdr:rowOff>
    </xdr:from>
    <xdr:to>
      <xdr:col>13</xdr:col>
      <xdr:colOff>131879</xdr:colOff>
      <xdr:row>5</xdr:row>
      <xdr:rowOff>159244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545856" y="453812"/>
          <a:ext cx="2766771" cy="800362"/>
        </a:xfrm>
        <a:prstGeom prst="rect">
          <a:avLst/>
        </a:prstGeom>
        <a:solidFill>
          <a:sysClr val="window" lastClr="FFFFFF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La</a:t>
          </a:r>
          <a:r>
            <a:rPr lang="es-MX" sz="1100" baseline="0"/>
            <a:t> votabilidad historia es una de las utilizada en la practica por lo que en base a la teoria vista en la clase</a:t>
          </a:r>
          <a:endParaRPr lang="es-MX" sz="1100"/>
        </a:p>
      </xdr:txBody>
    </xdr:sp>
    <xdr:clientData/>
  </xdr:twoCellAnchor>
  <xdr:twoCellAnchor editAs="oneCell">
    <xdr:from>
      <xdr:col>5</xdr:col>
      <xdr:colOff>169274</xdr:colOff>
      <xdr:row>6</xdr:row>
      <xdr:rowOff>74878</xdr:rowOff>
    </xdr:from>
    <xdr:to>
      <xdr:col>6</xdr:col>
      <xdr:colOff>708690</xdr:colOff>
      <xdr:row>10</xdr:row>
      <xdr:rowOff>107965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2709" y="1405470"/>
          <a:ext cx="1579168" cy="78927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720184</xdr:colOff>
      <xdr:row>0</xdr:row>
      <xdr:rowOff>174238</xdr:rowOff>
    </xdr:from>
    <xdr:to>
      <xdr:col>17</xdr:col>
      <xdr:colOff>416537</xdr:colOff>
      <xdr:row>3</xdr:row>
      <xdr:rowOff>37429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894635" y="174238"/>
          <a:ext cx="2762939" cy="583374"/>
        </a:xfrm>
        <a:prstGeom prst="rect">
          <a:avLst/>
        </a:prstGeom>
        <a:solidFill>
          <a:sysClr val="window" lastClr="FFFFFF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Nuestro curso se especializa en el estudio del riesgo que el de rendimiento</a:t>
          </a:r>
        </a:p>
      </xdr:txBody>
    </xdr:sp>
    <xdr:clientData/>
  </xdr:twoCellAnchor>
  <xdr:twoCellAnchor>
    <xdr:from>
      <xdr:col>5</xdr:col>
      <xdr:colOff>392634</xdr:colOff>
      <xdr:row>3</xdr:row>
      <xdr:rowOff>7271</xdr:rowOff>
    </xdr:from>
    <xdr:to>
      <xdr:col>5</xdr:col>
      <xdr:colOff>958858</xdr:colOff>
      <xdr:row>6</xdr:row>
      <xdr:rowOff>74878</xdr:rowOff>
    </xdr:to>
    <xdr:cxnSp macro="">
      <xdr:nvCxnSpPr>
        <xdr:cNvPr id="7" name="Conector: angula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>
          <a:stCxn id="4" idx="0"/>
        </xdr:cNvCxnSpPr>
      </xdr:nvCxnSpPr>
      <xdr:spPr>
        <a:xfrm rot="16200000" flipV="1">
          <a:off x="4993631" y="786808"/>
          <a:ext cx="671100" cy="566224"/>
        </a:xfrm>
        <a:prstGeom prst="bentConnector3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</xdr:row>
      <xdr:rowOff>96124</xdr:rowOff>
    </xdr:from>
    <xdr:to>
      <xdr:col>13</xdr:col>
      <xdr:colOff>720184</xdr:colOff>
      <xdr:row>2</xdr:row>
      <xdr:rowOff>12364</xdr:rowOff>
    </xdr:to>
    <xdr:cxnSp macro="">
      <xdr:nvCxnSpPr>
        <xdr:cNvPr id="8" name="Conector: angul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endCxn id="5" idx="1"/>
        </xdr:cNvCxnSpPr>
      </xdr:nvCxnSpPr>
      <xdr:spPr>
        <a:xfrm>
          <a:off x="6471659" y="363180"/>
          <a:ext cx="5429273" cy="103179"/>
        </a:xfrm>
        <a:prstGeom prst="bentConnector3">
          <a:avLst>
            <a:gd name="adj1" fmla="val 30489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419993</xdr:colOff>
      <xdr:row>0</xdr:row>
      <xdr:rowOff>132281</xdr:rowOff>
    </xdr:from>
    <xdr:to>
      <xdr:col>26</xdr:col>
      <xdr:colOff>488804</xdr:colOff>
      <xdr:row>18</xdr:row>
      <xdr:rowOff>129899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60170</xdr:colOff>
          <xdr:row>4</xdr:row>
          <xdr:rowOff>16031</xdr:rowOff>
        </xdr:from>
        <xdr:to>
          <xdr:col>3</xdr:col>
          <xdr:colOff>757586</xdr:colOff>
          <xdr:row>5</xdr:row>
          <xdr:rowOff>68301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110174</xdr:colOff>
      <xdr:row>12</xdr:row>
      <xdr:rowOff>39134</xdr:rowOff>
    </xdr:from>
    <xdr:to>
      <xdr:col>9</xdr:col>
      <xdr:colOff>660784</xdr:colOff>
      <xdr:row>17</xdr:row>
      <xdr:rowOff>38204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CFEA1004-1D3F-4ECF-9BF7-209C70A73588}"/>
            </a:ext>
          </a:extLst>
        </xdr:cNvPr>
        <xdr:cNvSpPr txBox="1"/>
      </xdr:nvSpPr>
      <xdr:spPr>
        <a:xfrm>
          <a:off x="6055449" y="2823365"/>
          <a:ext cx="1796187" cy="982971"/>
        </a:xfrm>
        <a:prstGeom prst="rect">
          <a:avLst/>
        </a:prstGeom>
        <a:solidFill>
          <a:sysClr val="window" lastClr="FFFFFF"/>
        </a:solidFill>
        <a:ln w="2857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Como</a:t>
          </a:r>
          <a:r>
            <a:rPr lang="es-MX" sz="1100" baseline="0"/>
            <a:t> habiamos visto anteriormente tenemos 2 metodos para calcular la </a:t>
          </a:r>
          <a:r>
            <a:rPr lang="es-MX" sz="1100" b="1" i="1" baseline="0"/>
            <a:t>volatibilidad Dinamica</a:t>
          </a:r>
          <a:endParaRPr lang="es-MX" sz="1100" b="1" i="1"/>
        </a:p>
      </xdr:txBody>
    </xdr:sp>
    <xdr:clientData/>
  </xdr:twoCellAnchor>
  <xdr:twoCellAnchor editAs="oneCell">
    <xdr:from>
      <xdr:col>3</xdr:col>
      <xdr:colOff>617555</xdr:colOff>
      <xdr:row>7</xdr:row>
      <xdr:rowOff>62802</xdr:rowOff>
    </xdr:from>
    <xdr:to>
      <xdr:col>6</xdr:col>
      <xdr:colOff>230132</xdr:colOff>
      <xdr:row>9</xdr:row>
      <xdr:rowOff>167472</xdr:rowOff>
    </xdr:to>
    <xdr:pic>
      <xdr:nvPicPr>
        <xdr:cNvPr id="4" name="Imagen 3" descr="Descripción no disponible.">
          <a:extLst>
            <a:ext uri="{FF2B5EF4-FFF2-40B4-BE49-F238E27FC236}">
              <a16:creationId xmlns:a16="http://schemas.microsoft.com/office/drawing/2014/main" id="{113D57CB-4D2C-540F-5DF0-2FE502B97F6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7" t="35695" r="4505"/>
        <a:stretch/>
      </xdr:blipFill>
      <xdr:spPr bwMode="auto">
        <a:xfrm>
          <a:off x="3108709" y="1905000"/>
          <a:ext cx="2358634" cy="48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146538</xdr:colOff>
      <xdr:row>7</xdr:row>
      <xdr:rowOff>10466</xdr:rowOff>
    </xdr:from>
    <xdr:to>
      <xdr:col>12</xdr:col>
      <xdr:colOff>133350</xdr:colOff>
      <xdr:row>9</xdr:row>
      <xdr:rowOff>162867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6BE28FF-2B72-6AAC-26B2-D8495D63B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818" y="1852664"/>
          <a:ext cx="2184889" cy="5292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F3503F11-0B67-4894-A176-1E4063436E05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5" dT="2024-02-23T17:04:10.18" personId="{F3503F11-0B67-4894-A176-1E4063436E05}" id="{A30078E9-21E9-4E42-B745-035136C46E1F}">
    <text>Un valor arbitrario con el fin de establecer una cota como limite de la volatibilidad de nuestra grafica</text>
  </threadedComment>
  <threadedComment ref="C6" dT="2024-02-23T16:58:59.15" personId="{F3503F11-0B67-4894-A176-1E4063436E05}" id="{609038E3-4F0E-487A-A972-42D582E7FA61}">
    <text>El precio de cierre a esa fecha</text>
  </threadedComment>
  <threadedComment ref="D6" dT="2024-02-23T16:59:26.74" personId="{F3503F11-0B67-4894-A176-1E4063436E05}" id="{04CF0EE6-8B35-48FD-A999-512E6E6F9423}">
    <text>Hacemos uso del rendimiento clasico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5" dT="2024-02-21T00:33:15.68" personId="{F3503F11-0B67-4894-A176-1E4063436E05}" id="{D6AA230F-3427-4942-9B60-29A48DD4EC47}">
    <text>Recordemos como habiamos definido la volatilidad dinamica en nuestras clases</text>
  </threadedComment>
  <threadedComment ref="I5" dT="2024-02-28T21:46:40.69" personId="{F3503F11-0B67-4894-A176-1E4063436E05}" id="{A83F7CB1-1883-4F55-A789-047BA1C573D8}">
    <text xml:space="preserve">Pues bien hacer esta tabla es mucha trabajo y podemos realizarlo en una macro </text>
  </threadedComment>
  <threadedComment ref="B7" dT="2024-02-28T20:35:24.00" personId="{F3503F11-0B67-4894-A176-1E4063436E05}" id="{C4FF649D-8F1D-493E-AC84-BB01D657E3BD}">
    <text>Comunmente el valor lambda es de .95 (pero cuando los buscamos una optimizacion puede cambiar)</text>
  </threadedComment>
  <threadedComment ref="M12" dT="2024-02-21T00:50:02.61" personId="{F3503F11-0B67-4894-A176-1E4063436E05}" id="{775EFE14-628A-4E30-B777-08B7A4EE7C5A}">
    <text xml:space="preserve">Y esto es la raiz de la media de los errores cuadraticos que necesitamos que sea el minimo </text>
  </threadedComment>
  <threadedComment ref="B13" dT="2024-02-28T20:11:04.93" personId="{F3503F11-0B67-4894-A176-1E4063436E05}" id="{71CFFB88-C608-4E8A-8594-2888A07DDB5F}">
    <text>Indicamos de manera numerica la fecha</text>
  </threadedComment>
  <threadedComment ref="D13" dT="2024-02-28T20:36:39.70" personId="{F3503F11-0B67-4894-A176-1E4063436E05}" id="{8A35455B-2266-4DDE-9C32-A3040BA2929A}">
    <text>Hacemos uso del rendimiento clasico</text>
  </threadedComment>
  <threadedComment ref="F13" dT="2024-02-21T00:29:50.58" personId="{F3503F11-0B67-4894-A176-1E4063436E05}" id="{77182931-AA6F-4FFA-9D21-44F429DDF435}">
    <text>Son los ponderadores del decaimento de los rendimientos</text>
  </threadedComment>
  <threadedComment ref="M13" dT="2024-02-21T00:48:41.32" personId="{F3503F11-0B67-4894-A176-1E4063436E05}" id="{BC561886-FB67-44A3-85C2-8F5E47AAE5B8}">
    <text>La diferencia que tenemos entre nuestra estimacion y los rendimientos al cuadrado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XER257"/>
  <sheetViews>
    <sheetView zoomScale="93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4" sqref="K14"/>
    </sheetView>
  </sheetViews>
  <sheetFormatPr baseColWidth="10" defaultColWidth="11.42578125" defaultRowHeight="15" x14ac:dyDescent="0.25"/>
  <cols>
    <col min="1" max="1" width="4.42578125" bestFit="1" customWidth="1"/>
    <col min="2" max="2" width="11.85546875" bestFit="1" customWidth="1"/>
  </cols>
  <sheetData>
    <row r="1" spans="1:15 16372:16372" ht="25.9" customHeight="1" x14ac:dyDescent="0.3">
      <c r="C1" s="52" t="s">
        <v>29</v>
      </c>
      <c r="D1" s="53"/>
      <c r="E1" s="53"/>
      <c r="F1" s="53"/>
      <c r="G1" s="53"/>
      <c r="H1" s="54"/>
    </row>
    <row r="2" spans="1:15 16372:16372" s="31" customFormat="1" ht="25.9" customHeight="1" x14ac:dyDescent="0.25">
      <c r="A2" s="15" t="s">
        <v>25</v>
      </c>
      <c r="B2" s="15" t="s">
        <v>26</v>
      </c>
      <c r="C2" s="15" t="s">
        <v>33</v>
      </c>
      <c r="D2" s="15" t="s">
        <v>34</v>
      </c>
      <c r="E2" s="15" t="s">
        <v>27</v>
      </c>
      <c r="F2" s="15" t="s">
        <v>35</v>
      </c>
      <c r="G2" s="15" t="s">
        <v>36</v>
      </c>
      <c r="H2" s="15" t="s">
        <v>37</v>
      </c>
    </row>
    <row r="3" spans="1:15 16372:16372" x14ac:dyDescent="0.25">
      <c r="A3" s="26">
        <v>0</v>
      </c>
      <c r="B3" s="4">
        <v>45322</v>
      </c>
      <c r="C3" s="6">
        <v>57.06</v>
      </c>
      <c r="D3" s="6">
        <v>40.409999999999997</v>
      </c>
      <c r="E3" s="6">
        <v>14.3</v>
      </c>
      <c r="F3" s="6">
        <v>226.34</v>
      </c>
      <c r="G3" s="6">
        <v>13.76</v>
      </c>
      <c r="H3" s="6">
        <v>267.95</v>
      </c>
      <c r="I3" s="30"/>
    </row>
    <row r="4" spans="1:15 16372:16372" x14ac:dyDescent="0.25">
      <c r="A4" s="26">
        <f>+A3+1</f>
        <v>1</v>
      </c>
      <c r="B4" s="1">
        <v>45321</v>
      </c>
      <c r="C4" s="3">
        <v>57.19</v>
      </c>
      <c r="D4" s="3">
        <v>40.630000000000003</v>
      </c>
      <c r="E4" s="3">
        <v>14.38</v>
      </c>
      <c r="F4" s="3">
        <v>232.22</v>
      </c>
      <c r="G4" s="3">
        <v>13.88</v>
      </c>
      <c r="H4" s="3">
        <v>271.60000000000002</v>
      </c>
      <c r="J4" s="30"/>
      <c r="K4" s="29"/>
      <c r="L4" s="30"/>
      <c r="M4" s="30"/>
      <c r="N4" s="30"/>
      <c r="O4" s="30"/>
      <c r="XER4" s="16"/>
    </row>
    <row r="5" spans="1:15 16372:16372" x14ac:dyDescent="0.25">
      <c r="A5" s="26">
        <f t="shared" ref="A5:A68" si="0">+A4+1</f>
        <v>2</v>
      </c>
      <c r="B5" s="1">
        <v>45320</v>
      </c>
      <c r="C5" s="3">
        <v>56.84</v>
      </c>
      <c r="D5" s="3">
        <v>40.69</v>
      </c>
      <c r="E5" s="3">
        <v>14.29</v>
      </c>
      <c r="F5" s="3">
        <v>238.66</v>
      </c>
      <c r="G5" s="3">
        <v>14.34</v>
      </c>
      <c r="H5" s="3">
        <v>275.64</v>
      </c>
      <c r="J5" s="30"/>
      <c r="K5" s="29"/>
      <c r="L5" s="30"/>
      <c r="M5" s="30"/>
      <c r="N5" s="30"/>
      <c r="O5" s="30"/>
      <c r="XER5" s="16"/>
    </row>
    <row r="6" spans="1:15 16372:16372" x14ac:dyDescent="0.25">
      <c r="A6" s="26">
        <f t="shared" si="0"/>
        <v>3</v>
      </c>
      <c r="B6" s="1">
        <v>45317</v>
      </c>
      <c r="C6" s="3">
        <v>56.53</v>
      </c>
      <c r="D6" s="3">
        <v>40.61</v>
      </c>
      <c r="E6" s="3">
        <v>14.15</v>
      </c>
      <c r="F6" s="3">
        <v>222.6</v>
      </c>
      <c r="G6" s="3">
        <v>13.99</v>
      </c>
      <c r="H6" s="3">
        <v>272.35000000000002</v>
      </c>
      <c r="J6" s="30"/>
      <c r="K6" s="29"/>
      <c r="XER6" s="16"/>
    </row>
    <row r="7" spans="1:15 16372:16372" x14ac:dyDescent="0.25">
      <c r="A7" s="26">
        <f t="shared" si="0"/>
        <v>4</v>
      </c>
      <c r="B7" s="1">
        <v>45316</v>
      </c>
      <c r="C7" s="3">
        <v>55.95</v>
      </c>
      <c r="D7" s="3">
        <v>41.17</v>
      </c>
      <c r="E7" s="3">
        <v>13.99</v>
      </c>
      <c r="F7" s="3">
        <v>220.21</v>
      </c>
      <c r="G7" s="3">
        <v>14.18</v>
      </c>
      <c r="H7" s="3">
        <v>266.27999999999997</v>
      </c>
      <c r="J7" s="30"/>
      <c r="K7" s="29"/>
      <c r="XER7" s="16"/>
    </row>
    <row r="8" spans="1:15 16372:16372" x14ac:dyDescent="0.25">
      <c r="A8" s="26">
        <f t="shared" si="0"/>
        <v>5</v>
      </c>
      <c r="B8" s="1">
        <v>45315</v>
      </c>
      <c r="C8" s="3">
        <v>55.13</v>
      </c>
      <c r="D8" s="3">
        <v>39.96</v>
      </c>
      <c r="E8" s="3">
        <v>13.34</v>
      </c>
      <c r="F8" s="3">
        <v>221.86</v>
      </c>
      <c r="G8" s="3">
        <v>14.44</v>
      </c>
      <c r="H8" s="3">
        <v>259.45999999999998</v>
      </c>
      <c r="J8" s="30"/>
      <c r="K8" s="29"/>
      <c r="XER8" s="16"/>
    </row>
    <row r="9" spans="1:15 16372:16372" x14ac:dyDescent="0.25">
      <c r="A9" s="26">
        <f t="shared" si="0"/>
        <v>6</v>
      </c>
      <c r="B9" s="1">
        <v>45314</v>
      </c>
      <c r="C9" s="3">
        <v>55.31</v>
      </c>
      <c r="D9" s="3">
        <v>39.81</v>
      </c>
      <c r="E9" s="3">
        <v>13.06</v>
      </c>
      <c r="F9" s="3">
        <v>211.48</v>
      </c>
      <c r="G9" s="3">
        <v>14.25</v>
      </c>
      <c r="H9" s="3">
        <v>260.60000000000002</v>
      </c>
      <c r="J9" s="30"/>
      <c r="K9" s="29"/>
      <c r="XER9" s="16"/>
    </row>
    <row r="10" spans="1:15 16372:16372" x14ac:dyDescent="0.25">
      <c r="A10" s="26">
        <f t="shared" si="0"/>
        <v>7</v>
      </c>
      <c r="B10" s="1">
        <v>45313</v>
      </c>
      <c r="C10" s="3">
        <v>54.46</v>
      </c>
      <c r="D10" s="3">
        <v>39.68</v>
      </c>
      <c r="E10" s="3">
        <v>12.81</v>
      </c>
      <c r="F10" s="3">
        <v>207.74</v>
      </c>
      <c r="G10" s="3">
        <v>13.91</v>
      </c>
      <c r="H10" s="3">
        <v>252.88</v>
      </c>
      <c r="J10" s="30"/>
      <c r="K10" s="29"/>
    </row>
    <row r="11" spans="1:15 16372:16372" x14ac:dyDescent="0.25">
      <c r="A11" s="26">
        <f t="shared" si="0"/>
        <v>8</v>
      </c>
      <c r="B11" s="1">
        <v>45310</v>
      </c>
      <c r="C11" s="3">
        <v>55.17</v>
      </c>
      <c r="D11" s="3">
        <v>40.06</v>
      </c>
      <c r="E11" s="3">
        <v>12.82</v>
      </c>
      <c r="F11" s="3">
        <v>211.82</v>
      </c>
      <c r="G11" s="3">
        <v>14.23</v>
      </c>
      <c r="H11" s="3">
        <v>265.58</v>
      </c>
      <c r="J11" s="30"/>
      <c r="K11" s="29"/>
    </row>
    <row r="12" spans="1:15 16372:16372" x14ac:dyDescent="0.25">
      <c r="A12" s="26">
        <f t="shared" si="0"/>
        <v>9</v>
      </c>
      <c r="B12" s="1">
        <v>45309</v>
      </c>
      <c r="C12" s="3">
        <v>54.41</v>
      </c>
      <c r="D12" s="3">
        <v>39.94</v>
      </c>
      <c r="E12" s="3">
        <v>12.74</v>
      </c>
      <c r="F12" s="3">
        <v>208.59</v>
      </c>
      <c r="G12" s="3">
        <v>14.11</v>
      </c>
      <c r="H12" s="3">
        <v>260.83999999999997</v>
      </c>
      <c r="J12" s="30"/>
      <c r="K12" s="29"/>
    </row>
    <row r="13" spans="1:15 16372:16372" x14ac:dyDescent="0.25">
      <c r="A13" s="26">
        <f t="shared" si="0"/>
        <v>10</v>
      </c>
      <c r="B13" s="1">
        <v>45308</v>
      </c>
      <c r="C13" s="3">
        <v>54.47</v>
      </c>
      <c r="D13" s="3">
        <v>37.049999999999997</v>
      </c>
      <c r="E13" s="3">
        <v>12.85</v>
      </c>
      <c r="F13" s="3">
        <v>208.1</v>
      </c>
      <c r="G13" s="3">
        <v>13.42</v>
      </c>
      <c r="H13" s="3">
        <v>259.64</v>
      </c>
      <c r="J13" s="30"/>
      <c r="K13" s="29"/>
    </row>
    <row r="14" spans="1:15 16372:16372" x14ac:dyDescent="0.25">
      <c r="A14" s="26">
        <f t="shared" si="0"/>
        <v>11</v>
      </c>
      <c r="B14" s="1">
        <v>45307</v>
      </c>
      <c r="C14" s="3">
        <v>54.83</v>
      </c>
      <c r="D14" s="3">
        <v>39.56</v>
      </c>
      <c r="E14" s="3">
        <v>12.8</v>
      </c>
      <c r="F14" s="3">
        <v>216.52</v>
      </c>
      <c r="G14" s="3">
        <v>14.11</v>
      </c>
      <c r="H14" s="3">
        <v>260.95999999999998</v>
      </c>
      <c r="J14" s="30"/>
      <c r="K14" s="29"/>
    </row>
    <row r="15" spans="1:15 16372:16372" x14ac:dyDescent="0.25">
      <c r="A15" s="26">
        <f t="shared" si="0"/>
        <v>12</v>
      </c>
      <c r="B15" s="1">
        <v>45306</v>
      </c>
      <c r="C15" s="3">
        <v>55.27</v>
      </c>
      <c r="D15" s="3">
        <v>40.700000000000003</v>
      </c>
      <c r="E15" s="3">
        <v>13.06</v>
      </c>
      <c r="F15" s="3">
        <v>223.29</v>
      </c>
      <c r="G15" s="3">
        <v>14.48</v>
      </c>
      <c r="H15" s="3">
        <v>270.07</v>
      </c>
      <c r="J15" s="30"/>
      <c r="K15" s="29"/>
    </row>
    <row r="16" spans="1:15 16372:16372" x14ac:dyDescent="0.25">
      <c r="A16" s="26">
        <f t="shared" si="0"/>
        <v>13</v>
      </c>
      <c r="B16" s="1">
        <v>45303</v>
      </c>
      <c r="C16" s="3">
        <v>55.33</v>
      </c>
      <c r="D16" s="3">
        <v>39.85</v>
      </c>
      <c r="E16" s="3">
        <v>13.22</v>
      </c>
      <c r="F16" s="3">
        <v>225.13</v>
      </c>
      <c r="G16" s="3">
        <v>14.34</v>
      </c>
      <c r="H16" s="3">
        <v>268.05</v>
      </c>
      <c r="J16" s="30"/>
      <c r="K16" s="29"/>
    </row>
    <row r="17" spans="1:11" x14ac:dyDescent="0.25">
      <c r="A17" s="26">
        <f t="shared" si="0"/>
        <v>14</v>
      </c>
      <c r="B17" s="1">
        <v>45302</v>
      </c>
      <c r="C17" s="3">
        <v>55.17</v>
      </c>
      <c r="D17" s="3">
        <v>41.36</v>
      </c>
      <c r="E17" s="3">
        <v>13.22</v>
      </c>
      <c r="F17" s="3">
        <v>226.15</v>
      </c>
      <c r="G17" s="3">
        <v>14.87</v>
      </c>
      <c r="H17" s="3">
        <v>272.22000000000003</v>
      </c>
      <c r="J17" s="30"/>
      <c r="K17" s="29"/>
    </row>
    <row r="18" spans="1:11" x14ac:dyDescent="0.25">
      <c r="A18" s="26">
        <f t="shared" si="0"/>
        <v>15</v>
      </c>
      <c r="B18" s="1">
        <v>45301</v>
      </c>
      <c r="C18" s="3">
        <v>55.03</v>
      </c>
      <c r="D18" s="3">
        <v>40.770000000000003</v>
      </c>
      <c r="E18" s="3">
        <v>13.32</v>
      </c>
      <c r="F18" s="3">
        <v>228.28</v>
      </c>
      <c r="G18" s="3">
        <v>14.68</v>
      </c>
      <c r="H18" s="3">
        <v>275.17</v>
      </c>
      <c r="J18" s="30"/>
      <c r="K18" s="29"/>
    </row>
    <row r="19" spans="1:11" x14ac:dyDescent="0.25">
      <c r="A19" s="26">
        <f t="shared" si="0"/>
        <v>16</v>
      </c>
      <c r="B19" s="1">
        <v>45300</v>
      </c>
      <c r="C19" s="3">
        <v>54.84</v>
      </c>
      <c r="D19" s="3">
        <v>41.04</v>
      </c>
      <c r="E19" s="3">
        <v>13.21</v>
      </c>
      <c r="F19" s="3">
        <v>229.7</v>
      </c>
      <c r="G19" s="3">
        <v>14.74</v>
      </c>
      <c r="H19" s="3">
        <v>273.20999999999998</v>
      </c>
      <c r="J19" s="30"/>
      <c r="K19" s="29"/>
    </row>
    <row r="20" spans="1:11" x14ac:dyDescent="0.25">
      <c r="A20" s="26">
        <f t="shared" si="0"/>
        <v>17</v>
      </c>
      <c r="B20" s="1">
        <v>45299</v>
      </c>
      <c r="C20" s="3">
        <v>55.88</v>
      </c>
      <c r="D20" s="3">
        <v>41.72</v>
      </c>
      <c r="E20" s="3">
        <v>13.08</v>
      </c>
      <c r="F20" s="3">
        <v>236.46</v>
      </c>
      <c r="G20" s="3">
        <v>15.34</v>
      </c>
      <c r="H20" s="3">
        <v>288.35000000000002</v>
      </c>
      <c r="J20" s="30"/>
      <c r="K20" s="29"/>
    </row>
    <row r="21" spans="1:11" x14ac:dyDescent="0.25">
      <c r="A21" s="26">
        <f t="shared" si="0"/>
        <v>18</v>
      </c>
      <c r="B21" s="1">
        <v>45296</v>
      </c>
      <c r="C21" s="3">
        <v>55.93</v>
      </c>
      <c r="D21" s="3">
        <v>42.7</v>
      </c>
      <c r="E21" s="3">
        <v>13</v>
      </c>
      <c r="F21" s="3">
        <v>229.74</v>
      </c>
      <c r="G21" s="3">
        <v>14.85</v>
      </c>
      <c r="H21" s="3">
        <v>284.52</v>
      </c>
      <c r="J21" s="30"/>
      <c r="K21" s="29"/>
    </row>
    <row r="22" spans="1:11" x14ac:dyDescent="0.25">
      <c r="A22" s="26">
        <f t="shared" si="0"/>
        <v>19</v>
      </c>
      <c r="B22" s="1">
        <v>45295</v>
      </c>
      <c r="C22" s="3">
        <v>55.12</v>
      </c>
      <c r="D22" s="3">
        <v>41.19</v>
      </c>
      <c r="E22" s="3">
        <v>12.67</v>
      </c>
      <c r="F22" s="3">
        <v>230.13</v>
      </c>
      <c r="G22" s="3">
        <v>14.8</v>
      </c>
      <c r="H22" s="3">
        <v>284.60000000000002</v>
      </c>
      <c r="J22" s="30"/>
      <c r="K22" s="29"/>
    </row>
    <row r="23" spans="1:11" x14ac:dyDescent="0.25">
      <c r="A23" s="26">
        <f t="shared" si="0"/>
        <v>20</v>
      </c>
      <c r="B23" s="1">
        <v>45294</v>
      </c>
      <c r="C23" s="3">
        <v>55.45</v>
      </c>
      <c r="D23" s="3">
        <v>41.65</v>
      </c>
      <c r="E23" s="3">
        <v>12.68</v>
      </c>
      <c r="F23" s="3">
        <v>234.88</v>
      </c>
      <c r="G23" s="3">
        <v>15.16</v>
      </c>
      <c r="H23" s="3">
        <v>284.82</v>
      </c>
      <c r="J23" s="30"/>
      <c r="K23" s="29"/>
    </row>
    <row r="24" spans="1:11" x14ac:dyDescent="0.25">
      <c r="A24" s="26">
        <f t="shared" si="0"/>
        <v>21</v>
      </c>
      <c r="B24" s="1">
        <v>45293</v>
      </c>
      <c r="C24" s="3">
        <v>56.69</v>
      </c>
      <c r="D24" s="3">
        <v>43.19</v>
      </c>
      <c r="E24" s="3">
        <v>13</v>
      </c>
      <c r="F24" s="3">
        <v>248.17</v>
      </c>
      <c r="G24" s="3">
        <v>15.33</v>
      </c>
      <c r="H24" s="3">
        <v>292.04000000000002</v>
      </c>
      <c r="J24" s="30"/>
      <c r="K24" s="29"/>
    </row>
    <row r="25" spans="1:11" x14ac:dyDescent="0.25">
      <c r="A25" s="26">
        <f t="shared" si="0"/>
        <v>22</v>
      </c>
      <c r="B25" s="1">
        <v>45289</v>
      </c>
      <c r="C25" s="3">
        <v>57.12</v>
      </c>
      <c r="D25" s="3">
        <v>43.7</v>
      </c>
      <c r="E25" s="3">
        <v>13.22</v>
      </c>
      <c r="F25" s="3">
        <v>248.24</v>
      </c>
      <c r="G25" s="3">
        <v>16</v>
      </c>
      <c r="H25" s="3">
        <v>296.43</v>
      </c>
      <c r="J25" s="30"/>
    </row>
    <row r="26" spans="1:11" x14ac:dyDescent="0.25">
      <c r="A26" s="26">
        <f t="shared" si="0"/>
        <v>23</v>
      </c>
      <c r="B26" s="1">
        <v>45288</v>
      </c>
      <c r="C26" s="3">
        <v>57.2</v>
      </c>
      <c r="D26" s="3">
        <v>43.44</v>
      </c>
      <c r="E26" s="3">
        <v>13.42</v>
      </c>
      <c r="F26" s="3">
        <v>251.85</v>
      </c>
      <c r="G26" s="3">
        <v>16.149999999999999</v>
      </c>
      <c r="H26" s="3">
        <v>296.92</v>
      </c>
      <c r="J26" s="30"/>
    </row>
    <row r="27" spans="1:11" x14ac:dyDescent="0.25">
      <c r="A27" s="26">
        <f t="shared" si="0"/>
        <v>24</v>
      </c>
      <c r="B27" s="1">
        <v>45287</v>
      </c>
      <c r="C27" s="3">
        <v>57.34</v>
      </c>
      <c r="D27" s="3">
        <v>42.96</v>
      </c>
      <c r="E27" s="3">
        <v>13.76</v>
      </c>
      <c r="F27" s="3">
        <v>252.71</v>
      </c>
      <c r="G27" s="3">
        <v>16.2</v>
      </c>
      <c r="H27" s="3">
        <v>298.91000000000003</v>
      </c>
      <c r="J27" s="30"/>
    </row>
    <row r="28" spans="1:11" x14ac:dyDescent="0.25">
      <c r="A28" s="26">
        <f t="shared" si="0"/>
        <v>25</v>
      </c>
      <c r="B28" s="1">
        <v>45286</v>
      </c>
      <c r="C28" s="3">
        <v>57.73</v>
      </c>
      <c r="D28" s="3">
        <v>43.05</v>
      </c>
      <c r="E28" s="3">
        <v>13.79</v>
      </c>
      <c r="F28" s="3">
        <v>248.2</v>
      </c>
      <c r="G28" s="3">
        <v>15.8</v>
      </c>
      <c r="H28" s="3">
        <v>300.79000000000002</v>
      </c>
      <c r="J28" s="30"/>
    </row>
    <row r="29" spans="1:11" x14ac:dyDescent="0.25">
      <c r="A29" s="26">
        <f t="shared" si="0"/>
        <v>26</v>
      </c>
      <c r="B29" s="1">
        <v>45282</v>
      </c>
      <c r="C29" s="3">
        <v>57.3</v>
      </c>
      <c r="D29" s="3">
        <v>42.69</v>
      </c>
      <c r="E29" s="3">
        <v>13.92</v>
      </c>
      <c r="F29" s="3">
        <v>247.29</v>
      </c>
      <c r="G29" s="3">
        <v>16.07</v>
      </c>
      <c r="H29" s="3">
        <v>301.29000000000002</v>
      </c>
      <c r="J29" s="30"/>
    </row>
    <row r="30" spans="1:11" x14ac:dyDescent="0.25">
      <c r="A30" s="26">
        <f t="shared" si="0"/>
        <v>27</v>
      </c>
      <c r="B30" s="1">
        <v>45281</v>
      </c>
      <c r="C30" s="3">
        <v>57.47</v>
      </c>
      <c r="D30" s="3">
        <v>41.83</v>
      </c>
      <c r="E30" s="3">
        <v>13.75</v>
      </c>
      <c r="F30" s="3">
        <v>243.19</v>
      </c>
      <c r="G30" s="3">
        <v>15.78</v>
      </c>
      <c r="H30" s="3">
        <v>299.24</v>
      </c>
      <c r="J30" s="30"/>
    </row>
    <row r="31" spans="1:11" x14ac:dyDescent="0.25">
      <c r="A31" s="26">
        <f t="shared" si="0"/>
        <v>28</v>
      </c>
      <c r="B31" s="1">
        <v>45280</v>
      </c>
      <c r="C31" s="3">
        <v>56.93</v>
      </c>
      <c r="D31" s="3">
        <v>42.31</v>
      </c>
      <c r="E31" s="3">
        <v>13.45</v>
      </c>
      <c r="F31" s="3">
        <v>242.13</v>
      </c>
      <c r="G31" s="3">
        <v>15.42</v>
      </c>
      <c r="H31" s="3">
        <v>301.3</v>
      </c>
    </row>
    <row r="32" spans="1:11" x14ac:dyDescent="0.25">
      <c r="A32" s="26">
        <f t="shared" si="0"/>
        <v>29</v>
      </c>
      <c r="B32" s="1">
        <v>45279</v>
      </c>
      <c r="C32" s="3">
        <v>57.69</v>
      </c>
      <c r="D32" s="3">
        <v>40.9</v>
      </c>
      <c r="E32" s="3">
        <v>13.6</v>
      </c>
      <c r="F32" s="3">
        <v>247.3</v>
      </c>
      <c r="G32" s="3">
        <v>15.94</v>
      </c>
      <c r="H32" s="3">
        <v>304.87</v>
      </c>
    </row>
    <row r="33" spans="1:8" x14ac:dyDescent="0.25">
      <c r="A33" s="26">
        <f t="shared" si="0"/>
        <v>30</v>
      </c>
      <c r="B33" s="1">
        <v>45278</v>
      </c>
      <c r="C33" s="3">
        <v>57.75</v>
      </c>
      <c r="D33" s="3">
        <v>38.869999999999997</v>
      </c>
      <c r="E33" s="3">
        <v>13.59</v>
      </c>
      <c r="F33" s="3">
        <v>253.94</v>
      </c>
      <c r="G33" s="3">
        <v>15.9</v>
      </c>
      <c r="H33" s="3">
        <v>308.32</v>
      </c>
    </row>
    <row r="34" spans="1:8" x14ac:dyDescent="0.25">
      <c r="A34" s="26">
        <f t="shared" si="0"/>
        <v>31</v>
      </c>
      <c r="B34" s="1">
        <v>45275</v>
      </c>
      <c r="C34" s="3">
        <v>57.14</v>
      </c>
      <c r="D34" s="3">
        <v>38.15</v>
      </c>
      <c r="E34" s="3">
        <v>13.52</v>
      </c>
      <c r="F34" s="3">
        <v>264.06</v>
      </c>
      <c r="G34" s="3">
        <v>15.94</v>
      </c>
      <c r="H34" s="3">
        <v>306.52</v>
      </c>
    </row>
    <row r="35" spans="1:8" x14ac:dyDescent="0.25">
      <c r="A35" s="26">
        <f t="shared" si="0"/>
        <v>32</v>
      </c>
      <c r="B35" s="1">
        <v>45274</v>
      </c>
      <c r="C35" s="3">
        <v>57</v>
      </c>
      <c r="D35" s="3">
        <v>38.71</v>
      </c>
      <c r="E35" s="3">
        <v>13.54</v>
      </c>
      <c r="F35" s="3">
        <v>262.12</v>
      </c>
      <c r="G35" s="3">
        <v>16.100000000000001</v>
      </c>
      <c r="H35" s="3">
        <v>297.45</v>
      </c>
    </row>
    <row r="36" spans="1:8" x14ac:dyDescent="0.25">
      <c r="A36" s="26">
        <f t="shared" si="0"/>
        <v>33</v>
      </c>
      <c r="B36" s="1">
        <v>45273</v>
      </c>
      <c r="C36" s="3">
        <v>55.16</v>
      </c>
      <c r="D36" s="3">
        <v>37.31</v>
      </c>
      <c r="E36" s="3">
        <v>12.89</v>
      </c>
      <c r="F36" s="3">
        <v>257.52999999999997</v>
      </c>
      <c r="G36" s="3">
        <v>14.76</v>
      </c>
      <c r="H36" s="3">
        <v>253.8</v>
      </c>
    </row>
    <row r="37" spans="1:8" x14ac:dyDescent="0.25">
      <c r="A37" s="26">
        <f t="shared" si="0"/>
        <v>34</v>
      </c>
      <c r="B37" s="1">
        <v>45271</v>
      </c>
      <c r="C37" s="3">
        <v>54.45</v>
      </c>
      <c r="D37" s="3">
        <v>37.4</v>
      </c>
      <c r="E37" s="3">
        <v>12.44</v>
      </c>
      <c r="F37" s="3">
        <v>258.95999999999998</v>
      </c>
      <c r="G37" s="3">
        <v>14.23</v>
      </c>
      <c r="H37" s="3">
        <v>250.22</v>
      </c>
    </row>
    <row r="38" spans="1:8" x14ac:dyDescent="0.25">
      <c r="A38" s="26">
        <f t="shared" si="0"/>
        <v>35</v>
      </c>
      <c r="B38" s="1">
        <v>45268</v>
      </c>
      <c r="C38" s="3">
        <v>54.39</v>
      </c>
      <c r="D38" s="3">
        <v>37.46</v>
      </c>
      <c r="E38" s="3">
        <v>12.33</v>
      </c>
      <c r="F38" s="3">
        <v>256.47000000000003</v>
      </c>
      <c r="G38" s="3">
        <v>14.56</v>
      </c>
      <c r="H38" s="3">
        <v>256.04000000000002</v>
      </c>
    </row>
    <row r="39" spans="1:8" x14ac:dyDescent="0.25">
      <c r="A39" s="26">
        <f t="shared" si="0"/>
        <v>36</v>
      </c>
      <c r="B39" s="1">
        <v>45267</v>
      </c>
      <c r="C39" s="3">
        <v>54.42</v>
      </c>
      <c r="D39" s="3">
        <v>37.72</v>
      </c>
      <c r="E39" s="3">
        <v>12.23</v>
      </c>
      <c r="F39" s="3">
        <v>259.31</v>
      </c>
      <c r="G39" s="3">
        <v>14.73</v>
      </c>
      <c r="H39" s="3">
        <v>260.91000000000003</v>
      </c>
    </row>
    <row r="40" spans="1:8" x14ac:dyDescent="0.25">
      <c r="A40" s="26">
        <f t="shared" si="0"/>
        <v>37</v>
      </c>
      <c r="B40" s="1">
        <v>45266</v>
      </c>
      <c r="C40" s="3">
        <v>54.05</v>
      </c>
      <c r="D40" s="3">
        <v>37.56</v>
      </c>
      <c r="E40" s="3">
        <v>12.14</v>
      </c>
      <c r="F40" s="3">
        <v>260.77</v>
      </c>
      <c r="G40" s="3">
        <v>14.94</v>
      </c>
      <c r="H40" s="3">
        <v>260.94</v>
      </c>
    </row>
    <row r="41" spans="1:8" x14ac:dyDescent="0.25">
      <c r="A41" s="26">
        <f t="shared" si="0"/>
        <v>38</v>
      </c>
      <c r="B41" s="1">
        <v>45265</v>
      </c>
      <c r="C41" s="3">
        <v>54.1</v>
      </c>
      <c r="D41" s="3">
        <v>37.119999999999997</v>
      </c>
      <c r="E41" s="3">
        <v>12.14</v>
      </c>
      <c r="F41" s="3">
        <v>260.77999999999997</v>
      </c>
      <c r="G41" s="3">
        <v>14.23</v>
      </c>
      <c r="H41" s="3">
        <v>260.55</v>
      </c>
    </row>
    <row r="42" spans="1:8" x14ac:dyDescent="0.25">
      <c r="A42" s="26">
        <f t="shared" si="0"/>
        <v>39</v>
      </c>
      <c r="B42" s="1">
        <v>45264</v>
      </c>
      <c r="C42" s="3">
        <v>54.04</v>
      </c>
      <c r="D42" s="3">
        <v>36.43</v>
      </c>
      <c r="E42" s="3">
        <v>12.32</v>
      </c>
      <c r="F42" s="3">
        <v>260.67</v>
      </c>
      <c r="G42" s="3">
        <v>13.89</v>
      </c>
      <c r="H42" s="3">
        <v>262.11</v>
      </c>
    </row>
    <row r="43" spans="1:8" x14ac:dyDescent="0.25">
      <c r="A43" s="26">
        <f t="shared" si="0"/>
        <v>40</v>
      </c>
      <c r="B43" s="1">
        <v>45261</v>
      </c>
      <c r="C43" s="3">
        <v>53.81</v>
      </c>
      <c r="D43" s="3">
        <v>36.97</v>
      </c>
      <c r="E43" s="3">
        <v>12.33</v>
      </c>
      <c r="F43" s="3">
        <v>260.10000000000002</v>
      </c>
      <c r="G43" s="3">
        <v>13.68</v>
      </c>
      <c r="H43" s="3">
        <v>261.93</v>
      </c>
    </row>
    <row r="44" spans="1:8" x14ac:dyDescent="0.25">
      <c r="A44" s="26">
        <f t="shared" si="0"/>
        <v>41</v>
      </c>
      <c r="B44" s="1">
        <v>45260</v>
      </c>
      <c r="C44" s="3">
        <v>53.98</v>
      </c>
      <c r="D44" s="3">
        <v>37.130000000000003</v>
      </c>
      <c r="E44" s="3">
        <v>12.07</v>
      </c>
      <c r="F44" s="3">
        <v>254.75</v>
      </c>
      <c r="G44" s="3">
        <v>13.9</v>
      </c>
      <c r="H44" s="3">
        <v>264.56</v>
      </c>
    </row>
    <row r="45" spans="1:8" x14ac:dyDescent="0.25">
      <c r="A45" s="26">
        <f t="shared" si="0"/>
        <v>42</v>
      </c>
      <c r="B45" s="1">
        <v>45259</v>
      </c>
      <c r="C45" s="3">
        <v>52.65</v>
      </c>
      <c r="D45" s="3">
        <v>36.74</v>
      </c>
      <c r="E45" s="3">
        <v>12.04</v>
      </c>
      <c r="F45" s="3">
        <v>250.1</v>
      </c>
      <c r="G45" s="3">
        <v>13.96</v>
      </c>
      <c r="H45" s="3">
        <v>253.71</v>
      </c>
    </row>
    <row r="46" spans="1:8" x14ac:dyDescent="0.25">
      <c r="A46" s="26">
        <f t="shared" si="0"/>
        <v>43</v>
      </c>
      <c r="B46" s="1">
        <v>45258</v>
      </c>
      <c r="C46" s="3">
        <v>52.29</v>
      </c>
      <c r="D46" s="3">
        <v>37.11</v>
      </c>
      <c r="E46" s="3">
        <v>11.65</v>
      </c>
      <c r="F46" s="3">
        <v>238.86</v>
      </c>
      <c r="G46" s="3">
        <v>13.77</v>
      </c>
      <c r="H46" s="3">
        <v>255.83</v>
      </c>
    </row>
    <row r="47" spans="1:8" x14ac:dyDescent="0.25">
      <c r="A47" s="26">
        <f t="shared" si="0"/>
        <v>44</v>
      </c>
      <c r="B47" s="1">
        <v>45257</v>
      </c>
      <c r="C47" s="3">
        <v>52.32</v>
      </c>
      <c r="D47" s="3">
        <v>36.71</v>
      </c>
      <c r="E47" s="3">
        <v>11.53</v>
      </c>
      <c r="F47" s="3">
        <v>235.82</v>
      </c>
      <c r="G47" s="3">
        <v>13.14</v>
      </c>
      <c r="H47" s="3">
        <v>253.18</v>
      </c>
    </row>
    <row r="48" spans="1:8" x14ac:dyDescent="0.25">
      <c r="A48" s="26">
        <f t="shared" si="0"/>
        <v>45</v>
      </c>
      <c r="B48" s="1">
        <v>45254</v>
      </c>
      <c r="C48" s="3">
        <v>52.91</v>
      </c>
      <c r="D48" s="3">
        <v>36.75</v>
      </c>
      <c r="E48" s="3">
        <v>11.9</v>
      </c>
      <c r="F48" s="3">
        <v>224.52</v>
      </c>
      <c r="G48" s="3">
        <v>12.5</v>
      </c>
      <c r="H48" s="3">
        <v>250.64</v>
      </c>
    </row>
    <row r="49" spans="1:8" x14ac:dyDescent="0.25">
      <c r="A49" s="26">
        <f t="shared" si="0"/>
        <v>46</v>
      </c>
      <c r="B49" s="1">
        <v>45253</v>
      </c>
      <c r="C49" s="3">
        <v>52.79</v>
      </c>
      <c r="D49" s="3">
        <v>36.82</v>
      </c>
      <c r="E49" s="3">
        <v>11.84</v>
      </c>
      <c r="F49" s="3">
        <v>222.41</v>
      </c>
      <c r="G49" s="3">
        <v>12.19</v>
      </c>
      <c r="H49" s="3">
        <v>252.67</v>
      </c>
    </row>
    <row r="50" spans="1:8" x14ac:dyDescent="0.25">
      <c r="A50" s="26">
        <f t="shared" si="0"/>
        <v>47</v>
      </c>
      <c r="B50" s="1">
        <v>45252</v>
      </c>
      <c r="C50" s="3">
        <v>52.62</v>
      </c>
      <c r="D50" s="3">
        <v>36.700000000000003</v>
      </c>
      <c r="E50" s="3">
        <v>11.66</v>
      </c>
      <c r="F50" s="3">
        <v>220.33</v>
      </c>
      <c r="G50" s="3">
        <v>11.7</v>
      </c>
      <c r="H50" s="3">
        <v>246.71</v>
      </c>
    </row>
    <row r="51" spans="1:8" x14ac:dyDescent="0.25">
      <c r="A51" s="26">
        <f t="shared" si="0"/>
        <v>48</v>
      </c>
      <c r="B51" s="1">
        <v>45251</v>
      </c>
      <c r="C51" s="3">
        <v>52.42</v>
      </c>
      <c r="D51" s="3">
        <v>36.64</v>
      </c>
      <c r="E51" s="3">
        <v>11.79</v>
      </c>
      <c r="F51" s="3">
        <v>232.17</v>
      </c>
      <c r="G51" s="3">
        <v>11.58</v>
      </c>
      <c r="H51" s="3">
        <v>243.64</v>
      </c>
    </row>
    <row r="52" spans="1:8" x14ac:dyDescent="0.25">
      <c r="A52" s="26">
        <f t="shared" si="0"/>
        <v>49</v>
      </c>
      <c r="B52" s="1">
        <v>45247</v>
      </c>
      <c r="C52" s="3">
        <v>52.64</v>
      </c>
      <c r="D52" s="3">
        <v>36.83</v>
      </c>
      <c r="E52" s="3">
        <v>12.06</v>
      </c>
      <c r="F52" s="3">
        <v>233.11</v>
      </c>
      <c r="G52" s="3">
        <v>11.72</v>
      </c>
      <c r="H52" s="3">
        <v>244.51</v>
      </c>
    </row>
    <row r="53" spans="1:8" x14ac:dyDescent="0.25">
      <c r="A53" s="26">
        <f t="shared" si="0"/>
        <v>50</v>
      </c>
      <c r="B53" s="1">
        <v>45246</v>
      </c>
      <c r="C53" s="3">
        <v>52.37</v>
      </c>
      <c r="D53" s="3">
        <v>36.799999999999997</v>
      </c>
      <c r="E53" s="3">
        <v>11.9</v>
      </c>
      <c r="F53" s="3">
        <v>229.12</v>
      </c>
      <c r="G53" s="3">
        <v>11.52</v>
      </c>
      <c r="H53" s="3">
        <v>234.19</v>
      </c>
    </row>
    <row r="54" spans="1:8" x14ac:dyDescent="0.25">
      <c r="A54" s="26">
        <f t="shared" si="0"/>
        <v>51</v>
      </c>
      <c r="B54" s="1">
        <v>45245</v>
      </c>
      <c r="C54" s="3">
        <v>52.7</v>
      </c>
      <c r="D54" s="3">
        <v>36.909999999999997</v>
      </c>
      <c r="E54" s="3">
        <v>12.19</v>
      </c>
      <c r="F54" s="3">
        <v>234.98</v>
      </c>
      <c r="G54" s="3">
        <v>11.47</v>
      </c>
      <c r="H54" s="3">
        <v>229.51</v>
      </c>
    </row>
    <row r="55" spans="1:8" x14ac:dyDescent="0.25">
      <c r="A55" s="26">
        <f t="shared" si="0"/>
        <v>52</v>
      </c>
      <c r="B55" s="1">
        <v>45244</v>
      </c>
      <c r="C55" s="3">
        <v>52.43</v>
      </c>
      <c r="D55" s="3">
        <v>37.21</v>
      </c>
      <c r="E55" s="3">
        <v>12.35</v>
      </c>
      <c r="F55" s="3">
        <v>227.32</v>
      </c>
      <c r="G55" s="3">
        <v>11.33</v>
      </c>
      <c r="H55" s="3">
        <v>225.97</v>
      </c>
    </row>
    <row r="56" spans="1:8" x14ac:dyDescent="0.25">
      <c r="A56" s="26">
        <f t="shared" si="0"/>
        <v>53</v>
      </c>
      <c r="B56" s="1">
        <v>45243</v>
      </c>
      <c r="C56" s="3">
        <v>51.01</v>
      </c>
      <c r="D56" s="3">
        <v>36.97</v>
      </c>
      <c r="E56" s="3">
        <v>12.11</v>
      </c>
      <c r="F56" s="3">
        <v>217.38</v>
      </c>
      <c r="G56" s="3">
        <v>10.74</v>
      </c>
      <c r="H56" s="3">
        <v>223.71</v>
      </c>
    </row>
    <row r="57" spans="1:8" x14ac:dyDescent="0.25">
      <c r="A57" s="26">
        <f t="shared" si="0"/>
        <v>54</v>
      </c>
      <c r="B57" s="1">
        <v>45240</v>
      </c>
      <c r="C57" s="3">
        <v>51.19</v>
      </c>
      <c r="D57" s="3">
        <v>36.950000000000003</v>
      </c>
      <c r="E57" s="3">
        <v>12.26</v>
      </c>
      <c r="F57" s="3">
        <v>219.04</v>
      </c>
      <c r="G57" s="3">
        <v>11.16</v>
      </c>
      <c r="H57" s="3">
        <v>223.84</v>
      </c>
    </row>
    <row r="58" spans="1:8" x14ac:dyDescent="0.25">
      <c r="A58" s="26">
        <f t="shared" si="0"/>
        <v>55</v>
      </c>
      <c r="B58" s="1">
        <v>45239</v>
      </c>
      <c r="C58" s="3">
        <v>50.99</v>
      </c>
      <c r="D58" s="3">
        <v>36.94</v>
      </c>
      <c r="E58" s="3">
        <v>12.3</v>
      </c>
      <c r="F58" s="3">
        <v>222.3</v>
      </c>
      <c r="G58" s="3">
        <v>11.27</v>
      </c>
      <c r="H58" s="3">
        <v>226.88</v>
      </c>
    </row>
    <row r="59" spans="1:8" x14ac:dyDescent="0.25">
      <c r="A59" s="26">
        <f t="shared" si="0"/>
        <v>56</v>
      </c>
      <c r="B59" s="1">
        <v>45238</v>
      </c>
      <c r="C59" s="3">
        <v>50.85</v>
      </c>
      <c r="D59" s="3">
        <v>36.99</v>
      </c>
      <c r="E59" s="3">
        <v>12.17</v>
      </c>
      <c r="F59" s="3">
        <v>228.2</v>
      </c>
      <c r="G59" s="3">
        <v>11.86</v>
      </c>
      <c r="H59" s="3">
        <v>226.24</v>
      </c>
    </row>
    <row r="60" spans="1:8" x14ac:dyDescent="0.25">
      <c r="A60" s="26">
        <f t="shared" si="0"/>
        <v>57</v>
      </c>
      <c r="B60" s="1">
        <v>45237</v>
      </c>
      <c r="C60" s="3">
        <v>51.05</v>
      </c>
      <c r="D60" s="3">
        <v>36.67</v>
      </c>
      <c r="E60" s="3">
        <v>11.97</v>
      </c>
      <c r="F60" s="3">
        <v>223.28</v>
      </c>
      <c r="G60" s="3">
        <v>11.82</v>
      </c>
      <c r="H60" s="3">
        <v>228.27</v>
      </c>
    </row>
    <row r="61" spans="1:8" x14ac:dyDescent="0.25">
      <c r="A61" s="26">
        <f t="shared" si="0"/>
        <v>58</v>
      </c>
      <c r="B61" s="1">
        <v>45236</v>
      </c>
      <c r="C61" s="3">
        <v>51.5</v>
      </c>
      <c r="D61" s="3">
        <v>37.1</v>
      </c>
      <c r="E61" s="3">
        <v>11.85</v>
      </c>
      <c r="F61" s="3">
        <v>228.44</v>
      </c>
      <c r="G61" s="3">
        <v>11.05</v>
      </c>
      <c r="H61" s="3">
        <v>232.22</v>
      </c>
    </row>
    <row r="62" spans="1:8" x14ac:dyDescent="0.25">
      <c r="A62" s="26">
        <f t="shared" si="0"/>
        <v>59</v>
      </c>
      <c r="B62" s="1">
        <v>45233</v>
      </c>
      <c r="C62" s="3">
        <v>51.14</v>
      </c>
      <c r="D62" s="3">
        <v>36.75</v>
      </c>
      <c r="E62" s="3">
        <v>11.7</v>
      </c>
      <c r="F62" s="3">
        <v>217.57</v>
      </c>
      <c r="G62" s="3">
        <v>11.43</v>
      </c>
      <c r="H62" s="3">
        <v>224.28</v>
      </c>
    </row>
    <row r="63" spans="1:8" x14ac:dyDescent="0.25">
      <c r="A63" s="26">
        <f t="shared" si="0"/>
        <v>60</v>
      </c>
      <c r="B63" s="1">
        <v>45231</v>
      </c>
      <c r="C63" s="3">
        <v>49.58</v>
      </c>
      <c r="D63" s="3">
        <v>36.15</v>
      </c>
      <c r="E63" s="3">
        <v>10.95</v>
      </c>
      <c r="F63" s="3">
        <v>200.49</v>
      </c>
      <c r="G63" s="3">
        <v>10.27</v>
      </c>
      <c r="H63" s="3">
        <v>212.41</v>
      </c>
    </row>
    <row r="64" spans="1:8" x14ac:dyDescent="0.25">
      <c r="A64" s="26">
        <f t="shared" si="0"/>
        <v>61</v>
      </c>
      <c r="B64" s="1">
        <v>45230</v>
      </c>
      <c r="C64" s="3">
        <v>48.86</v>
      </c>
      <c r="D64" s="3">
        <v>35.950000000000003</v>
      </c>
      <c r="E64" s="3">
        <v>10.83</v>
      </c>
      <c r="F64" s="3">
        <v>201.27</v>
      </c>
      <c r="G64" s="3">
        <v>10.28</v>
      </c>
      <c r="H64" s="3">
        <v>210.31</v>
      </c>
    </row>
    <row r="65" spans="1:8" x14ac:dyDescent="0.25">
      <c r="A65" s="26">
        <f t="shared" si="0"/>
        <v>62</v>
      </c>
      <c r="B65" s="1">
        <v>45229</v>
      </c>
      <c r="C65" s="3">
        <v>49.03</v>
      </c>
      <c r="D65" s="3">
        <v>35.99</v>
      </c>
      <c r="E65" s="3">
        <v>10.75</v>
      </c>
      <c r="F65" s="3">
        <v>205</v>
      </c>
      <c r="G65" s="3">
        <v>10.98</v>
      </c>
      <c r="H65" s="3">
        <v>204.98</v>
      </c>
    </row>
    <row r="66" spans="1:8" x14ac:dyDescent="0.25">
      <c r="A66" s="26">
        <f t="shared" si="0"/>
        <v>63</v>
      </c>
      <c r="B66" s="1">
        <v>45226</v>
      </c>
      <c r="C66" s="3">
        <v>48.75</v>
      </c>
      <c r="D66" s="3">
        <v>35.700000000000003</v>
      </c>
      <c r="E66" s="3">
        <v>10.78</v>
      </c>
      <c r="F66" s="3">
        <v>203.26</v>
      </c>
      <c r="G66" s="3">
        <v>10.77</v>
      </c>
      <c r="H66" s="3">
        <v>195.92</v>
      </c>
    </row>
    <row r="67" spans="1:8" x14ac:dyDescent="0.25">
      <c r="A67" s="26">
        <f t="shared" si="0"/>
        <v>64</v>
      </c>
      <c r="B67" s="1">
        <v>45225</v>
      </c>
      <c r="C67" s="3">
        <v>49.2</v>
      </c>
      <c r="D67" s="3">
        <v>36.29</v>
      </c>
      <c r="E67" s="3">
        <v>11.31</v>
      </c>
      <c r="F67" s="3">
        <v>202.92</v>
      </c>
      <c r="G67" s="3">
        <v>10.65</v>
      </c>
      <c r="H67" s="3">
        <v>200.36</v>
      </c>
    </row>
    <row r="68" spans="1:8" x14ac:dyDescent="0.25">
      <c r="A68" s="26">
        <f t="shared" si="0"/>
        <v>65</v>
      </c>
      <c r="B68" s="1">
        <v>45224</v>
      </c>
      <c r="C68" s="3">
        <v>48.72</v>
      </c>
      <c r="D68" s="3">
        <v>35.69</v>
      </c>
      <c r="E68" s="3">
        <v>11.08</v>
      </c>
      <c r="F68" s="3">
        <v>205.97</v>
      </c>
      <c r="G68" s="3">
        <v>10.89</v>
      </c>
      <c r="H68" s="3">
        <v>210.23</v>
      </c>
    </row>
    <row r="69" spans="1:8" x14ac:dyDescent="0.25">
      <c r="A69" s="26">
        <f t="shared" ref="A69:A132" si="1">+A68+1</f>
        <v>66</v>
      </c>
      <c r="B69" s="1">
        <v>45223</v>
      </c>
      <c r="C69" s="3">
        <v>48.28</v>
      </c>
      <c r="D69" s="3">
        <v>35.39</v>
      </c>
      <c r="E69" s="3">
        <v>10.83</v>
      </c>
      <c r="F69" s="3">
        <v>201.9</v>
      </c>
      <c r="G69" s="3">
        <v>10.87</v>
      </c>
      <c r="H69" s="3">
        <v>211.02</v>
      </c>
    </row>
    <row r="70" spans="1:8" x14ac:dyDescent="0.25">
      <c r="A70" s="26">
        <f t="shared" si="1"/>
        <v>67</v>
      </c>
      <c r="B70" s="1">
        <v>45222</v>
      </c>
      <c r="C70" s="3">
        <v>48.26</v>
      </c>
      <c r="D70" s="3">
        <v>35.29</v>
      </c>
      <c r="E70" s="3">
        <v>10.83</v>
      </c>
      <c r="F70" s="3">
        <v>201.35</v>
      </c>
      <c r="G70" s="3">
        <v>11.21</v>
      </c>
      <c r="H70" s="3">
        <v>226.15</v>
      </c>
    </row>
    <row r="71" spans="1:8" x14ac:dyDescent="0.25">
      <c r="A71" s="26">
        <f t="shared" si="1"/>
        <v>68</v>
      </c>
      <c r="B71" s="1">
        <v>45219</v>
      </c>
      <c r="C71" s="3">
        <v>48.35</v>
      </c>
      <c r="D71" s="3">
        <v>35.29</v>
      </c>
      <c r="E71" s="3">
        <v>10.95</v>
      </c>
      <c r="F71" s="3">
        <v>207.8</v>
      </c>
      <c r="G71" s="3">
        <v>10.77</v>
      </c>
      <c r="H71" s="3">
        <v>229.4</v>
      </c>
    </row>
    <row r="72" spans="1:8" x14ac:dyDescent="0.25">
      <c r="A72" s="26">
        <f t="shared" si="1"/>
        <v>69</v>
      </c>
      <c r="B72" s="1">
        <v>45218</v>
      </c>
      <c r="C72" s="3">
        <v>48.85</v>
      </c>
      <c r="D72" s="3">
        <v>35.42</v>
      </c>
      <c r="E72" s="3">
        <v>11.06</v>
      </c>
      <c r="F72" s="3">
        <v>205.11</v>
      </c>
      <c r="G72" s="3">
        <v>11.23</v>
      </c>
      <c r="H72" s="3">
        <v>233.22</v>
      </c>
    </row>
    <row r="73" spans="1:8" x14ac:dyDescent="0.25">
      <c r="A73" s="26">
        <f t="shared" si="1"/>
        <v>70</v>
      </c>
      <c r="B73" s="1">
        <v>45217</v>
      </c>
      <c r="C73" s="3">
        <v>49.29</v>
      </c>
      <c r="D73" s="3">
        <v>35.57</v>
      </c>
      <c r="E73" s="3">
        <v>11.17</v>
      </c>
      <c r="F73" s="3">
        <v>207.3</v>
      </c>
      <c r="G73" s="3">
        <v>11.32</v>
      </c>
      <c r="H73" s="3">
        <v>239.63</v>
      </c>
    </row>
    <row r="74" spans="1:8" x14ac:dyDescent="0.25">
      <c r="A74" s="26">
        <f t="shared" si="1"/>
        <v>71</v>
      </c>
      <c r="B74" s="1">
        <v>45216</v>
      </c>
      <c r="C74" s="3">
        <v>49.66</v>
      </c>
      <c r="D74" s="3">
        <v>36.409999999999997</v>
      </c>
      <c r="E74" s="3">
        <v>11.52</v>
      </c>
      <c r="F74" s="3">
        <v>209.24</v>
      </c>
      <c r="G74" s="3">
        <v>12.1</v>
      </c>
      <c r="H74" s="3">
        <v>239.43</v>
      </c>
    </row>
    <row r="75" spans="1:8" x14ac:dyDescent="0.25">
      <c r="A75" s="26">
        <f t="shared" si="1"/>
        <v>72</v>
      </c>
      <c r="B75" s="1">
        <v>45215</v>
      </c>
      <c r="C75" s="3">
        <v>49.84</v>
      </c>
      <c r="D75" s="3">
        <v>36.369999999999997</v>
      </c>
      <c r="E75" s="3">
        <v>11.58</v>
      </c>
      <c r="F75" s="3">
        <v>209.16</v>
      </c>
      <c r="G75" s="3">
        <v>12.37</v>
      </c>
      <c r="H75" s="3">
        <v>245.74</v>
      </c>
    </row>
    <row r="76" spans="1:8" x14ac:dyDescent="0.25">
      <c r="A76" s="26">
        <f t="shared" si="1"/>
        <v>73</v>
      </c>
      <c r="B76" s="1">
        <v>45212</v>
      </c>
      <c r="C76" s="3">
        <v>49.39</v>
      </c>
      <c r="D76" s="3">
        <v>36.4</v>
      </c>
      <c r="E76" s="3">
        <v>11.15</v>
      </c>
      <c r="F76" s="3">
        <v>202.94</v>
      </c>
      <c r="G76" s="3">
        <v>12.11</v>
      </c>
      <c r="H76" s="3">
        <v>242.92</v>
      </c>
    </row>
    <row r="77" spans="1:8" x14ac:dyDescent="0.25">
      <c r="A77" s="26">
        <f t="shared" si="1"/>
        <v>74</v>
      </c>
      <c r="B77" s="1">
        <v>45211</v>
      </c>
      <c r="C77" s="3">
        <v>49.79</v>
      </c>
      <c r="D77" s="3">
        <v>36.72</v>
      </c>
      <c r="E77" s="3">
        <v>11.14</v>
      </c>
      <c r="F77" s="3">
        <v>200.28</v>
      </c>
      <c r="G77" s="3">
        <v>12.25</v>
      </c>
      <c r="H77" s="3">
        <v>246.56</v>
      </c>
    </row>
    <row r="78" spans="1:8" x14ac:dyDescent="0.25">
      <c r="A78" s="26">
        <f t="shared" si="1"/>
        <v>75</v>
      </c>
      <c r="B78" s="1">
        <v>45210</v>
      </c>
      <c r="C78" s="3">
        <v>50.18</v>
      </c>
      <c r="D78" s="3">
        <v>37.49</v>
      </c>
      <c r="E78" s="3">
        <v>11.45</v>
      </c>
      <c r="F78" s="3">
        <v>200.6</v>
      </c>
      <c r="G78" s="3">
        <v>12.23</v>
      </c>
      <c r="H78" s="3">
        <v>254.05</v>
      </c>
    </row>
    <row r="79" spans="1:8" x14ac:dyDescent="0.25">
      <c r="A79" s="26">
        <f t="shared" si="1"/>
        <v>76</v>
      </c>
      <c r="B79" s="1">
        <v>45209</v>
      </c>
      <c r="C79" s="3">
        <v>50.11</v>
      </c>
      <c r="D79" s="3">
        <v>37.08</v>
      </c>
      <c r="E79" s="3">
        <v>10.97</v>
      </c>
      <c r="F79" s="3">
        <v>199.57</v>
      </c>
      <c r="G79" s="3">
        <v>12.25</v>
      </c>
      <c r="H79" s="3">
        <v>251.89</v>
      </c>
    </row>
    <row r="80" spans="1:8" x14ac:dyDescent="0.25">
      <c r="A80" s="26">
        <f t="shared" si="1"/>
        <v>77</v>
      </c>
      <c r="B80" s="1">
        <v>45208</v>
      </c>
      <c r="C80" s="3">
        <v>49.07</v>
      </c>
      <c r="D80" s="3">
        <v>36.75</v>
      </c>
      <c r="E80" s="3">
        <v>10.75</v>
      </c>
      <c r="F80" s="3">
        <v>196.17</v>
      </c>
      <c r="G80" s="3">
        <v>11.73</v>
      </c>
      <c r="H80" s="3">
        <v>240.85</v>
      </c>
    </row>
    <row r="81" spans="1:8" x14ac:dyDescent="0.25">
      <c r="A81" s="26">
        <f t="shared" si="1"/>
        <v>78</v>
      </c>
      <c r="B81" s="1">
        <v>45205</v>
      </c>
      <c r="C81" s="3">
        <v>49.47</v>
      </c>
      <c r="D81" s="3">
        <v>36.86</v>
      </c>
      <c r="E81" s="3">
        <v>10.67</v>
      </c>
      <c r="F81" s="3">
        <v>196.39</v>
      </c>
      <c r="G81" s="3">
        <v>12.44</v>
      </c>
      <c r="H81" s="3">
        <v>240.68</v>
      </c>
    </row>
    <row r="82" spans="1:8" x14ac:dyDescent="0.25">
      <c r="A82" s="26">
        <f t="shared" si="1"/>
        <v>79</v>
      </c>
      <c r="B82" s="1">
        <v>45204</v>
      </c>
      <c r="C82" s="3">
        <v>49.25</v>
      </c>
      <c r="D82" s="3">
        <v>36.53</v>
      </c>
      <c r="E82" s="3">
        <v>10.72</v>
      </c>
      <c r="F82" s="3">
        <v>193.23</v>
      </c>
      <c r="G82" s="3">
        <v>11.59</v>
      </c>
      <c r="H82" s="3">
        <v>228.39</v>
      </c>
    </row>
    <row r="83" spans="1:8" x14ac:dyDescent="0.25">
      <c r="A83" s="26">
        <f t="shared" si="1"/>
        <v>80</v>
      </c>
      <c r="B83" s="1">
        <v>45203</v>
      </c>
      <c r="C83" s="3">
        <v>50.49</v>
      </c>
      <c r="D83" s="3">
        <v>36.729999999999997</v>
      </c>
      <c r="E83" s="3">
        <v>11.24</v>
      </c>
      <c r="F83" s="3">
        <v>194.03</v>
      </c>
      <c r="G83" s="3">
        <v>11.95</v>
      </c>
      <c r="H83" s="3">
        <v>293.85000000000002</v>
      </c>
    </row>
    <row r="84" spans="1:8" x14ac:dyDescent="0.25">
      <c r="A84" s="26">
        <f t="shared" si="1"/>
        <v>81</v>
      </c>
      <c r="B84" s="1">
        <v>45202</v>
      </c>
      <c r="C84" s="3">
        <v>50.16</v>
      </c>
      <c r="D84" s="3">
        <v>36.590000000000003</v>
      </c>
      <c r="E84" s="3">
        <v>11.05</v>
      </c>
      <c r="F84" s="3">
        <v>195.21</v>
      </c>
      <c r="G84" s="3">
        <v>11.19</v>
      </c>
      <c r="H84" s="3">
        <v>286.74</v>
      </c>
    </row>
    <row r="85" spans="1:8" x14ac:dyDescent="0.25">
      <c r="A85" s="26">
        <f t="shared" si="1"/>
        <v>82</v>
      </c>
      <c r="B85" s="1">
        <v>45201</v>
      </c>
      <c r="C85" s="3">
        <v>51.02</v>
      </c>
      <c r="D85" s="3">
        <v>36.85</v>
      </c>
      <c r="E85" s="3">
        <v>11.47</v>
      </c>
      <c r="F85" s="3">
        <v>195.45</v>
      </c>
      <c r="G85" s="3">
        <v>11.26</v>
      </c>
      <c r="H85" s="3">
        <v>292.94</v>
      </c>
    </row>
    <row r="86" spans="1:8" x14ac:dyDescent="0.25">
      <c r="A86" s="26">
        <f t="shared" si="1"/>
        <v>83</v>
      </c>
      <c r="B86" s="1">
        <v>45198</v>
      </c>
      <c r="C86" s="3">
        <v>50.64</v>
      </c>
      <c r="D86" s="3">
        <v>36.590000000000003</v>
      </c>
      <c r="E86" s="3">
        <v>11.37</v>
      </c>
      <c r="F86" s="3">
        <v>205.45</v>
      </c>
      <c r="G86" s="3">
        <v>11.85</v>
      </c>
      <c r="H86" s="3">
        <v>286.44</v>
      </c>
    </row>
    <row r="87" spans="1:8" x14ac:dyDescent="0.25">
      <c r="A87" s="26">
        <f t="shared" si="1"/>
        <v>84</v>
      </c>
      <c r="B87" s="1">
        <v>45197</v>
      </c>
      <c r="C87" s="3">
        <v>51.33</v>
      </c>
      <c r="D87" s="3">
        <v>37.450000000000003</v>
      </c>
      <c r="E87" s="3">
        <v>11.66</v>
      </c>
      <c r="F87" s="3">
        <v>208.73</v>
      </c>
      <c r="G87" s="3">
        <v>12.6</v>
      </c>
      <c r="H87" s="3">
        <v>305.62</v>
      </c>
    </row>
    <row r="88" spans="1:8" x14ac:dyDescent="0.25">
      <c r="A88" s="26">
        <f t="shared" si="1"/>
        <v>85</v>
      </c>
      <c r="B88" s="1">
        <v>45196</v>
      </c>
      <c r="C88" s="3">
        <v>51.21</v>
      </c>
      <c r="D88" s="3">
        <v>37.49</v>
      </c>
      <c r="E88" s="3">
        <v>11.61</v>
      </c>
      <c r="F88" s="3">
        <v>209.87</v>
      </c>
      <c r="G88" s="3">
        <v>12.85</v>
      </c>
      <c r="H88" s="3">
        <v>305.07</v>
      </c>
    </row>
    <row r="89" spans="1:8" x14ac:dyDescent="0.25">
      <c r="A89" s="26">
        <f t="shared" si="1"/>
        <v>86</v>
      </c>
      <c r="B89" s="1">
        <v>45195</v>
      </c>
      <c r="C89" s="3">
        <v>50.92</v>
      </c>
      <c r="D89" s="3">
        <v>36.770000000000003</v>
      </c>
      <c r="E89" s="3">
        <v>11.5</v>
      </c>
      <c r="F89" s="3">
        <v>213.8</v>
      </c>
      <c r="G89" s="3">
        <v>12.29</v>
      </c>
      <c r="H89" s="3">
        <v>304.3</v>
      </c>
    </row>
    <row r="90" spans="1:8" x14ac:dyDescent="0.25">
      <c r="A90" s="26">
        <f t="shared" si="1"/>
        <v>87</v>
      </c>
      <c r="B90" s="1">
        <v>45194</v>
      </c>
      <c r="C90" s="3">
        <v>51.19</v>
      </c>
      <c r="D90" s="3">
        <v>36.619999999999997</v>
      </c>
      <c r="E90" s="3">
        <v>11.6</v>
      </c>
      <c r="F90" s="3">
        <v>213.31</v>
      </c>
      <c r="G90" s="3">
        <v>12.96</v>
      </c>
      <c r="H90" s="3">
        <v>308.08999999999997</v>
      </c>
    </row>
    <row r="91" spans="1:8" x14ac:dyDescent="0.25">
      <c r="A91" s="26">
        <f t="shared" si="1"/>
        <v>88</v>
      </c>
      <c r="B91" s="1">
        <v>45191</v>
      </c>
      <c r="C91" s="3">
        <v>51.5</v>
      </c>
      <c r="D91" s="3">
        <v>36.700000000000003</v>
      </c>
      <c r="E91" s="3">
        <v>11.52</v>
      </c>
      <c r="F91" s="3">
        <v>217.96</v>
      </c>
      <c r="G91" s="3">
        <v>13.67</v>
      </c>
      <c r="H91" s="3">
        <v>304.64</v>
      </c>
    </row>
    <row r="92" spans="1:8" x14ac:dyDescent="0.25">
      <c r="A92" s="26">
        <f t="shared" si="1"/>
        <v>89</v>
      </c>
      <c r="B92" s="1">
        <v>45190</v>
      </c>
      <c r="C92" s="3">
        <v>51.72</v>
      </c>
      <c r="D92" s="3">
        <v>36.43</v>
      </c>
      <c r="E92" s="3">
        <v>11.76</v>
      </c>
      <c r="F92" s="3">
        <v>221.04</v>
      </c>
      <c r="G92" s="3">
        <v>14.39</v>
      </c>
      <c r="H92" s="3">
        <v>307.14</v>
      </c>
    </row>
    <row r="93" spans="1:8" x14ac:dyDescent="0.25">
      <c r="A93" s="26">
        <f t="shared" si="1"/>
        <v>90</v>
      </c>
      <c r="B93" s="1">
        <v>45189</v>
      </c>
      <c r="C93" s="3">
        <v>52.27</v>
      </c>
      <c r="D93" s="3">
        <v>37.14</v>
      </c>
      <c r="E93" s="3">
        <v>12.21</v>
      </c>
      <c r="F93" s="3">
        <v>222.78</v>
      </c>
      <c r="G93" s="3">
        <v>14.91</v>
      </c>
      <c r="H93" s="3">
        <v>308.14</v>
      </c>
    </row>
    <row r="94" spans="1:8" x14ac:dyDescent="0.25">
      <c r="A94" s="26">
        <f t="shared" si="1"/>
        <v>91</v>
      </c>
      <c r="B94" s="1">
        <v>45188</v>
      </c>
      <c r="C94" s="3">
        <v>52</v>
      </c>
      <c r="D94" s="3">
        <v>35.69</v>
      </c>
      <c r="E94" s="3">
        <v>12.25</v>
      </c>
      <c r="F94" s="3">
        <v>222.58</v>
      </c>
      <c r="G94" s="3">
        <v>14.61</v>
      </c>
      <c r="H94" s="3">
        <v>309.01</v>
      </c>
    </row>
    <row r="95" spans="1:8" x14ac:dyDescent="0.25">
      <c r="A95" s="26">
        <f t="shared" si="1"/>
        <v>92</v>
      </c>
      <c r="B95" s="1">
        <v>45187</v>
      </c>
      <c r="C95" s="3">
        <v>51.46</v>
      </c>
      <c r="D95" s="3">
        <v>35.979999999999997</v>
      </c>
      <c r="E95" s="3">
        <v>11.92</v>
      </c>
      <c r="F95" s="3">
        <v>222.22</v>
      </c>
      <c r="G95" s="3">
        <v>14.67</v>
      </c>
      <c r="H95" s="3">
        <v>308.48</v>
      </c>
    </row>
    <row r="96" spans="1:8" x14ac:dyDescent="0.25">
      <c r="A96" s="26">
        <f t="shared" si="1"/>
        <v>93</v>
      </c>
      <c r="B96" s="1">
        <v>45184</v>
      </c>
      <c r="C96" s="3">
        <v>51.16</v>
      </c>
      <c r="D96" s="3">
        <v>35.79</v>
      </c>
      <c r="E96" s="3">
        <v>11.7</v>
      </c>
      <c r="F96" s="3">
        <v>221.72</v>
      </c>
      <c r="G96" s="3">
        <v>15.47</v>
      </c>
      <c r="H96" s="3">
        <v>312.87</v>
      </c>
    </row>
    <row r="97" spans="1:8" x14ac:dyDescent="0.25">
      <c r="A97" s="26">
        <f t="shared" si="1"/>
        <v>94</v>
      </c>
      <c r="B97" s="1">
        <v>45183</v>
      </c>
      <c r="C97" s="3">
        <v>51.43</v>
      </c>
      <c r="D97" s="3">
        <v>35.72</v>
      </c>
      <c r="E97" s="3">
        <v>11.74</v>
      </c>
      <c r="F97" s="3">
        <v>218.1</v>
      </c>
      <c r="G97" s="3">
        <v>16.28</v>
      </c>
      <c r="H97" s="3">
        <v>310.63</v>
      </c>
    </row>
    <row r="98" spans="1:8" x14ac:dyDescent="0.25">
      <c r="A98" s="26">
        <f t="shared" si="1"/>
        <v>95</v>
      </c>
      <c r="B98" s="1">
        <v>45182</v>
      </c>
      <c r="C98" s="3">
        <v>51.32</v>
      </c>
      <c r="D98" s="3">
        <v>36.200000000000003</v>
      </c>
      <c r="E98" s="3">
        <v>11.85</v>
      </c>
      <c r="F98" s="3">
        <v>210.71</v>
      </c>
      <c r="G98" s="3">
        <v>16.190000000000001</v>
      </c>
      <c r="H98" s="3">
        <v>308.73</v>
      </c>
    </row>
    <row r="99" spans="1:8" x14ac:dyDescent="0.25">
      <c r="A99" s="26">
        <f t="shared" si="1"/>
        <v>96</v>
      </c>
      <c r="B99" s="1">
        <v>45181</v>
      </c>
      <c r="C99" s="3">
        <v>51.66</v>
      </c>
      <c r="D99" s="3">
        <v>36.32</v>
      </c>
      <c r="E99" s="3">
        <v>11.96</v>
      </c>
      <c r="F99" s="3">
        <v>216.51</v>
      </c>
      <c r="G99" s="3">
        <v>17.190000000000001</v>
      </c>
      <c r="H99" s="3">
        <v>309.02</v>
      </c>
    </row>
    <row r="100" spans="1:8" x14ac:dyDescent="0.25">
      <c r="A100" s="26">
        <f t="shared" si="1"/>
        <v>97</v>
      </c>
      <c r="B100" s="1">
        <v>45180</v>
      </c>
      <c r="C100" s="3">
        <v>52.03</v>
      </c>
      <c r="D100" s="3">
        <v>36.619999999999997</v>
      </c>
      <c r="E100" s="3">
        <v>12.22</v>
      </c>
      <c r="F100" s="3">
        <v>223.17</v>
      </c>
      <c r="G100" s="3">
        <v>17.36</v>
      </c>
      <c r="H100" s="3">
        <v>308.83</v>
      </c>
    </row>
    <row r="101" spans="1:8" x14ac:dyDescent="0.25">
      <c r="A101" s="26">
        <f t="shared" si="1"/>
        <v>98</v>
      </c>
      <c r="B101" s="1">
        <v>45177</v>
      </c>
      <c r="C101" s="3">
        <v>52.29</v>
      </c>
      <c r="D101" s="3">
        <v>36.99</v>
      </c>
      <c r="E101" s="3">
        <v>12.72</v>
      </c>
      <c r="F101" s="3">
        <v>227.48</v>
      </c>
      <c r="G101" s="3">
        <v>18.100000000000001</v>
      </c>
      <c r="H101" s="3">
        <v>308.39</v>
      </c>
    </row>
    <row r="102" spans="1:8" x14ac:dyDescent="0.25">
      <c r="A102" s="26">
        <f t="shared" si="1"/>
        <v>99</v>
      </c>
      <c r="B102" s="1">
        <v>45176</v>
      </c>
      <c r="C102" s="3">
        <v>52.28</v>
      </c>
      <c r="D102" s="3">
        <v>36.64</v>
      </c>
      <c r="E102" s="3">
        <v>13.02</v>
      </c>
      <c r="F102" s="3">
        <v>227.46</v>
      </c>
      <c r="G102" s="3">
        <v>16.12</v>
      </c>
      <c r="H102" s="3">
        <v>302.7</v>
      </c>
    </row>
    <row r="103" spans="1:8" x14ac:dyDescent="0.25">
      <c r="A103" s="26">
        <f t="shared" si="1"/>
        <v>100</v>
      </c>
      <c r="B103" s="1">
        <v>45175</v>
      </c>
      <c r="C103" s="3">
        <v>52.78</v>
      </c>
      <c r="D103" s="3">
        <v>36.909999999999997</v>
      </c>
      <c r="E103" s="3">
        <v>13.31</v>
      </c>
      <c r="F103" s="3">
        <v>227.45</v>
      </c>
      <c r="G103" s="3">
        <v>16.23</v>
      </c>
      <c r="H103" s="3">
        <v>302.33</v>
      </c>
    </row>
    <row r="104" spans="1:8" x14ac:dyDescent="0.25">
      <c r="A104" s="26">
        <f t="shared" si="1"/>
        <v>101</v>
      </c>
      <c r="B104" s="1">
        <v>45174</v>
      </c>
      <c r="C104" s="3">
        <v>52.7</v>
      </c>
      <c r="D104" s="3">
        <v>36.56</v>
      </c>
      <c r="E104" s="3">
        <v>13.48</v>
      </c>
      <c r="F104" s="3">
        <v>230.35</v>
      </c>
      <c r="G104" s="3">
        <v>16.190000000000001</v>
      </c>
      <c r="H104" s="3">
        <v>307.33999999999997</v>
      </c>
    </row>
    <row r="105" spans="1:8" x14ac:dyDescent="0.25">
      <c r="A105" s="26">
        <f t="shared" si="1"/>
        <v>102</v>
      </c>
      <c r="B105" s="1">
        <v>45173</v>
      </c>
      <c r="C105" s="3">
        <v>52.81</v>
      </c>
      <c r="D105" s="3">
        <v>37.32</v>
      </c>
      <c r="E105" s="3">
        <v>13.76</v>
      </c>
      <c r="F105" s="3">
        <v>236.31</v>
      </c>
      <c r="G105" s="3">
        <v>16.61</v>
      </c>
      <c r="H105" s="3">
        <v>306.01</v>
      </c>
    </row>
    <row r="106" spans="1:8" x14ac:dyDescent="0.25">
      <c r="A106" s="26">
        <f t="shared" si="1"/>
        <v>103</v>
      </c>
      <c r="B106" s="1">
        <v>45170</v>
      </c>
      <c r="C106" s="3">
        <v>52.9</v>
      </c>
      <c r="D106" s="3">
        <v>36.93</v>
      </c>
      <c r="E106" s="3">
        <v>13.76</v>
      </c>
      <c r="F106" s="3">
        <v>236.45</v>
      </c>
      <c r="G106" s="3">
        <v>16.649999999999999</v>
      </c>
      <c r="H106" s="3">
        <v>303.86</v>
      </c>
    </row>
    <row r="107" spans="1:8" x14ac:dyDescent="0.25">
      <c r="A107" s="26">
        <f t="shared" si="1"/>
        <v>104</v>
      </c>
      <c r="B107" s="1">
        <v>45169</v>
      </c>
      <c r="C107" s="3">
        <v>52.84</v>
      </c>
      <c r="D107" s="3">
        <v>37</v>
      </c>
      <c r="E107" s="3">
        <v>13.45</v>
      </c>
      <c r="F107" s="3">
        <v>241.16</v>
      </c>
      <c r="G107" s="3">
        <v>17</v>
      </c>
      <c r="H107" s="3">
        <v>313.26</v>
      </c>
    </row>
    <row r="108" spans="1:8" x14ac:dyDescent="0.25">
      <c r="A108" s="26">
        <f t="shared" si="1"/>
        <v>105</v>
      </c>
      <c r="B108" s="1">
        <v>45168</v>
      </c>
      <c r="C108" s="3">
        <v>54.15</v>
      </c>
      <c r="D108" s="3">
        <v>38.07</v>
      </c>
      <c r="E108" s="3">
        <v>13.96</v>
      </c>
      <c r="F108" s="3">
        <v>246.2</v>
      </c>
      <c r="G108" s="3">
        <v>16.96</v>
      </c>
      <c r="H108" s="3">
        <v>322.43</v>
      </c>
    </row>
    <row r="109" spans="1:8" x14ac:dyDescent="0.25">
      <c r="A109" s="26">
        <f t="shared" si="1"/>
        <v>106</v>
      </c>
      <c r="B109" s="1">
        <v>45167</v>
      </c>
      <c r="C109" s="3">
        <v>54.01</v>
      </c>
      <c r="D109" s="3">
        <v>38.29</v>
      </c>
      <c r="E109" s="3">
        <v>14.01</v>
      </c>
      <c r="F109" s="3">
        <v>243.72</v>
      </c>
      <c r="G109" s="3">
        <v>16.73</v>
      </c>
      <c r="H109" s="3">
        <v>315.52999999999997</v>
      </c>
    </row>
    <row r="110" spans="1:8" x14ac:dyDescent="0.25">
      <c r="A110" s="26">
        <f t="shared" si="1"/>
        <v>107</v>
      </c>
      <c r="B110" s="1">
        <v>45166</v>
      </c>
      <c r="C110" s="3">
        <v>53.22</v>
      </c>
      <c r="D110" s="3">
        <v>38.79</v>
      </c>
      <c r="E110" s="3">
        <v>13.84</v>
      </c>
      <c r="F110" s="3">
        <v>237.27</v>
      </c>
      <c r="G110" s="3">
        <v>16.21</v>
      </c>
      <c r="H110" s="3">
        <v>309.07</v>
      </c>
    </row>
    <row r="111" spans="1:8" x14ac:dyDescent="0.25">
      <c r="A111" s="26">
        <f t="shared" si="1"/>
        <v>108</v>
      </c>
      <c r="B111" s="1">
        <v>45163</v>
      </c>
      <c r="C111" s="3">
        <v>53</v>
      </c>
      <c r="D111" s="3">
        <v>37.99</v>
      </c>
      <c r="E111" s="3">
        <v>13.61</v>
      </c>
      <c r="F111" s="3">
        <v>233.27</v>
      </c>
      <c r="G111" s="3">
        <v>15.58</v>
      </c>
      <c r="H111" s="3">
        <v>306.64</v>
      </c>
    </row>
    <row r="112" spans="1:8" x14ac:dyDescent="0.25">
      <c r="A112" s="26">
        <f t="shared" si="1"/>
        <v>109</v>
      </c>
      <c r="B112" s="1">
        <v>45162</v>
      </c>
      <c r="C112" s="3">
        <v>52.85</v>
      </c>
      <c r="D112" s="3">
        <v>38.659999999999997</v>
      </c>
      <c r="E112" s="3">
        <v>13.49</v>
      </c>
      <c r="F112" s="3">
        <v>236.47</v>
      </c>
      <c r="G112" s="3">
        <v>15.83</v>
      </c>
      <c r="H112" s="3">
        <v>304.14999999999998</v>
      </c>
    </row>
    <row r="113" spans="1:8" x14ac:dyDescent="0.25">
      <c r="A113" s="26">
        <f t="shared" si="1"/>
        <v>110</v>
      </c>
      <c r="B113" s="1">
        <v>45161</v>
      </c>
      <c r="C113" s="3">
        <v>53.34</v>
      </c>
      <c r="D113" s="3">
        <v>38.14</v>
      </c>
      <c r="E113" s="3">
        <v>13.66</v>
      </c>
      <c r="F113" s="3">
        <v>236.34</v>
      </c>
      <c r="G113" s="3">
        <v>16.22</v>
      </c>
      <c r="H113" s="3">
        <v>303.35000000000002</v>
      </c>
    </row>
    <row r="114" spans="1:8" x14ac:dyDescent="0.25">
      <c r="A114" s="26">
        <f t="shared" si="1"/>
        <v>111</v>
      </c>
      <c r="B114" s="1">
        <v>45160</v>
      </c>
      <c r="C114" s="3">
        <v>52.88</v>
      </c>
      <c r="D114" s="3">
        <v>37.72</v>
      </c>
      <c r="E114" s="3">
        <v>13.63</v>
      </c>
      <c r="F114" s="3">
        <v>228.78</v>
      </c>
      <c r="G114" s="3">
        <v>16.350000000000001</v>
      </c>
      <c r="H114" s="3">
        <v>303.14999999999998</v>
      </c>
    </row>
    <row r="115" spans="1:8" x14ac:dyDescent="0.25">
      <c r="A115" s="26">
        <f t="shared" si="1"/>
        <v>112</v>
      </c>
      <c r="B115" s="1">
        <v>45159</v>
      </c>
      <c r="C115" s="3">
        <v>52.84</v>
      </c>
      <c r="D115" s="3">
        <v>39.450000000000003</v>
      </c>
      <c r="E115" s="3">
        <v>13.51</v>
      </c>
      <c r="F115" s="3">
        <v>218.73</v>
      </c>
      <c r="G115" s="3">
        <v>16.48</v>
      </c>
      <c r="H115" s="3">
        <v>301.76</v>
      </c>
    </row>
    <row r="116" spans="1:8" x14ac:dyDescent="0.25">
      <c r="A116" s="26">
        <f t="shared" si="1"/>
        <v>113</v>
      </c>
      <c r="B116" s="1">
        <v>45156</v>
      </c>
      <c r="C116" s="3">
        <v>52.92</v>
      </c>
      <c r="D116" s="3">
        <v>38.53</v>
      </c>
      <c r="E116" s="3">
        <v>13.26</v>
      </c>
      <c r="F116" s="3">
        <v>217.93</v>
      </c>
      <c r="G116" s="3">
        <v>16.899999999999999</v>
      </c>
      <c r="H116" s="3">
        <v>303.02</v>
      </c>
    </row>
    <row r="117" spans="1:8" x14ac:dyDescent="0.25">
      <c r="A117" s="26">
        <f t="shared" si="1"/>
        <v>114</v>
      </c>
      <c r="B117" s="1">
        <v>45155</v>
      </c>
      <c r="C117" s="3">
        <v>52.95</v>
      </c>
      <c r="D117" s="3">
        <v>38.54</v>
      </c>
      <c r="E117" s="3">
        <v>13.22</v>
      </c>
      <c r="F117" s="3">
        <v>215.3</v>
      </c>
      <c r="G117" s="3">
        <v>16.920000000000002</v>
      </c>
      <c r="H117" s="3">
        <v>303.33</v>
      </c>
    </row>
    <row r="118" spans="1:8" x14ac:dyDescent="0.25">
      <c r="A118" s="26">
        <f t="shared" si="1"/>
        <v>115</v>
      </c>
      <c r="B118" s="1">
        <v>45154</v>
      </c>
      <c r="C118" s="3">
        <v>53.55</v>
      </c>
      <c r="D118" s="3">
        <v>37.97</v>
      </c>
      <c r="E118" s="3">
        <v>13.8</v>
      </c>
      <c r="F118" s="3">
        <v>224.36</v>
      </c>
      <c r="G118" s="3">
        <v>17.43</v>
      </c>
      <c r="H118" s="3">
        <v>314.10000000000002</v>
      </c>
    </row>
    <row r="119" spans="1:8" x14ac:dyDescent="0.25">
      <c r="A119" s="26">
        <f t="shared" si="1"/>
        <v>116</v>
      </c>
      <c r="B119" s="1">
        <v>45153</v>
      </c>
      <c r="C119" s="3">
        <v>53.31</v>
      </c>
      <c r="D119" s="3">
        <v>38.96</v>
      </c>
      <c r="E119" s="3">
        <v>13.69</v>
      </c>
      <c r="F119" s="3">
        <v>224.98</v>
      </c>
      <c r="G119" s="3">
        <v>17.66</v>
      </c>
      <c r="H119" s="3">
        <v>314.69</v>
      </c>
    </row>
    <row r="120" spans="1:8" x14ac:dyDescent="0.25">
      <c r="A120" s="26">
        <f t="shared" si="1"/>
        <v>117</v>
      </c>
      <c r="B120" s="1">
        <v>45152</v>
      </c>
      <c r="C120" s="3">
        <v>53.06</v>
      </c>
      <c r="D120" s="3">
        <v>39.86</v>
      </c>
      <c r="E120" s="3">
        <v>13.59</v>
      </c>
      <c r="F120" s="3">
        <v>223.82</v>
      </c>
      <c r="G120" s="3">
        <v>17.89</v>
      </c>
      <c r="H120" s="3">
        <v>309.61</v>
      </c>
    </row>
    <row r="121" spans="1:8" x14ac:dyDescent="0.25">
      <c r="A121" s="26">
        <f t="shared" si="1"/>
        <v>118</v>
      </c>
      <c r="B121" s="1">
        <v>45149</v>
      </c>
      <c r="C121" s="3">
        <v>53.03</v>
      </c>
      <c r="D121" s="3">
        <v>39.81</v>
      </c>
      <c r="E121" s="3">
        <v>13.2</v>
      </c>
      <c r="F121" s="3">
        <v>224.4</v>
      </c>
      <c r="G121" s="3">
        <v>18.3</v>
      </c>
      <c r="H121" s="3">
        <v>306.43</v>
      </c>
    </row>
    <row r="122" spans="1:8" x14ac:dyDescent="0.25">
      <c r="A122" s="26">
        <f t="shared" si="1"/>
        <v>119</v>
      </c>
      <c r="B122" s="1">
        <v>45148</v>
      </c>
      <c r="C122" s="3">
        <v>53.59</v>
      </c>
      <c r="D122" s="3">
        <v>39.54</v>
      </c>
      <c r="E122" s="3">
        <v>13.3</v>
      </c>
      <c r="F122" s="3">
        <v>226.88</v>
      </c>
      <c r="G122" s="3">
        <v>19.13</v>
      </c>
      <c r="H122" s="3">
        <v>310.75</v>
      </c>
    </row>
    <row r="123" spans="1:8" x14ac:dyDescent="0.25">
      <c r="A123" s="26">
        <f t="shared" si="1"/>
        <v>120</v>
      </c>
      <c r="B123" s="1">
        <v>45147</v>
      </c>
      <c r="C123" s="3">
        <v>53.92</v>
      </c>
      <c r="D123" s="3">
        <v>40.020000000000003</v>
      </c>
      <c r="E123" s="3">
        <v>13.55</v>
      </c>
      <c r="F123" s="3">
        <v>226.52</v>
      </c>
      <c r="G123" s="3">
        <v>19.350000000000001</v>
      </c>
      <c r="H123" s="3">
        <v>310.85000000000002</v>
      </c>
    </row>
    <row r="124" spans="1:8" x14ac:dyDescent="0.25">
      <c r="A124" s="26">
        <f t="shared" si="1"/>
        <v>121</v>
      </c>
      <c r="B124" s="1">
        <v>45146</v>
      </c>
      <c r="C124" s="3">
        <v>53.4</v>
      </c>
      <c r="D124" s="3">
        <v>40.159999999999997</v>
      </c>
      <c r="E124" s="3">
        <v>13.51</v>
      </c>
      <c r="F124" s="3">
        <v>220.3</v>
      </c>
      <c r="G124" s="3">
        <v>19.579999999999998</v>
      </c>
      <c r="H124" s="3">
        <v>310.06</v>
      </c>
    </row>
    <row r="125" spans="1:8" x14ac:dyDescent="0.25">
      <c r="A125" s="26">
        <f t="shared" si="1"/>
        <v>122</v>
      </c>
      <c r="B125" s="1">
        <v>45145</v>
      </c>
      <c r="C125" s="3">
        <v>53.77</v>
      </c>
      <c r="D125" s="3">
        <v>40.799999999999997</v>
      </c>
      <c r="E125" s="3">
        <v>13.37</v>
      </c>
      <c r="F125" s="3">
        <v>223.12</v>
      </c>
      <c r="G125" s="3">
        <v>20.04</v>
      </c>
      <c r="H125" s="3">
        <v>310.04000000000002</v>
      </c>
    </row>
    <row r="126" spans="1:8" x14ac:dyDescent="0.25">
      <c r="A126" s="26">
        <f t="shared" si="1"/>
        <v>123</v>
      </c>
      <c r="B126" s="1">
        <v>45142</v>
      </c>
      <c r="C126" s="3">
        <v>53.73</v>
      </c>
      <c r="D126" s="3">
        <v>40.200000000000003</v>
      </c>
      <c r="E126" s="3">
        <v>13.08</v>
      </c>
      <c r="F126" s="3">
        <v>223.52</v>
      </c>
      <c r="G126" s="3">
        <v>19.64</v>
      </c>
      <c r="H126" s="3">
        <v>310.45999999999998</v>
      </c>
    </row>
    <row r="127" spans="1:8" x14ac:dyDescent="0.25">
      <c r="A127" s="26">
        <f t="shared" si="1"/>
        <v>124</v>
      </c>
      <c r="B127" s="1">
        <v>45141</v>
      </c>
      <c r="C127" s="3">
        <v>53.19</v>
      </c>
      <c r="D127" s="3">
        <v>38.83</v>
      </c>
      <c r="E127" s="3">
        <v>12.98</v>
      </c>
      <c r="F127" s="3">
        <v>220.02</v>
      </c>
      <c r="G127" s="3">
        <v>19.28</v>
      </c>
      <c r="H127" s="3">
        <v>308.72000000000003</v>
      </c>
    </row>
    <row r="128" spans="1:8" x14ac:dyDescent="0.25">
      <c r="A128" s="26">
        <f t="shared" si="1"/>
        <v>125</v>
      </c>
      <c r="B128" s="1">
        <v>45140</v>
      </c>
      <c r="C128" s="3">
        <v>53.06</v>
      </c>
      <c r="D128" s="3">
        <v>39.53</v>
      </c>
      <c r="E128" s="3">
        <v>12.88</v>
      </c>
      <c r="F128" s="3">
        <v>220.31</v>
      </c>
      <c r="G128" s="3">
        <v>19.36</v>
      </c>
      <c r="H128" s="3">
        <v>307.83</v>
      </c>
    </row>
    <row r="129" spans="1:8" x14ac:dyDescent="0.25">
      <c r="A129" s="26">
        <f t="shared" si="1"/>
        <v>126</v>
      </c>
      <c r="B129" s="1">
        <v>45139</v>
      </c>
      <c r="C129" s="3">
        <v>53.96</v>
      </c>
      <c r="D129" s="3">
        <v>40.96</v>
      </c>
      <c r="E129" s="3">
        <v>12.9</v>
      </c>
      <c r="F129" s="3">
        <v>232.81</v>
      </c>
      <c r="G129" s="3">
        <v>19.73</v>
      </c>
      <c r="H129" s="3">
        <v>313.58</v>
      </c>
    </row>
    <row r="130" spans="1:8" x14ac:dyDescent="0.25">
      <c r="A130" s="26">
        <f t="shared" si="1"/>
        <v>127</v>
      </c>
      <c r="B130" s="1">
        <v>45138</v>
      </c>
      <c r="C130" s="3">
        <v>54.57</v>
      </c>
      <c r="D130" s="3">
        <v>41.63</v>
      </c>
      <c r="E130" s="3">
        <v>12.72</v>
      </c>
      <c r="F130" s="3">
        <v>239.43</v>
      </c>
      <c r="G130" s="3">
        <v>20.14</v>
      </c>
      <c r="H130" s="3">
        <v>319.05</v>
      </c>
    </row>
    <row r="131" spans="1:8" x14ac:dyDescent="0.25">
      <c r="A131" s="26">
        <f t="shared" si="1"/>
        <v>128</v>
      </c>
      <c r="B131" s="1">
        <v>45135</v>
      </c>
      <c r="C131" s="3">
        <v>54.63</v>
      </c>
      <c r="D131" s="3">
        <v>40.590000000000003</v>
      </c>
      <c r="E131" s="3">
        <v>12.81</v>
      </c>
      <c r="F131" s="3">
        <v>233.2</v>
      </c>
      <c r="G131" s="3">
        <v>20.76</v>
      </c>
      <c r="H131" s="3">
        <v>315.98</v>
      </c>
    </row>
    <row r="132" spans="1:8" x14ac:dyDescent="0.25">
      <c r="A132" s="26">
        <f t="shared" si="1"/>
        <v>129</v>
      </c>
      <c r="B132" s="1">
        <v>45134</v>
      </c>
      <c r="C132" s="3">
        <v>54.46</v>
      </c>
      <c r="D132" s="3">
        <v>40.86</v>
      </c>
      <c r="E132" s="3">
        <v>12.78</v>
      </c>
      <c r="F132" s="3">
        <v>232.15</v>
      </c>
      <c r="G132" s="3">
        <v>20.84</v>
      </c>
      <c r="H132" s="3">
        <v>314.37</v>
      </c>
    </row>
    <row r="133" spans="1:8" x14ac:dyDescent="0.25">
      <c r="A133" s="26">
        <f t="shared" ref="A133:A196" si="2">+A132+1</f>
        <v>130</v>
      </c>
      <c r="B133" s="1">
        <v>45133</v>
      </c>
      <c r="C133" s="3">
        <v>54.36</v>
      </c>
      <c r="D133" s="3">
        <v>40.53</v>
      </c>
      <c r="E133" s="3">
        <v>12.82</v>
      </c>
      <c r="F133" s="3">
        <v>231.77</v>
      </c>
      <c r="G133" s="3">
        <v>21.85</v>
      </c>
      <c r="H133" s="3">
        <v>310.87</v>
      </c>
    </row>
    <row r="134" spans="1:8" x14ac:dyDescent="0.25">
      <c r="A134" s="26">
        <f t="shared" si="2"/>
        <v>131</v>
      </c>
      <c r="B134" s="1">
        <v>45132</v>
      </c>
      <c r="C134" s="3">
        <v>53.89</v>
      </c>
      <c r="D134" s="3">
        <v>40.869999999999997</v>
      </c>
      <c r="E134" s="3">
        <v>12.65</v>
      </c>
      <c r="F134" s="3">
        <v>238.79</v>
      </c>
      <c r="G134" s="3">
        <v>21.76</v>
      </c>
      <c r="H134" s="3">
        <v>296.56</v>
      </c>
    </row>
    <row r="135" spans="1:8" x14ac:dyDescent="0.25">
      <c r="A135" s="26">
        <f t="shared" si="2"/>
        <v>132</v>
      </c>
      <c r="B135" s="1">
        <v>45131</v>
      </c>
      <c r="C135" s="3">
        <v>53.46</v>
      </c>
      <c r="D135" s="3">
        <v>39.909999999999997</v>
      </c>
      <c r="E135" s="3">
        <v>12.44</v>
      </c>
      <c r="F135" s="3">
        <v>233.28</v>
      </c>
      <c r="G135" s="3">
        <v>23.07</v>
      </c>
      <c r="H135" s="3">
        <v>299.14999999999998</v>
      </c>
    </row>
    <row r="136" spans="1:8" x14ac:dyDescent="0.25">
      <c r="A136" s="26">
        <f t="shared" si="2"/>
        <v>133</v>
      </c>
      <c r="B136" s="1">
        <v>45128</v>
      </c>
      <c r="C136" s="3">
        <v>53.59</v>
      </c>
      <c r="D136" s="3">
        <v>40.64</v>
      </c>
      <c r="E136" s="3">
        <v>12.58</v>
      </c>
      <c r="F136" s="3">
        <v>234.21</v>
      </c>
      <c r="G136" s="3">
        <v>23.46</v>
      </c>
      <c r="H136" s="3">
        <v>307.01</v>
      </c>
    </row>
    <row r="137" spans="1:8" x14ac:dyDescent="0.25">
      <c r="A137" s="26">
        <f t="shared" si="2"/>
        <v>134</v>
      </c>
      <c r="B137" s="1">
        <v>45127</v>
      </c>
      <c r="C137" s="3">
        <v>53.48</v>
      </c>
      <c r="D137" s="3">
        <v>39.54</v>
      </c>
      <c r="E137" s="3">
        <v>12.6</v>
      </c>
      <c r="F137" s="3">
        <v>232.6</v>
      </c>
      <c r="G137" s="3">
        <v>23.08</v>
      </c>
      <c r="H137" s="3">
        <v>307.08999999999997</v>
      </c>
    </row>
    <row r="138" spans="1:8" x14ac:dyDescent="0.25">
      <c r="A138" s="26">
        <f t="shared" si="2"/>
        <v>135</v>
      </c>
      <c r="B138" s="1">
        <v>45126</v>
      </c>
      <c r="C138" s="3">
        <v>53.66</v>
      </c>
      <c r="D138" s="3">
        <v>40.369999999999997</v>
      </c>
      <c r="E138" s="3">
        <v>12.48</v>
      </c>
      <c r="F138" s="3">
        <v>238.19</v>
      </c>
      <c r="G138" s="3">
        <v>22.9</v>
      </c>
      <c r="H138" s="3">
        <v>313.62</v>
      </c>
    </row>
    <row r="139" spans="1:8" x14ac:dyDescent="0.25">
      <c r="A139" s="26">
        <f t="shared" si="2"/>
        <v>136</v>
      </c>
      <c r="B139" s="1">
        <v>45125</v>
      </c>
      <c r="C139" s="3">
        <v>53.96</v>
      </c>
      <c r="D139" s="3">
        <v>40.44</v>
      </c>
      <c r="E139" s="3">
        <v>12.52</v>
      </c>
      <c r="F139" s="3">
        <v>240.25</v>
      </c>
      <c r="G139" s="3">
        <v>22.79</v>
      </c>
      <c r="H139" s="3">
        <v>314.06</v>
      </c>
    </row>
    <row r="140" spans="1:8" x14ac:dyDescent="0.25">
      <c r="A140" s="26">
        <f t="shared" si="2"/>
        <v>137</v>
      </c>
      <c r="B140" s="1">
        <v>45124</v>
      </c>
      <c r="C140" s="3">
        <v>53.52</v>
      </c>
      <c r="D140" s="3">
        <v>40.9</v>
      </c>
      <c r="E140" s="3">
        <v>12.35</v>
      </c>
      <c r="F140" s="3">
        <v>240.14</v>
      </c>
      <c r="G140" s="3">
        <v>22.56</v>
      </c>
      <c r="H140" s="3">
        <v>309.13</v>
      </c>
    </row>
    <row r="141" spans="1:8" x14ac:dyDescent="0.25">
      <c r="A141" s="26">
        <f t="shared" si="2"/>
        <v>138</v>
      </c>
      <c r="B141" s="1">
        <v>45121</v>
      </c>
      <c r="C141" s="3">
        <v>53.63</v>
      </c>
      <c r="D141" s="3">
        <v>40.29</v>
      </c>
      <c r="E141" s="3">
        <v>12.22</v>
      </c>
      <c r="F141" s="3">
        <v>241.33</v>
      </c>
      <c r="G141" s="3">
        <v>22.71</v>
      </c>
      <c r="H141" s="3">
        <v>308.3</v>
      </c>
    </row>
    <row r="142" spans="1:8" x14ac:dyDescent="0.25">
      <c r="A142" s="26">
        <f t="shared" si="2"/>
        <v>139</v>
      </c>
      <c r="B142" s="1">
        <v>45120</v>
      </c>
      <c r="C142" s="3">
        <v>54.12</v>
      </c>
      <c r="D142" s="3">
        <v>39.58</v>
      </c>
      <c r="E142" s="3">
        <v>12.39</v>
      </c>
      <c r="F142" s="3">
        <v>244.32</v>
      </c>
      <c r="G142" s="3">
        <v>23.61</v>
      </c>
      <c r="H142" s="3">
        <v>314.44</v>
      </c>
    </row>
    <row r="143" spans="1:8" x14ac:dyDescent="0.25">
      <c r="A143" s="26">
        <f t="shared" si="2"/>
        <v>140</v>
      </c>
      <c r="B143" s="1">
        <v>45119</v>
      </c>
      <c r="C143" s="3">
        <v>53.73</v>
      </c>
      <c r="D143" s="3">
        <v>39.18</v>
      </c>
      <c r="E143" s="3">
        <v>11.88</v>
      </c>
      <c r="F143" s="3">
        <v>241.71</v>
      </c>
      <c r="G143" s="3">
        <v>23.3</v>
      </c>
      <c r="H143" s="3">
        <v>313.31</v>
      </c>
    </row>
    <row r="144" spans="1:8" x14ac:dyDescent="0.25">
      <c r="A144" s="26">
        <f t="shared" si="2"/>
        <v>141</v>
      </c>
      <c r="B144" s="1">
        <v>45118</v>
      </c>
      <c r="C144" s="3">
        <v>53.94</v>
      </c>
      <c r="D144" s="3">
        <v>38.770000000000003</v>
      </c>
      <c r="E144" s="3">
        <v>11.9</v>
      </c>
      <c r="F144" s="3">
        <v>237.29</v>
      </c>
      <c r="G144" s="3">
        <v>23.48</v>
      </c>
      <c r="H144" s="3">
        <v>316.05</v>
      </c>
    </row>
    <row r="145" spans="1:8" x14ac:dyDescent="0.25">
      <c r="A145" s="26">
        <f t="shared" si="2"/>
        <v>142</v>
      </c>
      <c r="B145" s="1">
        <v>45117</v>
      </c>
      <c r="C145" s="3">
        <v>53.39</v>
      </c>
      <c r="D145" s="3">
        <v>39.07</v>
      </c>
      <c r="E145" s="3">
        <v>11.7</v>
      </c>
      <c r="F145" s="3">
        <v>233.41</v>
      </c>
      <c r="G145" s="3">
        <v>22.91</v>
      </c>
      <c r="H145" s="3">
        <v>317.25</v>
      </c>
    </row>
    <row r="146" spans="1:8" x14ac:dyDescent="0.25">
      <c r="A146" s="26">
        <f t="shared" si="2"/>
        <v>143</v>
      </c>
      <c r="B146" s="1">
        <v>45114</v>
      </c>
      <c r="C146" s="3">
        <v>53.72</v>
      </c>
      <c r="D146" s="3">
        <v>39.270000000000003</v>
      </c>
      <c r="E146" s="3">
        <v>11.54</v>
      </c>
      <c r="F146" s="3">
        <v>232.92</v>
      </c>
      <c r="G146" s="3">
        <v>23.31</v>
      </c>
      <c r="H146" s="3">
        <v>319.58</v>
      </c>
    </row>
    <row r="147" spans="1:8" x14ac:dyDescent="0.25">
      <c r="A147" s="26">
        <f t="shared" si="2"/>
        <v>144</v>
      </c>
      <c r="B147" s="1">
        <v>45113</v>
      </c>
      <c r="C147" s="3">
        <v>53.23</v>
      </c>
      <c r="D147" s="3">
        <v>37.840000000000003</v>
      </c>
      <c r="E147" s="3">
        <v>11.35</v>
      </c>
      <c r="F147" s="3">
        <v>233.18</v>
      </c>
      <c r="G147" s="3">
        <v>23.08</v>
      </c>
      <c r="H147" s="3">
        <v>313.37</v>
      </c>
    </row>
    <row r="148" spans="1:8" x14ac:dyDescent="0.25">
      <c r="A148" s="26">
        <f t="shared" si="2"/>
        <v>145</v>
      </c>
      <c r="B148" s="1">
        <v>45112</v>
      </c>
      <c r="C148" s="3">
        <v>53.79</v>
      </c>
      <c r="D148" s="3">
        <v>38.340000000000003</v>
      </c>
      <c r="E148" s="3">
        <v>11.9</v>
      </c>
      <c r="F148" s="3">
        <v>241.65</v>
      </c>
      <c r="G148" s="3">
        <v>23.78</v>
      </c>
      <c r="H148" s="3">
        <v>317.3</v>
      </c>
    </row>
    <row r="149" spans="1:8" x14ac:dyDescent="0.25">
      <c r="A149" s="26">
        <f t="shared" si="2"/>
        <v>146</v>
      </c>
      <c r="B149" s="1">
        <v>45111</v>
      </c>
      <c r="C149" s="3">
        <v>53.7</v>
      </c>
      <c r="D149" s="3">
        <v>38.21</v>
      </c>
      <c r="E149" s="3">
        <v>12.11</v>
      </c>
      <c r="F149" s="3">
        <v>241.1</v>
      </c>
      <c r="G149" s="3">
        <v>23.98</v>
      </c>
      <c r="H149" s="3">
        <v>314.77</v>
      </c>
    </row>
    <row r="150" spans="1:8" x14ac:dyDescent="0.25">
      <c r="A150" s="26">
        <f t="shared" si="2"/>
        <v>147</v>
      </c>
      <c r="B150" s="1">
        <v>45110</v>
      </c>
      <c r="C150" s="3">
        <v>54.18</v>
      </c>
      <c r="D150" s="3">
        <v>38.229999999999997</v>
      </c>
      <c r="E150" s="3">
        <v>12.14</v>
      </c>
      <c r="F150" s="3">
        <v>240.23</v>
      </c>
      <c r="G150" s="3">
        <v>23.99</v>
      </c>
      <c r="H150" s="3">
        <v>325.85000000000002</v>
      </c>
    </row>
    <row r="151" spans="1:8" x14ac:dyDescent="0.25">
      <c r="A151" s="26">
        <f t="shared" si="2"/>
        <v>148</v>
      </c>
      <c r="B151" s="1">
        <v>45107</v>
      </c>
      <c r="C151" s="3">
        <v>53.33</v>
      </c>
      <c r="D151" s="3">
        <v>37.630000000000003</v>
      </c>
      <c r="E151" s="3">
        <v>12.1</v>
      </c>
      <c r="F151" s="3">
        <v>240.43</v>
      </c>
      <c r="G151" s="3">
        <v>23.97</v>
      </c>
      <c r="H151" s="3">
        <v>307.23</v>
      </c>
    </row>
    <row r="152" spans="1:8" x14ac:dyDescent="0.25">
      <c r="A152" s="26">
        <f t="shared" si="2"/>
        <v>149</v>
      </c>
      <c r="B152" s="1">
        <v>45106</v>
      </c>
      <c r="C152" s="3">
        <v>53.39</v>
      </c>
      <c r="D152" s="3">
        <v>39</v>
      </c>
      <c r="E152" s="3">
        <v>11.97</v>
      </c>
      <c r="F152" s="3">
        <v>239.98</v>
      </c>
      <c r="G152" s="3">
        <v>24.13</v>
      </c>
      <c r="H152" s="3">
        <v>304.19</v>
      </c>
    </row>
    <row r="153" spans="1:8" x14ac:dyDescent="0.25">
      <c r="A153" s="26">
        <f t="shared" si="2"/>
        <v>150</v>
      </c>
      <c r="B153" s="1">
        <v>45105</v>
      </c>
      <c r="C153" s="3">
        <v>53.26</v>
      </c>
      <c r="D153" s="3">
        <v>39</v>
      </c>
      <c r="E153" s="3">
        <v>11.88</v>
      </c>
      <c r="F153" s="3">
        <v>241.67</v>
      </c>
      <c r="G153" s="3">
        <v>24.25</v>
      </c>
      <c r="H153" s="3">
        <v>305.37</v>
      </c>
    </row>
    <row r="154" spans="1:8" x14ac:dyDescent="0.25">
      <c r="A154" s="26">
        <f t="shared" si="2"/>
        <v>151</v>
      </c>
      <c r="B154" s="1">
        <v>45104</v>
      </c>
      <c r="C154" s="3">
        <v>54.18</v>
      </c>
      <c r="D154" s="3">
        <v>39.32</v>
      </c>
      <c r="E154" s="3">
        <v>12.09</v>
      </c>
      <c r="F154" s="3">
        <v>243.84</v>
      </c>
      <c r="G154" s="3">
        <v>24.21</v>
      </c>
      <c r="H154" s="3">
        <v>308.13</v>
      </c>
    </row>
    <row r="155" spans="1:8" x14ac:dyDescent="0.25">
      <c r="A155" s="26">
        <f t="shared" si="2"/>
        <v>152</v>
      </c>
      <c r="B155" s="1">
        <v>45103</v>
      </c>
      <c r="C155" s="3">
        <v>53.59</v>
      </c>
      <c r="D155" s="3">
        <v>38.39</v>
      </c>
      <c r="E155" s="3">
        <v>11.84</v>
      </c>
      <c r="F155" s="3">
        <v>246.37</v>
      </c>
      <c r="G155" s="3">
        <v>23.97</v>
      </c>
      <c r="H155" s="3">
        <v>306.13</v>
      </c>
    </row>
    <row r="156" spans="1:8" x14ac:dyDescent="0.25">
      <c r="A156" s="26">
        <f t="shared" si="2"/>
        <v>153</v>
      </c>
      <c r="B156" s="1">
        <v>45100</v>
      </c>
      <c r="C156" s="3">
        <v>53.56</v>
      </c>
      <c r="D156" s="3">
        <v>38.21</v>
      </c>
      <c r="E156" s="3">
        <v>11.89</v>
      </c>
      <c r="F156" s="3">
        <v>247.03</v>
      </c>
      <c r="G156" s="3">
        <v>23.98</v>
      </c>
      <c r="H156" s="3">
        <v>307.67</v>
      </c>
    </row>
    <row r="157" spans="1:8" x14ac:dyDescent="0.25">
      <c r="A157" s="26">
        <f t="shared" si="2"/>
        <v>154</v>
      </c>
      <c r="B157" s="1">
        <v>45099</v>
      </c>
      <c r="C157" s="3">
        <v>53.82</v>
      </c>
      <c r="D157" s="3">
        <v>39</v>
      </c>
      <c r="E157" s="3">
        <v>11.86</v>
      </c>
      <c r="F157" s="3">
        <v>247.75</v>
      </c>
      <c r="G157" s="3">
        <v>24.17</v>
      </c>
      <c r="H157" s="3">
        <v>314.41000000000003</v>
      </c>
    </row>
    <row r="158" spans="1:8" x14ac:dyDescent="0.25">
      <c r="A158" s="26">
        <f t="shared" si="2"/>
        <v>155</v>
      </c>
      <c r="B158" s="1">
        <v>45098</v>
      </c>
      <c r="C158" s="3">
        <v>54.29</v>
      </c>
      <c r="D158" s="3">
        <v>39.5</v>
      </c>
      <c r="E158" s="3">
        <v>12.06</v>
      </c>
      <c r="F158" s="3">
        <v>258.47000000000003</v>
      </c>
      <c r="G158" s="3">
        <v>24.19</v>
      </c>
      <c r="H158" s="3">
        <v>316.77</v>
      </c>
    </row>
    <row r="159" spans="1:8" x14ac:dyDescent="0.25">
      <c r="A159" s="26">
        <f t="shared" si="2"/>
        <v>156</v>
      </c>
      <c r="B159" s="1">
        <v>45097</v>
      </c>
      <c r="C159" s="3">
        <v>54.56</v>
      </c>
      <c r="D159" s="3">
        <v>39.78</v>
      </c>
      <c r="E159" s="3">
        <v>12.08</v>
      </c>
      <c r="F159" s="3">
        <v>265.86</v>
      </c>
      <c r="G159" s="3">
        <v>24.48</v>
      </c>
      <c r="H159" s="3">
        <v>317.64</v>
      </c>
    </row>
    <row r="160" spans="1:8" x14ac:dyDescent="0.25">
      <c r="A160" s="26">
        <f t="shared" si="2"/>
        <v>157</v>
      </c>
      <c r="B160" s="1">
        <v>45096</v>
      </c>
      <c r="C160" s="3">
        <v>55.16</v>
      </c>
      <c r="D160" s="3">
        <v>39.700000000000003</v>
      </c>
      <c r="E160" s="3">
        <v>12.34</v>
      </c>
      <c r="F160" s="3">
        <v>265.48</v>
      </c>
      <c r="G160" s="3">
        <v>24.92</v>
      </c>
      <c r="H160" s="3">
        <v>324.47000000000003</v>
      </c>
    </row>
    <row r="161" spans="1:8" x14ac:dyDescent="0.25">
      <c r="A161" s="26">
        <f t="shared" si="2"/>
        <v>158</v>
      </c>
      <c r="B161" s="1">
        <v>45093</v>
      </c>
      <c r="C161" s="3">
        <v>55.13</v>
      </c>
      <c r="D161" s="3">
        <v>39.67</v>
      </c>
      <c r="E161" s="3">
        <v>12.4</v>
      </c>
      <c r="F161" s="3">
        <v>266.62</v>
      </c>
      <c r="G161" s="3">
        <v>24.98</v>
      </c>
      <c r="H161" s="3">
        <v>331.23</v>
      </c>
    </row>
    <row r="162" spans="1:8" x14ac:dyDescent="0.25">
      <c r="A162" s="26">
        <f t="shared" si="2"/>
        <v>159</v>
      </c>
      <c r="B162" s="1">
        <v>45092</v>
      </c>
      <c r="C162" s="3">
        <v>55.53</v>
      </c>
      <c r="D162" s="3">
        <v>39.71</v>
      </c>
      <c r="E162" s="3">
        <v>12.54</v>
      </c>
      <c r="F162" s="3">
        <v>270.11</v>
      </c>
      <c r="G162" s="3">
        <v>25.1</v>
      </c>
      <c r="H162" s="3">
        <v>327.76</v>
      </c>
    </row>
    <row r="163" spans="1:8" x14ac:dyDescent="0.25">
      <c r="A163" s="26">
        <f t="shared" si="2"/>
        <v>160</v>
      </c>
      <c r="B163" s="1">
        <v>45091</v>
      </c>
      <c r="C163" s="3">
        <v>55.31</v>
      </c>
      <c r="D163" s="3">
        <v>39.82</v>
      </c>
      <c r="E163" s="3">
        <v>12.5</v>
      </c>
      <c r="F163" s="3">
        <v>270.72000000000003</v>
      </c>
      <c r="G163" s="3">
        <v>25.49</v>
      </c>
      <c r="H163" s="3">
        <v>326.2</v>
      </c>
    </row>
    <row r="164" spans="1:8" x14ac:dyDescent="0.25">
      <c r="A164" s="26">
        <f t="shared" si="2"/>
        <v>161</v>
      </c>
      <c r="B164" s="1">
        <v>45090</v>
      </c>
      <c r="C164" s="3">
        <v>54.74</v>
      </c>
      <c r="D164" s="3">
        <v>39.4</v>
      </c>
      <c r="E164" s="3">
        <v>12.31</v>
      </c>
      <c r="F164" s="3">
        <v>275.31</v>
      </c>
      <c r="G164" s="3">
        <v>25.1</v>
      </c>
      <c r="H164" s="3">
        <v>319.77999999999997</v>
      </c>
    </row>
    <row r="165" spans="1:8" x14ac:dyDescent="0.25">
      <c r="A165" s="26">
        <f t="shared" si="2"/>
        <v>162</v>
      </c>
      <c r="B165" s="1">
        <v>45089</v>
      </c>
      <c r="C165" s="3">
        <v>54.47</v>
      </c>
      <c r="D165" s="3">
        <v>39.36</v>
      </c>
      <c r="E165" s="3">
        <v>11.99</v>
      </c>
      <c r="F165" s="3">
        <v>278.49</v>
      </c>
      <c r="G165" s="3">
        <v>25.04</v>
      </c>
      <c r="H165" s="3">
        <v>316</v>
      </c>
    </row>
    <row r="166" spans="1:8" x14ac:dyDescent="0.25">
      <c r="A166" s="26">
        <f t="shared" si="2"/>
        <v>163</v>
      </c>
      <c r="B166" s="1">
        <v>45086</v>
      </c>
      <c r="C166" s="3">
        <v>54.69</v>
      </c>
      <c r="D166" s="3">
        <v>39.57</v>
      </c>
      <c r="E166" s="3">
        <v>12.06</v>
      </c>
      <c r="F166" s="3">
        <v>292.16000000000003</v>
      </c>
      <c r="G166" s="3">
        <v>25.34</v>
      </c>
      <c r="H166" s="3">
        <v>307.22000000000003</v>
      </c>
    </row>
    <row r="167" spans="1:8" x14ac:dyDescent="0.25">
      <c r="A167" s="26">
        <f t="shared" si="2"/>
        <v>164</v>
      </c>
      <c r="B167" s="1">
        <v>45085</v>
      </c>
      <c r="C167" s="3">
        <v>54.59</v>
      </c>
      <c r="D167" s="3">
        <v>39.04</v>
      </c>
      <c r="E167" s="3">
        <v>12</v>
      </c>
      <c r="F167" s="3">
        <v>289.83</v>
      </c>
      <c r="G167" s="3">
        <v>25.32</v>
      </c>
      <c r="H167" s="3">
        <v>310.97000000000003</v>
      </c>
    </row>
    <row r="168" spans="1:8" x14ac:dyDescent="0.25">
      <c r="A168" s="26">
        <f t="shared" si="2"/>
        <v>165</v>
      </c>
      <c r="B168" s="1">
        <v>45084</v>
      </c>
      <c r="C168" s="3">
        <v>54.14</v>
      </c>
      <c r="D168" s="3">
        <v>38.99</v>
      </c>
      <c r="E168" s="3">
        <v>11.91</v>
      </c>
      <c r="F168" s="3">
        <v>274.75</v>
      </c>
      <c r="G168" s="3">
        <v>25.18</v>
      </c>
      <c r="H168" s="3">
        <v>314.48</v>
      </c>
    </row>
    <row r="169" spans="1:8" x14ac:dyDescent="0.25">
      <c r="A169" s="26">
        <f t="shared" si="2"/>
        <v>166</v>
      </c>
      <c r="B169" s="1">
        <v>45083</v>
      </c>
      <c r="C169" s="3">
        <v>54.28</v>
      </c>
      <c r="D169" s="3">
        <v>39.24</v>
      </c>
      <c r="E169" s="3">
        <v>11.66</v>
      </c>
      <c r="F169" s="3">
        <v>277.77</v>
      </c>
      <c r="G169" s="3">
        <v>25.16</v>
      </c>
      <c r="H169" s="3">
        <v>317.10000000000002</v>
      </c>
    </row>
    <row r="170" spans="1:8" x14ac:dyDescent="0.25">
      <c r="A170" s="26">
        <f t="shared" si="2"/>
        <v>167</v>
      </c>
      <c r="B170" s="1">
        <v>45082</v>
      </c>
      <c r="C170" s="3">
        <v>53.42</v>
      </c>
      <c r="D170" s="3">
        <v>39.08</v>
      </c>
      <c r="E170" s="3">
        <v>11.17</v>
      </c>
      <c r="F170" s="3">
        <v>271.04000000000002</v>
      </c>
      <c r="G170" s="3">
        <v>25.04</v>
      </c>
      <c r="H170" s="3">
        <v>304.76</v>
      </c>
    </row>
    <row r="171" spans="1:8" x14ac:dyDescent="0.25">
      <c r="A171" s="26">
        <f t="shared" si="2"/>
        <v>168</v>
      </c>
      <c r="B171" s="1">
        <v>45079</v>
      </c>
      <c r="C171" s="3">
        <v>53.12</v>
      </c>
      <c r="D171" s="3">
        <v>39.32</v>
      </c>
      <c r="E171" s="3">
        <v>11.14</v>
      </c>
      <c r="F171" s="3">
        <v>272.81</v>
      </c>
      <c r="G171" s="3">
        <v>25</v>
      </c>
      <c r="H171" s="3">
        <v>311.22000000000003</v>
      </c>
    </row>
    <row r="172" spans="1:8" x14ac:dyDescent="0.25">
      <c r="A172" s="26">
        <f t="shared" si="2"/>
        <v>169</v>
      </c>
      <c r="B172" s="1">
        <v>45078</v>
      </c>
      <c r="C172" s="3">
        <v>52.64</v>
      </c>
      <c r="D172" s="3">
        <v>38.479999999999997</v>
      </c>
      <c r="E172" s="3">
        <v>10.63</v>
      </c>
      <c r="F172" s="3">
        <v>270.14</v>
      </c>
      <c r="G172" s="3">
        <v>24.86</v>
      </c>
      <c r="H172" s="3">
        <v>301.39</v>
      </c>
    </row>
    <row r="173" spans="1:8" x14ac:dyDescent="0.25">
      <c r="A173" s="26">
        <f t="shared" si="2"/>
        <v>170</v>
      </c>
      <c r="B173" s="1">
        <v>45077</v>
      </c>
      <c r="C173" s="3">
        <v>52.68</v>
      </c>
      <c r="D173" s="3">
        <v>38.28</v>
      </c>
      <c r="E173" s="3">
        <v>10.64</v>
      </c>
      <c r="F173" s="3">
        <v>270.68</v>
      </c>
      <c r="G173" s="3">
        <v>24.4</v>
      </c>
      <c r="H173" s="3">
        <v>312.97000000000003</v>
      </c>
    </row>
    <row r="174" spans="1:8" x14ac:dyDescent="0.25">
      <c r="A174" s="26">
        <f t="shared" si="2"/>
        <v>171</v>
      </c>
      <c r="B174" s="1">
        <v>45076</v>
      </c>
      <c r="C174" s="3">
        <v>53.25</v>
      </c>
      <c r="D174" s="3">
        <v>38.020000000000003</v>
      </c>
      <c r="E174" s="3">
        <v>10.56</v>
      </c>
      <c r="F174" s="3">
        <v>291.02999999999997</v>
      </c>
      <c r="G174" s="3">
        <v>23.97</v>
      </c>
      <c r="H174" s="3">
        <v>311.74</v>
      </c>
    </row>
    <row r="175" spans="1:8" x14ac:dyDescent="0.25">
      <c r="A175" s="26">
        <f t="shared" si="2"/>
        <v>172</v>
      </c>
      <c r="B175" s="1">
        <v>45075</v>
      </c>
      <c r="C175" s="3">
        <v>54.16</v>
      </c>
      <c r="D175" s="3">
        <v>38.89</v>
      </c>
      <c r="E175" s="3">
        <v>10.91</v>
      </c>
      <c r="F175" s="3">
        <v>277.68</v>
      </c>
      <c r="G175" s="3">
        <v>23.99</v>
      </c>
      <c r="H175" s="3">
        <v>328.9</v>
      </c>
    </row>
    <row r="176" spans="1:8" x14ac:dyDescent="0.25">
      <c r="A176" s="26">
        <f t="shared" si="2"/>
        <v>173</v>
      </c>
      <c r="B176" s="1">
        <v>45072</v>
      </c>
      <c r="C176" s="3">
        <v>54.1</v>
      </c>
      <c r="D176" s="3">
        <v>39.049999999999997</v>
      </c>
      <c r="E176" s="3">
        <v>11.08</v>
      </c>
      <c r="F176" s="3">
        <v>267.83999999999997</v>
      </c>
      <c r="G176" s="3">
        <v>24.12</v>
      </c>
      <c r="H176" s="3">
        <v>318.47000000000003</v>
      </c>
    </row>
    <row r="177" spans="1:8" x14ac:dyDescent="0.25">
      <c r="A177" s="26">
        <f t="shared" si="2"/>
        <v>174</v>
      </c>
      <c r="B177" s="1">
        <v>45071</v>
      </c>
      <c r="C177" s="3">
        <v>53.81</v>
      </c>
      <c r="D177" s="3">
        <v>38.94</v>
      </c>
      <c r="E177" s="3">
        <v>11.1</v>
      </c>
      <c r="F177" s="3">
        <v>261.85000000000002</v>
      </c>
      <c r="G177" s="3">
        <v>23.07</v>
      </c>
      <c r="H177" s="3">
        <v>312.41000000000003</v>
      </c>
    </row>
    <row r="178" spans="1:8" x14ac:dyDescent="0.25">
      <c r="A178" s="26">
        <f t="shared" si="2"/>
        <v>175</v>
      </c>
      <c r="B178" s="1">
        <v>45070</v>
      </c>
      <c r="C178" s="3">
        <v>53.36</v>
      </c>
      <c r="D178" s="3">
        <v>39.58</v>
      </c>
      <c r="E178" s="3">
        <v>10.98</v>
      </c>
      <c r="F178" s="3">
        <v>257.8</v>
      </c>
      <c r="G178" s="3">
        <v>22.58</v>
      </c>
      <c r="H178" s="3">
        <v>312.83999999999997</v>
      </c>
    </row>
    <row r="179" spans="1:8" x14ac:dyDescent="0.25">
      <c r="A179" s="26">
        <f t="shared" si="2"/>
        <v>176</v>
      </c>
      <c r="B179" s="1">
        <v>45069</v>
      </c>
      <c r="C179" s="3">
        <v>53.16</v>
      </c>
      <c r="D179" s="3">
        <v>39.82</v>
      </c>
      <c r="E179" s="3">
        <v>11.05</v>
      </c>
      <c r="F179" s="3">
        <v>251.55</v>
      </c>
      <c r="G179" s="3">
        <v>22.66</v>
      </c>
      <c r="H179" s="3">
        <v>311.47000000000003</v>
      </c>
    </row>
    <row r="180" spans="1:8" x14ac:dyDescent="0.25">
      <c r="A180" s="26">
        <f t="shared" si="2"/>
        <v>177</v>
      </c>
      <c r="B180" s="1">
        <v>45068</v>
      </c>
      <c r="C180" s="3">
        <v>53.39</v>
      </c>
      <c r="D180" s="3">
        <v>41.37</v>
      </c>
      <c r="E180" s="3">
        <v>11.32</v>
      </c>
      <c r="F180" s="3">
        <v>264.81</v>
      </c>
      <c r="G180" s="3">
        <v>22.84</v>
      </c>
      <c r="H180" s="3">
        <v>319.47000000000003</v>
      </c>
    </row>
    <row r="181" spans="1:8" x14ac:dyDescent="0.25">
      <c r="A181" s="26">
        <f t="shared" si="2"/>
        <v>178</v>
      </c>
      <c r="B181" s="1">
        <v>45065</v>
      </c>
      <c r="C181" s="3">
        <v>54.31</v>
      </c>
      <c r="D181" s="3">
        <v>39.83</v>
      </c>
      <c r="E181" s="3">
        <v>11.5</v>
      </c>
      <c r="F181" s="3">
        <v>276.7</v>
      </c>
      <c r="G181" s="3">
        <v>23.25</v>
      </c>
      <c r="H181" s="3">
        <v>318.75</v>
      </c>
    </row>
    <row r="182" spans="1:8" x14ac:dyDescent="0.25">
      <c r="A182" s="26">
        <f t="shared" si="2"/>
        <v>179</v>
      </c>
      <c r="B182" s="1">
        <v>45064</v>
      </c>
      <c r="C182" s="3">
        <v>55.26</v>
      </c>
      <c r="D182" s="3">
        <v>39.82</v>
      </c>
      <c r="E182" s="3">
        <v>11.64</v>
      </c>
      <c r="F182" s="3">
        <v>276</v>
      </c>
      <c r="G182" s="3">
        <v>23.41</v>
      </c>
      <c r="H182" s="3">
        <v>327.94</v>
      </c>
    </row>
    <row r="183" spans="1:8" x14ac:dyDescent="0.25">
      <c r="A183" s="26">
        <f t="shared" si="2"/>
        <v>180</v>
      </c>
      <c r="B183" s="1">
        <v>45063</v>
      </c>
      <c r="C183" s="3">
        <v>55.02</v>
      </c>
      <c r="D183" s="3">
        <v>39.78</v>
      </c>
      <c r="E183" s="3">
        <v>11.59</v>
      </c>
      <c r="F183" s="3">
        <v>280.17</v>
      </c>
      <c r="G183" s="3">
        <v>23.1</v>
      </c>
      <c r="H183" s="3">
        <v>325.95</v>
      </c>
    </row>
    <row r="184" spans="1:8" x14ac:dyDescent="0.25">
      <c r="A184" s="26">
        <f t="shared" si="2"/>
        <v>181</v>
      </c>
      <c r="B184" s="1">
        <v>45062</v>
      </c>
      <c r="C184" s="3">
        <v>55.15</v>
      </c>
      <c r="D184" s="3">
        <v>39.75</v>
      </c>
      <c r="E184" s="3">
        <v>11.53</v>
      </c>
      <c r="F184" s="3">
        <v>278.36</v>
      </c>
      <c r="G184" s="3">
        <v>22.61</v>
      </c>
      <c r="H184" s="3">
        <v>322.7</v>
      </c>
    </row>
    <row r="185" spans="1:8" x14ac:dyDescent="0.25">
      <c r="A185" s="26">
        <f t="shared" si="2"/>
        <v>182</v>
      </c>
      <c r="B185" s="1">
        <v>45061</v>
      </c>
      <c r="C185" s="3">
        <v>55.21</v>
      </c>
      <c r="D185" s="3">
        <v>40.049999999999997</v>
      </c>
      <c r="E185" s="3">
        <v>11.43</v>
      </c>
      <c r="F185" s="3">
        <v>282.14</v>
      </c>
      <c r="G185" s="3">
        <v>22.02</v>
      </c>
      <c r="H185" s="3">
        <v>324.75</v>
      </c>
    </row>
    <row r="186" spans="1:8" x14ac:dyDescent="0.25">
      <c r="A186" s="26">
        <f t="shared" si="2"/>
        <v>183</v>
      </c>
      <c r="B186" s="1">
        <v>45058</v>
      </c>
      <c r="C186" s="3">
        <v>54.94</v>
      </c>
      <c r="D186" s="3">
        <v>39.47</v>
      </c>
      <c r="E186" s="3">
        <v>11.59</v>
      </c>
      <c r="F186" s="3">
        <v>269.20999999999998</v>
      </c>
      <c r="G186" s="3">
        <v>21.14</v>
      </c>
      <c r="H186" s="3">
        <v>320.57</v>
      </c>
    </row>
    <row r="187" spans="1:8" x14ac:dyDescent="0.25">
      <c r="A187" s="26">
        <f t="shared" si="2"/>
        <v>184</v>
      </c>
      <c r="B187" s="1">
        <v>45057</v>
      </c>
      <c r="C187" s="3">
        <v>54.96</v>
      </c>
      <c r="D187" s="3">
        <v>39.5</v>
      </c>
      <c r="E187" s="3">
        <v>11.64</v>
      </c>
      <c r="F187" s="3">
        <v>269.93</v>
      </c>
      <c r="G187" s="3">
        <v>21.34</v>
      </c>
      <c r="H187" s="3">
        <v>321.51</v>
      </c>
    </row>
    <row r="188" spans="1:8" x14ac:dyDescent="0.25">
      <c r="A188" s="26">
        <f t="shared" si="2"/>
        <v>185</v>
      </c>
      <c r="B188" s="1">
        <v>45056</v>
      </c>
      <c r="C188" s="3">
        <v>55.42</v>
      </c>
      <c r="D188" s="3">
        <v>39.700000000000003</v>
      </c>
      <c r="E188" s="3">
        <v>11.56</v>
      </c>
      <c r="F188" s="3">
        <v>281.04000000000002</v>
      </c>
      <c r="G188" s="3">
        <v>21.23</v>
      </c>
      <c r="H188" s="3">
        <v>323.77</v>
      </c>
    </row>
    <row r="189" spans="1:8" x14ac:dyDescent="0.25">
      <c r="A189" s="26">
        <f t="shared" si="2"/>
        <v>186</v>
      </c>
      <c r="B189" s="1">
        <v>45055</v>
      </c>
      <c r="C189" s="3">
        <v>55.34</v>
      </c>
      <c r="D189" s="3">
        <v>39.32</v>
      </c>
      <c r="E189" s="3">
        <v>11.95</v>
      </c>
      <c r="F189" s="3">
        <v>281.41000000000003</v>
      </c>
      <c r="G189" s="3">
        <v>20.93</v>
      </c>
      <c r="H189" s="3">
        <v>322.41000000000003</v>
      </c>
    </row>
    <row r="190" spans="1:8" x14ac:dyDescent="0.25">
      <c r="A190" s="26">
        <f t="shared" si="2"/>
        <v>187</v>
      </c>
      <c r="B190" s="1">
        <v>45054</v>
      </c>
      <c r="C190" s="3">
        <v>54.93</v>
      </c>
      <c r="D190" s="3">
        <v>39.03</v>
      </c>
      <c r="E190" s="3">
        <v>11.63</v>
      </c>
      <c r="F190" s="3">
        <v>276.98</v>
      </c>
      <c r="G190" s="3">
        <v>21.19</v>
      </c>
      <c r="H190" s="3">
        <v>319.52999999999997</v>
      </c>
    </row>
    <row r="191" spans="1:8" x14ac:dyDescent="0.25">
      <c r="A191" s="26">
        <f t="shared" si="2"/>
        <v>188</v>
      </c>
      <c r="B191" s="1">
        <v>45051</v>
      </c>
      <c r="C191" s="3">
        <v>54.8</v>
      </c>
      <c r="D191" s="3">
        <v>39.130000000000003</v>
      </c>
      <c r="E191" s="3">
        <v>11.67</v>
      </c>
      <c r="F191" s="3">
        <v>269.27999999999997</v>
      </c>
      <c r="G191" s="3">
        <v>20.83</v>
      </c>
      <c r="H191" s="3">
        <v>314.55</v>
      </c>
    </row>
    <row r="192" spans="1:8" x14ac:dyDescent="0.25">
      <c r="A192" s="26">
        <f t="shared" si="2"/>
        <v>189</v>
      </c>
      <c r="B192" s="1">
        <v>45050</v>
      </c>
      <c r="C192" s="3">
        <v>54.55</v>
      </c>
      <c r="D192" s="3">
        <v>39.01</v>
      </c>
      <c r="E192" s="3">
        <v>11.31</v>
      </c>
      <c r="F192" s="3">
        <v>267.04000000000002</v>
      </c>
      <c r="G192" s="3">
        <v>20.43</v>
      </c>
      <c r="H192" s="3">
        <v>310.74</v>
      </c>
    </row>
    <row r="193" spans="1:8" x14ac:dyDescent="0.25">
      <c r="A193" s="26">
        <f t="shared" si="2"/>
        <v>190</v>
      </c>
      <c r="B193" s="1">
        <v>45049</v>
      </c>
      <c r="C193" s="3">
        <v>54.73</v>
      </c>
      <c r="D193" s="3">
        <v>39.369999999999997</v>
      </c>
      <c r="E193" s="3">
        <v>11.29</v>
      </c>
      <c r="F193" s="3">
        <v>269.04000000000002</v>
      </c>
      <c r="G193" s="3">
        <v>21.5</v>
      </c>
      <c r="H193" s="3">
        <v>317.81</v>
      </c>
    </row>
    <row r="194" spans="1:8" x14ac:dyDescent="0.25">
      <c r="A194" s="26">
        <f t="shared" si="2"/>
        <v>191</v>
      </c>
      <c r="B194" s="1">
        <v>45048</v>
      </c>
      <c r="C194" s="3">
        <v>54.95</v>
      </c>
      <c r="D194" s="3">
        <v>39.18</v>
      </c>
      <c r="E194" s="3">
        <v>11.47</v>
      </c>
      <c r="F194" s="3">
        <v>271.95</v>
      </c>
      <c r="G194" s="3">
        <v>21.68</v>
      </c>
      <c r="H194" s="3">
        <v>323.47000000000003</v>
      </c>
    </row>
    <row r="195" spans="1:8" x14ac:dyDescent="0.25">
      <c r="A195" s="26">
        <f t="shared" si="2"/>
        <v>192</v>
      </c>
      <c r="B195" s="1">
        <v>45044</v>
      </c>
      <c r="C195" s="3">
        <v>54.9</v>
      </c>
      <c r="D195" s="3">
        <v>39.18</v>
      </c>
      <c r="E195" s="3">
        <v>10.8</v>
      </c>
      <c r="F195" s="3">
        <v>276.29000000000002</v>
      </c>
      <c r="G195" s="3">
        <v>21.18</v>
      </c>
      <c r="H195" s="3">
        <v>319.89</v>
      </c>
    </row>
    <row r="196" spans="1:8" x14ac:dyDescent="0.25">
      <c r="A196" s="26">
        <f t="shared" si="2"/>
        <v>193</v>
      </c>
      <c r="B196" s="1">
        <v>45043</v>
      </c>
      <c r="C196" s="3">
        <v>54.2</v>
      </c>
      <c r="D196" s="3">
        <v>39.82</v>
      </c>
      <c r="E196" s="3">
        <v>10.62</v>
      </c>
      <c r="F196" s="3">
        <v>276.70999999999998</v>
      </c>
      <c r="G196" s="3">
        <v>20.52</v>
      </c>
      <c r="H196" s="3">
        <v>313.72000000000003</v>
      </c>
    </row>
    <row r="197" spans="1:8" x14ac:dyDescent="0.25">
      <c r="A197" s="26">
        <f t="shared" ref="A197:A255" si="3">+A196+1</f>
        <v>194</v>
      </c>
      <c r="B197" s="1">
        <v>45042</v>
      </c>
      <c r="C197" s="3">
        <v>53.78</v>
      </c>
      <c r="D197" s="3">
        <v>39.11</v>
      </c>
      <c r="E197" s="3">
        <v>10.53</v>
      </c>
      <c r="F197" s="3">
        <v>279.22000000000003</v>
      </c>
      <c r="G197" s="3">
        <v>19.73</v>
      </c>
      <c r="H197" s="3">
        <v>311.08</v>
      </c>
    </row>
    <row r="198" spans="1:8" x14ac:dyDescent="0.25">
      <c r="A198" s="26">
        <f t="shared" si="3"/>
        <v>195</v>
      </c>
      <c r="B198" s="1">
        <v>45041</v>
      </c>
      <c r="C198" s="3">
        <v>54.28</v>
      </c>
      <c r="D198" s="3">
        <v>39.74</v>
      </c>
      <c r="E198" s="3">
        <v>10.51</v>
      </c>
      <c r="F198" s="3">
        <v>285</v>
      </c>
      <c r="G198" s="3">
        <v>19.760000000000002</v>
      </c>
      <c r="H198" s="3">
        <v>312.8</v>
      </c>
    </row>
    <row r="199" spans="1:8" x14ac:dyDescent="0.25">
      <c r="A199" s="26">
        <f t="shared" si="3"/>
        <v>196</v>
      </c>
      <c r="B199" s="1">
        <v>45040</v>
      </c>
      <c r="C199" s="3">
        <v>54.56</v>
      </c>
      <c r="D199" s="3">
        <v>39.9</v>
      </c>
      <c r="E199" s="3">
        <v>10.4</v>
      </c>
      <c r="F199" s="3">
        <v>281.32</v>
      </c>
      <c r="G199" s="3">
        <v>21.25</v>
      </c>
      <c r="H199" s="3">
        <v>316.37</v>
      </c>
    </row>
    <row r="200" spans="1:8" x14ac:dyDescent="0.25">
      <c r="A200" s="26">
        <f t="shared" si="3"/>
        <v>197</v>
      </c>
      <c r="B200" s="1">
        <v>45037</v>
      </c>
      <c r="C200" s="3">
        <v>54.07</v>
      </c>
      <c r="D200" s="3">
        <v>39.6</v>
      </c>
      <c r="E200" s="3">
        <v>10.37</v>
      </c>
      <c r="F200" s="3">
        <v>276.77999999999997</v>
      </c>
      <c r="G200" s="3">
        <v>21.14</v>
      </c>
      <c r="H200" s="3">
        <v>313.52</v>
      </c>
    </row>
    <row r="201" spans="1:8" x14ac:dyDescent="0.25">
      <c r="A201" s="26">
        <f t="shared" si="3"/>
        <v>198</v>
      </c>
      <c r="B201" s="1">
        <v>45036</v>
      </c>
      <c r="C201" s="3">
        <v>54.17</v>
      </c>
      <c r="D201" s="3">
        <v>39.71</v>
      </c>
      <c r="E201" s="3">
        <v>10.47</v>
      </c>
      <c r="F201" s="3">
        <v>273.7</v>
      </c>
      <c r="G201" s="3">
        <v>21.39</v>
      </c>
      <c r="H201" s="3">
        <v>324.33</v>
      </c>
    </row>
    <row r="202" spans="1:8" x14ac:dyDescent="0.25">
      <c r="A202" s="26">
        <f t="shared" si="3"/>
        <v>199</v>
      </c>
      <c r="B202" s="1">
        <v>45035</v>
      </c>
      <c r="C202" s="3">
        <v>54.22</v>
      </c>
      <c r="D202" s="3">
        <v>39.700000000000003</v>
      </c>
      <c r="E202" s="3">
        <v>10.63</v>
      </c>
      <c r="F202" s="3">
        <v>274.58999999999997</v>
      </c>
      <c r="G202" s="3">
        <v>21.42</v>
      </c>
      <c r="H202" s="3">
        <v>335.38</v>
      </c>
    </row>
    <row r="203" spans="1:8" x14ac:dyDescent="0.25">
      <c r="A203" s="26">
        <f t="shared" si="3"/>
        <v>200</v>
      </c>
      <c r="B203" s="1">
        <v>45034</v>
      </c>
      <c r="C203" s="3">
        <v>54.21</v>
      </c>
      <c r="D203" s="3">
        <v>39.68</v>
      </c>
      <c r="E203" s="3">
        <v>10.65</v>
      </c>
      <c r="F203" s="3">
        <v>278.18</v>
      </c>
      <c r="G203" s="3">
        <v>21.4</v>
      </c>
      <c r="H203" s="3">
        <v>334.14</v>
      </c>
    </row>
    <row r="204" spans="1:8" x14ac:dyDescent="0.25">
      <c r="A204" s="26">
        <f t="shared" si="3"/>
        <v>201</v>
      </c>
      <c r="B204" s="1">
        <v>45033</v>
      </c>
      <c r="C204" s="3">
        <v>54.62</v>
      </c>
      <c r="D204" s="3">
        <v>40.19</v>
      </c>
      <c r="E204" s="3">
        <v>10.84</v>
      </c>
      <c r="F204" s="3">
        <v>277.95</v>
      </c>
      <c r="G204" s="3">
        <v>21.87</v>
      </c>
      <c r="H204" s="3">
        <v>352.38</v>
      </c>
    </row>
    <row r="205" spans="1:8" x14ac:dyDescent="0.25">
      <c r="A205" s="26">
        <f t="shared" si="3"/>
        <v>202</v>
      </c>
      <c r="B205" s="1">
        <v>45030</v>
      </c>
      <c r="C205" s="3">
        <v>54.3</v>
      </c>
      <c r="D205" s="3">
        <v>39.86</v>
      </c>
      <c r="E205" s="3">
        <v>10.79</v>
      </c>
      <c r="F205" s="3">
        <v>279.29000000000002</v>
      </c>
      <c r="G205" s="3">
        <v>21.77</v>
      </c>
      <c r="H205" s="3">
        <v>349.06</v>
      </c>
    </row>
    <row r="206" spans="1:8" x14ac:dyDescent="0.25">
      <c r="A206" s="26">
        <f t="shared" si="3"/>
        <v>203</v>
      </c>
      <c r="B206" s="1">
        <v>45029</v>
      </c>
      <c r="C206" s="3">
        <v>54.51</v>
      </c>
      <c r="D206" s="3">
        <v>40.840000000000003</v>
      </c>
      <c r="E206" s="3">
        <v>10.74</v>
      </c>
      <c r="F206" s="3">
        <v>283.5</v>
      </c>
      <c r="G206" s="3">
        <v>22.73</v>
      </c>
      <c r="H206" s="3">
        <v>349.92</v>
      </c>
    </row>
    <row r="207" spans="1:8" x14ac:dyDescent="0.25">
      <c r="A207" s="26">
        <f t="shared" si="3"/>
        <v>204</v>
      </c>
      <c r="B207" s="1">
        <v>45028</v>
      </c>
      <c r="C207" s="3">
        <v>54.11</v>
      </c>
      <c r="D207" s="3">
        <v>40.64</v>
      </c>
      <c r="E207" s="3">
        <v>10.19</v>
      </c>
      <c r="F207" s="3">
        <v>280.62</v>
      </c>
      <c r="G207" s="3">
        <v>20.49</v>
      </c>
      <c r="H207" s="3">
        <v>351.15</v>
      </c>
    </row>
    <row r="208" spans="1:8" x14ac:dyDescent="0.25">
      <c r="A208" s="26">
        <f t="shared" si="3"/>
        <v>205</v>
      </c>
      <c r="B208" s="1">
        <v>45027</v>
      </c>
      <c r="C208" s="3">
        <v>54.4</v>
      </c>
      <c r="D208" s="3">
        <v>40.98</v>
      </c>
      <c r="E208" s="3">
        <v>10.039999999999999</v>
      </c>
      <c r="F208" s="3">
        <v>280.64</v>
      </c>
      <c r="G208" s="3">
        <v>20.65</v>
      </c>
      <c r="H208" s="3">
        <v>351.97</v>
      </c>
    </row>
    <row r="209" spans="1:8" x14ac:dyDescent="0.25">
      <c r="A209" s="26">
        <f t="shared" si="3"/>
        <v>206</v>
      </c>
      <c r="B209" s="1">
        <v>45026</v>
      </c>
      <c r="C209" s="3">
        <v>53.96</v>
      </c>
      <c r="D209" s="3">
        <v>41.18</v>
      </c>
      <c r="E209" s="3">
        <v>9.82</v>
      </c>
      <c r="F209" s="3">
        <v>271.33</v>
      </c>
      <c r="G209" s="3">
        <v>20.329999999999998</v>
      </c>
      <c r="H209" s="3">
        <v>358.15</v>
      </c>
    </row>
    <row r="210" spans="1:8" x14ac:dyDescent="0.25">
      <c r="A210" s="26">
        <f t="shared" si="3"/>
        <v>207</v>
      </c>
      <c r="B210" s="1">
        <v>45021</v>
      </c>
      <c r="C210" s="3">
        <v>53.36</v>
      </c>
      <c r="D210" s="3">
        <v>40.93</v>
      </c>
      <c r="E210" s="3">
        <v>9.58</v>
      </c>
      <c r="F210" s="3">
        <v>268.42</v>
      </c>
      <c r="G210" s="3">
        <v>20.32</v>
      </c>
      <c r="H210" s="3">
        <v>350.09</v>
      </c>
    </row>
    <row r="211" spans="1:8" x14ac:dyDescent="0.25">
      <c r="A211" s="26">
        <f t="shared" si="3"/>
        <v>208</v>
      </c>
      <c r="B211" s="1">
        <v>45020</v>
      </c>
      <c r="C211" s="3">
        <v>53.92</v>
      </c>
      <c r="D211" s="3">
        <v>41.12</v>
      </c>
      <c r="E211" s="3">
        <v>9.77</v>
      </c>
      <c r="F211" s="3">
        <v>272.99</v>
      </c>
      <c r="G211" s="3">
        <v>21.08</v>
      </c>
      <c r="H211" s="3">
        <v>356.02</v>
      </c>
    </row>
    <row r="212" spans="1:8" x14ac:dyDescent="0.25">
      <c r="A212" s="26">
        <f t="shared" si="3"/>
        <v>209</v>
      </c>
      <c r="B212" s="1">
        <v>45019</v>
      </c>
      <c r="C212" s="3">
        <v>53.61</v>
      </c>
      <c r="D212" s="3">
        <v>41.06</v>
      </c>
      <c r="E212" s="3">
        <v>9.75</v>
      </c>
      <c r="F212" s="3">
        <v>261.93</v>
      </c>
      <c r="G212" s="3">
        <v>21.05</v>
      </c>
      <c r="H212" s="3">
        <v>352.56</v>
      </c>
    </row>
    <row r="213" spans="1:8" x14ac:dyDescent="0.25">
      <c r="A213" s="26">
        <f t="shared" si="3"/>
        <v>210</v>
      </c>
      <c r="B213" s="1">
        <v>45016</v>
      </c>
      <c r="C213" s="3">
        <v>53.64</v>
      </c>
      <c r="D213" s="3">
        <v>41.97</v>
      </c>
      <c r="E213" s="3">
        <v>9.89</v>
      </c>
      <c r="F213" s="3">
        <v>265.8</v>
      </c>
      <c r="G213" s="3">
        <v>22.2</v>
      </c>
      <c r="H213" s="3">
        <v>350.61</v>
      </c>
    </row>
    <row r="214" spans="1:8" x14ac:dyDescent="0.25">
      <c r="A214" s="26">
        <f t="shared" si="3"/>
        <v>211</v>
      </c>
      <c r="B214" s="1">
        <v>45015</v>
      </c>
      <c r="C214" s="3">
        <v>53.95</v>
      </c>
      <c r="D214" s="3">
        <v>42.08</v>
      </c>
      <c r="E214" s="3">
        <v>9.7899999999999991</v>
      </c>
      <c r="F214" s="3">
        <v>268.95</v>
      </c>
      <c r="G214" s="3">
        <v>21.88</v>
      </c>
      <c r="H214" s="3">
        <v>352.44</v>
      </c>
    </row>
    <row r="215" spans="1:8" x14ac:dyDescent="0.25">
      <c r="A215" s="26">
        <f t="shared" si="3"/>
        <v>212</v>
      </c>
      <c r="B215" s="1">
        <v>45014</v>
      </c>
      <c r="C215" s="3">
        <v>53.58</v>
      </c>
      <c r="D215" s="3">
        <v>41.94</v>
      </c>
      <c r="E215" s="3">
        <v>9.6999999999999993</v>
      </c>
      <c r="F215" s="3">
        <v>261.08</v>
      </c>
      <c r="G215" s="3">
        <v>21.46</v>
      </c>
      <c r="H215" s="3">
        <v>354.35</v>
      </c>
    </row>
    <row r="216" spans="1:8" x14ac:dyDescent="0.25">
      <c r="A216" s="26">
        <f t="shared" si="3"/>
        <v>213</v>
      </c>
      <c r="B216" s="1">
        <v>45013</v>
      </c>
      <c r="C216" s="3">
        <v>53.09</v>
      </c>
      <c r="D216" s="3">
        <v>42.7</v>
      </c>
      <c r="E216" s="3">
        <v>9.35</v>
      </c>
      <c r="F216" s="3">
        <v>270.33999999999997</v>
      </c>
      <c r="G216" s="3">
        <v>21.03</v>
      </c>
      <c r="H216" s="3">
        <v>352.78</v>
      </c>
    </row>
    <row r="217" spans="1:8" x14ac:dyDescent="0.25">
      <c r="A217" s="26">
        <f t="shared" si="3"/>
        <v>214</v>
      </c>
      <c r="B217" s="1">
        <v>45012</v>
      </c>
      <c r="C217" s="3">
        <v>52.73</v>
      </c>
      <c r="D217" s="3">
        <v>41.96</v>
      </c>
      <c r="E217" s="3">
        <v>9.2200000000000006</v>
      </c>
      <c r="F217" s="3">
        <v>257.27999999999997</v>
      </c>
      <c r="G217" s="3">
        <v>20.81</v>
      </c>
      <c r="H217" s="3">
        <v>342.62</v>
      </c>
    </row>
    <row r="218" spans="1:8" x14ac:dyDescent="0.25">
      <c r="A218" s="26">
        <f t="shared" si="3"/>
        <v>215</v>
      </c>
      <c r="B218" s="1">
        <v>45009</v>
      </c>
      <c r="C218" s="3">
        <v>52.64</v>
      </c>
      <c r="D218" s="3">
        <v>40.85</v>
      </c>
      <c r="E218" s="3">
        <v>9.24</v>
      </c>
      <c r="F218" s="3">
        <v>257.29000000000002</v>
      </c>
      <c r="G218" s="3">
        <v>20.67</v>
      </c>
      <c r="H218" s="3">
        <v>336.85</v>
      </c>
    </row>
    <row r="219" spans="1:8" x14ac:dyDescent="0.25">
      <c r="A219" s="26">
        <f t="shared" si="3"/>
        <v>216</v>
      </c>
      <c r="B219" s="1">
        <v>45008</v>
      </c>
      <c r="C219" s="3">
        <v>52.73</v>
      </c>
      <c r="D219" s="3">
        <v>41.01</v>
      </c>
      <c r="E219" s="3">
        <v>9.43</v>
      </c>
      <c r="F219" s="3">
        <v>258.10000000000002</v>
      </c>
      <c r="G219" s="3">
        <v>20.82</v>
      </c>
      <c r="H219" s="3">
        <v>336.16</v>
      </c>
    </row>
    <row r="220" spans="1:8" x14ac:dyDescent="0.25">
      <c r="A220" s="26">
        <f t="shared" si="3"/>
        <v>217</v>
      </c>
      <c r="B220" s="1">
        <v>45007</v>
      </c>
      <c r="C220" s="3">
        <v>52.39</v>
      </c>
      <c r="D220" s="3">
        <v>40.53</v>
      </c>
      <c r="E220" s="3">
        <v>9.33</v>
      </c>
      <c r="F220" s="3">
        <v>259.52999999999997</v>
      </c>
      <c r="G220" s="3">
        <v>20.65</v>
      </c>
      <c r="H220" s="3">
        <v>334.43</v>
      </c>
    </row>
    <row r="221" spans="1:8" x14ac:dyDescent="0.25">
      <c r="A221" s="26">
        <f t="shared" si="3"/>
        <v>218</v>
      </c>
      <c r="B221" s="1">
        <v>45006</v>
      </c>
      <c r="C221" s="3">
        <v>52.48</v>
      </c>
      <c r="D221" s="3">
        <v>39.4</v>
      </c>
      <c r="E221" s="3">
        <v>9.32</v>
      </c>
      <c r="F221" s="3">
        <v>257.42</v>
      </c>
      <c r="G221" s="3">
        <v>20.260000000000002</v>
      </c>
      <c r="H221" s="3">
        <v>331.6</v>
      </c>
    </row>
    <row r="222" spans="1:8" x14ac:dyDescent="0.25">
      <c r="A222" s="26">
        <f t="shared" si="3"/>
        <v>219</v>
      </c>
      <c r="B222" s="1">
        <v>45002</v>
      </c>
      <c r="C222" s="3">
        <v>51.77</v>
      </c>
      <c r="D222" s="3">
        <v>39.89</v>
      </c>
      <c r="E222" s="3">
        <v>9.18</v>
      </c>
      <c r="F222" s="3">
        <v>259.86</v>
      </c>
      <c r="G222" s="3">
        <v>19.36</v>
      </c>
      <c r="H222" s="3">
        <v>335.04</v>
      </c>
    </row>
    <row r="223" spans="1:8" x14ac:dyDescent="0.25">
      <c r="A223" s="26">
        <f t="shared" si="3"/>
        <v>220</v>
      </c>
      <c r="B223" s="1">
        <v>45001</v>
      </c>
      <c r="C223" s="3">
        <v>52.4</v>
      </c>
      <c r="D223" s="3">
        <v>40.17</v>
      </c>
      <c r="E223" s="3">
        <v>9.3000000000000007</v>
      </c>
      <c r="F223" s="3">
        <v>238.72</v>
      </c>
      <c r="G223" s="3">
        <v>20.14</v>
      </c>
      <c r="H223" s="3">
        <v>337.23</v>
      </c>
    </row>
    <row r="224" spans="1:8" x14ac:dyDescent="0.25">
      <c r="A224" s="26">
        <f t="shared" si="3"/>
        <v>221</v>
      </c>
      <c r="B224" s="1">
        <v>45000</v>
      </c>
      <c r="C224" s="3">
        <v>51.98</v>
      </c>
      <c r="D224" s="3">
        <v>39.71</v>
      </c>
      <c r="E224" s="3">
        <v>9.1999999999999993</v>
      </c>
      <c r="F224" s="3">
        <v>242.87</v>
      </c>
      <c r="G224" s="3">
        <v>19.75</v>
      </c>
      <c r="H224" s="3">
        <v>333.93</v>
      </c>
    </row>
    <row r="225" spans="1:8" x14ac:dyDescent="0.25">
      <c r="A225" s="26">
        <f t="shared" si="3"/>
        <v>222</v>
      </c>
      <c r="B225" s="1">
        <v>44999</v>
      </c>
      <c r="C225" s="3">
        <v>52.59</v>
      </c>
      <c r="D225" s="3">
        <v>40.590000000000003</v>
      </c>
      <c r="E225" s="3">
        <v>9.3699999999999992</v>
      </c>
      <c r="F225" s="3">
        <v>237.97</v>
      </c>
      <c r="G225" s="3">
        <v>20.07</v>
      </c>
      <c r="H225" s="3">
        <v>341.83</v>
      </c>
    </row>
    <row r="226" spans="1:8" x14ac:dyDescent="0.25">
      <c r="A226" s="26">
        <f t="shared" si="3"/>
        <v>223</v>
      </c>
      <c r="B226" s="1">
        <v>44998</v>
      </c>
      <c r="C226" s="3">
        <v>52.91</v>
      </c>
      <c r="D226" s="3">
        <v>40.99</v>
      </c>
      <c r="E226" s="3">
        <v>9.44</v>
      </c>
      <c r="F226" s="3">
        <v>236.59</v>
      </c>
      <c r="G226" s="3">
        <v>20.22</v>
      </c>
      <c r="H226" s="3">
        <v>344.68</v>
      </c>
    </row>
    <row r="227" spans="1:8" x14ac:dyDescent="0.25">
      <c r="A227" s="26">
        <f t="shared" si="3"/>
        <v>224</v>
      </c>
      <c r="B227" s="1">
        <v>44995</v>
      </c>
      <c r="C227" s="3">
        <v>52.66</v>
      </c>
      <c r="D227" s="3">
        <v>40.909999999999997</v>
      </c>
      <c r="E227" s="3">
        <v>9.25</v>
      </c>
      <c r="F227" s="3">
        <v>223.87</v>
      </c>
      <c r="G227" s="3">
        <v>20.87</v>
      </c>
      <c r="H227" s="3">
        <v>337.32</v>
      </c>
    </row>
    <row r="228" spans="1:8" x14ac:dyDescent="0.25">
      <c r="A228" s="26">
        <f t="shared" si="3"/>
        <v>225</v>
      </c>
      <c r="B228" s="1">
        <v>44994</v>
      </c>
      <c r="C228" s="3">
        <v>53.26</v>
      </c>
      <c r="D228" s="3">
        <v>41.59</v>
      </c>
      <c r="E228" s="3">
        <v>9.59</v>
      </c>
      <c r="F228" s="3">
        <v>222.38</v>
      </c>
      <c r="G228" s="3">
        <v>22.82</v>
      </c>
      <c r="H228" s="3">
        <v>335.46</v>
      </c>
    </row>
    <row r="229" spans="1:8" x14ac:dyDescent="0.25">
      <c r="A229" s="26">
        <f t="shared" si="3"/>
        <v>226</v>
      </c>
      <c r="B229" s="1">
        <v>44993</v>
      </c>
      <c r="C229" s="3">
        <v>53.22</v>
      </c>
      <c r="D229" s="3">
        <v>40.700000000000003</v>
      </c>
      <c r="E229" s="3">
        <v>9.66</v>
      </c>
      <c r="F229" s="3">
        <v>221.21</v>
      </c>
      <c r="G229" s="3">
        <v>21.7</v>
      </c>
      <c r="H229" s="3">
        <v>337.24</v>
      </c>
    </row>
    <row r="230" spans="1:8" x14ac:dyDescent="0.25">
      <c r="A230" s="26">
        <f t="shared" si="3"/>
        <v>227</v>
      </c>
      <c r="B230" s="1">
        <v>44992</v>
      </c>
      <c r="C230" s="3">
        <v>52.91</v>
      </c>
      <c r="D230" s="3">
        <v>40.4</v>
      </c>
      <c r="E230" s="3">
        <v>9.6199999999999992</v>
      </c>
      <c r="F230" s="3">
        <v>220.21</v>
      </c>
      <c r="G230" s="3">
        <v>21.86</v>
      </c>
      <c r="H230" s="3">
        <v>337.35</v>
      </c>
    </row>
    <row r="231" spans="1:8" x14ac:dyDescent="0.25">
      <c r="A231" s="26">
        <f t="shared" si="3"/>
        <v>228</v>
      </c>
      <c r="B231" s="1">
        <v>44991</v>
      </c>
      <c r="C231" s="3">
        <v>53.79</v>
      </c>
      <c r="D231" s="3">
        <v>41.03</v>
      </c>
      <c r="E231" s="3">
        <v>9.9600000000000009</v>
      </c>
      <c r="F231" s="3">
        <v>233.03</v>
      </c>
      <c r="G231" s="3">
        <v>21.75</v>
      </c>
      <c r="H231" s="3">
        <v>340.11</v>
      </c>
    </row>
    <row r="232" spans="1:8" x14ac:dyDescent="0.25">
      <c r="A232" s="26">
        <f t="shared" si="3"/>
        <v>229</v>
      </c>
      <c r="B232" s="1">
        <v>44988</v>
      </c>
      <c r="C232" s="3">
        <v>54.05</v>
      </c>
      <c r="D232" s="3">
        <v>40.92</v>
      </c>
      <c r="E232" s="3">
        <v>10.130000000000001</v>
      </c>
      <c r="F232" s="3">
        <v>233.56</v>
      </c>
      <c r="G232" s="3">
        <v>21.53</v>
      </c>
      <c r="H232" s="3">
        <v>346.02</v>
      </c>
    </row>
    <row r="233" spans="1:8" x14ac:dyDescent="0.25">
      <c r="A233" s="26">
        <f t="shared" si="3"/>
        <v>230</v>
      </c>
      <c r="B233" s="1">
        <v>44987</v>
      </c>
      <c r="C233" s="3">
        <v>53.21</v>
      </c>
      <c r="D233" s="3">
        <v>39.9</v>
      </c>
      <c r="E233" s="3">
        <v>9.8000000000000007</v>
      </c>
      <c r="F233" s="3">
        <v>227.2</v>
      </c>
      <c r="G233" s="3">
        <v>21.19</v>
      </c>
      <c r="H233" s="3">
        <v>344.37</v>
      </c>
    </row>
    <row r="234" spans="1:8" x14ac:dyDescent="0.25">
      <c r="A234" s="26">
        <f t="shared" si="3"/>
        <v>231</v>
      </c>
      <c r="B234" s="1">
        <v>44986</v>
      </c>
      <c r="C234" s="3">
        <v>53.3</v>
      </c>
      <c r="D234" s="3">
        <v>40.17</v>
      </c>
      <c r="E234" s="3">
        <v>9.3800000000000008</v>
      </c>
      <c r="F234" s="3">
        <v>233.38</v>
      </c>
      <c r="G234" s="3">
        <v>21.75</v>
      </c>
      <c r="H234" s="3">
        <v>343.99</v>
      </c>
    </row>
    <row r="235" spans="1:8" x14ac:dyDescent="0.25">
      <c r="A235" s="26">
        <f t="shared" si="3"/>
        <v>232</v>
      </c>
      <c r="B235" s="1">
        <v>44985</v>
      </c>
      <c r="C235" s="3">
        <v>52.65</v>
      </c>
      <c r="D235" s="3">
        <v>40.090000000000003</v>
      </c>
      <c r="E235" s="3">
        <v>9.16</v>
      </c>
      <c r="F235" s="3">
        <v>218.91</v>
      </c>
      <c r="G235" s="3">
        <v>21.71</v>
      </c>
      <c r="H235" s="3">
        <v>347.97</v>
      </c>
    </row>
    <row r="236" spans="1:8" x14ac:dyDescent="0.25">
      <c r="A236" s="26">
        <f t="shared" si="3"/>
        <v>233</v>
      </c>
      <c r="B236" s="1">
        <v>44984</v>
      </c>
      <c r="C236" s="3">
        <v>52.81</v>
      </c>
      <c r="D236" s="3">
        <v>39.94</v>
      </c>
      <c r="E236" s="3">
        <v>8.9700000000000006</v>
      </c>
      <c r="F236" s="3">
        <v>227.98</v>
      </c>
      <c r="G236" s="3">
        <v>21.64</v>
      </c>
      <c r="H236" s="3">
        <v>344.4</v>
      </c>
    </row>
    <row r="237" spans="1:8" x14ac:dyDescent="0.25">
      <c r="A237" s="26">
        <f t="shared" si="3"/>
        <v>234</v>
      </c>
      <c r="B237" s="1">
        <v>44981</v>
      </c>
      <c r="C237" s="3">
        <v>52.5</v>
      </c>
      <c r="D237" s="3">
        <v>39.42</v>
      </c>
      <c r="E237" s="3">
        <v>8.89</v>
      </c>
      <c r="F237" s="3">
        <v>231.66</v>
      </c>
      <c r="G237" s="3">
        <v>21.22</v>
      </c>
      <c r="H237" s="3">
        <v>346.2</v>
      </c>
    </row>
    <row r="238" spans="1:8" x14ac:dyDescent="0.25">
      <c r="A238" s="26">
        <f t="shared" si="3"/>
        <v>235</v>
      </c>
      <c r="B238" s="1">
        <v>44980</v>
      </c>
      <c r="C238" s="3">
        <v>52.91</v>
      </c>
      <c r="D238" s="3">
        <v>38.64</v>
      </c>
      <c r="E238" s="3">
        <v>9.09</v>
      </c>
      <c r="F238" s="3">
        <v>232.96</v>
      </c>
      <c r="G238" s="3">
        <v>21.19</v>
      </c>
      <c r="H238" s="3">
        <v>347.15</v>
      </c>
    </row>
    <row r="239" spans="1:8" x14ac:dyDescent="0.25">
      <c r="A239" s="26">
        <f t="shared" si="3"/>
        <v>236</v>
      </c>
      <c r="B239" s="1">
        <v>44979</v>
      </c>
      <c r="C239" s="3">
        <v>53</v>
      </c>
      <c r="D239" s="3">
        <v>38.700000000000003</v>
      </c>
      <c r="E239" s="3">
        <v>9.0500000000000007</v>
      </c>
      <c r="F239" s="3">
        <v>234.11</v>
      </c>
      <c r="G239" s="3">
        <v>20.88</v>
      </c>
      <c r="H239" s="3">
        <v>345.92</v>
      </c>
    </row>
    <row r="240" spans="1:8" x14ac:dyDescent="0.25">
      <c r="A240" s="26">
        <f t="shared" si="3"/>
        <v>237</v>
      </c>
      <c r="B240" s="1">
        <v>44978</v>
      </c>
      <c r="C240" s="3">
        <v>53.01</v>
      </c>
      <c r="D240" s="3">
        <v>38.76</v>
      </c>
      <c r="E240" s="3">
        <v>9.15</v>
      </c>
      <c r="F240" s="3">
        <v>237.7</v>
      </c>
      <c r="G240" s="3">
        <v>20.38</v>
      </c>
      <c r="H240" s="3">
        <v>345.77</v>
      </c>
    </row>
    <row r="241" spans="1:8" x14ac:dyDescent="0.25">
      <c r="A241" s="26">
        <f t="shared" si="3"/>
        <v>238</v>
      </c>
      <c r="B241" s="1">
        <v>44977</v>
      </c>
      <c r="C241" s="3">
        <v>53.79</v>
      </c>
      <c r="D241" s="3">
        <v>39.51</v>
      </c>
      <c r="E241" s="3">
        <v>9.4499999999999993</v>
      </c>
      <c r="F241" s="3">
        <v>240.07</v>
      </c>
      <c r="G241" s="3">
        <v>21.15</v>
      </c>
      <c r="H241" s="3">
        <v>371.58</v>
      </c>
    </row>
    <row r="242" spans="1:8" x14ac:dyDescent="0.25">
      <c r="A242" s="26">
        <f t="shared" si="3"/>
        <v>239</v>
      </c>
      <c r="B242" s="1">
        <v>44974</v>
      </c>
      <c r="C242" s="3">
        <v>53.61</v>
      </c>
      <c r="D242" s="3">
        <v>39.56</v>
      </c>
      <c r="E242" s="3">
        <v>9.42</v>
      </c>
      <c r="F242" s="3">
        <v>239.11</v>
      </c>
      <c r="G242" s="3">
        <v>20.84</v>
      </c>
      <c r="H242" s="3">
        <v>356.44</v>
      </c>
    </row>
    <row r="243" spans="1:8" x14ac:dyDescent="0.25">
      <c r="A243" s="26">
        <f t="shared" si="3"/>
        <v>240</v>
      </c>
      <c r="B243" s="1">
        <v>44973</v>
      </c>
      <c r="C243" s="3">
        <v>53.78</v>
      </c>
      <c r="D243" s="3">
        <v>40.340000000000003</v>
      </c>
      <c r="E243" s="3">
        <v>9.61</v>
      </c>
      <c r="F243" s="3">
        <v>235.76</v>
      </c>
      <c r="G243" s="3">
        <v>21.17</v>
      </c>
      <c r="H243" s="3">
        <v>357.98</v>
      </c>
    </row>
    <row r="244" spans="1:8" x14ac:dyDescent="0.25">
      <c r="A244" s="26">
        <f t="shared" si="3"/>
        <v>241</v>
      </c>
      <c r="B244" s="1">
        <v>44972</v>
      </c>
      <c r="C244" s="3">
        <v>53.19</v>
      </c>
      <c r="D244" s="3">
        <v>39.950000000000003</v>
      </c>
      <c r="E244" s="3">
        <v>9.81</v>
      </c>
      <c r="F244" s="3">
        <v>238.1</v>
      </c>
      <c r="G244" s="3">
        <v>21.21</v>
      </c>
      <c r="H244" s="3">
        <v>360.49</v>
      </c>
    </row>
    <row r="245" spans="1:8" x14ac:dyDescent="0.25">
      <c r="A245" s="26">
        <f t="shared" si="3"/>
        <v>242</v>
      </c>
      <c r="B245" s="1">
        <v>44971</v>
      </c>
      <c r="C245" s="3">
        <v>52.45</v>
      </c>
      <c r="D245" s="3">
        <v>40.07</v>
      </c>
      <c r="E245" s="3">
        <v>9.65</v>
      </c>
      <c r="F245" s="3">
        <v>237.5</v>
      </c>
      <c r="G245" s="3">
        <v>20.97</v>
      </c>
      <c r="H245" s="3">
        <v>357.79</v>
      </c>
    </row>
    <row r="246" spans="1:8" x14ac:dyDescent="0.25">
      <c r="A246" s="26">
        <f t="shared" si="3"/>
        <v>243</v>
      </c>
      <c r="B246" s="1">
        <v>44970</v>
      </c>
      <c r="C246" s="3">
        <v>52.81</v>
      </c>
      <c r="D246" s="3">
        <v>40.159999999999997</v>
      </c>
      <c r="E246" s="3">
        <v>9.76</v>
      </c>
      <c r="F246" s="3">
        <v>243.1</v>
      </c>
      <c r="G246" s="3">
        <v>20.99</v>
      </c>
      <c r="H246" s="3">
        <v>357.14</v>
      </c>
    </row>
    <row r="247" spans="1:8" x14ac:dyDescent="0.25">
      <c r="A247" s="26">
        <f t="shared" si="3"/>
        <v>244</v>
      </c>
      <c r="B247" s="1">
        <v>44967</v>
      </c>
      <c r="C247" s="3">
        <v>52.21</v>
      </c>
      <c r="D247" s="3">
        <v>39.880000000000003</v>
      </c>
      <c r="E247" s="3">
        <v>9.67</v>
      </c>
      <c r="F247" s="3">
        <v>243.63</v>
      </c>
      <c r="G247" s="3">
        <v>20.87</v>
      </c>
      <c r="H247" s="3">
        <v>349.58</v>
      </c>
    </row>
    <row r="248" spans="1:8" x14ac:dyDescent="0.25">
      <c r="A248" s="26">
        <f t="shared" si="3"/>
        <v>245</v>
      </c>
      <c r="B248" s="1">
        <v>44966</v>
      </c>
      <c r="C248" s="3">
        <v>52.61</v>
      </c>
      <c r="D248" s="3">
        <v>38.51</v>
      </c>
      <c r="E248" s="3">
        <v>9.85</v>
      </c>
      <c r="F248" s="3">
        <v>248.28</v>
      </c>
      <c r="G248" s="3">
        <v>21.4</v>
      </c>
      <c r="H248" s="3">
        <v>349.15</v>
      </c>
    </row>
    <row r="249" spans="1:8" x14ac:dyDescent="0.25">
      <c r="A249" s="26">
        <f t="shared" si="3"/>
        <v>246</v>
      </c>
      <c r="B249" s="1">
        <v>44965</v>
      </c>
      <c r="C249" s="3">
        <v>52.9</v>
      </c>
      <c r="D249" s="3">
        <v>39.369999999999997</v>
      </c>
      <c r="E249" s="3">
        <v>9.9499999999999993</v>
      </c>
      <c r="F249" s="3">
        <v>257.64</v>
      </c>
      <c r="G249" s="3">
        <v>22.07</v>
      </c>
      <c r="H249" s="3">
        <v>347.77</v>
      </c>
    </row>
    <row r="250" spans="1:8" x14ac:dyDescent="0.25">
      <c r="A250" s="26">
        <f t="shared" si="3"/>
        <v>247</v>
      </c>
      <c r="B250" s="1">
        <v>44964</v>
      </c>
      <c r="C250" s="3">
        <v>53.12</v>
      </c>
      <c r="D250" s="3">
        <v>39.43</v>
      </c>
      <c r="E250" s="3">
        <v>9.92</v>
      </c>
      <c r="F250" s="3">
        <v>252.09</v>
      </c>
      <c r="G250" s="3">
        <v>21.52</v>
      </c>
      <c r="H250" s="3">
        <v>345.33</v>
      </c>
    </row>
    <row r="251" spans="1:8" x14ac:dyDescent="0.25">
      <c r="A251" s="26">
        <f t="shared" si="3"/>
        <v>248</v>
      </c>
      <c r="B251" s="1">
        <v>44960</v>
      </c>
      <c r="C251" s="3">
        <v>53.83</v>
      </c>
      <c r="D251" s="3">
        <v>41.04</v>
      </c>
      <c r="E251" s="3">
        <v>10.28</v>
      </c>
      <c r="F251" s="3">
        <v>263.73</v>
      </c>
      <c r="G251" s="3">
        <v>21.49</v>
      </c>
      <c r="H251" s="3">
        <v>342.2</v>
      </c>
    </row>
    <row r="252" spans="1:8" x14ac:dyDescent="0.25">
      <c r="A252" s="26">
        <f t="shared" si="3"/>
        <v>249</v>
      </c>
      <c r="B252" s="1">
        <v>44959</v>
      </c>
      <c r="C252" s="3">
        <v>53.74</v>
      </c>
      <c r="D252" s="3">
        <v>41.34</v>
      </c>
      <c r="E252" s="3">
        <v>10.26</v>
      </c>
      <c r="F252" s="3">
        <v>268.13</v>
      </c>
      <c r="G252" s="3">
        <v>21.51</v>
      </c>
      <c r="H252" s="3">
        <v>336.33</v>
      </c>
    </row>
    <row r="253" spans="1:8" x14ac:dyDescent="0.25">
      <c r="A253" s="26">
        <f t="shared" si="3"/>
        <v>250</v>
      </c>
      <c r="B253" s="1">
        <v>44958</v>
      </c>
      <c r="C253" s="3">
        <v>54.79</v>
      </c>
      <c r="D253" s="3">
        <v>41.19</v>
      </c>
      <c r="E253" s="3">
        <v>10.25</v>
      </c>
      <c r="F253" s="3">
        <v>271.66000000000003</v>
      </c>
      <c r="G253" s="3">
        <v>21.03</v>
      </c>
      <c r="H253" s="3">
        <v>335.49</v>
      </c>
    </row>
    <row r="254" spans="1:8" x14ac:dyDescent="0.25">
      <c r="A254" s="26">
        <f t="shared" si="3"/>
        <v>251</v>
      </c>
      <c r="B254" s="1">
        <v>44957</v>
      </c>
      <c r="C254" s="3">
        <v>54.38</v>
      </c>
      <c r="D254" s="3">
        <v>41.91</v>
      </c>
      <c r="E254" s="3">
        <v>10.039999999999999</v>
      </c>
      <c r="F254" s="3">
        <v>268.36</v>
      </c>
      <c r="G254" s="3">
        <v>21.02</v>
      </c>
      <c r="H254" s="3">
        <v>325.08999999999997</v>
      </c>
    </row>
    <row r="255" spans="1:8" x14ac:dyDescent="0.25">
      <c r="A255" s="26">
        <f t="shared" si="3"/>
        <v>252</v>
      </c>
      <c r="B255" s="1">
        <v>44956</v>
      </c>
      <c r="C255" s="3">
        <v>54.29</v>
      </c>
      <c r="D255" s="3">
        <v>39.82</v>
      </c>
      <c r="E255" s="3">
        <v>9.94</v>
      </c>
      <c r="F255" s="3">
        <v>269.22000000000003</v>
      </c>
      <c r="G255" s="3">
        <v>20.56</v>
      </c>
      <c r="H255" s="3">
        <v>325.95999999999998</v>
      </c>
    </row>
    <row r="257" spans="8:8" x14ac:dyDescent="0.25">
      <c r="H257" s="35"/>
    </row>
  </sheetData>
  <autoFilter ref="A2:H255" xr:uid="{00000000-0001-0000-0000-000000000000}"/>
  <mergeCells count="1">
    <mergeCell ref="C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XEZ269"/>
  <sheetViews>
    <sheetView zoomScale="63" zoomScaleNormal="63" workbookViewId="0">
      <pane xSplit="1" ySplit="6" topLeftCell="C7" activePane="bottomRight" state="frozen"/>
      <selection pane="topRight" activeCell="B1" sqref="B1"/>
      <selection pane="bottomLeft" activeCell="A3" sqref="A3"/>
      <selection pane="bottomRight" activeCell="F2" sqref="F2"/>
    </sheetView>
  </sheetViews>
  <sheetFormatPr baseColWidth="10" defaultColWidth="11.42578125" defaultRowHeight="15" x14ac:dyDescent="0.25"/>
  <cols>
    <col min="2" max="2" width="14" bestFit="1" customWidth="1"/>
    <col min="3" max="3" width="13" bestFit="1" customWidth="1"/>
    <col min="4" max="4" width="15.85546875" bestFit="1" customWidth="1"/>
    <col min="5" max="6" width="15.5703125" customWidth="1"/>
    <col min="8" max="8" width="12.7109375" bestFit="1" customWidth="1"/>
    <col min="9" max="9" width="12" bestFit="1" customWidth="1"/>
  </cols>
  <sheetData>
    <row r="1" spans="1:21 16380:16380" ht="21" x14ac:dyDescent="0.35">
      <c r="A1" s="18" t="s">
        <v>12</v>
      </c>
      <c r="E1" s="3"/>
      <c r="F1" s="8" t="s">
        <v>17</v>
      </c>
      <c r="G1" s="8" t="s">
        <v>18</v>
      </c>
    </row>
    <row r="2" spans="1:21 16380:16380" x14ac:dyDescent="0.25">
      <c r="A2" s="1"/>
      <c r="B2" s="2"/>
      <c r="C2" s="3"/>
      <c r="D2" s="10"/>
      <c r="E2" s="32" t="s">
        <v>8</v>
      </c>
      <c r="F2" s="48">
        <f xml:space="preserve"> AVERAGE(D7:D258)</f>
        <v>-4.1219333309898518E-4</v>
      </c>
      <c r="G2" s="49"/>
    </row>
    <row r="3" spans="1:21 16380:16380" ht="21" x14ac:dyDescent="0.35">
      <c r="A3" s="18"/>
      <c r="B3" s="11" t="s">
        <v>28</v>
      </c>
      <c r="C3">
        <v>6</v>
      </c>
      <c r="E3" s="46" t="s">
        <v>9</v>
      </c>
      <c r="F3" s="50">
        <f xml:space="preserve"> SQRT( SUM(E7:E258) / (COUNT(E7:E258 ) - 1) )</f>
        <v>2.662192446711472E-2</v>
      </c>
      <c r="G3" s="51">
        <f xml:space="preserve"> SQRT( 252 ) * F3</f>
        <v>0.42260994937158763</v>
      </c>
      <c r="U3" s="20"/>
    </row>
    <row r="4" spans="1:21 16380:16380" x14ac:dyDescent="0.25">
      <c r="A4" s="1"/>
      <c r="B4" s="2"/>
      <c r="C4" s="3"/>
      <c r="D4" s="10"/>
      <c r="I4" s="20"/>
    </row>
    <row r="5" spans="1:21 16380:16380" x14ac:dyDescent="0.25">
      <c r="F5" s="9"/>
      <c r="H5" s="8" t="s">
        <v>14</v>
      </c>
      <c r="I5" s="47">
        <v>2</v>
      </c>
    </row>
    <row r="6" spans="1:21 16380:16380" ht="18" x14ac:dyDescent="0.35">
      <c r="A6" s="7" t="s">
        <v>0</v>
      </c>
      <c r="B6" s="7" t="s">
        <v>6</v>
      </c>
      <c r="C6" s="8" t="s">
        <v>30</v>
      </c>
      <c r="D6" s="8" t="s">
        <v>1</v>
      </c>
      <c r="E6" s="7" t="s">
        <v>4</v>
      </c>
      <c r="F6" s="9"/>
      <c r="H6" s="22" t="s">
        <v>23</v>
      </c>
      <c r="I6" s="22" t="s">
        <v>24</v>
      </c>
    </row>
    <row r="7" spans="1:21 16380:16380" x14ac:dyDescent="0.25">
      <c r="A7" s="1">
        <v>45322</v>
      </c>
      <c r="B7" s="2">
        <v>1</v>
      </c>
      <c r="C7" s="3">
        <f>+VLOOKUP(A7,Precios!$B:$H,1+$C$3,0)</f>
        <v>267.95</v>
      </c>
      <c r="D7" s="10">
        <f xml:space="preserve"> (C7/C8) - 1</f>
        <v>-1.3438880706922118E-2</v>
      </c>
      <c r="E7" s="28">
        <f t="shared" ref="E7:E70" si="0" xml:space="preserve"> (D7 - $F$2) ^2</f>
        <v>1.6969458393532302E-4</v>
      </c>
      <c r="F7" s="9"/>
      <c r="H7" s="10">
        <f t="shared" ref="H7:H70" si="1">-$I$5*$F$3</f>
        <v>-5.324384893422944E-2</v>
      </c>
      <c r="I7" s="10">
        <f t="shared" ref="I7:I70" si="2">+$I$5*$F$3</f>
        <v>5.324384893422944E-2</v>
      </c>
      <c r="XEZ7" s="16" t="s">
        <v>33</v>
      </c>
    </row>
    <row r="8" spans="1:21 16380:16380" x14ac:dyDescent="0.25">
      <c r="A8" s="1">
        <v>45321</v>
      </c>
      <c r="B8" s="2">
        <f>+B7+1</f>
        <v>2</v>
      </c>
      <c r="C8" s="3">
        <f>+VLOOKUP(A8,Precios!$B:$H,1+$C$3,0)</f>
        <v>271.60000000000002</v>
      </c>
      <c r="D8" s="10">
        <f t="shared" ref="D8:D71" si="3" xml:space="preserve"> (C8/C9) - 1</f>
        <v>-1.4656798722971875E-2</v>
      </c>
      <c r="E8" s="28">
        <f t="shared" si="0"/>
        <v>2.0290878271319579E-4</v>
      </c>
      <c r="F8" s="9"/>
      <c r="H8" s="10">
        <f t="shared" si="1"/>
        <v>-5.324384893422944E-2</v>
      </c>
      <c r="I8" s="10">
        <f t="shared" si="2"/>
        <v>5.324384893422944E-2</v>
      </c>
      <c r="XEZ8" s="16" t="s">
        <v>34</v>
      </c>
    </row>
    <row r="9" spans="1:21 16380:16380" x14ac:dyDescent="0.25">
      <c r="A9" s="1">
        <v>45320</v>
      </c>
      <c r="B9" s="2">
        <f t="shared" ref="B9:B72" si="4">+B8+1</f>
        <v>3</v>
      </c>
      <c r="C9" s="3">
        <f>+VLOOKUP(A9,Precios!$B:$H,1+$C$3,0)</f>
        <v>275.64</v>
      </c>
      <c r="D9" s="10">
        <f t="shared" si="3"/>
        <v>1.2080044060950756E-2</v>
      </c>
      <c r="E9" s="28">
        <f t="shared" si="0"/>
        <v>1.5605599510929468E-4</v>
      </c>
      <c r="F9" s="9"/>
      <c r="H9" s="10">
        <f t="shared" si="1"/>
        <v>-5.324384893422944E-2</v>
      </c>
      <c r="I9" s="10">
        <f t="shared" si="2"/>
        <v>5.324384893422944E-2</v>
      </c>
      <c r="XEZ9" s="16" t="s">
        <v>27</v>
      </c>
    </row>
    <row r="10" spans="1:21 16380:16380" x14ac:dyDescent="0.25">
      <c r="A10" s="1">
        <v>45317</v>
      </c>
      <c r="B10" s="2">
        <f t="shared" si="4"/>
        <v>4</v>
      </c>
      <c r="C10" s="3">
        <f>+VLOOKUP(A10,Precios!$B:$H,1+$C$3,0)</f>
        <v>272.35000000000002</v>
      </c>
      <c r="D10" s="10">
        <f t="shared" si="3"/>
        <v>2.2795553552651615E-2</v>
      </c>
      <c r="E10" s="28">
        <f t="shared" si="0"/>
        <v>5.3859951551306665E-4</v>
      </c>
      <c r="F10" s="9"/>
      <c r="H10" s="10">
        <f t="shared" si="1"/>
        <v>-5.324384893422944E-2</v>
      </c>
      <c r="I10" s="10">
        <f t="shared" si="2"/>
        <v>5.324384893422944E-2</v>
      </c>
      <c r="XEZ10" s="16" t="s">
        <v>35</v>
      </c>
    </row>
    <row r="11" spans="1:21 16380:16380" x14ac:dyDescent="0.25">
      <c r="A11" s="1">
        <v>45316</v>
      </c>
      <c r="B11" s="2">
        <f t="shared" si="4"/>
        <v>5</v>
      </c>
      <c r="C11" s="3">
        <f>+VLOOKUP(A11,Precios!$B:$H,1+$C$3,0)</f>
        <v>266.27999999999997</v>
      </c>
      <c r="D11" s="10">
        <f t="shared" si="3"/>
        <v>2.6285361905495908E-2</v>
      </c>
      <c r="E11" s="28">
        <f t="shared" si="0"/>
        <v>7.1275945571782555E-4</v>
      </c>
      <c r="F11" s="9"/>
      <c r="H11" s="10">
        <f t="shared" si="1"/>
        <v>-5.324384893422944E-2</v>
      </c>
      <c r="I11" s="10">
        <f t="shared" si="2"/>
        <v>5.324384893422944E-2</v>
      </c>
      <c r="XEZ11" s="16" t="s">
        <v>36</v>
      </c>
    </row>
    <row r="12" spans="1:21 16380:16380" x14ac:dyDescent="0.25">
      <c r="A12" s="1">
        <v>45315</v>
      </c>
      <c r="B12" s="2">
        <f t="shared" si="4"/>
        <v>6</v>
      </c>
      <c r="C12" s="3">
        <f>+VLOOKUP(A12,Precios!$B:$H,1+$C$3,0)</f>
        <v>259.45999999999998</v>
      </c>
      <c r="D12" s="10">
        <f t="shared" si="3"/>
        <v>-4.3745203376824859E-3</v>
      </c>
      <c r="E12" s="28">
        <f t="shared" si="0"/>
        <v>1.570003529125166E-5</v>
      </c>
      <c r="F12" s="9"/>
      <c r="H12" s="10">
        <f t="shared" si="1"/>
        <v>-5.324384893422944E-2</v>
      </c>
      <c r="I12" s="10">
        <f t="shared" si="2"/>
        <v>5.324384893422944E-2</v>
      </c>
      <c r="XEZ12" s="16" t="s">
        <v>37</v>
      </c>
    </row>
    <row r="13" spans="1:21 16380:16380" x14ac:dyDescent="0.25">
      <c r="A13" s="1">
        <v>45314</v>
      </c>
      <c r="B13" s="2">
        <f t="shared" si="4"/>
        <v>7</v>
      </c>
      <c r="C13" s="3">
        <f>+VLOOKUP(A13,Precios!$B:$H,1+$C$3,0)</f>
        <v>260.60000000000002</v>
      </c>
      <c r="D13" s="10">
        <f t="shared" si="3"/>
        <v>3.0528313824739195E-2</v>
      </c>
      <c r="E13" s="28">
        <f t="shared" si="0"/>
        <v>9.5731498318423554E-4</v>
      </c>
      <c r="F13" s="9"/>
      <c r="H13" s="10">
        <f t="shared" si="1"/>
        <v>-5.324384893422944E-2</v>
      </c>
      <c r="I13" s="10">
        <f t="shared" si="2"/>
        <v>5.324384893422944E-2</v>
      </c>
    </row>
    <row r="14" spans="1:21 16380:16380" x14ac:dyDescent="0.25">
      <c r="A14" s="1">
        <v>45313</v>
      </c>
      <c r="B14" s="2">
        <f t="shared" si="4"/>
        <v>8</v>
      </c>
      <c r="C14" s="3">
        <f>+VLOOKUP(A14,Precios!$B:$H,1+$C$3,0)</f>
        <v>252.88</v>
      </c>
      <c r="D14" s="10">
        <f t="shared" si="3"/>
        <v>-4.7819865953761531E-2</v>
      </c>
      <c r="E14" s="28">
        <f t="shared" si="0"/>
        <v>2.2474874233079172E-3</v>
      </c>
      <c r="F14" s="9"/>
      <c r="H14" s="10">
        <f t="shared" si="1"/>
        <v>-5.324384893422944E-2</v>
      </c>
      <c r="I14" s="10">
        <f t="shared" si="2"/>
        <v>5.324384893422944E-2</v>
      </c>
    </row>
    <row r="15" spans="1:21 16380:16380" x14ac:dyDescent="0.25">
      <c r="A15" s="1">
        <v>45310</v>
      </c>
      <c r="B15" s="2">
        <f t="shared" si="4"/>
        <v>9</v>
      </c>
      <c r="C15" s="3">
        <f>+VLOOKUP(A15,Precios!$B:$H,1+$C$3,0)</f>
        <v>265.58</v>
      </c>
      <c r="D15" s="10">
        <f t="shared" si="3"/>
        <v>1.817205950007672E-2</v>
      </c>
      <c r="E15" s="28">
        <f t="shared" si="0"/>
        <v>3.453744533673992E-4</v>
      </c>
      <c r="F15" s="9"/>
      <c r="H15" s="10">
        <f t="shared" si="1"/>
        <v>-5.324384893422944E-2</v>
      </c>
      <c r="I15" s="10">
        <f t="shared" si="2"/>
        <v>5.324384893422944E-2</v>
      </c>
    </row>
    <row r="16" spans="1:21 16380:16380" x14ac:dyDescent="0.25">
      <c r="A16" s="1">
        <v>45309</v>
      </c>
      <c r="B16" s="2">
        <f t="shared" si="4"/>
        <v>10</v>
      </c>
      <c r="C16" s="3">
        <f>+VLOOKUP(A16,Precios!$B:$H,1+$C$3,0)</f>
        <v>260.83999999999997</v>
      </c>
      <c r="D16" s="10">
        <f t="shared" si="3"/>
        <v>4.6217840086273387E-3</v>
      </c>
      <c r="E16" s="28">
        <f t="shared" si="0"/>
        <v>2.5340927877014024E-5</v>
      </c>
      <c r="F16" s="9"/>
      <c r="H16" s="10">
        <f t="shared" si="1"/>
        <v>-5.324384893422944E-2</v>
      </c>
      <c r="I16" s="10">
        <f t="shared" si="2"/>
        <v>5.324384893422944E-2</v>
      </c>
    </row>
    <row r="17" spans="1:17" x14ac:dyDescent="0.25">
      <c r="A17" s="1">
        <v>45308</v>
      </c>
      <c r="B17" s="2">
        <f t="shared" si="4"/>
        <v>11</v>
      </c>
      <c r="C17" s="3">
        <f>+VLOOKUP(A17,Precios!$B:$H,1+$C$3,0)</f>
        <v>259.64</v>
      </c>
      <c r="D17" s="10">
        <f t="shared" si="3"/>
        <v>-5.058246474555439E-3</v>
      </c>
      <c r="E17" s="28">
        <f t="shared" si="0"/>
        <v>2.1585809793237384E-5</v>
      </c>
      <c r="F17" s="9"/>
      <c r="H17" s="10">
        <f t="shared" si="1"/>
        <v>-5.324384893422944E-2</v>
      </c>
      <c r="I17" s="10">
        <f t="shared" si="2"/>
        <v>5.324384893422944E-2</v>
      </c>
    </row>
    <row r="18" spans="1:17" x14ac:dyDescent="0.25">
      <c r="A18" s="1">
        <v>45307</v>
      </c>
      <c r="B18" s="2">
        <f t="shared" si="4"/>
        <v>12</v>
      </c>
      <c r="C18" s="3">
        <f>+VLOOKUP(A18,Precios!$B:$H,1+$C$3,0)</f>
        <v>260.95999999999998</v>
      </c>
      <c r="D18" s="10">
        <f t="shared" si="3"/>
        <v>-3.3731995408597837E-2</v>
      </c>
      <c r="E18" s="28">
        <f t="shared" si="0"/>
        <v>1.1102092103504177E-3</v>
      </c>
      <c r="F18" s="9"/>
      <c r="H18" s="10">
        <f t="shared" si="1"/>
        <v>-5.324384893422944E-2</v>
      </c>
      <c r="I18" s="10">
        <f t="shared" si="2"/>
        <v>5.324384893422944E-2</v>
      </c>
    </row>
    <row r="19" spans="1:17" x14ac:dyDescent="0.25">
      <c r="A19" s="1">
        <v>45306</v>
      </c>
      <c r="B19" s="2">
        <f t="shared" si="4"/>
        <v>13</v>
      </c>
      <c r="C19" s="3">
        <f>+VLOOKUP(A19,Precios!$B:$H,1+$C$3,0)</f>
        <v>270.07</v>
      </c>
      <c r="D19" s="10">
        <f t="shared" si="3"/>
        <v>7.535907479947701E-3</v>
      </c>
      <c r="E19" s="28">
        <f t="shared" si="0"/>
        <v>6.3172306534353399E-5</v>
      </c>
      <c r="F19" s="9"/>
      <c r="H19" s="10">
        <f t="shared" si="1"/>
        <v>-5.324384893422944E-2</v>
      </c>
      <c r="I19" s="10">
        <f t="shared" si="2"/>
        <v>5.324384893422944E-2</v>
      </c>
    </row>
    <row r="20" spans="1:17" x14ac:dyDescent="0.25">
      <c r="A20" s="1">
        <v>45303</v>
      </c>
      <c r="B20" s="2">
        <f t="shared" si="4"/>
        <v>14</v>
      </c>
      <c r="C20" s="3">
        <f>+VLOOKUP(A20,Precios!$B:$H,1+$C$3,0)</f>
        <v>268.05</v>
      </c>
      <c r="D20" s="10">
        <f t="shared" si="3"/>
        <v>-1.5318492395856365E-2</v>
      </c>
      <c r="E20" s="28">
        <f t="shared" si="0"/>
        <v>2.2219775174836152E-4</v>
      </c>
      <c r="F20" s="9"/>
      <c r="H20" s="10">
        <f t="shared" si="1"/>
        <v>-5.324384893422944E-2</v>
      </c>
      <c r="I20" s="10">
        <f t="shared" si="2"/>
        <v>5.324384893422944E-2</v>
      </c>
    </row>
    <row r="21" spans="1:17" x14ac:dyDescent="0.25">
      <c r="A21" s="1">
        <v>45302</v>
      </c>
      <c r="B21" s="2">
        <f t="shared" si="4"/>
        <v>15</v>
      </c>
      <c r="C21" s="3">
        <f>+VLOOKUP(A21,Precios!$B:$H,1+$C$3,0)</f>
        <v>272.22000000000003</v>
      </c>
      <c r="D21" s="10">
        <f t="shared" si="3"/>
        <v>-1.0720645419195374E-2</v>
      </c>
      <c r="E21" s="28">
        <f t="shared" si="0"/>
        <v>1.0626418441134497E-4</v>
      </c>
      <c r="F21" s="9"/>
      <c r="H21" s="10">
        <f t="shared" si="1"/>
        <v>-5.324384893422944E-2</v>
      </c>
      <c r="I21" s="10">
        <f t="shared" si="2"/>
        <v>5.324384893422944E-2</v>
      </c>
      <c r="Q21" t="s">
        <v>40</v>
      </c>
    </row>
    <row r="22" spans="1:17" x14ac:dyDescent="0.25">
      <c r="A22" s="1">
        <v>45301</v>
      </c>
      <c r="B22" s="2">
        <f t="shared" si="4"/>
        <v>16</v>
      </c>
      <c r="C22" s="3">
        <f>+VLOOKUP(A22,Precios!$B:$H,1+$C$3,0)</f>
        <v>275.17</v>
      </c>
      <c r="D22" s="10">
        <f t="shared" si="3"/>
        <v>7.1739687419933862E-3</v>
      </c>
      <c r="E22" s="28">
        <f t="shared" si="0"/>
        <v>5.7549855029569791E-5</v>
      </c>
      <c r="F22" s="9"/>
      <c r="H22" s="10">
        <f t="shared" si="1"/>
        <v>-5.324384893422944E-2</v>
      </c>
      <c r="I22" s="10">
        <f t="shared" si="2"/>
        <v>5.324384893422944E-2</v>
      </c>
    </row>
    <row r="23" spans="1:17" x14ac:dyDescent="0.25">
      <c r="A23" s="1">
        <v>45300</v>
      </c>
      <c r="B23" s="2">
        <f t="shared" si="4"/>
        <v>17</v>
      </c>
      <c r="C23" s="3">
        <f>+VLOOKUP(A23,Precios!$B:$H,1+$C$3,0)</f>
        <v>273.20999999999998</v>
      </c>
      <c r="D23" s="10">
        <f t="shared" si="3"/>
        <v>-5.2505635512398285E-2</v>
      </c>
      <c r="E23" s="28">
        <f t="shared" si="0"/>
        <v>2.7137267180879997E-3</v>
      </c>
      <c r="F23" s="9"/>
      <c r="H23" s="10">
        <f t="shared" si="1"/>
        <v>-5.324384893422944E-2</v>
      </c>
      <c r="I23" s="10">
        <f t="shared" si="2"/>
        <v>5.324384893422944E-2</v>
      </c>
    </row>
    <row r="24" spans="1:17" x14ac:dyDescent="0.25">
      <c r="A24" s="1">
        <v>45299</v>
      </c>
      <c r="B24" s="2">
        <f t="shared" si="4"/>
        <v>18</v>
      </c>
      <c r="C24" s="3">
        <f>+VLOOKUP(A24,Precios!$B:$H,1+$C$3,0)</f>
        <v>288.35000000000002</v>
      </c>
      <c r="D24" s="10">
        <f t="shared" si="3"/>
        <v>1.346126810066095E-2</v>
      </c>
      <c r="E24" s="28">
        <f t="shared" si="0"/>
        <v>1.9247293215402431E-4</v>
      </c>
      <c r="F24" s="9"/>
      <c r="H24" s="10">
        <f t="shared" si="1"/>
        <v>-5.324384893422944E-2</v>
      </c>
      <c r="I24" s="10">
        <f t="shared" si="2"/>
        <v>5.324384893422944E-2</v>
      </c>
    </row>
    <row r="25" spans="1:17" x14ac:dyDescent="0.25">
      <c r="A25" s="1">
        <v>45296</v>
      </c>
      <c r="B25" s="2">
        <f t="shared" si="4"/>
        <v>19</v>
      </c>
      <c r="C25" s="3">
        <f>+VLOOKUP(A25,Precios!$B:$H,1+$C$3,0)</f>
        <v>284.52</v>
      </c>
      <c r="D25" s="10">
        <f t="shared" si="3"/>
        <v>-2.8109627547445726E-4</v>
      </c>
      <c r="E25" s="28">
        <f t="shared" si="0"/>
        <v>1.7186438517808793E-8</v>
      </c>
      <c r="F25" s="9"/>
      <c r="H25" s="10">
        <f t="shared" si="1"/>
        <v>-5.324384893422944E-2</v>
      </c>
      <c r="I25" s="10">
        <f t="shared" si="2"/>
        <v>5.324384893422944E-2</v>
      </c>
    </row>
    <row r="26" spans="1:17" x14ac:dyDescent="0.25">
      <c r="A26" s="1">
        <v>45295</v>
      </c>
      <c r="B26" s="2">
        <f t="shared" si="4"/>
        <v>20</v>
      </c>
      <c r="C26" s="3">
        <f>+VLOOKUP(A26,Precios!$B:$H,1+$C$3,0)</f>
        <v>284.60000000000002</v>
      </c>
      <c r="D26" s="10">
        <f t="shared" si="3"/>
        <v>-7.7241766729851946E-4</v>
      </c>
      <c r="E26" s="28">
        <f t="shared" si="0"/>
        <v>1.2976157094949778E-7</v>
      </c>
      <c r="F26" s="9"/>
      <c r="H26" s="10">
        <f t="shared" si="1"/>
        <v>-5.324384893422944E-2</v>
      </c>
      <c r="I26" s="10">
        <f t="shared" si="2"/>
        <v>5.324384893422944E-2</v>
      </c>
    </row>
    <row r="27" spans="1:17" x14ac:dyDescent="0.25">
      <c r="A27" s="1">
        <v>45294</v>
      </c>
      <c r="B27" s="2">
        <f t="shared" si="4"/>
        <v>21</v>
      </c>
      <c r="C27" s="3">
        <f>+VLOOKUP(A27,Precios!$B:$H,1+$C$3,0)</f>
        <v>284.82</v>
      </c>
      <c r="D27" s="10">
        <f t="shared" si="3"/>
        <v>-2.4722640734146095E-2</v>
      </c>
      <c r="E27" s="28">
        <f t="shared" si="0"/>
        <v>5.9099785283907823E-4</v>
      </c>
      <c r="F27" s="9"/>
      <c r="H27" s="10">
        <f t="shared" si="1"/>
        <v>-5.324384893422944E-2</v>
      </c>
      <c r="I27" s="10">
        <f t="shared" si="2"/>
        <v>5.324384893422944E-2</v>
      </c>
    </row>
    <row r="28" spans="1:17" x14ac:dyDescent="0.25">
      <c r="A28" s="1">
        <v>45293</v>
      </c>
      <c r="B28" s="2">
        <f t="shared" si="4"/>
        <v>22</v>
      </c>
      <c r="C28" s="3">
        <f>+VLOOKUP(A28,Precios!$B:$H,1+$C$3,0)</f>
        <v>292.04000000000002</v>
      </c>
      <c r="D28" s="10">
        <f t="shared" si="3"/>
        <v>-1.4809567182808681E-2</v>
      </c>
      <c r="E28" s="28">
        <f t="shared" si="0"/>
        <v>2.0728437376830454E-4</v>
      </c>
      <c r="F28" s="9"/>
      <c r="H28" s="10">
        <f t="shared" si="1"/>
        <v>-5.324384893422944E-2</v>
      </c>
      <c r="I28" s="10">
        <f t="shared" si="2"/>
        <v>5.324384893422944E-2</v>
      </c>
    </row>
    <row r="29" spans="1:17" x14ac:dyDescent="0.25">
      <c r="A29" s="1">
        <v>45289</v>
      </c>
      <c r="B29" s="2">
        <f t="shared" si="4"/>
        <v>23</v>
      </c>
      <c r="C29" s="3">
        <f>+VLOOKUP(A29,Precios!$B:$H,1+$C$3,0)</f>
        <v>296.43</v>
      </c>
      <c r="D29" s="10">
        <f t="shared" si="3"/>
        <v>-1.650276168664977E-3</v>
      </c>
      <c r="E29" s="28">
        <f t="shared" si="0"/>
        <v>1.5328491077231265E-6</v>
      </c>
      <c r="F29" s="9"/>
      <c r="H29" s="10">
        <f t="shared" si="1"/>
        <v>-5.324384893422944E-2</v>
      </c>
      <c r="I29" s="10">
        <f t="shared" si="2"/>
        <v>5.324384893422944E-2</v>
      </c>
    </row>
    <row r="30" spans="1:17" x14ac:dyDescent="0.25">
      <c r="A30" s="1">
        <v>45288</v>
      </c>
      <c r="B30" s="2">
        <f t="shared" si="4"/>
        <v>24</v>
      </c>
      <c r="C30" s="3">
        <f>+VLOOKUP(A30,Precios!$B:$H,1+$C$3,0)</f>
        <v>296.92</v>
      </c>
      <c r="D30" s="10">
        <f t="shared" si="3"/>
        <v>-6.6575223311364784E-3</v>
      </c>
      <c r="E30" s="28">
        <f t="shared" si="0"/>
        <v>3.9004134293728002E-5</v>
      </c>
      <c r="F30" s="9"/>
      <c r="H30" s="10">
        <f t="shared" si="1"/>
        <v>-5.324384893422944E-2</v>
      </c>
      <c r="I30" s="10">
        <f t="shared" si="2"/>
        <v>5.324384893422944E-2</v>
      </c>
    </row>
    <row r="31" spans="1:17" x14ac:dyDescent="0.25">
      <c r="A31" s="1">
        <v>45287</v>
      </c>
      <c r="B31" s="2">
        <f t="shared" si="4"/>
        <v>25</v>
      </c>
      <c r="C31" s="3">
        <f>+VLOOKUP(A31,Precios!$B:$H,1+$C$3,0)</f>
        <v>298.91000000000003</v>
      </c>
      <c r="D31" s="10">
        <f t="shared" si="3"/>
        <v>-6.2502077861631422E-3</v>
      </c>
      <c r="E31" s="28">
        <f t="shared" si="0"/>
        <v>3.408241275418599E-5</v>
      </c>
      <c r="F31" s="9"/>
      <c r="H31" s="10">
        <f t="shared" si="1"/>
        <v>-5.324384893422944E-2</v>
      </c>
      <c r="I31" s="10">
        <f t="shared" si="2"/>
        <v>5.324384893422944E-2</v>
      </c>
    </row>
    <row r="32" spans="1:17" x14ac:dyDescent="0.25">
      <c r="A32" s="1">
        <v>45286</v>
      </c>
      <c r="B32" s="2">
        <f t="shared" si="4"/>
        <v>26</v>
      </c>
      <c r="C32" s="3">
        <f>+VLOOKUP(A32,Precios!$B:$H,1+$C$3,0)</f>
        <v>300.79000000000002</v>
      </c>
      <c r="D32" s="10">
        <f t="shared" si="3"/>
        <v>-1.6595306847223545E-3</v>
      </c>
      <c r="E32" s="28">
        <f t="shared" si="0"/>
        <v>1.5558504687548009E-6</v>
      </c>
      <c r="F32" s="9"/>
      <c r="H32" s="10">
        <f t="shared" si="1"/>
        <v>-5.324384893422944E-2</v>
      </c>
      <c r="I32" s="10">
        <f t="shared" si="2"/>
        <v>5.324384893422944E-2</v>
      </c>
    </row>
    <row r="33" spans="1:9" x14ac:dyDescent="0.25">
      <c r="A33" s="1">
        <v>45282</v>
      </c>
      <c r="B33" s="2">
        <f t="shared" si="4"/>
        <v>27</v>
      </c>
      <c r="C33" s="3">
        <f>+VLOOKUP(A33,Precios!$B:$H,1+$C$3,0)</f>
        <v>301.29000000000002</v>
      </c>
      <c r="D33" s="10">
        <f t="shared" si="3"/>
        <v>6.8506884106402932E-3</v>
      </c>
      <c r="E33" s="28">
        <f t="shared" si="0"/>
        <v>5.2749451223541298E-5</v>
      </c>
      <c r="F33" s="9"/>
      <c r="H33" s="10">
        <f t="shared" si="1"/>
        <v>-5.324384893422944E-2</v>
      </c>
      <c r="I33" s="10">
        <f t="shared" si="2"/>
        <v>5.324384893422944E-2</v>
      </c>
    </row>
    <row r="34" spans="1:9" x14ac:dyDescent="0.25">
      <c r="A34" s="1">
        <v>45281</v>
      </c>
      <c r="B34" s="2">
        <f t="shared" si="4"/>
        <v>28</v>
      </c>
      <c r="C34" s="3">
        <f>+VLOOKUP(A34,Precios!$B:$H,1+$C$3,0)</f>
        <v>299.24</v>
      </c>
      <c r="D34" s="10">
        <f t="shared" si="3"/>
        <v>-6.8370394955193925E-3</v>
      </c>
      <c r="E34" s="28">
        <f t="shared" si="0"/>
        <v>4.1278648210768238E-5</v>
      </c>
      <c r="F34" s="9"/>
      <c r="H34" s="10">
        <f t="shared" si="1"/>
        <v>-5.324384893422944E-2</v>
      </c>
      <c r="I34" s="10">
        <f t="shared" si="2"/>
        <v>5.324384893422944E-2</v>
      </c>
    </row>
    <row r="35" spans="1:9" x14ac:dyDescent="0.25">
      <c r="A35" s="1">
        <v>45280</v>
      </c>
      <c r="B35" s="2">
        <f t="shared" si="4"/>
        <v>29</v>
      </c>
      <c r="C35" s="3">
        <f>+VLOOKUP(A35,Precios!$B:$H,1+$C$3,0)</f>
        <v>301.3</v>
      </c>
      <c r="D35" s="10">
        <f t="shared" si="3"/>
        <v>-1.1709909141601305E-2</v>
      </c>
      <c r="E35" s="28">
        <f t="shared" si="0"/>
        <v>1.276383824896832E-4</v>
      </c>
      <c r="F35" s="9"/>
      <c r="H35" s="10">
        <f t="shared" si="1"/>
        <v>-5.324384893422944E-2</v>
      </c>
      <c r="I35" s="10">
        <f t="shared" si="2"/>
        <v>5.324384893422944E-2</v>
      </c>
    </row>
    <row r="36" spans="1:9" x14ac:dyDescent="0.25">
      <c r="A36" s="1">
        <v>45279</v>
      </c>
      <c r="B36" s="2">
        <f t="shared" si="4"/>
        <v>30</v>
      </c>
      <c r="C36" s="3">
        <f>+VLOOKUP(A36,Precios!$B:$H,1+$C$3,0)</f>
        <v>304.87</v>
      </c>
      <c r="D36" s="10">
        <f t="shared" si="3"/>
        <v>-1.1189673066943406E-2</v>
      </c>
      <c r="E36" s="28">
        <f t="shared" si="0"/>
        <v>1.1615406941342719E-4</v>
      </c>
      <c r="F36" s="9"/>
      <c r="H36" s="10">
        <f t="shared" si="1"/>
        <v>-5.324384893422944E-2</v>
      </c>
      <c r="I36" s="10">
        <f t="shared" si="2"/>
        <v>5.324384893422944E-2</v>
      </c>
    </row>
    <row r="37" spans="1:9" x14ac:dyDescent="0.25">
      <c r="A37" s="1">
        <v>45278</v>
      </c>
      <c r="B37" s="2">
        <f t="shared" si="4"/>
        <v>31</v>
      </c>
      <c r="C37" s="3">
        <f>+VLOOKUP(A37,Precios!$B:$H,1+$C$3,0)</f>
        <v>308.32</v>
      </c>
      <c r="D37" s="10">
        <f t="shared" si="3"/>
        <v>5.8723737439645429E-3</v>
      </c>
      <c r="E37" s="28">
        <f t="shared" si="0"/>
        <v>3.9495783346110817E-5</v>
      </c>
      <c r="F37" s="9"/>
      <c r="H37" s="10">
        <f t="shared" si="1"/>
        <v>-5.324384893422944E-2</v>
      </c>
      <c r="I37" s="10">
        <f t="shared" si="2"/>
        <v>5.324384893422944E-2</v>
      </c>
    </row>
    <row r="38" spans="1:9" x14ac:dyDescent="0.25">
      <c r="A38" s="1">
        <v>45275</v>
      </c>
      <c r="B38" s="2">
        <f t="shared" si="4"/>
        <v>32</v>
      </c>
      <c r="C38" s="3">
        <f>+VLOOKUP(A38,Precios!$B:$H,1+$C$3,0)</f>
        <v>306.52</v>
      </c>
      <c r="D38" s="10">
        <f t="shared" si="3"/>
        <v>3.0492519751218694E-2</v>
      </c>
      <c r="E38" s="28">
        <f t="shared" si="0"/>
        <v>9.5510129082399626E-4</v>
      </c>
      <c r="F38" s="9"/>
      <c r="H38" s="10">
        <f t="shared" si="1"/>
        <v>-5.324384893422944E-2</v>
      </c>
      <c r="I38" s="10">
        <f t="shared" si="2"/>
        <v>5.324384893422944E-2</v>
      </c>
    </row>
    <row r="39" spans="1:9" x14ac:dyDescent="0.25">
      <c r="A39" s="1">
        <v>45274</v>
      </c>
      <c r="B39" s="2">
        <f t="shared" si="4"/>
        <v>33</v>
      </c>
      <c r="C39" s="3">
        <f>+VLOOKUP(A39,Precios!$B:$H,1+$C$3,0)</f>
        <v>297.45</v>
      </c>
      <c r="D39" s="10">
        <f t="shared" si="3"/>
        <v>0.17198581560283688</v>
      </c>
      <c r="E39" s="28">
        <f t="shared" si="0"/>
        <v>2.9721073485075026E-2</v>
      </c>
      <c r="F39" s="9"/>
      <c r="H39" s="10">
        <f t="shared" si="1"/>
        <v>-5.324384893422944E-2</v>
      </c>
      <c r="I39" s="10">
        <f t="shared" si="2"/>
        <v>5.324384893422944E-2</v>
      </c>
    </row>
    <row r="40" spans="1:9" x14ac:dyDescent="0.25">
      <c r="A40" s="1">
        <v>45273</v>
      </c>
      <c r="B40" s="2">
        <f t="shared" si="4"/>
        <v>34</v>
      </c>
      <c r="C40" s="3">
        <f>+VLOOKUP(A40,Precios!$B:$H,1+$C$3,0)</f>
        <v>253.8</v>
      </c>
      <c r="D40" s="10">
        <f t="shared" si="3"/>
        <v>1.4307409479658029E-2</v>
      </c>
      <c r="E40" s="28">
        <f t="shared" si="0"/>
        <v>2.1666670696532422E-4</v>
      </c>
      <c r="F40" s="9"/>
      <c r="H40" s="10">
        <f t="shared" si="1"/>
        <v>-5.324384893422944E-2</v>
      </c>
      <c r="I40" s="10">
        <f t="shared" si="2"/>
        <v>5.324384893422944E-2</v>
      </c>
    </row>
    <row r="41" spans="1:9" x14ac:dyDescent="0.25">
      <c r="A41" s="1">
        <v>45271</v>
      </c>
      <c r="B41" s="2">
        <f t="shared" si="4"/>
        <v>35</v>
      </c>
      <c r="C41" s="3">
        <f>+VLOOKUP(A41,Precios!$B:$H,1+$C$3,0)</f>
        <v>250.22</v>
      </c>
      <c r="D41" s="10">
        <f t="shared" si="3"/>
        <v>-2.2730823308858117E-2</v>
      </c>
      <c r="E41" s="28">
        <f t="shared" si="0"/>
        <v>4.9812124399485408E-4</v>
      </c>
      <c r="F41" s="9"/>
      <c r="H41" s="10">
        <f t="shared" si="1"/>
        <v>-5.324384893422944E-2</v>
      </c>
      <c r="I41" s="10">
        <f t="shared" si="2"/>
        <v>5.324384893422944E-2</v>
      </c>
    </row>
    <row r="42" spans="1:9" x14ac:dyDescent="0.25">
      <c r="A42" s="1">
        <v>45268</v>
      </c>
      <c r="B42" s="2">
        <f t="shared" si="4"/>
        <v>36</v>
      </c>
      <c r="C42" s="3">
        <f>+VLOOKUP(A42,Precios!$B:$H,1+$C$3,0)</f>
        <v>256.04000000000002</v>
      </c>
      <c r="D42" s="10">
        <f t="shared" si="3"/>
        <v>-1.8665440190103855E-2</v>
      </c>
      <c r="E42" s="28">
        <f t="shared" si="0"/>
        <v>3.3318102082275817E-4</v>
      </c>
      <c r="F42" s="9"/>
      <c r="H42" s="10">
        <f t="shared" si="1"/>
        <v>-5.324384893422944E-2</v>
      </c>
      <c r="I42" s="10">
        <f t="shared" si="2"/>
        <v>5.324384893422944E-2</v>
      </c>
    </row>
    <row r="43" spans="1:9" x14ac:dyDescent="0.25">
      <c r="A43" s="1">
        <v>45267</v>
      </c>
      <c r="B43" s="2">
        <f t="shared" si="4"/>
        <v>37</v>
      </c>
      <c r="C43" s="3">
        <f>+VLOOKUP(A43,Precios!$B:$H,1+$C$3,0)</f>
        <v>260.91000000000003</v>
      </c>
      <c r="D43" s="10">
        <f t="shared" si="3"/>
        <v>-1.1496895838114529E-4</v>
      </c>
      <c r="E43" s="28">
        <f t="shared" si="0"/>
        <v>8.8342328926410903E-8</v>
      </c>
      <c r="F43" s="9"/>
      <c r="H43" s="10">
        <f t="shared" si="1"/>
        <v>-5.324384893422944E-2</v>
      </c>
      <c r="I43" s="10">
        <f t="shared" si="2"/>
        <v>5.324384893422944E-2</v>
      </c>
    </row>
    <row r="44" spans="1:9" x14ac:dyDescent="0.25">
      <c r="A44" s="1">
        <v>45266</v>
      </c>
      <c r="B44" s="2">
        <f t="shared" si="4"/>
        <v>38</v>
      </c>
      <c r="C44" s="3">
        <f>+VLOOKUP(A44,Precios!$B:$H,1+$C$3,0)</f>
        <v>260.94</v>
      </c>
      <c r="D44" s="10">
        <f t="shared" si="3"/>
        <v>1.4968336211858002E-3</v>
      </c>
      <c r="E44" s="28">
        <f t="shared" si="0"/>
        <v>3.644383912185844E-6</v>
      </c>
      <c r="F44" s="9"/>
      <c r="H44" s="10">
        <f t="shared" si="1"/>
        <v>-5.324384893422944E-2</v>
      </c>
      <c r="I44" s="10">
        <f t="shared" si="2"/>
        <v>5.324384893422944E-2</v>
      </c>
    </row>
    <row r="45" spans="1:9" x14ac:dyDescent="0.25">
      <c r="A45" s="1">
        <v>45265</v>
      </c>
      <c r="B45" s="2">
        <f t="shared" si="4"/>
        <v>39</v>
      </c>
      <c r="C45" s="3">
        <f>+VLOOKUP(A45,Precios!$B:$H,1+$C$3,0)</f>
        <v>260.55</v>
      </c>
      <c r="D45" s="10">
        <f t="shared" si="3"/>
        <v>-5.9516996680782919E-3</v>
      </c>
      <c r="E45" s="28">
        <f t="shared" si="0"/>
        <v>3.0686130435275872E-5</v>
      </c>
      <c r="F45" s="9"/>
      <c r="H45" s="10">
        <f t="shared" si="1"/>
        <v>-5.324384893422944E-2</v>
      </c>
      <c r="I45" s="10">
        <f t="shared" si="2"/>
        <v>5.324384893422944E-2</v>
      </c>
    </row>
    <row r="46" spans="1:9" x14ac:dyDescent="0.25">
      <c r="A46" s="1">
        <v>45264</v>
      </c>
      <c r="B46" s="2">
        <f t="shared" si="4"/>
        <v>40</v>
      </c>
      <c r="C46" s="3">
        <f>+VLOOKUP(A46,Precios!$B:$H,1+$C$3,0)</f>
        <v>262.11</v>
      </c>
      <c r="D46" s="10">
        <f t="shared" si="3"/>
        <v>6.8720650555498253E-4</v>
      </c>
      <c r="E46" s="28">
        <f t="shared" si="0"/>
        <v>1.2086800052323703E-6</v>
      </c>
      <c r="F46" s="9"/>
      <c r="H46" s="10">
        <f t="shared" si="1"/>
        <v>-5.324384893422944E-2</v>
      </c>
      <c r="I46" s="10">
        <f t="shared" si="2"/>
        <v>5.324384893422944E-2</v>
      </c>
    </row>
    <row r="47" spans="1:9" x14ac:dyDescent="0.25">
      <c r="A47" s="1">
        <v>45261</v>
      </c>
      <c r="B47" s="2">
        <f t="shared" si="4"/>
        <v>41</v>
      </c>
      <c r="C47" s="3">
        <f>+VLOOKUP(A47,Precios!$B:$H,1+$C$3,0)</f>
        <v>261.93</v>
      </c>
      <c r="D47" s="10">
        <f t="shared" si="3"/>
        <v>-9.9410341699425198E-3</v>
      </c>
      <c r="E47" s="28">
        <f t="shared" si="0"/>
        <v>9.0798807693896974E-5</v>
      </c>
      <c r="F47" s="9"/>
      <c r="H47" s="10">
        <f t="shared" si="1"/>
        <v>-5.324384893422944E-2</v>
      </c>
      <c r="I47" s="10">
        <f t="shared" si="2"/>
        <v>5.324384893422944E-2</v>
      </c>
    </row>
    <row r="48" spans="1:9" x14ac:dyDescent="0.25">
      <c r="A48" s="1">
        <v>45260</v>
      </c>
      <c r="B48" s="2">
        <f t="shared" si="4"/>
        <v>42</v>
      </c>
      <c r="C48" s="3">
        <f>+VLOOKUP(A48,Precios!$B:$H,1+$C$3,0)</f>
        <v>264.56</v>
      </c>
      <c r="D48" s="10">
        <f t="shared" si="3"/>
        <v>4.2765362027511689E-2</v>
      </c>
      <c r="E48" s="28">
        <f t="shared" si="0"/>
        <v>1.8643012869185994E-3</v>
      </c>
      <c r="F48" s="9"/>
      <c r="H48" s="10">
        <f t="shared" si="1"/>
        <v>-5.324384893422944E-2</v>
      </c>
      <c r="I48" s="10">
        <f t="shared" si="2"/>
        <v>5.324384893422944E-2</v>
      </c>
    </row>
    <row r="49" spans="1:9" x14ac:dyDescent="0.25">
      <c r="A49" s="1">
        <v>45259</v>
      </c>
      <c r="B49" s="2">
        <f t="shared" si="4"/>
        <v>43</v>
      </c>
      <c r="C49" s="3">
        <f>+VLOOKUP(A49,Precios!$B:$H,1+$C$3,0)</f>
        <v>253.71</v>
      </c>
      <c r="D49" s="10">
        <f t="shared" si="3"/>
        <v>-8.286752921862206E-3</v>
      </c>
      <c r="E49" s="28">
        <f t="shared" si="0"/>
        <v>6.200868871698277E-5</v>
      </c>
      <c r="F49" s="9"/>
      <c r="H49" s="10">
        <f t="shared" si="1"/>
        <v>-5.324384893422944E-2</v>
      </c>
      <c r="I49" s="10">
        <f t="shared" si="2"/>
        <v>5.324384893422944E-2</v>
      </c>
    </row>
    <row r="50" spans="1:9" x14ac:dyDescent="0.25">
      <c r="A50" s="1">
        <v>45258</v>
      </c>
      <c r="B50" s="2">
        <f t="shared" si="4"/>
        <v>44</v>
      </c>
      <c r="C50" s="3">
        <f>+VLOOKUP(A50,Precios!$B:$H,1+$C$3,0)</f>
        <v>255.83</v>
      </c>
      <c r="D50" s="10">
        <f t="shared" si="3"/>
        <v>1.0466861521447157E-2</v>
      </c>
      <c r="E50" s="28">
        <f t="shared" si="0"/>
        <v>1.18353834528224E-4</v>
      </c>
      <c r="F50" s="9"/>
      <c r="H50" s="10">
        <f t="shared" si="1"/>
        <v>-5.324384893422944E-2</v>
      </c>
      <c r="I50" s="10">
        <f t="shared" si="2"/>
        <v>5.324384893422944E-2</v>
      </c>
    </row>
    <row r="51" spans="1:9" x14ac:dyDescent="0.25">
      <c r="A51" s="1">
        <v>45257</v>
      </c>
      <c r="B51" s="2">
        <f t="shared" si="4"/>
        <v>45</v>
      </c>
      <c r="C51" s="3">
        <f>+VLOOKUP(A51,Precios!$B:$H,1+$C$3,0)</f>
        <v>253.18</v>
      </c>
      <c r="D51" s="10">
        <f t="shared" si="3"/>
        <v>1.0134056814554926E-2</v>
      </c>
      <c r="E51" s="28">
        <f t="shared" si="0"/>
        <v>1.1122339217689015E-4</v>
      </c>
      <c r="F51" s="9"/>
      <c r="H51" s="10">
        <f t="shared" si="1"/>
        <v>-5.324384893422944E-2</v>
      </c>
      <c r="I51" s="10">
        <f t="shared" si="2"/>
        <v>5.324384893422944E-2</v>
      </c>
    </row>
    <row r="52" spans="1:9" x14ac:dyDescent="0.25">
      <c r="A52" s="1">
        <v>45254</v>
      </c>
      <c r="B52" s="2">
        <f t="shared" si="4"/>
        <v>46</v>
      </c>
      <c r="C52" s="3">
        <f>+VLOOKUP(A52,Precios!$B:$H,1+$C$3,0)</f>
        <v>250.64</v>
      </c>
      <c r="D52" s="10">
        <f t="shared" si="3"/>
        <v>-8.034194799540928E-3</v>
      </c>
      <c r="E52" s="28">
        <f t="shared" si="0"/>
        <v>5.8094906354443127E-5</v>
      </c>
      <c r="F52" s="9"/>
      <c r="H52" s="10">
        <f t="shared" si="1"/>
        <v>-5.324384893422944E-2</v>
      </c>
      <c r="I52" s="10">
        <f t="shared" si="2"/>
        <v>5.324384893422944E-2</v>
      </c>
    </row>
    <row r="53" spans="1:9" x14ac:dyDescent="0.25">
      <c r="A53" s="1">
        <v>45253</v>
      </c>
      <c r="B53" s="2">
        <f t="shared" si="4"/>
        <v>47</v>
      </c>
      <c r="C53" s="3">
        <f>+VLOOKUP(A53,Precios!$B:$H,1+$C$3,0)</f>
        <v>252.67</v>
      </c>
      <c r="D53" s="10">
        <f t="shared" si="3"/>
        <v>2.4157918203558726E-2</v>
      </c>
      <c r="E53" s="28">
        <f t="shared" si="0"/>
        <v>6.0369038092380025E-4</v>
      </c>
      <c r="F53" s="9"/>
      <c r="H53" s="10">
        <f t="shared" si="1"/>
        <v>-5.324384893422944E-2</v>
      </c>
      <c r="I53" s="10">
        <f t="shared" si="2"/>
        <v>5.324384893422944E-2</v>
      </c>
    </row>
    <row r="54" spans="1:9" x14ac:dyDescent="0.25">
      <c r="A54" s="1">
        <v>45252</v>
      </c>
      <c r="B54" s="2">
        <f t="shared" si="4"/>
        <v>48</v>
      </c>
      <c r="C54" s="3">
        <f>+VLOOKUP(A54,Precios!$B:$H,1+$C$3,0)</f>
        <v>246.71</v>
      </c>
      <c r="D54" s="10">
        <f t="shared" si="3"/>
        <v>1.260055820062389E-2</v>
      </c>
      <c r="E54" s="28">
        <f t="shared" si="0"/>
        <v>1.6933170247840706E-4</v>
      </c>
      <c r="F54" s="9"/>
      <c r="H54" s="10">
        <f t="shared" si="1"/>
        <v>-5.324384893422944E-2</v>
      </c>
      <c r="I54" s="10">
        <f t="shared" si="2"/>
        <v>5.324384893422944E-2</v>
      </c>
    </row>
    <row r="55" spans="1:9" x14ac:dyDescent="0.25">
      <c r="A55" s="1">
        <v>45251</v>
      </c>
      <c r="B55" s="2">
        <f t="shared" si="4"/>
        <v>49</v>
      </c>
      <c r="C55" s="3">
        <f>+VLOOKUP(A55,Precios!$B:$H,1+$C$3,0)</f>
        <v>243.64</v>
      </c>
      <c r="D55" s="10">
        <f t="shared" si="3"/>
        <v>-3.5581366815263804E-3</v>
      </c>
      <c r="E55" s="28">
        <f t="shared" si="0"/>
        <v>9.8969595515145731E-6</v>
      </c>
      <c r="F55" s="9"/>
      <c r="H55" s="10">
        <f t="shared" si="1"/>
        <v>-5.324384893422944E-2</v>
      </c>
      <c r="I55" s="10">
        <f t="shared" si="2"/>
        <v>5.324384893422944E-2</v>
      </c>
    </row>
    <row r="56" spans="1:9" x14ac:dyDescent="0.25">
      <c r="A56" s="1">
        <v>45247</v>
      </c>
      <c r="B56" s="2">
        <f t="shared" si="4"/>
        <v>50</v>
      </c>
      <c r="C56" s="3">
        <f>+VLOOKUP(A56,Precios!$B:$H,1+$C$3,0)</f>
        <v>244.51</v>
      </c>
      <c r="D56" s="10">
        <f t="shared" si="3"/>
        <v>4.4066783381015329E-2</v>
      </c>
      <c r="E56" s="28">
        <f t="shared" si="0"/>
        <v>1.9783793695347233E-3</v>
      </c>
      <c r="F56" s="9"/>
      <c r="H56" s="10">
        <f t="shared" si="1"/>
        <v>-5.324384893422944E-2</v>
      </c>
      <c r="I56" s="10">
        <f t="shared" si="2"/>
        <v>5.324384893422944E-2</v>
      </c>
    </row>
    <row r="57" spans="1:9" x14ac:dyDescent="0.25">
      <c r="A57" s="1">
        <v>45246</v>
      </c>
      <c r="B57" s="2">
        <f t="shared" si="4"/>
        <v>51</v>
      </c>
      <c r="C57" s="3">
        <f>+VLOOKUP(A57,Precios!$B:$H,1+$C$3,0)</f>
        <v>234.19</v>
      </c>
      <c r="D57" s="10">
        <f t="shared" si="3"/>
        <v>2.0391268354320147E-2</v>
      </c>
      <c r="E57" s="28">
        <f t="shared" si="0"/>
        <v>4.327840181799156E-4</v>
      </c>
      <c r="F57" s="9"/>
      <c r="H57" s="10">
        <f t="shared" si="1"/>
        <v>-5.324384893422944E-2</v>
      </c>
      <c r="I57" s="10">
        <f t="shared" si="2"/>
        <v>5.324384893422944E-2</v>
      </c>
    </row>
    <row r="58" spans="1:9" x14ac:dyDescent="0.25">
      <c r="A58" s="1">
        <v>45245</v>
      </c>
      <c r="B58" s="2">
        <f t="shared" si="4"/>
        <v>52</v>
      </c>
      <c r="C58" s="3">
        <f>+VLOOKUP(A58,Precios!$B:$H,1+$C$3,0)</f>
        <v>229.51</v>
      </c>
      <c r="D58" s="10">
        <f t="shared" si="3"/>
        <v>1.5665796344647376E-2</v>
      </c>
      <c r="E58" s="28">
        <f t="shared" si="0"/>
        <v>2.5850175207771847E-4</v>
      </c>
      <c r="F58" s="9"/>
      <c r="H58" s="10">
        <f t="shared" si="1"/>
        <v>-5.324384893422944E-2</v>
      </c>
      <c r="I58" s="10">
        <f t="shared" si="2"/>
        <v>5.324384893422944E-2</v>
      </c>
    </row>
    <row r="59" spans="1:9" x14ac:dyDescent="0.25">
      <c r="A59" s="1">
        <v>45244</v>
      </c>
      <c r="B59" s="2">
        <f t="shared" si="4"/>
        <v>53</v>
      </c>
      <c r="C59" s="3">
        <f>+VLOOKUP(A59,Precios!$B:$H,1+$C$3,0)</f>
        <v>225.97</v>
      </c>
      <c r="D59" s="10">
        <f t="shared" si="3"/>
        <v>1.0102364668544084E-2</v>
      </c>
      <c r="E59" s="28">
        <f t="shared" si="0"/>
        <v>1.105559299699163E-4</v>
      </c>
      <c r="F59" s="9"/>
      <c r="H59" s="10">
        <f t="shared" si="1"/>
        <v>-5.324384893422944E-2</v>
      </c>
      <c r="I59" s="10">
        <f t="shared" si="2"/>
        <v>5.324384893422944E-2</v>
      </c>
    </row>
    <row r="60" spans="1:9" x14ac:dyDescent="0.25">
      <c r="A60" s="1">
        <v>45243</v>
      </c>
      <c r="B60" s="2">
        <f t="shared" si="4"/>
        <v>54</v>
      </c>
      <c r="C60" s="3">
        <f>+VLOOKUP(A60,Precios!$B:$H,1+$C$3,0)</f>
        <v>223.71</v>
      </c>
      <c r="D60" s="10">
        <f t="shared" si="3"/>
        <v>-5.8077197998573915E-4</v>
      </c>
      <c r="E60" s="28">
        <f t="shared" si="0"/>
        <v>2.8418760186168886E-8</v>
      </c>
      <c r="F60" s="9"/>
      <c r="H60" s="10">
        <f t="shared" si="1"/>
        <v>-5.324384893422944E-2</v>
      </c>
      <c r="I60" s="10">
        <f t="shared" si="2"/>
        <v>5.324384893422944E-2</v>
      </c>
    </row>
    <row r="61" spans="1:9" x14ac:dyDescent="0.25">
      <c r="A61" s="1">
        <v>45240</v>
      </c>
      <c r="B61" s="2">
        <f t="shared" si="4"/>
        <v>55</v>
      </c>
      <c r="C61" s="3">
        <f>+VLOOKUP(A61,Precios!$B:$H,1+$C$3,0)</f>
        <v>223.84</v>
      </c>
      <c r="D61" s="10">
        <f t="shared" si="3"/>
        <v>-1.3399153737658653E-2</v>
      </c>
      <c r="E61" s="28">
        <f t="shared" si="0"/>
        <v>1.6866114054960059E-4</v>
      </c>
      <c r="F61" s="9"/>
      <c r="H61" s="10">
        <f t="shared" si="1"/>
        <v>-5.324384893422944E-2</v>
      </c>
      <c r="I61" s="10">
        <f t="shared" si="2"/>
        <v>5.324384893422944E-2</v>
      </c>
    </row>
    <row r="62" spans="1:9" x14ac:dyDescent="0.25">
      <c r="A62" s="1">
        <v>45239</v>
      </c>
      <c r="B62" s="2">
        <f t="shared" si="4"/>
        <v>56</v>
      </c>
      <c r="C62" s="3">
        <f>+VLOOKUP(A62,Precios!$B:$H,1+$C$3,0)</f>
        <v>226.88</v>
      </c>
      <c r="D62" s="10">
        <f t="shared" si="3"/>
        <v>2.8288543140027045E-3</v>
      </c>
      <c r="E62" s="28">
        <f t="shared" si="0"/>
        <v>1.0504389850783398E-5</v>
      </c>
      <c r="F62" s="9"/>
      <c r="H62" s="10">
        <f t="shared" si="1"/>
        <v>-5.324384893422944E-2</v>
      </c>
      <c r="I62" s="10">
        <f t="shared" si="2"/>
        <v>5.324384893422944E-2</v>
      </c>
    </row>
    <row r="63" spans="1:9" x14ac:dyDescent="0.25">
      <c r="A63" s="1">
        <v>45238</v>
      </c>
      <c r="B63" s="2">
        <f t="shared" si="4"/>
        <v>57</v>
      </c>
      <c r="C63" s="3">
        <f>+VLOOKUP(A63,Precios!$B:$H,1+$C$3,0)</f>
        <v>226.24</v>
      </c>
      <c r="D63" s="10">
        <f t="shared" si="3"/>
        <v>-8.8929776142288031E-3</v>
      </c>
      <c r="E63" s="28">
        <f t="shared" si="0"/>
        <v>7.1923702023058591E-5</v>
      </c>
      <c r="F63" s="9"/>
      <c r="H63" s="10">
        <f t="shared" si="1"/>
        <v>-5.324384893422944E-2</v>
      </c>
      <c r="I63" s="10">
        <f t="shared" si="2"/>
        <v>5.324384893422944E-2</v>
      </c>
    </row>
    <row r="64" spans="1:9" x14ac:dyDescent="0.25">
      <c r="A64" s="1">
        <v>45237</v>
      </c>
      <c r="B64" s="2">
        <f t="shared" si="4"/>
        <v>58</v>
      </c>
      <c r="C64" s="3">
        <f>+VLOOKUP(A64,Precios!$B:$H,1+$C$3,0)</f>
        <v>228.27</v>
      </c>
      <c r="D64" s="10">
        <f t="shared" si="3"/>
        <v>-1.7009732150546797E-2</v>
      </c>
      <c r="E64" s="28">
        <f t="shared" si="0"/>
        <v>2.7547829479668696E-4</v>
      </c>
      <c r="F64" s="9"/>
      <c r="H64" s="10">
        <f t="shared" si="1"/>
        <v>-5.324384893422944E-2</v>
      </c>
      <c r="I64" s="10">
        <f t="shared" si="2"/>
        <v>5.324384893422944E-2</v>
      </c>
    </row>
    <row r="65" spans="1:9" x14ac:dyDescent="0.25">
      <c r="A65" s="1">
        <v>45236</v>
      </c>
      <c r="B65" s="2">
        <f t="shared" si="4"/>
        <v>59</v>
      </c>
      <c r="C65" s="3">
        <f>+VLOOKUP(A65,Precios!$B:$H,1+$C$3,0)</f>
        <v>232.22</v>
      </c>
      <c r="D65" s="10">
        <f t="shared" si="3"/>
        <v>3.5402175851614093E-2</v>
      </c>
      <c r="E65" s="28">
        <f t="shared" si="0"/>
        <v>1.2826690400989257E-3</v>
      </c>
      <c r="F65" s="9"/>
      <c r="H65" s="10">
        <f t="shared" si="1"/>
        <v>-5.324384893422944E-2</v>
      </c>
      <c r="I65" s="10">
        <f t="shared" si="2"/>
        <v>5.324384893422944E-2</v>
      </c>
    </row>
    <row r="66" spans="1:9" x14ac:dyDescent="0.25">
      <c r="A66" s="1">
        <v>45233</v>
      </c>
      <c r="B66" s="2">
        <f t="shared" si="4"/>
        <v>60</v>
      </c>
      <c r="C66" s="3">
        <f>+VLOOKUP(A66,Precios!$B:$H,1+$C$3,0)</f>
        <v>224.28</v>
      </c>
      <c r="D66" s="10">
        <f t="shared" si="3"/>
        <v>5.5882491408125734E-2</v>
      </c>
      <c r="E66" s="28">
        <f t="shared" si="0"/>
        <v>3.1690915301138792E-3</v>
      </c>
      <c r="F66" s="9"/>
      <c r="H66" s="10">
        <f t="shared" si="1"/>
        <v>-5.324384893422944E-2</v>
      </c>
      <c r="I66" s="10">
        <f t="shared" si="2"/>
        <v>5.324384893422944E-2</v>
      </c>
    </row>
    <row r="67" spans="1:9" x14ac:dyDescent="0.25">
      <c r="A67" s="1">
        <v>45231</v>
      </c>
      <c r="B67" s="2">
        <f t="shared" si="4"/>
        <v>61</v>
      </c>
      <c r="C67" s="3">
        <f>+VLOOKUP(A67,Precios!$B:$H,1+$C$3,0)</f>
        <v>212.41</v>
      </c>
      <c r="D67" s="10">
        <f t="shared" si="3"/>
        <v>9.9852598545004945E-3</v>
      </c>
      <c r="E67" s="28">
        <f t="shared" si="0"/>
        <v>1.0810703278832259E-4</v>
      </c>
      <c r="F67" s="9"/>
      <c r="H67" s="10">
        <f t="shared" si="1"/>
        <v>-5.324384893422944E-2</v>
      </c>
      <c r="I67" s="10">
        <f t="shared" si="2"/>
        <v>5.324384893422944E-2</v>
      </c>
    </row>
    <row r="68" spans="1:9" x14ac:dyDescent="0.25">
      <c r="A68" s="1">
        <v>45230</v>
      </c>
      <c r="B68" s="2">
        <f t="shared" si="4"/>
        <v>62</v>
      </c>
      <c r="C68" s="3">
        <f>+VLOOKUP(A68,Precios!$B:$H,1+$C$3,0)</f>
        <v>210.31</v>
      </c>
      <c r="D68" s="10">
        <f t="shared" si="3"/>
        <v>2.60025368328618E-2</v>
      </c>
      <c r="E68" s="28">
        <f t="shared" si="0"/>
        <v>6.977379697405186E-4</v>
      </c>
      <c r="F68" s="9"/>
      <c r="H68" s="10">
        <f t="shared" si="1"/>
        <v>-5.324384893422944E-2</v>
      </c>
      <c r="I68" s="10">
        <f t="shared" si="2"/>
        <v>5.324384893422944E-2</v>
      </c>
    </row>
    <row r="69" spans="1:9" x14ac:dyDescent="0.25">
      <c r="A69" s="1">
        <v>45229</v>
      </c>
      <c r="B69" s="2">
        <f t="shared" si="4"/>
        <v>63</v>
      </c>
      <c r="C69" s="3">
        <f>+VLOOKUP(A69,Precios!$B:$H,1+$C$3,0)</f>
        <v>204.98</v>
      </c>
      <c r="D69" s="10">
        <f t="shared" si="3"/>
        <v>4.6243364638627993E-2</v>
      </c>
      <c r="E69" s="28">
        <f t="shared" si="0"/>
        <v>2.1767410896531766E-3</v>
      </c>
      <c r="F69" s="9"/>
      <c r="H69" s="10">
        <f t="shared" si="1"/>
        <v>-5.324384893422944E-2</v>
      </c>
      <c r="I69" s="10">
        <f t="shared" si="2"/>
        <v>5.324384893422944E-2</v>
      </c>
    </row>
    <row r="70" spans="1:9" x14ac:dyDescent="0.25">
      <c r="A70" s="1">
        <v>45226</v>
      </c>
      <c r="B70" s="2">
        <f t="shared" si="4"/>
        <v>64</v>
      </c>
      <c r="C70" s="3">
        <f>+VLOOKUP(A70,Precios!$B:$H,1+$C$3,0)</f>
        <v>195.92</v>
      </c>
      <c r="D70" s="10">
        <f t="shared" si="3"/>
        <v>-2.2160111798762316E-2</v>
      </c>
      <c r="E70" s="28">
        <f t="shared" si="0"/>
        <v>4.7297195758914013E-4</v>
      </c>
      <c r="F70" s="9"/>
      <c r="H70" s="10">
        <f t="shared" si="1"/>
        <v>-5.324384893422944E-2</v>
      </c>
      <c r="I70" s="10">
        <f t="shared" si="2"/>
        <v>5.324384893422944E-2</v>
      </c>
    </row>
    <row r="71" spans="1:9" x14ac:dyDescent="0.25">
      <c r="A71" s="1">
        <v>45225</v>
      </c>
      <c r="B71" s="2">
        <f t="shared" si="4"/>
        <v>65</v>
      </c>
      <c r="C71" s="3">
        <f>+VLOOKUP(A71,Precios!$B:$H,1+$C$3,0)</f>
        <v>200.36</v>
      </c>
      <c r="D71" s="10">
        <f t="shared" si="3"/>
        <v>-4.6948580126528028E-2</v>
      </c>
      <c r="E71" s="28">
        <f t="shared" ref="E71:E134" si="5" xml:space="preserve"> (D71 - $F$2) ^2</f>
        <v>2.165635295787637E-3</v>
      </c>
      <c r="F71" s="9"/>
      <c r="H71" s="10">
        <f t="shared" ref="H71:H134" si="6">-$I$5*$F$3</f>
        <v>-5.324384893422944E-2</v>
      </c>
      <c r="I71" s="10">
        <f t="shared" ref="I71:I134" si="7">+$I$5*$F$3</f>
        <v>5.324384893422944E-2</v>
      </c>
    </row>
    <row r="72" spans="1:9" x14ac:dyDescent="0.25">
      <c r="A72" s="1">
        <v>45224</v>
      </c>
      <c r="B72" s="2">
        <f t="shared" si="4"/>
        <v>66</v>
      </c>
      <c r="C72" s="3">
        <f>+VLOOKUP(A72,Precios!$B:$H,1+$C$3,0)</f>
        <v>210.23</v>
      </c>
      <c r="D72" s="10">
        <f t="shared" ref="D72:D135" si="8" xml:space="preserve"> (C72/C73) - 1</f>
        <v>-3.743720974315301E-3</v>
      </c>
      <c r="E72" s="28">
        <f t="shared" si="5"/>
        <v>1.1099076424188352E-5</v>
      </c>
      <c r="F72" s="9"/>
      <c r="H72" s="10">
        <f t="shared" si="6"/>
        <v>-5.324384893422944E-2</v>
      </c>
      <c r="I72" s="10">
        <f t="shared" si="7"/>
        <v>5.324384893422944E-2</v>
      </c>
    </row>
    <row r="73" spans="1:9" x14ac:dyDescent="0.25">
      <c r="A73" s="1">
        <v>45223</v>
      </c>
      <c r="B73" s="2">
        <f t="shared" ref="B73:B136" si="9">+B72+1</f>
        <v>67</v>
      </c>
      <c r="C73" s="3">
        <f>+VLOOKUP(A73,Precios!$B:$H,1+$C$3,0)</f>
        <v>211.02</v>
      </c>
      <c r="D73" s="10">
        <f t="shared" si="8"/>
        <v>-6.6902498341808503E-2</v>
      </c>
      <c r="E73" s="28">
        <f t="shared" si="5"/>
        <v>4.4209606601512217E-3</v>
      </c>
      <c r="F73" s="9"/>
      <c r="H73" s="10">
        <f t="shared" si="6"/>
        <v>-5.324384893422944E-2</v>
      </c>
      <c r="I73" s="10">
        <f t="shared" si="7"/>
        <v>5.324384893422944E-2</v>
      </c>
    </row>
    <row r="74" spans="1:9" x14ac:dyDescent="0.25">
      <c r="A74" s="1">
        <v>45222</v>
      </c>
      <c r="B74" s="2">
        <f t="shared" si="9"/>
        <v>68</v>
      </c>
      <c r="C74" s="3">
        <f>+VLOOKUP(A74,Precios!$B:$H,1+$C$3,0)</f>
        <v>226.15</v>
      </c>
      <c r="D74" s="10">
        <f t="shared" si="8"/>
        <v>-1.4167393199651213E-2</v>
      </c>
      <c r="E74" s="28">
        <f t="shared" si="5"/>
        <v>1.892055233687984E-4</v>
      </c>
      <c r="F74" s="9"/>
      <c r="H74" s="10">
        <f t="shared" si="6"/>
        <v>-5.324384893422944E-2</v>
      </c>
      <c r="I74" s="10">
        <f t="shared" si="7"/>
        <v>5.324384893422944E-2</v>
      </c>
    </row>
    <row r="75" spans="1:9" x14ac:dyDescent="0.25">
      <c r="A75" s="1">
        <v>45219</v>
      </c>
      <c r="B75" s="2">
        <f t="shared" si="9"/>
        <v>69</v>
      </c>
      <c r="C75" s="3">
        <f>+VLOOKUP(A75,Precios!$B:$H,1+$C$3,0)</f>
        <v>229.4</v>
      </c>
      <c r="D75" s="10">
        <f t="shared" si="8"/>
        <v>-1.6379384272360853E-2</v>
      </c>
      <c r="E75" s="28">
        <f t="shared" si="5"/>
        <v>2.5495118649084632E-4</v>
      </c>
      <c r="F75" s="9"/>
      <c r="H75" s="10">
        <f t="shared" si="6"/>
        <v>-5.324384893422944E-2</v>
      </c>
      <c r="I75" s="10">
        <f t="shared" si="7"/>
        <v>5.324384893422944E-2</v>
      </c>
    </row>
    <row r="76" spans="1:9" x14ac:dyDescent="0.25">
      <c r="A76" s="1">
        <v>45218</v>
      </c>
      <c r="B76" s="2">
        <f t="shared" si="9"/>
        <v>70</v>
      </c>
      <c r="C76" s="3">
        <f>+VLOOKUP(A76,Precios!$B:$H,1+$C$3,0)</f>
        <v>233.22</v>
      </c>
      <c r="D76" s="10">
        <f t="shared" si="8"/>
        <v>-2.6749572257229848E-2</v>
      </c>
      <c r="E76" s="28">
        <f t="shared" si="5"/>
        <v>6.9365752859325259E-4</v>
      </c>
      <c r="F76" s="9"/>
      <c r="H76" s="10">
        <f t="shared" si="6"/>
        <v>-5.324384893422944E-2</v>
      </c>
      <c r="I76" s="10">
        <f t="shared" si="7"/>
        <v>5.324384893422944E-2</v>
      </c>
    </row>
    <row r="77" spans="1:9" x14ac:dyDescent="0.25">
      <c r="A77" s="1">
        <v>45217</v>
      </c>
      <c r="B77" s="2">
        <f t="shared" si="9"/>
        <v>71</v>
      </c>
      <c r="C77" s="3">
        <f>+VLOOKUP(A77,Precios!$B:$H,1+$C$3,0)</f>
        <v>239.63</v>
      </c>
      <c r="D77" s="10">
        <f t="shared" si="8"/>
        <v>8.3531721171103968E-4</v>
      </c>
      <c r="E77" s="28">
        <f t="shared" si="5"/>
        <v>1.556282559412205E-6</v>
      </c>
      <c r="F77" s="9"/>
      <c r="H77" s="10">
        <f t="shared" si="6"/>
        <v>-5.324384893422944E-2</v>
      </c>
      <c r="I77" s="10">
        <f t="shared" si="7"/>
        <v>5.324384893422944E-2</v>
      </c>
    </row>
    <row r="78" spans="1:9" x14ac:dyDescent="0.25">
      <c r="A78" s="1">
        <v>45216</v>
      </c>
      <c r="B78" s="2">
        <f t="shared" si="9"/>
        <v>72</v>
      </c>
      <c r="C78" s="3">
        <f>+VLOOKUP(A78,Precios!$B:$H,1+$C$3,0)</f>
        <v>239.43</v>
      </c>
      <c r="D78" s="10">
        <f t="shared" si="8"/>
        <v>-2.5677545373158583E-2</v>
      </c>
      <c r="E78" s="28">
        <f t="shared" si="5"/>
        <v>6.3833801370814379E-4</v>
      </c>
      <c r="F78" s="9"/>
      <c r="H78" s="10">
        <f t="shared" si="6"/>
        <v>-5.324384893422944E-2</v>
      </c>
      <c r="I78" s="10">
        <f t="shared" si="7"/>
        <v>5.324384893422944E-2</v>
      </c>
    </row>
    <row r="79" spans="1:9" x14ac:dyDescent="0.25">
      <c r="A79" s="1">
        <v>45215</v>
      </c>
      <c r="B79" s="2">
        <f t="shared" si="9"/>
        <v>73</v>
      </c>
      <c r="C79" s="3">
        <f>+VLOOKUP(A79,Precios!$B:$H,1+$C$3,0)</f>
        <v>245.74</v>
      </c>
      <c r="D79" s="10">
        <f t="shared" si="8"/>
        <v>1.1608760085624947E-2</v>
      </c>
      <c r="E79" s="28">
        <f t="shared" si="5"/>
        <v>1.4450332109513061E-4</v>
      </c>
      <c r="F79" s="9"/>
      <c r="H79" s="10">
        <f t="shared" si="6"/>
        <v>-5.324384893422944E-2</v>
      </c>
      <c r="I79" s="10">
        <f t="shared" si="7"/>
        <v>5.324384893422944E-2</v>
      </c>
    </row>
    <row r="80" spans="1:9" x14ac:dyDescent="0.25">
      <c r="A80" s="1">
        <v>45212</v>
      </c>
      <c r="B80" s="2">
        <f t="shared" si="9"/>
        <v>74</v>
      </c>
      <c r="C80" s="3">
        <f>+VLOOKUP(A80,Precios!$B:$H,1+$C$3,0)</f>
        <v>242.92</v>
      </c>
      <c r="D80" s="10">
        <f t="shared" si="8"/>
        <v>-1.4763140817650955E-2</v>
      </c>
      <c r="E80" s="28">
        <f t="shared" si="5"/>
        <v>2.059496937043685E-4</v>
      </c>
      <c r="F80" s="9"/>
      <c r="H80" s="10">
        <f t="shared" si="6"/>
        <v>-5.324384893422944E-2</v>
      </c>
      <c r="I80" s="10">
        <f t="shared" si="7"/>
        <v>5.324384893422944E-2</v>
      </c>
    </row>
    <row r="81" spans="1:9" x14ac:dyDescent="0.25">
      <c r="A81" s="1">
        <v>45211</v>
      </c>
      <c r="B81" s="2">
        <f t="shared" si="9"/>
        <v>75</v>
      </c>
      <c r="C81" s="3">
        <f>+VLOOKUP(A81,Precios!$B:$H,1+$C$3,0)</f>
        <v>246.56</v>
      </c>
      <c r="D81" s="10">
        <f t="shared" si="8"/>
        <v>-2.9482385357213148E-2</v>
      </c>
      <c r="E81" s="28">
        <f t="shared" si="5"/>
        <v>8.450760643188707E-4</v>
      </c>
      <c r="F81" s="9"/>
      <c r="H81" s="10">
        <f t="shared" si="6"/>
        <v>-5.324384893422944E-2</v>
      </c>
      <c r="I81" s="10">
        <f t="shared" si="7"/>
        <v>5.324384893422944E-2</v>
      </c>
    </row>
    <row r="82" spans="1:9" x14ac:dyDescent="0.25">
      <c r="A82" s="1">
        <v>45210</v>
      </c>
      <c r="B82" s="2">
        <f t="shared" si="9"/>
        <v>76</v>
      </c>
      <c r="C82" s="3">
        <f>+VLOOKUP(A82,Precios!$B:$H,1+$C$3,0)</f>
        <v>254.05</v>
      </c>
      <c r="D82" s="10">
        <f t="shared" si="8"/>
        <v>8.5751717019335594E-3</v>
      </c>
      <c r="E82" s="28">
        <f t="shared" si="5"/>
        <v>8.0772730272925537E-5</v>
      </c>
      <c r="F82" s="9"/>
      <c r="H82" s="10">
        <f t="shared" si="6"/>
        <v>-5.324384893422944E-2</v>
      </c>
      <c r="I82" s="10">
        <f t="shared" si="7"/>
        <v>5.324384893422944E-2</v>
      </c>
    </row>
    <row r="83" spans="1:9" x14ac:dyDescent="0.25">
      <c r="A83" s="1">
        <v>45209</v>
      </c>
      <c r="B83" s="2">
        <f t="shared" si="9"/>
        <v>77</v>
      </c>
      <c r="C83" s="3">
        <f>+VLOOKUP(A83,Precios!$B:$H,1+$C$3,0)</f>
        <v>251.89</v>
      </c>
      <c r="D83" s="10">
        <f t="shared" si="8"/>
        <v>4.5837658293543582E-2</v>
      </c>
      <c r="E83" s="28">
        <f t="shared" si="5"/>
        <v>2.1390487754864521E-3</v>
      </c>
      <c r="F83" s="9"/>
      <c r="H83" s="10">
        <f t="shared" si="6"/>
        <v>-5.324384893422944E-2</v>
      </c>
      <c r="I83" s="10">
        <f t="shared" si="7"/>
        <v>5.324384893422944E-2</v>
      </c>
    </row>
    <row r="84" spans="1:9" x14ac:dyDescent="0.25">
      <c r="A84" s="1">
        <v>45208</v>
      </c>
      <c r="B84" s="2">
        <f t="shared" si="9"/>
        <v>78</v>
      </c>
      <c r="C84" s="3">
        <f>+VLOOKUP(A84,Precios!$B:$H,1+$C$3,0)</f>
        <v>240.85</v>
      </c>
      <c r="D84" s="10">
        <f t="shared" si="8"/>
        <v>7.0633205916559305E-4</v>
      </c>
      <c r="E84" s="28">
        <f t="shared" si="5"/>
        <v>1.2510990531406287E-6</v>
      </c>
      <c r="F84" s="9"/>
      <c r="H84" s="10">
        <f t="shared" si="6"/>
        <v>-5.324384893422944E-2</v>
      </c>
      <c r="I84" s="10">
        <f t="shared" si="7"/>
        <v>5.324384893422944E-2</v>
      </c>
    </row>
    <row r="85" spans="1:9" x14ac:dyDescent="0.25">
      <c r="A85" s="1">
        <v>45205</v>
      </c>
      <c r="B85" s="2">
        <f t="shared" si="9"/>
        <v>79</v>
      </c>
      <c r="C85" s="3">
        <f>+VLOOKUP(A85,Precios!$B:$H,1+$C$3,0)</f>
        <v>240.68</v>
      </c>
      <c r="D85" s="10">
        <f t="shared" si="8"/>
        <v>5.3811462848636138E-2</v>
      </c>
      <c r="E85" s="28">
        <f t="shared" si="5"/>
        <v>2.9402048897150214E-3</v>
      </c>
      <c r="F85" s="9"/>
      <c r="H85" s="10">
        <f t="shared" si="6"/>
        <v>-5.324384893422944E-2</v>
      </c>
      <c r="I85" s="10">
        <f t="shared" si="7"/>
        <v>5.324384893422944E-2</v>
      </c>
    </row>
    <row r="86" spans="1:9" x14ac:dyDescent="0.25">
      <c r="A86" s="1">
        <v>45204</v>
      </c>
      <c r="B86" s="2">
        <f t="shared" si="9"/>
        <v>80</v>
      </c>
      <c r="C86" s="3">
        <f>+VLOOKUP(A86,Precios!$B:$H,1+$C$3,0)</f>
        <v>228.39</v>
      </c>
      <c r="D86" s="10">
        <f t="shared" si="8"/>
        <v>-0.22276671771311907</v>
      </c>
      <c r="E86" s="28">
        <f t="shared" si="5"/>
        <v>4.9441534512264941E-2</v>
      </c>
      <c r="F86" s="9"/>
      <c r="H86" s="10">
        <f t="shared" si="6"/>
        <v>-5.324384893422944E-2</v>
      </c>
      <c r="I86" s="10">
        <f t="shared" si="7"/>
        <v>5.324384893422944E-2</v>
      </c>
    </row>
    <row r="87" spans="1:9" x14ac:dyDescent="0.25">
      <c r="A87" s="1">
        <v>45203</v>
      </c>
      <c r="B87" s="2">
        <f t="shared" si="9"/>
        <v>81</v>
      </c>
      <c r="C87" s="3">
        <f>+VLOOKUP(A87,Precios!$B:$H,1+$C$3,0)</f>
        <v>293.85000000000002</v>
      </c>
      <c r="D87" s="10">
        <f t="shared" si="8"/>
        <v>2.4795982423101215E-2</v>
      </c>
      <c r="E87" s="28">
        <f t="shared" si="5"/>
        <v>6.3545212495547945E-4</v>
      </c>
      <c r="F87" s="9"/>
      <c r="H87" s="10">
        <f t="shared" si="6"/>
        <v>-5.324384893422944E-2</v>
      </c>
      <c r="I87" s="10">
        <f t="shared" si="7"/>
        <v>5.324384893422944E-2</v>
      </c>
    </row>
    <row r="88" spans="1:9" x14ac:dyDescent="0.25">
      <c r="A88" s="1">
        <v>45202</v>
      </c>
      <c r="B88" s="2">
        <f t="shared" si="9"/>
        <v>82</v>
      </c>
      <c r="C88" s="3">
        <f>+VLOOKUP(A88,Precios!$B:$H,1+$C$3,0)</f>
        <v>286.74</v>
      </c>
      <c r="D88" s="10">
        <f t="shared" si="8"/>
        <v>-2.1164743633508509E-2</v>
      </c>
      <c r="E88" s="28">
        <f t="shared" si="5"/>
        <v>4.3066834397102749E-4</v>
      </c>
      <c r="F88" s="9"/>
      <c r="H88" s="10">
        <f t="shared" si="6"/>
        <v>-5.324384893422944E-2</v>
      </c>
      <c r="I88" s="10">
        <f t="shared" si="7"/>
        <v>5.324384893422944E-2</v>
      </c>
    </row>
    <row r="89" spans="1:9" x14ac:dyDescent="0.25">
      <c r="A89" s="1">
        <v>45201</v>
      </c>
      <c r="B89" s="2">
        <f t="shared" si="9"/>
        <v>83</v>
      </c>
      <c r="C89" s="3">
        <f>+VLOOKUP(A89,Precios!$B:$H,1+$C$3,0)</f>
        <v>292.94</v>
      </c>
      <c r="D89" s="10">
        <f t="shared" si="8"/>
        <v>2.2692361402038896E-2</v>
      </c>
      <c r="E89" s="28">
        <f t="shared" si="5"/>
        <v>5.3382044950898229E-4</v>
      </c>
      <c r="F89" s="9"/>
      <c r="H89" s="10">
        <f t="shared" si="6"/>
        <v>-5.324384893422944E-2</v>
      </c>
      <c r="I89" s="10">
        <f t="shared" si="7"/>
        <v>5.324384893422944E-2</v>
      </c>
    </row>
    <row r="90" spans="1:9" x14ac:dyDescent="0.25">
      <c r="A90" s="1">
        <v>45198</v>
      </c>
      <c r="B90" s="2">
        <f t="shared" si="9"/>
        <v>84</v>
      </c>
      <c r="C90" s="3">
        <f>+VLOOKUP(A90,Precios!$B:$H,1+$C$3,0)</f>
        <v>286.44</v>
      </c>
      <c r="D90" s="10">
        <f t="shared" si="8"/>
        <v>-6.2757672927164498E-2</v>
      </c>
      <c r="E90" s="28">
        <f t="shared" si="5"/>
        <v>3.8869588258140394E-3</v>
      </c>
      <c r="F90" s="9"/>
      <c r="H90" s="10">
        <f t="shared" si="6"/>
        <v>-5.324384893422944E-2</v>
      </c>
      <c r="I90" s="10">
        <f t="shared" si="7"/>
        <v>5.324384893422944E-2</v>
      </c>
    </row>
    <row r="91" spans="1:9" x14ac:dyDescent="0.25">
      <c r="A91" s="1">
        <v>45197</v>
      </c>
      <c r="B91" s="2">
        <f t="shared" si="9"/>
        <v>85</v>
      </c>
      <c r="C91" s="3">
        <f>+VLOOKUP(A91,Precios!$B:$H,1+$C$3,0)</f>
        <v>305.62</v>
      </c>
      <c r="D91" s="10">
        <f t="shared" si="8"/>
        <v>1.8028649162487032E-3</v>
      </c>
      <c r="E91" s="28">
        <f t="shared" si="5"/>
        <v>4.9064830480032448E-6</v>
      </c>
      <c r="F91" s="9"/>
      <c r="H91" s="10">
        <f t="shared" si="6"/>
        <v>-5.324384893422944E-2</v>
      </c>
      <c r="I91" s="10">
        <f t="shared" si="7"/>
        <v>5.324384893422944E-2</v>
      </c>
    </row>
    <row r="92" spans="1:9" x14ac:dyDescent="0.25">
      <c r="A92" s="1">
        <v>45196</v>
      </c>
      <c r="B92" s="2">
        <f t="shared" si="9"/>
        <v>86</v>
      </c>
      <c r="C92" s="3">
        <f>+VLOOKUP(A92,Precios!$B:$H,1+$C$3,0)</f>
        <v>305.07</v>
      </c>
      <c r="D92" s="10">
        <f t="shared" si="8"/>
        <v>2.5303976339139389E-3</v>
      </c>
      <c r="E92" s="28">
        <f t="shared" si="5"/>
        <v>8.6588415991460546E-6</v>
      </c>
      <c r="F92" s="9"/>
      <c r="H92" s="10">
        <f t="shared" si="6"/>
        <v>-5.324384893422944E-2</v>
      </c>
      <c r="I92" s="10">
        <f t="shared" si="7"/>
        <v>5.324384893422944E-2</v>
      </c>
    </row>
    <row r="93" spans="1:9" x14ac:dyDescent="0.25">
      <c r="A93" s="1">
        <v>45195</v>
      </c>
      <c r="B93" s="2">
        <f t="shared" si="9"/>
        <v>87</v>
      </c>
      <c r="C93" s="3">
        <f>+VLOOKUP(A93,Precios!$B:$H,1+$C$3,0)</f>
        <v>304.3</v>
      </c>
      <c r="D93" s="10">
        <f t="shared" si="8"/>
        <v>-1.230160018176496E-2</v>
      </c>
      <c r="E93" s="28">
        <f t="shared" si="5"/>
        <v>1.4135799521310536E-4</v>
      </c>
      <c r="F93" s="9"/>
      <c r="H93" s="10">
        <f t="shared" si="6"/>
        <v>-5.324384893422944E-2</v>
      </c>
      <c r="I93" s="10">
        <f t="shared" si="7"/>
        <v>5.324384893422944E-2</v>
      </c>
    </row>
    <row r="94" spans="1:9" x14ac:dyDescent="0.25">
      <c r="A94" s="1">
        <v>45194</v>
      </c>
      <c r="B94" s="2">
        <f t="shared" si="9"/>
        <v>88</v>
      </c>
      <c r="C94" s="3">
        <f>+VLOOKUP(A94,Precios!$B:$H,1+$C$3,0)</f>
        <v>308.08999999999997</v>
      </c>
      <c r="D94" s="10">
        <f t="shared" si="8"/>
        <v>1.1324842436974736E-2</v>
      </c>
      <c r="E94" s="28">
        <f t="shared" si="5"/>
        <v>1.3775800866799005E-4</v>
      </c>
      <c r="F94" s="9"/>
      <c r="H94" s="10">
        <f t="shared" si="6"/>
        <v>-5.324384893422944E-2</v>
      </c>
      <c r="I94" s="10">
        <f t="shared" si="7"/>
        <v>5.324384893422944E-2</v>
      </c>
    </row>
    <row r="95" spans="1:9" x14ac:dyDescent="0.25">
      <c r="A95" s="1">
        <v>45191</v>
      </c>
      <c r="B95" s="2">
        <f t="shared" si="9"/>
        <v>89</v>
      </c>
      <c r="C95" s="3">
        <f>+VLOOKUP(A95,Precios!$B:$H,1+$C$3,0)</f>
        <v>304.64</v>
      </c>
      <c r="D95" s="10">
        <f t="shared" si="8"/>
        <v>-8.1396106010288571E-3</v>
      </c>
      <c r="E95" s="28">
        <f t="shared" si="5"/>
        <v>5.9712977632700773E-5</v>
      </c>
      <c r="F95" s="9"/>
      <c r="H95" s="10">
        <f t="shared" si="6"/>
        <v>-5.324384893422944E-2</v>
      </c>
      <c r="I95" s="10">
        <f t="shared" si="7"/>
        <v>5.324384893422944E-2</v>
      </c>
    </row>
    <row r="96" spans="1:9" x14ac:dyDescent="0.25">
      <c r="A96" s="1">
        <v>45190</v>
      </c>
      <c r="B96" s="2">
        <f t="shared" si="9"/>
        <v>90</v>
      </c>
      <c r="C96" s="3">
        <f>+VLOOKUP(A96,Precios!$B:$H,1+$C$3,0)</f>
        <v>307.14</v>
      </c>
      <c r="D96" s="10">
        <f t="shared" si="8"/>
        <v>-3.2452781203349268E-3</v>
      </c>
      <c r="E96" s="28">
        <f t="shared" si="5"/>
        <v>8.0263694116677212E-6</v>
      </c>
      <c r="F96" s="9"/>
      <c r="H96" s="10">
        <f t="shared" si="6"/>
        <v>-5.324384893422944E-2</v>
      </c>
      <c r="I96" s="10">
        <f t="shared" si="7"/>
        <v>5.324384893422944E-2</v>
      </c>
    </row>
    <row r="97" spans="1:9" x14ac:dyDescent="0.25">
      <c r="A97" s="1">
        <v>45189</v>
      </c>
      <c r="B97" s="2">
        <f t="shared" si="9"/>
        <v>91</v>
      </c>
      <c r="C97" s="3">
        <f>+VLOOKUP(A97,Precios!$B:$H,1+$C$3,0)</f>
        <v>308.14</v>
      </c>
      <c r="D97" s="10">
        <f t="shared" si="8"/>
        <v>-2.8154428659267206E-3</v>
      </c>
      <c r="E97" s="28">
        <f t="shared" si="5"/>
        <v>5.7756083170367297E-6</v>
      </c>
      <c r="F97" s="9"/>
      <c r="H97" s="10">
        <f t="shared" si="6"/>
        <v>-5.324384893422944E-2</v>
      </c>
      <c r="I97" s="10">
        <f t="shared" si="7"/>
        <v>5.324384893422944E-2</v>
      </c>
    </row>
    <row r="98" spans="1:9" x14ac:dyDescent="0.25">
      <c r="A98" s="1">
        <v>45188</v>
      </c>
      <c r="B98" s="2">
        <f t="shared" si="9"/>
        <v>92</v>
      </c>
      <c r="C98" s="3">
        <f>+VLOOKUP(A98,Precios!$B:$H,1+$C$3,0)</f>
        <v>309.01</v>
      </c>
      <c r="D98" s="10">
        <f t="shared" si="8"/>
        <v>1.718101659750948E-3</v>
      </c>
      <c r="E98" s="28">
        <f t="shared" si="5"/>
        <v>4.5381567565614959E-6</v>
      </c>
      <c r="F98" s="9"/>
      <c r="H98" s="10">
        <f t="shared" si="6"/>
        <v>-5.324384893422944E-2</v>
      </c>
      <c r="I98" s="10">
        <f t="shared" si="7"/>
        <v>5.324384893422944E-2</v>
      </c>
    </row>
    <row r="99" spans="1:9" x14ac:dyDescent="0.25">
      <c r="A99" s="1">
        <v>45187</v>
      </c>
      <c r="B99" s="2">
        <f t="shared" si="9"/>
        <v>93</v>
      </c>
      <c r="C99" s="3">
        <f>+VLOOKUP(A99,Precios!$B:$H,1+$C$3,0)</f>
        <v>308.48</v>
      </c>
      <c r="D99" s="10">
        <f t="shared" si="8"/>
        <v>-1.4031386837983773E-2</v>
      </c>
      <c r="E99" s="28">
        <f t="shared" si="5"/>
        <v>1.8548243172349595E-4</v>
      </c>
      <c r="F99" s="9"/>
      <c r="H99" s="10">
        <f t="shared" si="6"/>
        <v>-5.324384893422944E-2</v>
      </c>
      <c r="I99" s="10">
        <f t="shared" si="7"/>
        <v>5.324384893422944E-2</v>
      </c>
    </row>
    <row r="100" spans="1:9" x14ac:dyDescent="0.25">
      <c r="A100" s="1">
        <v>45184</v>
      </c>
      <c r="B100" s="2">
        <f t="shared" si="9"/>
        <v>94</v>
      </c>
      <c r="C100" s="3">
        <f>+VLOOKUP(A100,Precios!$B:$H,1+$C$3,0)</f>
        <v>312.87</v>
      </c>
      <c r="D100" s="10">
        <f t="shared" si="8"/>
        <v>7.2111515307600182E-3</v>
      </c>
      <c r="E100" s="28">
        <f t="shared" si="5"/>
        <v>5.8115386913325443E-5</v>
      </c>
      <c r="F100" s="9"/>
      <c r="H100" s="10">
        <f t="shared" si="6"/>
        <v>-5.324384893422944E-2</v>
      </c>
      <c r="I100" s="10">
        <f t="shared" si="7"/>
        <v>5.324384893422944E-2</v>
      </c>
    </row>
    <row r="101" spans="1:9" x14ac:dyDescent="0.25">
      <c r="A101" s="1">
        <v>45183</v>
      </c>
      <c r="B101" s="2">
        <f t="shared" si="9"/>
        <v>95</v>
      </c>
      <c r="C101" s="3">
        <f>+VLOOKUP(A101,Precios!$B:$H,1+$C$3,0)</f>
        <v>310.63</v>
      </c>
      <c r="D101" s="10">
        <f t="shared" si="8"/>
        <v>6.1542448093803159E-3</v>
      </c>
      <c r="E101" s="28">
        <f t="shared" si="5"/>
        <v>4.3118109879007012E-5</v>
      </c>
      <c r="F101" s="9"/>
      <c r="H101" s="10">
        <f t="shared" si="6"/>
        <v>-5.324384893422944E-2</v>
      </c>
      <c r="I101" s="10">
        <f t="shared" si="7"/>
        <v>5.324384893422944E-2</v>
      </c>
    </row>
    <row r="102" spans="1:9" x14ac:dyDescent="0.25">
      <c r="A102" s="1">
        <v>45182</v>
      </c>
      <c r="B102" s="2">
        <f t="shared" si="9"/>
        <v>96</v>
      </c>
      <c r="C102" s="3">
        <f>+VLOOKUP(A102,Precios!$B:$H,1+$C$3,0)</f>
        <v>308.73</v>
      </c>
      <c r="D102" s="10">
        <f t="shared" si="8"/>
        <v>-9.3845058572250561E-4</v>
      </c>
      <c r="E102" s="28">
        <f t="shared" si="5"/>
        <v>2.769466959388558E-7</v>
      </c>
      <c r="F102" s="9"/>
      <c r="H102" s="10">
        <f t="shared" si="6"/>
        <v>-5.324384893422944E-2</v>
      </c>
      <c r="I102" s="10">
        <f t="shared" si="7"/>
        <v>5.324384893422944E-2</v>
      </c>
    </row>
    <row r="103" spans="1:9" x14ac:dyDescent="0.25">
      <c r="A103" s="1">
        <v>45181</v>
      </c>
      <c r="B103" s="2">
        <f t="shared" si="9"/>
        <v>97</v>
      </c>
      <c r="C103" s="3">
        <f>+VLOOKUP(A103,Precios!$B:$H,1+$C$3,0)</f>
        <v>309.02</v>
      </c>
      <c r="D103" s="10">
        <f t="shared" si="8"/>
        <v>6.1522520480528087E-4</v>
      </c>
      <c r="E103" s="28">
        <f t="shared" si="5"/>
        <v>1.0555888520293399E-6</v>
      </c>
      <c r="F103" s="9"/>
      <c r="H103" s="10">
        <f t="shared" si="6"/>
        <v>-5.324384893422944E-2</v>
      </c>
      <c r="I103" s="10">
        <f t="shared" si="7"/>
        <v>5.324384893422944E-2</v>
      </c>
    </row>
    <row r="104" spans="1:9" x14ac:dyDescent="0.25">
      <c r="A104" s="1">
        <v>45180</v>
      </c>
      <c r="B104" s="2">
        <f t="shared" si="9"/>
        <v>98</v>
      </c>
      <c r="C104" s="3">
        <f>+VLOOKUP(A104,Precios!$B:$H,1+$C$3,0)</f>
        <v>308.83</v>
      </c>
      <c r="D104" s="10">
        <f t="shared" si="8"/>
        <v>1.4267648107915143E-3</v>
      </c>
      <c r="E104" s="28">
        <f t="shared" si="5"/>
        <v>3.3817670549811908E-6</v>
      </c>
      <c r="F104" s="9"/>
      <c r="H104" s="10">
        <f t="shared" si="6"/>
        <v>-5.324384893422944E-2</v>
      </c>
      <c r="I104" s="10">
        <f t="shared" si="7"/>
        <v>5.324384893422944E-2</v>
      </c>
    </row>
    <row r="105" spans="1:9" x14ac:dyDescent="0.25">
      <c r="A105" s="1">
        <v>45177</v>
      </c>
      <c r="B105" s="2">
        <f t="shared" si="9"/>
        <v>99</v>
      </c>
      <c r="C105" s="3">
        <f>+VLOOKUP(A105,Precios!$B:$H,1+$C$3,0)</f>
        <v>308.39</v>
      </c>
      <c r="D105" s="10">
        <f t="shared" si="8"/>
        <v>1.879748926329694E-2</v>
      </c>
      <c r="E105" s="28">
        <f t="shared" si="5"/>
        <v>3.6901190545427648E-4</v>
      </c>
      <c r="F105" s="9"/>
      <c r="H105" s="10">
        <f t="shared" si="6"/>
        <v>-5.324384893422944E-2</v>
      </c>
      <c r="I105" s="10">
        <f t="shared" si="7"/>
        <v>5.324384893422944E-2</v>
      </c>
    </row>
    <row r="106" spans="1:9" x14ac:dyDescent="0.25">
      <c r="A106" s="1">
        <v>45176</v>
      </c>
      <c r="B106" s="2">
        <f t="shared" si="9"/>
        <v>100</v>
      </c>
      <c r="C106" s="3">
        <f>+VLOOKUP(A106,Precios!$B:$H,1+$C$3,0)</f>
        <v>302.7</v>
      </c>
      <c r="D106" s="10">
        <f t="shared" si="8"/>
        <v>1.2238282671253042E-3</v>
      </c>
      <c r="E106" s="28">
        <f t="shared" si="5"/>
        <v>2.6765666764004447E-6</v>
      </c>
      <c r="F106" s="9"/>
      <c r="H106" s="10">
        <f t="shared" si="6"/>
        <v>-5.324384893422944E-2</v>
      </c>
      <c r="I106" s="10">
        <f t="shared" si="7"/>
        <v>5.324384893422944E-2</v>
      </c>
    </row>
    <row r="107" spans="1:9" x14ac:dyDescent="0.25">
      <c r="A107" s="1">
        <v>45175</v>
      </c>
      <c r="B107" s="2">
        <f t="shared" si="9"/>
        <v>101</v>
      </c>
      <c r="C107" s="3">
        <f>+VLOOKUP(A107,Precios!$B:$H,1+$C$3,0)</f>
        <v>302.33</v>
      </c>
      <c r="D107" s="10">
        <f t="shared" si="8"/>
        <v>-1.630116483373456E-2</v>
      </c>
      <c r="E107" s="28">
        <f t="shared" si="5"/>
        <v>2.5245941534800958E-4</v>
      </c>
      <c r="F107" s="9"/>
      <c r="H107" s="10">
        <f t="shared" si="6"/>
        <v>-5.324384893422944E-2</v>
      </c>
      <c r="I107" s="10">
        <f t="shared" si="7"/>
        <v>5.324384893422944E-2</v>
      </c>
    </row>
    <row r="108" spans="1:9" x14ac:dyDescent="0.25">
      <c r="A108" s="1">
        <v>45174</v>
      </c>
      <c r="B108" s="2">
        <f t="shared" si="9"/>
        <v>102</v>
      </c>
      <c r="C108" s="3">
        <f>+VLOOKUP(A108,Precios!$B:$H,1+$C$3,0)</f>
        <v>307.33999999999997</v>
      </c>
      <c r="D108" s="10">
        <f t="shared" si="8"/>
        <v>4.3462631940132113E-3</v>
      </c>
      <c r="E108" s="28">
        <f t="shared" si="5"/>
        <v>2.2642908520416665E-5</v>
      </c>
      <c r="F108" s="9"/>
      <c r="H108" s="10">
        <f t="shared" si="6"/>
        <v>-5.324384893422944E-2</v>
      </c>
      <c r="I108" s="10">
        <f t="shared" si="7"/>
        <v>5.324384893422944E-2</v>
      </c>
    </row>
    <row r="109" spans="1:9" x14ac:dyDescent="0.25">
      <c r="A109" s="1">
        <v>45173</v>
      </c>
      <c r="B109" s="2">
        <f t="shared" si="9"/>
        <v>103</v>
      </c>
      <c r="C109" s="3">
        <f>+VLOOKUP(A109,Precios!$B:$H,1+$C$3,0)</f>
        <v>306.01</v>
      </c>
      <c r="D109" s="10">
        <f t="shared" si="8"/>
        <v>7.0756269334562027E-3</v>
      </c>
      <c r="E109" s="28">
        <f t="shared" si="5"/>
        <v>5.6067452344234603E-5</v>
      </c>
      <c r="F109" s="9"/>
      <c r="H109" s="10">
        <f t="shared" si="6"/>
        <v>-5.324384893422944E-2</v>
      </c>
      <c r="I109" s="10">
        <f t="shared" si="7"/>
        <v>5.324384893422944E-2</v>
      </c>
    </row>
    <row r="110" spans="1:9" x14ac:dyDescent="0.25">
      <c r="A110" s="1">
        <v>45170</v>
      </c>
      <c r="B110" s="2">
        <f t="shared" si="9"/>
        <v>104</v>
      </c>
      <c r="C110" s="3">
        <f>+VLOOKUP(A110,Precios!$B:$H,1+$C$3,0)</f>
        <v>303.86</v>
      </c>
      <c r="D110" s="10">
        <f t="shared" si="8"/>
        <v>-3.0007022920257809E-2</v>
      </c>
      <c r="E110" s="28">
        <f t="shared" si="5"/>
        <v>8.7585393829297132E-4</v>
      </c>
      <c r="F110" s="9"/>
      <c r="H110" s="10">
        <f t="shared" si="6"/>
        <v>-5.324384893422944E-2</v>
      </c>
      <c r="I110" s="10">
        <f t="shared" si="7"/>
        <v>5.324384893422944E-2</v>
      </c>
    </row>
    <row r="111" spans="1:9" x14ac:dyDescent="0.25">
      <c r="A111" s="1">
        <v>45169</v>
      </c>
      <c r="B111" s="2">
        <f t="shared" si="9"/>
        <v>105</v>
      </c>
      <c r="C111" s="3">
        <f>+VLOOKUP(A111,Precios!$B:$H,1+$C$3,0)</f>
        <v>313.26</v>
      </c>
      <c r="D111" s="10">
        <f t="shared" si="8"/>
        <v>-2.8440281611512575E-2</v>
      </c>
      <c r="E111" s="28">
        <f t="shared" si="5"/>
        <v>7.8557373254254531E-4</v>
      </c>
      <c r="F111" s="9"/>
      <c r="H111" s="10">
        <f t="shared" si="6"/>
        <v>-5.324384893422944E-2</v>
      </c>
      <c r="I111" s="10">
        <f t="shared" si="7"/>
        <v>5.324384893422944E-2</v>
      </c>
    </row>
    <row r="112" spans="1:9" x14ac:dyDescent="0.25">
      <c r="A112" s="1">
        <v>45168</v>
      </c>
      <c r="B112" s="2">
        <f t="shared" si="9"/>
        <v>106</v>
      </c>
      <c r="C112" s="3">
        <f>+VLOOKUP(A112,Precios!$B:$H,1+$C$3,0)</f>
        <v>322.43</v>
      </c>
      <c r="D112" s="10">
        <f t="shared" si="8"/>
        <v>2.1867968180521835E-2</v>
      </c>
      <c r="E112" s="28">
        <f t="shared" si="5"/>
        <v>4.9640559707303034E-4</v>
      </c>
      <c r="F112" s="9"/>
      <c r="H112" s="10">
        <f t="shared" si="6"/>
        <v>-5.324384893422944E-2</v>
      </c>
      <c r="I112" s="10">
        <f t="shared" si="7"/>
        <v>5.324384893422944E-2</v>
      </c>
    </row>
    <row r="113" spans="1:9" x14ac:dyDescent="0.25">
      <c r="A113" s="1">
        <v>45167</v>
      </c>
      <c r="B113" s="2">
        <f t="shared" si="9"/>
        <v>107</v>
      </c>
      <c r="C113" s="3">
        <f>+VLOOKUP(A113,Precios!$B:$H,1+$C$3,0)</f>
        <v>315.52999999999997</v>
      </c>
      <c r="D113" s="10">
        <f t="shared" si="8"/>
        <v>2.090141391917677E-2</v>
      </c>
      <c r="E113" s="28">
        <f t="shared" si="5"/>
        <v>4.5426985410426164E-4</v>
      </c>
      <c r="F113" s="9"/>
      <c r="H113" s="10">
        <f t="shared" si="6"/>
        <v>-5.324384893422944E-2</v>
      </c>
      <c r="I113" s="10">
        <f t="shared" si="7"/>
        <v>5.324384893422944E-2</v>
      </c>
    </row>
    <row r="114" spans="1:9" x14ac:dyDescent="0.25">
      <c r="A114" s="1">
        <v>45166</v>
      </c>
      <c r="B114" s="2">
        <f t="shared" si="9"/>
        <v>108</v>
      </c>
      <c r="C114" s="3">
        <f>+VLOOKUP(A114,Precios!$B:$H,1+$C$3,0)</f>
        <v>309.07</v>
      </c>
      <c r="D114" s="10">
        <f t="shared" si="8"/>
        <v>7.9246021393164501E-3</v>
      </c>
      <c r="E114" s="28">
        <f t="shared" si="5"/>
        <v>6.9502158748886513E-5</v>
      </c>
      <c r="F114" s="9"/>
      <c r="H114" s="10">
        <f t="shared" si="6"/>
        <v>-5.324384893422944E-2</v>
      </c>
      <c r="I114" s="10">
        <f t="shared" si="7"/>
        <v>5.324384893422944E-2</v>
      </c>
    </row>
    <row r="115" spans="1:9" x14ac:dyDescent="0.25">
      <c r="A115" s="1">
        <v>45163</v>
      </c>
      <c r="B115" s="2">
        <f t="shared" si="9"/>
        <v>109</v>
      </c>
      <c r="C115" s="3">
        <f>+VLOOKUP(A115,Precios!$B:$H,1+$C$3,0)</f>
        <v>306.64</v>
      </c>
      <c r="D115" s="10">
        <f t="shared" si="8"/>
        <v>8.1867499589018955E-3</v>
      </c>
      <c r="E115" s="28">
        <f t="shared" si="5"/>
        <v>7.3941825739046952E-5</v>
      </c>
      <c r="F115" s="9"/>
      <c r="H115" s="10">
        <f t="shared" si="6"/>
        <v>-5.324384893422944E-2</v>
      </c>
      <c r="I115" s="10">
        <f t="shared" si="7"/>
        <v>5.324384893422944E-2</v>
      </c>
    </row>
    <row r="116" spans="1:9" x14ac:dyDescent="0.25">
      <c r="A116" s="1">
        <v>45162</v>
      </c>
      <c r="B116" s="2">
        <f t="shared" si="9"/>
        <v>110</v>
      </c>
      <c r="C116" s="3">
        <f>+VLOOKUP(A116,Precios!$B:$H,1+$C$3,0)</f>
        <v>304.14999999999998</v>
      </c>
      <c r="D116" s="10">
        <f t="shared" si="8"/>
        <v>2.6372177352891324E-3</v>
      </c>
      <c r="E116" s="28">
        <f t="shared" si="5"/>
        <v>9.2989078640079593E-6</v>
      </c>
      <c r="F116" s="9"/>
      <c r="H116" s="10">
        <f t="shared" si="6"/>
        <v>-5.324384893422944E-2</v>
      </c>
      <c r="I116" s="10">
        <f t="shared" si="7"/>
        <v>5.324384893422944E-2</v>
      </c>
    </row>
    <row r="117" spans="1:9" x14ac:dyDescent="0.25">
      <c r="A117" s="1">
        <v>45161</v>
      </c>
      <c r="B117" s="2">
        <f t="shared" si="9"/>
        <v>111</v>
      </c>
      <c r="C117" s="3">
        <f>+VLOOKUP(A117,Precios!$B:$H,1+$C$3,0)</f>
        <v>303.35000000000002</v>
      </c>
      <c r="D117" s="10">
        <f t="shared" si="8"/>
        <v>6.597394029359549E-4</v>
      </c>
      <c r="E117" s="28">
        <f t="shared" si="5"/>
        <v>1.1490397905833525E-6</v>
      </c>
      <c r="F117" s="9"/>
      <c r="H117" s="10">
        <f t="shared" si="6"/>
        <v>-5.324384893422944E-2</v>
      </c>
      <c r="I117" s="10">
        <f t="shared" si="7"/>
        <v>5.324384893422944E-2</v>
      </c>
    </row>
    <row r="118" spans="1:9" x14ac:dyDescent="0.25">
      <c r="A118" s="1">
        <v>45160</v>
      </c>
      <c r="B118" s="2">
        <f t="shared" si="9"/>
        <v>112</v>
      </c>
      <c r="C118" s="3">
        <f>+VLOOKUP(A118,Precios!$B:$H,1+$C$3,0)</f>
        <v>303.14999999999998</v>
      </c>
      <c r="D118" s="10">
        <f t="shared" si="8"/>
        <v>4.606309650053042E-3</v>
      </c>
      <c r="E118" s="28">
        <f t="shared" si="5"/>
        <v>2.5185372191905795E-5</v>
      </c>
      <c r="F118" s="9"/>
      <c r="H118" s="10">
        <f t="shared" si="6"/>
        <v>-5.324384893422944E-2</v>
      </c>
      <c r="I118" s="10">
        <f t="shared" si="7"/>
        <v>5.324384893422944E-2</v>
      </c>
    </row>
    <row r="119" spans="1:9" x14ac:dyDescent="0.25">
      <c r="A119" s="1">
        <v>45159</v>
      </c>
      <c r="B119" s="2">
        <f t="shared" si="9"/>
        <v>113</v>
      </c>
      <c r="C119" s="3">
        <f>+VLOOKUP(A119,Precios!$B:$H,1+$C$3,0)</f>
        <v>301.76</v>
      </c>
      <c r="D119" s="10">
        <f t="shared" si="8"/>
        <v>-4.1581413768068121E-3</v>
      </c>
      <c r="E119" s="28">
        <f t="shared" si="5"/>
        <v>1.4032126746158498E-5</v>
      </c>
      <c r="F119" s="9"/>
      <c r="H119" s="10">
        <f t="shared" si="6"/>
        <v>-5.324384893422944E-2</v>
      </c>
      <c r="I119" s="10">
        <f t="shared" si="7"/>
        <v>5.324384893422944E-2</v>
      </c>
    </row>
    <row r="120" spans="1:9" x14ac:dyDescent="0.25">
      <c r="A120" s="1">
        <v>45156</v>
      </c>
      <c r="B120" s="2">
        <f t="shared" si="9"/>
        <v>114</v>
      </c>
      <c r="C120" s="3">
        <f>+VLOOKUP(A120,Precios!$B:$H,1+$C$3,0)</f>
        <v>303.02</v>
      </c>
      <c r="D120" s="10">
        <f t="shared" si="8"/>
        <v>-1.0219892526291963E-3</v>
      </c>
      <c r="E120" s="28">
        <f t="shared" si="5"/>
        <v>3.7185106347569569E-7</v>
      </c>
      <c r="F120" s="9"/>
      <c r="H120" s="10">
        <f t="shared" si="6"/>
        <v>-5.324384893422944E-2</v>
      </c>
      <c r="I120" s="10">
        <f t="shared" si="7"/>
        <v>5.324384893422944E-2</v>
      </c>
    </row>
    <row r="121" spans="1:9" x14ac:dyDescent="0.25">
      <c r="A121" s="1">
        <v>45155</v>
      </c>
      <c r="B121" s="2">
        <f t="shared" si="9"/>
        <v>115</v>
      </c>
      <c r="C121" s="3">
        <f>+VLOOKUP(A121,Precios!$B:$H,1+$C$3,0)</f>
        <v>303.33</v>
      </c>
      <c r="D121" s="10">
        <f t="shared" si="8"/>
        <v>-3.42884431709648E-2</v>
      </c>
      <c r="E121" s="28">
        <f t="shared" si="5"/>
        <v>1.1476003030775038E-3</v>
      </c>
      <c r="F121" s="9"/>
      <c r="H121" s="10">
        <f t="shared" si="6"/>
        <v>-5.324384893422944E-2</v>
      </c>
      <c r="I121" s="10">
        <f t="shared" si="7"/>
        <v>5.324384893422944E-2</v>
      </c>
    </row>
    <row r="122" spans="1:9" x14ac:dyDescent="0.25">
      <c r="A122" s="1">
        <v>45154</v>
      </c>
      <c r="B122" s="2">
        <f t="shared" si="9"/>
        <v>116</v>
      </c>
      <c r="C122" s="3">
        <f>+VLOOKUP(A122,Precios!$B:$H,1+$C$3,0)</f>
        <v>314.10000000000002</v>
      </c>
      <c r="D122" s="10">
        <f t="shared" si="8"/>
        <v>-1.8748609742921252E-3</v>
      </c>
      <c r="E122" s="28">
        <f t="shared" si="5"/>
        <v>2.139396628593504E-6</v>
      </c>
      <c r="F122" s="9"/>
      <c r="H122" s="10">
        <f t="shared" si="6"/>
        <v>-5.324384893422944E-2</v>
      </c>
      <c r="I122" s="10">
        <f t="shared" si="7"/>
        <v>5.324384893422944E-2</v>
      </c>
    </row>
    <row r="123" spans="1:9" x14ac:dyDescent="0.25">
      <c r="A123" s="1">
        <v>45153</v>
      </c>
      <c r="B123" s="2">
        <f t="shared" si="9"/>
        <v>117</v>
      </c>
      <c r="C123" s="3">
        <f>+VLOOKUP(A123,Precios!$B:$H,1+$C$3,0)</f>
        <v>314.69</v>
      </c>
      <c r="D123" s="10">
        <f t="shared" si="8"/>
        <v>1.6407738768127622E-2</v>
      </c>
      <c r="E123" s="28">
        <f t="shared" si="5"/>
        <v>2.8291011588987326E-4</v>
      </c>
      <c r="F123" s="9"/>
      <c r="H123" s="10">
        <f t="shared" si="6"/>
        <v>-5.324384893422944E-2</v>
      </c>
      <c r="I123" s="10">
        <f t="shared" si="7"/>
        <v>5.324384893422944E-2</v>
      </c>
    </row>
    <row r="124" spans="1:9" x14ac:dyDescent="0.25">
      <c r="A124" s="1">
        <v>45152</v>
      </c>
      <c r="B124" s="2">
        <f t="shared" si="9"/>
        <v>118</v>
      </c>
      <c r="C124" s="3">
        <f>+VLOOKUP(A124,Precios!$B:$H,1+$C$3,0)</f>
        <v>309.61</v>
      </c>
      <c r="D124" s="10">
        <f t="shared" si="8"/>
        <v>1.0377573997323974E-2</v>
      </c>
      <c r="E124" s="28">
        <f t="shared" si="5"/>
        <v>1.1641907904466262E-4</v>
      </c>
      <c r="F124" s="9"/>
      <c r="H124" s="10">
        <f t="shared" si="6"/>
        <v>-5.324384893422944E-2</v>
      </c>
      <c r="I124" s="10">
        <f t="shared" si="7"/>
        <v>5.324384893422944E-2</v>
      </c>
    </row>
    <row r="125" spans="1:9" x14ac:dyDescent="0.25">
      <c r="A125" s="1">
        <v>45149</v>
      </c>
      <c r="B125" s="2">
        <f t="shared" si="9"/>
        <v>119</v>
      </c>
      <c r="C125" s="3">
        <f>+VLOOKUP(A125,Precios!$B:$H,1+$C$3,0)</f>
        <v>306.43</v>
      </c>
      <c r="D125" s="10">
        <f t="shared" si="8"/>
        <v>-1.390185036202729E-2</v>
      </c>
      <c r="E125" s="28">
        <f t="shared" si="5"/>
        <v>1.8197084675811482E-4</v>
      </c>
      <c r="F125" s="9"/>
      <c r="H125" s="10">
        <f t="shared" si="6"/>
        <v>-5.324384893422944E-2</v>
      </c>
      <c r="I125" s="10">
        <f t="shared" si="7"/>
        <v>5.324384893422944E-2</v>
      </c>
    </row>
    <row r="126" spans="1:9" x14ac:dyDescent="0.25">
      <c r="A126" s="1">
        <v>45148</v>
      </c>
      <c r="B126" s="2">
        <f t="shared" si="9"/>
        <v>120</v>
      </c>
      <c r="C126" s="3">
        <f>+VLOOKUP(A126,Precios!$B:$H,1+$C$3,0)</f>
        <v>310.75</v>
      </c>
      <c r="D126" s="10">
        <f t="shared" si="8"/>
        <v>-3.2169856844144196E-4</v>
      </c>
      <c r="E126" s="28">
        <f t="shared" si="5"/>
        <v>8.1893024304241332E-9</v>
      </c>
      <c r="F126" s="9"/>
      <c r="H126" s="10">
        <f t="shared" si="6"/>
        <v>-5.324384893422944E-2</v>
      </c>
      <c r="I126" s="10">
        <f t="shared" si="7"/>
        <v>5.324384893422944E-2</v>
      </c>
    </row>
    <row r="127" spans="1:9" x14ac:dyDescent="0.25">
      <c r="A127" s="1">
        <v>45147</v>
      </c>
      <c r="B127" s="2">
        <f t="shared" si="9"/>
        <v>121</v>
      </c>
      <c r="C127" s="3">
        <f>+VLOOKUP(A127,Precios!$B:$H,1+$C$3,0)</f>
        <v>310.85000000000002</v>
      </c>
      <c r="D127" s="10">
        <f t="shared" si="8"/>
        <v>2.5478939560086289E-3</v>
      </c>
      <c r="E127" s="28">
        <f t="shared" si="5"/>
        <v>8.7621167591364628E-6</v>
      </c>
      <c r="F127" s="9"/>
      <c r="H127" s="10">
        <f t="shared" si="6"/>
        <v>-5.324384893422944E-2</v>
      </c>
      <c r="I127" s="10">
        <f t="shared" si="7"/>
        <v>5.324384893422944E-2</v>
      </c>
    </row>
    <row r="128" spans="1:9" x14ac:dyDescent="0.25">
      <c r="A128" s="1">
        <v>45146</v>
      </c>
      <c r="B128" s="2">
        <f t="shared" si="9"/>
        <v>122</v>
      </c>
      <c r="C128" s="3">
        <f>+VLOOKUP(A128,Precios!$B:$H,1+$C$3,0)</f>
        <v>310.06</v>
      </c>
      <c r="D128" s="10">
        <f t="shared" si="8"/>
        <v>6.4507805444424804E-5</v>
      </c>
      <c r="E128" s="28">
        <f t="shared" si="5"/>
        <v>2.2724397548858336E-7</v>
      </c>
      <c r="F128" s="9"/>
      <c r="H128" s="10">
        <f t="shared" si="6"/>
        <v>-5.324384893422944E-2</v>
      </c>
      <c r="I128" s="10">
        <f t="shared" si="7"/>
        <v>5.324384893422944E-2</v>
      </c>
    </row>
    <row r="129" spans="1:9" x14ac:dyDescent="0.25">
      <c r="A129" s="1">
        <v>45145</v>
      </c>
      <c r="B129" s="2">
        <f t="shared" si="9"/>
        <v>123</v>
      </c>
      <c r="C129" s="3">
        <f>+VLOOKUP(A129,Precios!$B:$H,1+$C$3,0)</f>
        <v>310.04000000000002</v>
      </c>
      <c r="D129" s="10">
        <f t="shared" si="8"/>
        <v>-1.3528312826127653E-3</v>
      </c>
      <c r="E129" s="28">
        <f t="shared" si="5"/>
        <v>8.8479975206548881E-7</v>
      </c>
      <c r="F129" s="9"/>
      <c r="H129" s="10">
        <f t="shared" si="6"/>
        <v>-5.324384893422944E-2</v>
      </c>
      <c r="I129" s="10">
        <f t="shared" si="7"/>
        <v>5.324384893422944E-2</v>
      </c>
    </row>
    <row r="130" spans="1:9" x14ac:dyDescent="0.25">
      <c r="A130" s="1">
        <v>45142</v>
      </c>
      <c r="B130" s="2">
        <f t="shared" si="9"/>
        <v>124</v>
      </c>
      <c r="C130" s="3">
        <f>+VLOOKUP(A130,Precios!$B:$H,1+$C$3,0)</f>
        <v>310.45999999999998</v>
      </c>
      <c r="D130" s="10">
        <f t="shared" si="8"/>
        <v>5.6361751749156586E-3</v>
      </c>
      <c r="E130" s="28">
        <f t="shared" si="5"/>
        <v>3.6582761608743285E-5</v>
      </c>
      <c r="F130" s="9"/>
      <c r="H130" s="10">
        <f t="shared" si="6"/>
        <v>-5.324384893422944E-2</v>
      </c>
      <c r="I130" s="10">
        <f t="shared" si="7"/>
        <v>5.324384893422944E-2</v>
      </c>
    </row>
    <row r="131" spans="1:9" x14ac:dyDescent="0.25">
      <c r="A131" s="1">
        <v>45141</v>
      </c>
      <c r="B131" s="2">
        <f t="shared" si="9"/>
        <v>125</v>
      </c>
      <c r="C131" s="3">
        <f>+VLOOKUP(A131,Precios!$B:$H,1+$C$3,0)</f>
        <v>308.72000000000003</v>
      </c>
      <c r="D131" s="10">
        <f t="shared" si="8"/>
        <v>2.891206185232198E-3</v>
      </c>
      <c r="E131" s="28">
        <f t="shared" si="5"/>
        <v>1.0912448377710691E-5</v>
      </c>
      <c r="F131" s="9"/>
      <c r="H131" s="10">
        <f t="shared" si="6"/>
        <v>-5.324384893422944E-2</v>
      </c>
      <c r="I131" s="10">
        <f t="shared" si="7"/>
        <v>5.324384893422944E-2</v>
      </c>
    </row>
    <row r="132" spans="1:9" x14ac:dyDescent="0.25">
      <c r="A132" s="1">
        <v>45140</v>
      </c>
      <c r="B132" s="2">
        <f t="shared" si="9"/>
        <v>126</v>
      </c>
      <c r="C132" s="3">
        <f>+VLOOKUP(A132,Precios!$B:$H,1+$C$3,0)</f>
        <v>307.83</v>
      </c>
      <c r="D132" s="10">
        <f t="shared" si="8"/>
        <v>-1.8336628611518635E-2</v>
      </c>
      <c r="E132" s="28">
        <f t="shared" si="5"/>
        <v>3.2128538005025492E-4</v>
      </c>
      <c r="F132" s="9"/>
      <c r="H132" s="10">
        <f t="shared" si="6"/>
        <v>-5.324384893422944E-2</v>
      </c>
      <c r="I132" s="10">
        <f t="shared" si="7"/>
        <v>5.324384893422944E-2</v>
      </c>
    </row>
    <row r="133" spans="1:9" x14ac:dyDescent="0.25">
      <c r="A133" s="1">
        <v>45139</v>
      </c>
      <c r="B133" s="2">
        <f t="shared" si="9"/>
        <v>127</v>
      </c>
      <c r="C133" s="3">
        <f>+VLOOKUP(A133,Precios!$B:$H,1+$C$3,0)</f>
        <v>313.58</v>
      </c>
      <c r="D133" s="10">
        <f t="shared" si="8"/>
        <v>-1.7144648174267418E-2</v>
      </c>
      <c r="E133" s="28">
        <f t="shared" si="5"/>
        <v>2.7997504501174099E-4</v>
      </c>
      <c r="F133" s="9"/>
      <c r="H133" s="10">
        <f t="shared" si="6"/>
        <v>-5.324384893422944E-2</v>
      </c>
      <c r="I133" s="10">
        <f t="shared" si="7"/>
        <v>5.324384893422944E-2</v>
      </c>
    </row>
    <row r="134" spans="1:9" x14ac:dyDescent="0.25">
      <c r="A134" s="1">
        <v>45138</v>
      </c>
      <c r="B134" s="2">
        <f t="shared" si="9"/>
        <v>128</v>
      </c>
      <c r="C134" s="3">
        <f>+VLOOKUP(A134,Precios!$B:$H,1+$C$3,0)</f>
        <v>319.05</v>
      </c>
      <c r="D134" s="10">
        <f t="shared" si="8"/>
        <v>9.7158047977718986E-3</v>
      </c>
      <c r="E134" s="28">
        <f t="shared" si="5"/>
        <v>1.0257634613892413E-4</v>
      </c>
      <c r="F134" s="9"/>
      <c r="H134" s="10">
        <f t="shared" si="6"/>
        <v>-5.324384893422944E-2</v>
      </c>
      <c r="I134" s="10">
        <f t="shared" si="7"/>
        <v>5.324384893422944E-2</v>
      </c>
    </row>
    <row r="135" spans="1:9" x14ac:dyDescent="0.25">
      <c r="A135" s="1">
        <v>45135</v>
      </c>
      <c r="B135" s="2">
        <f t="shared" si="9"/>
        <v>129</v>
      </c>
      <c r="C135" s="3">
        <f>+VLOOKUP(A135,Precios!$B:$H,1+$C$3,0)</f>
        <v>315.98</v>
      </c>
      <c r="D135" s="10">
        <f t="shared" si="8"/>
        <v>5.1213538187486751E-3</v>
      </c>
      <c r="E135" s="28">
        <f t="shared" ref="E135:E198" si="10" xml:space="preserve"> (D135 - $F$2) ^2</f>
        <v>3.0620144081721348E-5</v>
      </c>
      <c r="F135" s="9"/>
      <c r="H135" s="10">
        <f t="shared" ref="H135:H198" si="11">-$I$5*$F$3</f>
        <v>-5.324384893422944E-2</v>
      </c>
      <c r="I135" s="10">
        <f t="shared" ref="I135:I198" si="12">+$I$5*$F$3</f>
        <v>5.324384893422944E-2</v>
      </c>
    </row>
    <row r="136" spans="1:9" x14ac:dyDescent="0.25">
      <c r="A136" s="1">
        <v>45134</v>
      </c>
      <c r="B136" s="2">
        <f t="shared" si="9"/>
        <v>130</v>
      </c>
      <c r="C136" s="3">
        <f>+VLOOKUP(A136,Precios!$B:$H,1+$C$3,0)</f>
        <v>314.37</v>
      </c>
      <c r="D136" s="10">
        <f t="shared" ref="D136:D199" si="13" xml:space="preserve"> (C136/C137) - 1</f>
        <v>1.1258725512272028E-2</v>
      </c>
      <c r="E136" s="28">
        <f t="shared" si="10"/>
        <v>1.3621034669523627E-4</v>
      </c>
      <c r="F136" s="9"/>
      <c r="H136" s="10">
        <f t="shared" si="11"/>
        <v>-5.324384893422944E-2</v>
      </c>
      <c r="I136" s="10">
        <f t="shared" si="12"/>
        <v>5.324384893422944E-2</v>
      </c>
    </row>
    <row r="137" spans="1:9" x14ac:dyDescent="0.25">
      <c r="A137" s="1">
        <v>45133</v>
      </c>
      <c r="B137" s="2">
        <f t="shared" ref="B137:B200" si="14">+B136+1</f>
        <v>131</v>
      </c>
      <c r="C137" s="3">
        <f>+VLOOKUP(A137,Precios!$B:$H,1+$C$3,0)</f>
        <v>310.87</v>
      </c>
      <c r="D137" s="10">
        <f t="shared" si="13"/>
        <v>4.8253304558942611E-2</v>
      </c>
      <c r="E137" s="28">
        <f t="shared" si="10"/>
        <v>2.3683306850803051E-3</v>
      </c>
      <c r="F137" s="9"/>
      <c r="H137" s="10">
        <f t="shared" si="11"/>
        <v>-5.324384893422944E-2</v>
      </c>
      <c r="I137" s="10">
        <f t="shared" si="12"/>
        <v>5.324384893422944E-2</v>
      </c>
    </row>
    <row r="138" spans="1:9" x14ac:dyDescent="0.25">
      <c r="A138" s="1">
        <v>45132</v>
      </c>
      <c r="B138" s="2">
        <f t="shared" si="14"/>
        <v>132</v>
      </c>
      <c r="C138" s="3">
        <f>+VLOOKUP(A138,Precios!$B:$H,1+$C$3,0)</f>
        <v>296.56</v>
      </c>
      <c r="D138" s="10">
        <f t="shared" si="13"/>
        <v>-8.6578639478521735E-3</v>
      </c>
      <c r="E138" s="28">
        <f t="shared" si="10"/>
        <v>6.7991083887004216E-5</v>
      </c>
      <c r="F138" s="9"/>
      <c r="H138" s="10">
        <f t="shared" si="11"/>
        <v>-5.324384893422944E-2</v>
      </c>
      <c r="I138" s="10">
        <f t="shared" si="12"/>
        <v>5.324384893422944E-2</v>
      </c>
    </row>
    <row r="139" spans="1:9" x14ac:dyDescent="0.25">
      <c r="A139" s="1">
        <v>45131</v>
      </c>
      <c r="B139" s="2">
        <f t="shared" si="14"/>
        <v>133</v>
      </c>
      <c r="C139" s="3">
        <f>+VLOOKUP(A139,Precios!$B:$H,1+$C$3,0)</f>
        <v>299.14999999999998</v>
      </c>
      <c r="D139" s="10">
        <f t="shared" si="13"/>
        <v>-2.560177192925317E-2</v>
      </c>
      <c r="E139" s="28">
        <f t="shared" si="10"/>
        <v>6.3451486985182911E-4</v>
      </c>
      <c r="F139" s="9"/>
      <c r="H139" s="10">
        <f t="shared" si="11"/>
        <v>-5.324384893422944E-2</v>
      </c>
      <c r="I139" s="10">
        <f t="shared" si="12"/>
        <v>5.324384893422944E-2</v>
      </c>
    </row>
    <row r="140" spans="1:9" x14ac:dyDescent="0.25">
      <c r="A140" s="1">
        <v>45128</v>
      </c>
      <c r="B140" s="2">
        <f t="shared" si="14"/>
        <v>134</v>
      </c>
      <c r="C140" s="3">
        <f>+VLOOKUP(A140,Precios!$B:$H,1+$C$3,0)</f>
        <v>307.01</v>
      </c>
      <c r="D140" s="10">
        <f t="shared" si="13"/>
        <v>-2.6050994822357509E-4</v>
      </c>
      <c r="E140" s="28">
        <f t="shared" si="10"/>
        <v>2.3007849247261783E-8</v>
      </c>
      <c r="F140" s="9"/>
      <c r="H140" s="10">
        <f t="shared" si="11"/>
        <v>-5.324384893422944E-2</v>
      </c>
      <c r="I140" s="10">
        <f t="shared" si="12"/>
        <v>5.324384893422944E-2</v>
      </c>
    </row>
    <row r="141" spans="1:9" x14ac:dyDescent="0.25">
      <c r="A141" s="1">
        <v>45127</v>
      </c>
      <c r="B141" s="2">
        <f t="shared" si="14"/>
        <v>135</v>
      </c>
      <c r="C141" s="3">
        <f>+VLOOKUP(A141,Precios!$B:$H,1+$C$3,0)</f>
        <v>307.08999999999997</v>
      </c>
      <c r="D141" s="10">
        <f t="shared" si="13"/>
        <v>-2.0821376187743268E-2</v>
      </c>
      <c r="E141" s="28">
        <f t="shared" si="10"/>
        <v>4.1653474479430618E-4</v>
      </c>
      <c r="F141" s="9"/>
      <c r="H141" s="10">
        <f t="shared" si="11"/>
        <v>-5.324384893422944E-2</v>
      </c>
      <c r="I141" s="10">
        <f t="shared" si="12"/>
        <v>5.324384893422944E-2</v>
      </c>
    </row>
    <row r="142" spans="1:9" x14ac:dyDescent="0.25">
      <c r="A142" s="1">
        <v>45126</v>
      </c>
      <c r="B142" s="2">
        <f t="shared" si="14"/>
        <v>136</v>
      </c>
      <c r="C142" s="3">
        <f>+VLOOKUP(A142,Precios!$B:$H,1+$C$3,0)</f>
        <v>313.62</v>
      </c>
      <c r="D142" s="10">
        <f t="shared" si="13"/>
        <v>-1.401006177163544E-3</v>
      </c>
      <c r="E142" s="28">
        <f t="shared" si="10"/>
        <v>9.7775084058704164E-7</v>
      </c>
      <c r="F142" s="9"/>
      <c r="H142" s="10">
        <f t="shared" si="11"/>
        <v>-5.324384893422944E-2</v>
      </c>
      <c r="I142" s="10">
        <f t="shared" si="12"/>
        <v>5.324384893422944E-2</v>
      </c>
    </row>
    <row r="143" spans="1:9" x14ac:dyDescent="0.25">
      <c r="A143" s="1">
        <v>45125</v>
      </c>
      <c r="B143" s="2">
        <f t="shared" si="14"/>
        <v>137</v>
      </c>
      <c r="C143" s="3">
        <f>+VLOOKUP(A143,Precios!$B:$H,1+$C$3,0)</f>
        <v>314.06</v>
      </c>
      <c r="D143" s="10">
        <f t="shared" si="13"/>
        <v>1.5947983049202641E-2</v>
      </c>
      <c r="E143" s="28">
        <f t="shared" si="10"/>
        <v>2.676553712600199E-4</v>
      </c>
      <c r="F143" s="9"/>
      <c r="H143" s="10">
        <f t="shared" si="11"/>
        <v>-5.324384893422944E-2</v>
      </c>
      <c r="I143" s="10">
        <f t="shared" si="12"/>
        <v>5.324384893422944E-2</v>
      </c>
    </row>
    <row r="144" spans="1:9" x14ac:dyDescent="0.25">
      <c r="A144" s="1">
        <v>45124</v>
      </c>
      <c r="B144" s="2">
        <f t="shared" si="14"/>
        <v>138</v>
      </c>
      <c r="C144" s="3">
        <f>+VLOOKUP(A144,Precios!$B:$H,1+$C$3,0)</f>
        <v>309.13</v>
      </c>
      <c r="D144" s="10">
        <f t="shared" si="13"/>
        <v>2.6921829386961083E-3</v>
      </c>
      <c r="E144" s="28">
        <f t="shared" si="10"/>
        <v>9.6371520368844022E-6</v>
      </c>
      <c r="F144" s="9"/>
      <c r="H144" s="10">
        <f t="shared" si="11"/>
        <v>-5.324384893422944E-2</v>
      </c>
      <c r="I144" s="10">
        <f t="shared" si="12"/>
        <v>5.324384893422944E-2</v>
      </c>
    </row>
    <row r="145" spans="1:9" x14ac:dyDescent="0.25">
      <c r="A145" s="1">
        <v>45121</v>
      </c>
      <c r="B145" s="2">
        <f t="shared" si="14"/>
        <v>139</v>
      </c>
      <c r="C145" s="3">
        <f>+VLOOKUP(A145,Precios!$B:$H,1+$C$3,0)</f>
        <v>308.3</v>
      </c>
      <c r="D145" s="10">
        <f t="shared" si="13"/>
        <v>-1.952677776364331E-2</v>
      </c>
      <c r="E145" s="28">
        <f t="shared" si="10"/>
        <v>3.6536733795240755E-4</v>
      </c>
      <c r="F145" s="9"/>
      <c r="H145" s="10">
        <f t="shared" si="11"/>
        <v>-5.324384893422944E-2</v>
      </c>
      <c r="I145" s="10">
        <f t="shared" si="12"/>
        <v>5.324384893422944E-2</v>
      </c>
    </row>
    <row r="146" spans="1:9" x14ac:dyDescent="0.25">
      <c r="A146" s="1">
        <v>45120</v>
      </c>
      <c r="B146" s="2">
        <f t="shared" si="14"/>
        <v>140</v>
      </c>
      <c r="C146" s="3">
        <f>+VLOOKUP(A146,Precios!$B:$H,1+$C$3,0)</f>
        <v>314.44</v>
      </c>
      <c r="D146" s="10">
        <f t="shared" si="13"/>
        <v>3.6066515591586246E-3</v>
      </c>
      <c r="E146" s="28">
        <f t="shared" si="10"/>
        <v>1.6151114268025077E-5</v>
      </c>
      <c r="F146" s="9"/>
      <c r="H146" s="10">
        <f t="shared" si="11"/>
        <v>-5.324384893422944E-2</v>
      </c>
      <c r="I146" s="10">
        <f t="shared" si="12"/>
        <v>5.324384893422944E-2</v>
      </c>
    </row>
    <row r="147" spans="1:9" x14ac:dyDescent="0.25">
      <c r="A147" s="1">
        <v>45119</v>
      </c>
      <c r="B147" s="2">
        <f t="shared" si="14"/>
        <v>141</v>
      </c>
      <c r="C147" s="3">
        <f>+VLOOKUP(A147,Precios!$B:$H,1+$C$3,0)</f>
        <v>313.31</v>
      </c>
      <c r="D147" s="10">
        <f t="shared" si="13"/>
        <v>-8.6695143173548539E-3</v>
      </c>
      <c r="E147" s="28">
        <f t="shared" si="10"/>
        <v>6.8183349837032303E-5</v>
      </c>
      <c r="F147" s="9"/>
      <c r="H147" s="10">
        <f t="shared" si="11"/>
        <v>-5.324384893422944E-2</v>
      </c>
      <c r="I147" s="10">
        <f t="shared" si="12"/>
        <v>5.324384893422944E-2</v>
      </c>
    </row>
    <row r="148" spans="1:9" x14ac:dyDescent="0.25">
      <c r="A148" s="1">
        <v>45118</v>
      </c>
      <c r="B148" s="2">
        <f t="shared" si="14"/>
        <v>142</v>
      </c>
      <c r="C148" s="3">
        <f>+VLOOKUP(A148,Precios!$B:$H,1+$C$3,0)</f>
        <v>316.05</v>
      </c>
      <c r="D148" s="10">
        <f t="shared" si="13"/>
        <v>-3.7825059101654901E-3</v>
      </c>
      <c r="E148" s="28">
        <f t="shared" si="10"/>
        <v>1.1359006867132667E-5</v>
      </c>
      <c r="F148" s="9"/>
      <c r="H148" s="10">
        <f t="shared" si="11"/>
        <v>-5.324384893422944E-2</v>
      </c>
      <c r="I148" s="10">
        <f t="shared" si="12"/>
        <v>5.324384893422944E-2</v>
      </c>
    </row>
    <row r="149" spans="1:9" x14ac:dyDescent="0.25">
      <c r="A149" s="1">
        <v>45117</v>
      </c>
      <c r="B149" s="2">
        <f t="shared" si="14"/>
        <v>143</v>
      </c>
      <c r="C149" s="3">
        <f>+VLOOKUP(A149,Precios!$B:$H,1+$C$3,0)</f>
        <v>317.25</v>
      </c>
      <c r="D149" s="10">
        <f t="shared" si="13"/>
        <v>-7.2908192002002492E-3</v>
      </c>
      <c r="E149" s="28">
        <f t="shared" si="10"/>
        <v>4.7315493819554621E-5</v>
      </c>
      <c r="F149" s="9"/>
      <c r="H149" s="10">
        <f t="shared" si="11"/>
        <v>-5.324384893422944E-2</v>
      </c>
      <c r="I149" s="10">
        <f t="shared" si="12"/>
        <v>5.324384893422944E-2</v>
      </c>
    </row>
    <row r="150" spans="1:9" x14ac:dyDescent="0.25">
      <c r="A150" s="1">
        <v>45114</v>
      </c>
      <c r="B150" s="2">
        <f t="shared" si="14"/>
        <v>144</v>
      </c>
      <c r="C150" s="3">
        <f>+VLOOKUP(A150,Precios!$B:$H,1+$C$3,0)</f>
        <v>319.58</v>
      </c>
      <c r="D150" s="10">
        <f t="shared" si="13"/>
        <v>1.9816829945431769E-2</v>
      </c>
      <c r="E150" s="28">
        <f t="shared" si="10"/>
        <v>4.0921338280333906E-4</v>
      </c>
      <c r="F150" s="9"/>
      <c r="H150" s="10">
        <f t="shared" si="11"/>
        <v>-5.324384893422944E-2</v>
      </c>
      <c r="I150" s="10">
        <f t="shared" si="12"/>
        <v>5.324384893422944E-2</v>
      </c>
    </row>
    <row r="151" spans="1:9" x14ac:dyDescent="0.25">
      <c r="A151" s="1">
        <v>45113</v>
      </c>
      <c r="B151" s="2">
        <f t="shared" si="14"/>
        <v>145</v>
      </c>
      <c r="C151" s="3">
        <f>+VLOOKUP(A151,Precios!$B:$H,1+$C$3,0)</f>
        <v>313.37</v>
      </c>
      <c r="D151" s="10">
        <f t="shared" si="13"/>
        <v>-1.2385754806177096E-2</v>
      </c>
      <c r="E151" s="28">
        <f t="shared" si="10"/>
        <v>1.4336617434958045E-4</v>
      </c>
      <c r="F151" s="9"/>
      <c r="H151" s="10">
        <f t="shared" si="11"/>
        <v>-5.324384893422944E-2</v>
      </c>
      <c r="I151" s="10">
        <f t="shared" si="12"/>
        <v>5.324384893422944E-2</v>
      </c>
    </row>
    <row r="152" spans="1:9" x14ac:dyDescent="0.25">
      <c r="A152" s="1">
        <v>45112</v>
      </c>
      <c r="B152" s="2">
        <f t="shared" si="14"/>
        <v>146</v>
      </c>
      <c r="C152" s="3">
        <f>+VLOOKUP(A152,Precios!$B:$H,1+$C$3,0)</f>
        <v>317.3</v>
      </c>
      <c r="D152" s="10">
        <f t="shared" si="13"/>
        <v>8.0376147663374642E-3</v>
      </c>
      <c r="E152" s="28">
        <f t="shared" si="10"/>
        <v>7.139925691730183E-5</v>
      </c>
      <c r="F152" s="9"/>
      <c r="H152" s="10">
        <f t="shared" si="11"/>
        <v>-5.324384893422944E-2</v>
      </c>
      <c r="I152" s="10">
        <f t="shared" si="12"/>
        <v>5.324384893422944E-2</v>
      </c>
    </row>
    <row r="153" spans="1:9" x14ac:dyDescent="0.25">
      <c r="A153" s="1">
        <v>45111</v>
      </c>
      <c r="B153" s="2">
        <f t="shared" si="14"/>
        <v>147</v>
      </c>
      <c r="C153" s="3">
        <f>+VLOOKUP(A153,Precios!$B:$H,1+$C$3,0)</f>
        <v>314.77</v>
      </c>
      <c r="D153" s="10">
        <f t="shared" si="13"/>
        <v>-3.4003375786404888E-2</v>
      </c>
      <c r="E153" s="28">
        <f t="shared" si="10"/>
        <v>1.1283675386112863E-3</v>
      </c>
      <c r="F153" s="9"/>
      <c r="H153" s="10">
        <f t="shared" si="11"/>
        <v>-5.324384893422944E-2</v>
      </c>
      <c r="I153" s="10">
        <f t="shared" si="12"/>
        <v>5.324384893422944E-2</v>
      </c>
    </row>
    <row r="154" spans="1:9" x14ac:dyDescent="0.25">
      <c r="A154" s="1">
        <v>45110</v>
      </c>
      <c r="B154" s="2">
        <f t="shared" si="14"/>
        <v>148</v>
      </c>
      <c r="C154" s="3">
        <f>+VLOOKUP(A154,Precios!$B:$H,1+$C$3,0)</f>
        <v>325.85000000000002</v>
      </c>
      <c r="D154" s="10">
        <f t="shared" si="13"/>
        <v>6.0606060606060552E-2</v>
      </c>
      <c r="E154" s="28">
        <f t="shared" si="10"/>
        <v>3.7232273137837585E-3</v>
      </c>
      <c r="F154" s="9"/>
      <c r="H154" s="10">
        <f t="shared" si="11"/>
        <v>-5.324384893422944E-2</v>
      </c>
      <c r="I154" s="10">
        <f t="shared" si="12"/>
        <v>5.324384893422944E-2</v>
      </c>
    </row>
    <row r="155" spans="1:9" x14ac:dyDescent="0.25">
      <c r="A155" s="1">
        <v>45107</v>
      </c>
      <c r="B155" s="2">
        <f t="shared" si="14"/>
        <v>149</v>
      </c>
      <c r="C155" s="3">
        <f>+VLOOKUP(A155,Precios!$B:$H,1+$C$3,0)</f>
        <v>307.23</v>
      </c>
      <c r="D155" s="10">
        <f t="shared" si="13"/>
        <v>9.9937539038101875E-3</v>
      </c>
      <c r="E155" s="28">
        <f t="shared" si="10"/>
        <v>1.0828373789733765E-4</v>
      </c>
      <c r="F155" s="9"/>
      <c r="H155" s="10">
        <f t="shared" si="11"/>
        <v>-5.324384893422944E-2</v>
      </c>
      <c r="I155" s="10">
        <f t="shared" si="12"/>
        <v>5.324384893422944E-2</v>
      </c>
    </row>
    <row r="156" spans="1:9" x14ac:dyDescent="0.25">
      <c r="A156" s="1">
        <v>45106</v>
      </c>
      <c r="B156" s="2">
        <f t="shared" si="14"/>
        <v>150</v>
      </c>
      <c r="C156" s="3">
        <f>+VLOOKUP(A156,Precios!$B:$H,1+$C$3,0)</f>
        <v>304.19</v>
      </c>
      <c r="D156" s="10">
        <f t="shared" si="13"/>
        <v>-3.8641647837049931E-3</v>
      </c>
      <c r="E156" s="28">
        <f t="shared" si="10"/>
        <v>1.1916106895798947E-5</v>
      </c>
      <c r="F156" s="9"/>
      <c r="H156" s="10">
        <f t="shared" si="11"/>
        <v>-5.324384893422944E-2</v>
      </c>
      <c r="I156" s="10">
        <f t="shared" si="12"/>
        <v>5.324384893422944E-2</v>
      </c>
    </row>
    <row r="157" spans="1:9" x14ac:dyDescent="0.25">
      <c r="A157" s="1">
        <v>45105</v>
      </c>
      <c r="B157" s="2">
        <f t="shared" si="14"/>
        <v>151</v>
      </c>
      <c r="C157" s="3">
        <f>+VLOOKUP(A157,Precios!$B:$H,1+$C$3,0)</f>
        <v>305.37</v>
      </c>
      <c r="D157" s="10">
        <f t="shared" si="13"/>
        <v>-8.957258300068105E-3</v>
      </c>
      <c r="E157" s="28">
        <f t="shared" si="10"/>
        <v>7.3018135289722958E-5</v>
      </c>
      <c r="F157" s="9"/>
      <c r="H157" s="10">
        <f t="shared" si="11"/>
        <v>-5.324384893422944E-2</v>
      </c>
      <c r="I157" s="10">
        <f t="shared" si="12"/>
        <v>5.324384893422944E-2</v>
      </c>
    </row>
    <row r="158" spans="1:9" x14ac:dyDescent="0.25">
      <c r="A158" s="1">
        <v>45104</v>
      </c>
      <c r="B158" s="2">
        <f t="shared" si="14"/>
        <v>152</v>
      </c>
      <c r="C158" s="3">
        <f>+VLOOKUP(A158,Precios!$B:$H,1+$C$3,0)</f>
        <v>308.13</v>
      </c>
      <c r="D158" s="10">
        <f t="shared" si="13"/>
        <v>6.5331721817527555E-3</v>
      </c>
      <c r="E158" s="28">
        <f t="shared" si="10"/>
        <v>4.8238102134891779E-5</v>
      </c>
      <c r="F158" s="9"/>
      <c r="H158" s="10">
        <f t="shared" si="11"/>
        <v>-5.324384893422944E-2</v>
      </c>
      <c r="I158" s="10">
        <f t="shared" si="12"/>
        <v>5.324384893422944E-2</v>
      </c>
    </row>
    <row r="159" spans="1:9" x14ac:dyDescent="0.25">
      <c r="A159" s="1">
        <v>45103</v>
      </c>
      <c r="B159" s="2">
        <f t="shared" si="14"/>
        <v>153</v>
      </c>
      <c r="C159" s="3">
        <f>+VLOOKUP(A159,Precios!$B:$H,1+$C$3,0)</f>
        <v>306.13</v>
      </c>
      <c r="D159" s="10">
        <f t="shared" si="13"/>
        <v>-5.0053628888094837E-3</v>
      </c>
      <c r="E159" s="28">
        <f t="shared" si="10"/>
        <v>2.1097206567505781E-5</v>
      </c>
      <c r="F159" s="9"/>
      <c r="H159" s="10">
        <f t="shared" si="11"/>
        <v>-5.324384893422944E-2</v>
      </c>
      <c r="I159" s="10">
        <f t="shared" si="12"/>
        <v>5.324384893422944E-2</v>
      </c>
    </row>
    <row r="160" spans="1:9" x14ac:dyDescent="0.25">
      <c r="A160" s="1">
        <v>45100</v>
      </c>
      <c r="B160" s="2">
        <f t="shared" si="14"/>
        <v>154</v>
      </c>
      <c r="C160" s="3">
        <f>+VLOOKUP(A160,Precios!$B:$H,1+$C$3,0)</f>
        <v>307.67</v>
      </c>
      <c r="D160" s="10">
        <f t="shared" si="13"/>
        <v>-2.1436977195381846E-2</v>
      </c>
      <c r="E160" s="28">
        <f t="shared" si="10"/>
        <v>4.4204153645570983E-4</v>
      </c>
      <c r="F160" s="9"/>
      <c r="H160" s="10">
        <f t="shared" si="11"/>
        <v>-5.324384893422944E-2</v>
      </c>
      <c r="I160" s="10">
        <f t="shared" si="12"/>
        <v>5.324384893422944E-2</v>
      </c>
    </row>
    <row r="161" spans="1:9" x14ac:dyDescent="0.25">
      <c r="A161" s="1">
        <v>45099</v>
      </c>
      <c r="B161" s="2">
        <f t="shared" si="14"/>
        <v>155</v>
      </c>
      <c r="C161" s="3">
        <f>+VLOOKUP(A161,Precios!$B:$H,1+$C$3,0)</f>
        <v>314.41000000000003</v>
      </c>
      <c r="D161" s="10">
        <f t="shared" si="13"/>
        <v>-7.4502004609020567E-3</v>
      </c>
      <c r="E161" s="28">
        <f t="shared" si="10"/>
        <v>4.9533544331006845E-5</v>
      </c>
      <c r="F161" s="9"/>
      <c r="H161" s="10">
        <f t="shared" si="11"/>
        <v>-5.324384893422944E-2</v>
      </c>
      <c r="I161" s="10">
        <f t="shared" si="12"/>
        <v>5.324384893422944E-2</v>
      </c>
    </row>
    <row r="162" spans="1:9" x14ac:dyDescent="0.25">
      <c r="A162" s="1">
        <v>45098</v>
      </c>
      <c r="B162" s="2">
        <f t="shared" si="14"/>
        <v>156</v>
      </c>
      <c r="C162" s="3">
        <f>+VLOOKUP(A162,Precios!$B:$H,1+$C$3,0)</f>
        <v>316.77</v>
      </c>
      <c r="D162" s="10">
        <f t="shared" si="13"/>
        <v>-2.7389497544390018E-3</v>
      </c>
      <c r="E162" s="28">
        <f t="shared" si="10"/>
        <v>5.4137954442470022E-6</v>
      </c>
      <c r="F162" s="9"/>
      <c r="H162" s="10">
        <f t="shared" si="11"/>
        <v>-5.324384893422944E-2</v>
      </c>
      <c r="I162" s="10">
        <f t="shared" si="12"/>
        <v>5.324384893422944E-2</v>
      </c>
    </row>
    <row r="163" spans="1:9" x14ac:dyDescent="0.25">
      <c r="A163" s="1">
        <v>45097</v>
      </c>
      <c r="B163" s="2">
        <f t="shared" si="14"/>
        <v>157</v>
      </c>
      <c r="C163" s="3">
        <f>+VLOOKUP(A163,Precios!$B:$H,1+$C$3,0)</f>
        <v>317.64</v>
      </c>
      <c r="D163" s="10">
        <f t="shared" si="13"/>
        <v>-2.1049711837766383E-2</v>
      </c>
      <c r="E163" s="28">
        <f t="shared" si="10"/>
        <v>4.2590717003048931E-4</v>
      </c>
      <c r="F163" s="9"/>
      <c r="H163" s="10">
        <f t="shared" si="11"/>
        <v>-5.324384893422944E-2</v>
      </c>
      <c r="I163" s="10">
        <f t="shared" si="12"/>
        <v>5.324384893422944E-2</v>
      </c>
    </row>
    <row r="164" spans="1:9" x14ac:dyDescent="0.25">
      <c r="A164" s="1">
        <v>45096</v>
      </c>
      <c r="B164" s="2">
        <f t="shared" si="14"/>
        <v>158</v>
      </c>
      <c r="C164" s="3">
        <f>+VLOOKUP(A164,Precios!$B:$H,1+$C$3,0)</f>
        <v>324.47000000000003</v>
      </c>
      <c r="D164" s="10">
        <f t="shared" si="13"/>
        <v>-2.0408779398001342E-2</v>
      </c>
      <c r="E164" s="28">
        <f t="shared" si="10"/>
        <v>3.9986345425104718E-4</v>
      </c>
      <c r="F164" s="9"/>
      <c r="H164" s="10">
        <f t="shared" si="11"/>
        <v>-5.324384893422944E-2</v>
      </c>
      <c r="I164" s="10">
        <f t="shared" si="12"/>
        <v>5.324384893422944E-2</v>
      </c>
    </row>
    <row r="165" spans="1:9" x14ac:dyDescent="0.25">
      <c r="A165" s="1">
        <v>45093</v>
      </c>
      <c r="B165" s="2">
        <f t="shared" si="14"/>
        <v>159</v>
      </c>
      <c r="C165" s="3">
        <f>+VLOOKUP(A165,Precios!$B:$H,1+$C$3,0)</f>
        <v>331.23</v>
      </c>
      <c r="D165" s="10">
        <f t="shared" si="13"/>
        <v>1.0587014888943314E-2</v>
      </c>
      <c r="E165" s="28">
        <f t="shared" si="10"/>
        <v>1.2098258151184293E-4</v>
      </c>
      <c r="F165" s="9"/>
      <c r="H165" s="10">
        <f t="shared" si="11"/>
        <v>-5.324384893422944E-2</v>
      </c>
      <c r="I165" s="10">
        <f t="shared" si="12"/>
        <v>5.324384893422944E-2</v>
      </c>
    </row>
    <row r="166" spans="1:9" x14ac:dyDescent="0.25">
      <c r="A166" s="1">
        <v>45092</v>
      </c>
      <c r="B166" s="2">
        <f t="shared" si="14"/>
        <v>160</v>
      </c>
      <c r="C166" s="3">
        <f>+VLOOKUP(A166,Precios!$B:$H,1+$C$3,0)</f>
        <v>327.76</v>
      </c>
      <c r="D166" s="10">
        <f t="shared" si="13"/>
        <v>4.7823421213979422E-3</v>
      </c>
      <c r="E166" s="28">
        <f t="shared" si="10"/>
        <v>2.6983198588025597E-5</v>
      </c>
      <c r="F166" s="9"/>
      <c r="H166" s="10">
        <f t="shared" si="11"/>
        <v>-5.324384893422944E-2</v>
      </c>
      <c r="I166" s="10">
        <f t="shared" si="12"/>
        <v>5.324384893422944E-2</v>
      </c>
    </row>
    <row r="167" spans="1:9" x14ac:dyDescent="0.25">
      <c r="A167" s="1">
        <v>45091</v>
      </c>
      <c r="B167" s="2">
        <f t="shared" si="14"/>
        <v>161</v>
      </c>
      <c r="C167" s="3">
        <f>+VLOOKUP(A167,Precios!$B:$H,1+$C$3,0)</f>
        <v>326.2</v>
      </c>
      <c r="D167" s="10">
        <f t="shared" si="13"/>
        <v>2.0076302457939788E-2</v>
      </c>
      <c r="E167" s="28">
        <f t="shared" si="10"/>
        <v>4.1977845977941348E-4</v>
      </c>
      <c r="F167" s="9"/>
      <c r="H167" s="10">
        <f t="shared" si="11"/>
        <v>-5.324384893422944E-2</v>
      </c>
      <c r="I167" s="10">
        <f t="shared" si="12"/>
        <v>5.324384893422944E-2</v>
      </c>
    </row>
    <row r="168" spans="1:9" x14ac:dyDescent="0.25">
      <c r="A168" s="1">
        <v>45090</v>
      </c>
      <c r="B168" s="2">
        <f t="shared" si="14"/>
        <v>162</v>
      </c>
      <c r="C168" s="3">
        <f>+VLOOKUP(A168,Precios!$B:$H,1+$C$3,0)</f>
        <v>319.77999999999997</v>
      </c>
      <c r="D168" s="10">
        <f t="shared" si="13"/>
        <v>1.1962025316455627E-2</v>
      </c>
      <c r="E168" s="28">
        <f t="shared" si="10"/>
        <v>1.5312128718698517E-4</v>
      </c>
      <c r="F168" s="9"/>
      <c r="H168" s="10">
        <f t="shared" si="11"/>
        <v>-5.324384893422944E-2</v>
      </c>
      <c r="I168" s="10">
        <f t="shared" si="12"/>
        <v>5.324384893422944E-2</v>
      </c>
    </row>
    <row r="169" spans="1:9" x14ac:dyDescent="0.25">
      <c r="A169" s="1">
        <v>45089</v>
      </c>
      <c r="B169" s="2">
        <f t="shared" si="14"/>
        <v>163</v>
      </c>
      <c r="C169" s="3">
        <f>+VLOOKUP(A169,Precios!$B:$H,1+$C$3,0)</f>
        <v>316</v>
      </c>
      <c r="D169" s="10">
        <f t="shared" si="13"/>
        <v>2.8578868563244431E-2</v>
      </c>
      <c r="E169" s="28">
        <f t="shared" si="10"/>
        <v>8.4048166987761499E-4</v>
      </c>
      <c r="F169" s="9"/>
      <c r="H169" s="10">
        <f t="shared" si="11"/>
        <v>-5.324384893422944E-2</v>
      </c>
      <c r="I169" s="10">
        <f t="shared" si="12"/>
        <v>5.324384893422944E-2</v>
      </c>
    </row>
    <row r="170" spans="1:9" x14ac:dyDescent="0.25">
      <c r="A170" s="1">
        <v>45086</v>
      </c>
      <c r="B170" s="2">
        <f t="shared" si="14"/>
        <v>164</v>
      </c>
      <c r="C170" s="3">
        <f>+VLOOKUP(A170,Precios!$B:$H,1+$C$3,0)</f>
        <v>307.22000000000003</v>
      </c>
      <c r="D170" s="10">
        <f t="shared" si="13"/>
        <v>-1.205904106505451E-2</v>
      </c>
      <c r="E170" s="28">
        <f t="shared" si="10"/>
        <v>1.3564906209135753E-4</v>
      </c>
      <c r="F170" s="9"/>
      <c r="H170" s="10">
        <f t="shared" si="11"/>
        <v>-5.324384893422944E-2</v>
      </c>
      <c r="I170" s="10">
        <f t="shared" si="12"/>
        <v>5.324384893422944E-2</v>
      </c>
    </row>
    <row r="171" spans="1:9" x14ac:dyDescent="0.25">
      <c r="A171" s="1">
        <v>45085</v>
      </c>
      <c r="B171" s="2">
        <f t="shared" si="14"/>
        <v>165</v>
      </c>
      <c r="C171" s="3">
        <f>+VLOOKUP(A171,Precios!$B:$H,1+$C$3,0)</f>
        <v>310.97000000000003</v>
      </c>
      <c r="D171" s="10">
        <f t="shared" si="13"/>
        <v>-1.1161282116509796E-2</v>
      </c>
      <c r="E171" s="28">
        <f t="shared" si="10"/>
        <v>1.1554290967364809E-4</v>
      </c>
      <c r="F171" s="9"/>
      <c r="H171" s="10">
        <f t="shared" si="11"/>
        <v>-5.324384893422944E-2</v>
      </c>
      <c r="I171" s="10">
        <f t="shared" si="12"/>
        <v>5.324384893422944E-2</v>
      </c>
    </row>
    <row r="172" spans="1:9" x14ac:dyDescent="0.25">
      <c r="A172" s="1">
        <v>45084</v>
      </c>
      <c r="B172" s="2">
        <f t="shared" si="14"/>
        <v>166</v>
      </c>
      <c r="C172" s="3">
        <f>+VLOOKUP(A172,Precios!$B:$H,1+$C$3,0)</f>
        <v>314.48</v>
      </c>
      <c r="D172" s="10">
        <f t="shared" si="13"/>
        <v>-8.2623777988016789E-3</v>
      </c>
      <c r="E172" s="28">
        <f t="shared" si="10"/>
        <v>6.1625396145559871E-5</v>
      </c>
      <c r="F172" s="9"/>
      <c r="H172" s="10">
        <f t="shared" si="11"/>
        <v>-5.324384893422944E-2</v>
      </c>
      <c r="I172" s="10">
        <f t="shared" si="12"/>
        <v>5.324384893422944E-2</v>
      </c>
    </row>
    <row r="173" spans="1:9" x14ac:dyDescent="0.25">
      <c r="A173" s="1">
        <v>45083</v>
      </c>
      <c r="B173" s="2">
        <f t="shared" si="14"/>
        <v>167</v>
      </c>
      <c r="C173" s="3">
        <f>+VLOOKUP(A173,Precios!$B:$H,1+$C$3,0)</f>
        <v>317.10000000000002</v>
      </c>
      <c r="D173" s="10">
        <f t="shared" si="13"/>
        <v>4.0490878067988012E-2</v>
      </c>
      <c r="E173" s="28">
        <f t="shared" si="10"/>
        <v>1.673061250042421E-3</v>
      </c>
      <c r="F173" s="9"/>
      <c r="H173" s="10">
        <f t="shared" si="11"/>
        <v>-5.324384893422944E-2</v>
      </c>
      <c r="I173" s="10">
        <f t="shared" si="12"/>
        <v>5.324384893422944E-2</v>
      </c>
    </row>
    <row r="174" spans="1:9" x14ac:dyDescent="0.25">
      <c r="A174" s="1">
        <v>45082</v>
      </c>
      <c r="B174" s="2">
        <f t="shared" si="14"/>
        <v>168</v>
      </c>
      <c r="C174" s="3">
        <f>+VLOOKUP(A174,Precios!$B:$H,1+$C$3,0)</f>
        <v>304.76</v>
      </c>
      <c r="D174" s="10">
        <f t="shared" si="13"/>
        <v>-2.0757020757020905E-2</v>
      </c>
      <c r="E174" s="28">
        <f t="shared" si="10"/>
        <v>4.1391200290916548E-4</v>
      </c>
      <c r="F174" s="9"/>
      <c r="H174" s="10">
        <f t="shared" si="11"/>
        <v>-5.324384893422944E-2</v>
      </c>
      <c r="I174" s="10">
        <f t="shared" si="12"/>
        <v>5.324384893422944E-2</v>
      </c>
    </row>
    <row r="175" spans="1:9" x14ac:dyDescent="0.25">
      <c r="A175" s="1">
        <v>45079</v>
      </c>
      <c r="B175" s="2">
        <f t="shared" si="14"/>
        <v>169</v>
      </c>
      <c r="C175" s="3">
        <f>+VLOOKUP(A175,Precios!$B:$H,1+$C$3,0)</f>
        <v>311.22000000000003</v>
      </c>
      <c r="D175" s="10">
        <f t="shared" si="13"/>
        <v>3.2615547961113656E-2</v>
      </c>
      <c r="E175" s="28">
        <f t="shared" si="10"/>
        <v>1.0908316949974387E-3</v>
      </c>
      <c r="F175" s="9"/>
      <c r="H175" s="10">
        <f t="shared" si="11"/>
        <v>-5.324384893422944E-2</v>
      </c>
      <c r="I175" s="10">
        <f t="shared" si="12"/>
        <v>5.324384893422944E-2</v>
      </c>
    </row>
    <row r="176" spans="1:9" x14ac:dyDescent="0.25">
      <c r="A176" s="1">
        <v>45078</v>
      </c>
      <c r="B176" s="2">
        <f t="shared" si="14"/>
        <v>170</v>
      </c>
      <c r="C176" s="3">
        <f>+VLOOKUP(A176,Precios!$B:$H,1+$C$3,0)</f>
        <v>301.39</v>
      </c>
      <c r="D176" s="10">
        <f t="shared" si="13"/>
        <v>-3.7000351471387138E-2</v>
      </c>
      <c r="E176" s="28">
        <f t="shared" si="10"/>
        <v>1.3386933159523816E-3</v>
      </c>
      <c r="F176" s="9"/>
      <c r="H176" s="10">
        <f t="shared" si="11"/>
        <v>-5.324384893422944E-2</v>
      </c>
      <c r="I176" s="10">
        <f t="shared" si="12"/>
        <v>5.324384893422944E-2</v>
      </c>
    </row>
    <row r="177" spans="1:9" x14ac:dyDescent="0.25">
      <c r="A177" s="1">
        <v>45077</v>
      </c>
      <c r="B177" s="2">
        <f t="shared" si="14"/>
        <v>171</v>
      </c>
      <c r="C177" s="3">
        <f>+VLOOKUP(A177,Precios!$B:$H,1+$C$3,0)</f>
        <v>312.97000000000003</v>
      </c>
      <c r="D177" s="10">
        <f t="shared" si="13"/>
        <v>3.9455956887151089E-3</v>
      </c>
      <c r="E177" s="28">
        <f t="shared" si="10"/>
        <v>1.8990325158643439E-5</v>
      </c>
      <c r="F177" s="9"/>
      <c r="H177" s="10">
        <f t="shared" si="11"/>
        <v>-5.324384893422944E-2</v>
      </c>
      <c r="I177" s="10">
        <f t="shared" si="12"/>
        <v>5.324384893422944E-2</v>
      </c>
    </row>
    <row r="178" spans="1:9" x14ac:dyDescent="0.25">
      <c r="A178" s="1">
        <v>45076</v>
      </c>
      <c r="B178" s="2">
        <f t="shared" si="14"/>
        <v>172</v>
      </c>
      <c r="C178" s="3">
        <f>+VLOOKUP(A178,Precios!$B:$H,1+$C$3,0)</f>
        <v>311.74</v>
      </c>
      <c r="D178" s="10">
        <f t="shared" si="13"/>
        <v>-5.2173913043478182E-2</v>
      </c>
      <c r="E178" s="28">
        <f t="shared" si="10"/>
        <v>2.6792756273758584E-3</v>
      </c>
      <c r="F178" s="9"/>
      <c r="H178" s="10">
        <f t="shared" si="11"/>
        <v>-5.324384893422944E-2</v>
      </c>
      <c r="I178" s="10">
        <f t="shared" si="12"/>
        <v>5.324384893422944E-2</v>
      </c>
    </row>
    <row r="179" spans="1:9" x14ac:dyDescent="0.25">
      <c r="A179" s="1">
        <v>45075</v>
      </c>
      <c r="B179" s="2">
        <f t="shared" si="14"/>
        <v>173</v>
      </c>
      <c r="C179" s="3">
        <f>+VLOOKUP(A179,Precios!$B:$H,1+$C$3,0)</f>
        <v>328.9</v>
      </c>
      <c r="D179" s="10">
        <f t="shared" si="13"/>
        <v>3.2750337551417541E-2</v>
      </c>
      <c r="E179" s="28">
        <f t="shared" si="10"/>
        <v>1.0997534546665123E-3</v>
      </c>
      <c r="F179" s="9"/>
      <c r="H179" s="10">
        <f t="shared" si="11"/>
        <v>-5.324384893422944E-2</v>
      </c>
      <c r="I179" s="10">
        <f t="shared" si="12"/>
        <v>5.324384893422944E-2</v>
      </c>
    </row>
    <row r="180" spans="1:9" x14ac:dyDescent="0.25">
      <c r="A180" s="1">
        <v>45072</v>
      </c>
      <c r="B180" s="2">
        <f t="shared" si="14"/>
        <v>174</v>
      </c>
      <c r="C180" s="3">
        <f>+VLOOKUP(A180,Precios!$B:$H,1+$C$3,0)</f>
        <v>318.47000000000003</v>
      </c>
      <c r="D180" s="10">
        <f t="shared" si="13"/>
        <v>1.9397586504913411E-2</v>
      </c>
      <c r="E180" s="28">
        <f t="shared" si="10"/>
        <v>3.9242737723052242E-4</v>
      </c>
      <c r="F180" s="9"/>
      <c r="H180" s="10">
        <f t="shared" si="11"/>
        <v>-5.324384893422944E-2</v>
      </c>
      <c r="I180" s="10">
        <f t="shared" si="12"/>
        <v>5.324384893422944E-2</v>
      </c>
    </row>
    <row r="181" spans="1:9" x14ac:dyDescent="0.25">
      <c r="A181" s="1">
        <v>45071</v>
      </c>
      <c r="B181" s="2">
        <f t="shared" si="14"/>
        <v>175</v>
      </c>
      <c r="C181" s="3">
        <f>+VLOOKUP(A181,Precios!$B:$H,1+$C$3,0)</f>
        <v>312.41000000000003</v>
      </c>
      <c r="D181" s="10">
        <f t="shared" si="13"/>
        <v>-1.3745045390612942E-3</v>
      </c>
      <c r="E181" s="28">
        <f t="shared" si="10"/>
        <v>9.2604285712063352E-7</v>
      </c>
      <c r="F181" s="9"/>
      <c r="H181" s="10">
        <f t="shared" si="11"/>
        <v>-5.324384893422944E-2</v>
      </c>
      <c r="I181" s="10">
        <f t="shared" si="12"/>
        <v>5.324384893422944E-2</v>
      </c>
    </row>
    <row r="182" spans="1:9" x14ac:dyDescent="0.25">
      <c r="A182" s="1">
        <v>45070</v>
      </c>
      <c r="B182" s="2">
        <f t="shared" si="14"/>
        <v>176</v>
      </c>
      <c r="C182" s="3">
        <f>+VLOOKUP(A182,Precios!$B:$H,1+$C$3,0)</f>
        <v>312.83999999999997</v>
      </c>
      <c r="D182" s="10">
        <f t="shared" si="13"/>
        <v>4.3984974475870242E-3</v>
      </c>
      <c r="E182" s="28">
        <f t="shared" si="10"/>
        <v>2.3142745787377363E-5</v>
      </c>
      <c r="F182" s="9"/>
      <c r="H182" s="10">
        <f t="shared" si="11"/>
        <v>-5.324384893422944E-2</v>
      </c>
      <c r="I182" s="10">
        <f t="shared" si="12"/>
        <v>5.324384893422944E-2</v>
      </c>
    </row>
    <row r="183" spans="1:9" x14ac:dyDescent="0.25">
      <c r="A183" s="1">
        <v>45069</v>
      </c>
      <c r="B183" s="2">
        <f t="shared" si="14"/>
        <v>177</v>
      </c>
      <c r="C183" s="3">
        <f>+VLOOKUP(A183,Precios!$B:$H,1+$C$3,0)</f>
        <v>311.47000000000003</v>
      </c>
      <c r="D183" s="10">
        <f t="shared" si="13"/>
        <v>-2.504147494287412E-2</v>
      </c>
      <c r="E183" s="28">
        <f t="shared" si="10"/>
        <v>6.0660151261360772E-4</v>
      </c>
      <c r="F183" s="9"/>
      <c r="H183" s="10">
        <f t="shared" si="11"/>
        <v>-5.324384893422944E-2</v>
      </c>
      <c r="I183" s="10">
        <f t="shared" si="12"/>
        <v>5.324384893422944E-2</v>
      </c>
    </row>
    <row r="184" spans="1:9" x14ac:dyDescent="0.25">
      <c r="A184" s="1">
        <v>45068</v>
      </c>
      <c r="B184" s="2">
        <f t="shared" si="14"/>
        <v>178</v>
      </c>
      <c r="C184" s="3">
        <f>+VLOOKUP(A184,Precios!$B:$H,1+$C$3,0)</f>
        <v>319.47000000000003</v>
      </c>
      <c r="D184" s="10">
        <f t="shared" si="13"/>
        <v>2.2588235294118686E-3</v>
      </c>
      <c r="E184" s="28">
        <f t="shared" si="10"/>
        <v>7.1343310798173243E-6</v>
      </c>
      <c r="F184" s="9"/>
      <c r="H184" s="10">
        <f t="shared" si="11"/>
        <v>-5.324384893422944E-2</v>
      </c>
      <c r="I184" s="10">
        <f t="shared" si="12"/>
        <v>5.324384893422944E-2</v>
      </c>
    </row>
    <row r="185" spans="1:9" x14ac:dyDescent="0.25">
      <c r="A185" s="1">
        <v>45065</v>
      </c>
      <c r="B185" s="2">
        <f t="shared" si="14"/>
        <v>179</v>
      </c>
      <c r="C185" s="3">
        <f>+VLOOKUP(A185,Precios!$B:$H,1+$C$3,0)</f>
        <v>318.75</v>
      </c>
      <c r="D185" s="10">
        <f t="shared" si="13"/>
        <v>-2.8023418918094789E-2</v>
      </c>
      <c r="E185" s="28">
        <f t="shared" si="10"/>
        <v>7.6237977830552689E-4</v>
      </c>
      <c r="F185" s="9"/>
      <c r="H185" s="10">
        <f t="shared" si="11"/>
        <v>-5.324384893422944E-2</v>
      </c>
      <c r="I185" s="10">
        <f t="shared" si="12"/>
        <v>5.324384893422944E-2</v>
      </c>
    </row>
    <row r="186" spans="1:9" x14ac:dyDescent="0.25">
      <c r="A186" s="1">
        <v>45064</v>
      </c>
      <c r="B186" s="2">
        <f t="shared" si="14"/>
        <v>180</v>
      </c>
      <c r="C186" s="3">
        <f>+VLOOKUP(A186,Precios!$B:$H,1+$C$3,0)</f>
        <v>327.94</v>
      </c>
      <c r="D186" s="10">
        <f t="shared" si="13"/>
        <v>6.1052308636293517E-3</v>
      </c>
      <c r="E186" s="28">
        <f t="shared" si="10"/>
        <v>4.2476818160100004E-5</v>
      </c>
      <c r="F186" s="9"/>
      <c r="H186" s="10">
        <f t="shared" si="11"/>
        <v>-5.324384893422944E-2</v>
      </c>
      <c r="I186" s="10">
        <f t="shared" si="12"/>
        <v>5.324384893422944E-2</v>
      </c>
    </row>
    <row r="187" spans="1:9" x14ac:dyDescent="0.25">
      <c r="A187" s="1">
        <v>45063</v>
      </c>
      <c r="B187" s="2">
        <f t="shared" si="14"/>
        <v>181</v>
      </c>
      <c r="C187" s="3">
        <f>+VLOOKUP(A187,Precios!$B:$H,1+$C$3,0)</f>
        <v>325.95</v>
      </c>
      <c r="D187" s="10">
        <f t="shared" si="13"/>
        <v>1.0071273628757371E-2</v>
      </c>
      <c r="E187" s="28">
        <f t="shared" si="10"/>
        <v>1.0990307954033376E-4</v>
      </c>
      <c r="F187" s="9"/>
      <c r="H187" s="10">
        <f t="shared" si="11"/>
        <v>-5.324384893422944E-2</v>
      </c>
      <c r="I187" s="10">
        <f t="shared" si="12"/>
        <v>5.324384893422944E-2</v>
      </c>
    </row>
    <row r="188" spans="1:9" x14ac:dyDescent="0.25">
      <c r="A188" s="1">
        <v>45062</v>
      </c>
      <c r="B188" s="2">
        <f t="shared" si="14"/>
        <v>182</v>
      </c>
      <c r="C188" s="3">
        <f>+VLOOKUP(A188,Precios!$B:$H,1+$C$3,0)</f>
        <v>322.7</v>
      </c>
      <c r="D188" s="10">
        <f t="shared" si="13"/>
        <v>-6.3125481139337802E-3</v>
      </c>
      <c r="E188" s="28">
        <f t="shared" si="10"/>
        <v>3.4814186539720027E-5</v>
      </c>
      <c r="F188" s="9"/>
      <c r="H188" s="10">
        <f t="shared" si="11"/>
        <v>-5.324384893422944E-2</v>
      </c>
      <c r="I188" s="10">
        <f t="shared" si="12"/>
        <v>5.324384893422944E-2</v>
      </c>
    </row>
    <row r="189" spans="1:9" x14ac:dyDescent="0.25">
      <c r="A189" s="1">
        <v>45061</v>
      </c>
      <c r="B189" s="2">
        <f t="shared" si="14"/>
        <v>183</v>
      </c>
      <c r="C189" s="3">
        <f>+VLOOKUP(A189,Precios!$B:$H,1+$C$3,0)</f>
        <v>324.75</v>
      </c>
      <c r="D189" s="10">
        <f t="shared" si="13"/>
        <v>1.3039273793555184E-2</v>
      </c>
      <c r="E189" s="28">
        <f t="shared" si="10"/>
        <v>1.8094196785945778E-4</v>
      </c>
      <c r="F189" s="9"/>
      <c r="H189" s="10">
        <f t="shared" si="11"/>
        <v>-5.324384893422944E-2</v>
      </c>
      <c r="I189" s="10">
        <f t="shared" si="12"/>
        <v>5.324384893422944E-2</v>
      </c>
    </row>
    <row r="190" spans="1:9" x14ac:dyDescent="0.25">
      <c r="A190" s="1">
        <v>45058</v>
      </c>
      <c r="B190" s="2">
        <f t="shared" si="14"/>
        <v>184</v>
      </c>
      <c r="C190" s="3">
        <f>+VLOOKUP(A190,Precios!$B:$H,1+$C$3,0)</f>
        <v>320.57</v>
      </c>
      <c r="D190" s="10">
        <f t="shared" si="13"/>
        <v>-2.9237037728220283E-3</v>
      </c>
      <c r="E190" s="28">
        <f t="shared" si="10"/>
        <v>6.3076846888378343E-6</v>
      </c>
      <c r="F190" s="9"/>
      <c r="H190" s="10">
        <f t="shared" si="11"/>
        <v>-5.324384893422944E-2</v>
      </c>
      <c r="I190" s="10">
        <f t="shared" si="12"/>
        <v>5.324384893422944E-2</v>
      </c>
    </row>
    <row r="191" spans="1:9" x14ac:dyDescent="0.25">
      <c r="A191" s="1">
        <v>45057</v>
      </c>
      <c r="B191" s="2">
        <f t="shared" si="14"/>
        <v>185</v>
      </c>
      <c r="C191" s="3">
        <f>+VLOOKUP(A191,Precios!$B:$H,1+$C$3,0)</f>
        <v>321.51</v>
      </c>
      <c r="D191" s="10">
        <f t="shared" si="13"/>
        <v>-6.9802637674892809E-3</v>
      </c>
      <c r="E191" s="28">
        <f t="shared" si="10"/>
        <v>4.3139549231111933E-5</v>
      </c>
      <c r="F191" s="9"/>
      <c r="H191" s="10">
        <f t="shared" si="11"/>
        <v>-5.324384893422944E-2</v>
      </c>
      <c r="I191" s="10">
        <f t="shared" si="12"/>
        <v>5.324384893422944E-2</v>
      </c>
    </row>
    <row r="192" spans="1:9" x14ac:dyDescent="0.25">
      <c r="A192" s="1">
        <v>45056</v>
      </c>
      <c r="B192" s="2">
        <f t="shared" si="14"/>
        <v>186</v>
      </c>
      <c r="C192" s="3">
        <f>+VLOOKUP(A192,Precios!$B:$H,1+$C$3,0)</f>
        <v>323.77</v>
      </c>
      <c r="D192" s="10">
        <f t="shared" si="13"/>
        <v>4.2182314444338953E-3</v>
      </c>
      <c r="E192" s="28">
        <f t="shared" si="10"/>
        <v>2.1440833620390424E-5</v>
      </c>
      <c r="F192" s="9"/>
      <c r="H192" s="10">
        <f t="shared" si="11"/>
        <v>-5.324384893422944E-2</v>
      </c>
      <c r="I192" s="10">
        <f t="shared" si="12"/>
        <v>5.324384893422944E-2</v>
      </c>
    </row>
    <row r="193" spans="1:9" x14ac:dyDescent="0.25">
      <c r="A193" s="1">
        <v>45055</v>
      </c>
      <c r="B193" s="2">
        <f t="shared" si="14"/>
        <v>187</v>
      </c>
      <c r="C193" s="3">
        <f>+VLOOKUP(A193,Precios!$B:$H,1+$C$3,0)</f>
        <v>322.41000000000003</v>
      </c>
      <c r="D193" s="10">
        <f t="shared" si="13"/>
        <v>9.0132381935970063E-3</v>
      </c>
      <c r="E193" s="28">
        <f t="shared" si="10"/>
        <v>8.8838759464434747E-5</v>
      </c>
      <c r="F193" s="9"/>
      <c r="H193" s="10">
        <f t="shared" si="11"/>
        <v>-5.324384893422944E-2</v>
      </c>
      <c r="I193" s="10">
        <f t="shared" si="12"/>
        <v>5.324384893422944E-2</v>
      </c>
    </row>
    <row r="194" spans="1:9" x14ac:dyDescent="0.25">
      <c r="A194" s="1">
        <v>45054</v>
      </c>
      <c r="B194" s="2">
        <f t="shared" si="14"/>
        <v>188</v>
      </c>
      <c r="C194" s="3">
        <f>+VLOOKUP(A194,Precios!$B:$H,1+$C$3,0)</f>
        <v>319.52999999999997</v>
      </c>
      <c r="D194" s="10">
        <f t="shared" si="13"/>
        <v>1.5832141154029422E-2</v>
      </c>
      <c r="E194" s="28">
        <f t="shared" si="10"/>
        <v>2.6387840292970929E-4</v>
      </c>
      <c r="F194" s="9"/>
      <c r="H194" s="10">
        <f t="shared" si="11"/>
        <v>-5.324384893422944E-2</v>
      </c>
      <c r="I194" s="10">
        <f t="shared" si="12"/>
        <v>5.324384893422944E-2</v>
      </c>
    </row>
    <row r="195" spans="1:9" x14ac:dyDescent="0.25">
      <c r="A195" s="1">
        <v>45051</v>
      </c>
      <c r="B195" s="2">
        <f t="shared" si="14"/>
        <v>189</v>
      </c>
      <c r="C195" s="3">
        <f>+VLOOKUP(A195,Precios!$B:$H,1+$C$3,0)</f>
        <v>314.55</v>
      </c>
      <c r="D195" s="10">
        <f t="shared" si="13"/>
        <v>1.226105425757873E-2</v>
      </c>
      <c r="E195" s="28">
        <f t="shared" si="10"/>
        <v>1.6061120449461852E-4</v>
      </c>
      <c r="F195" s="9"/>
      <c r="H195" s="10">
        <f t="shared" si="11"/>
        <v>-5.324384893422944E-2</v>
      </c>
      <c r="I195" s="10">
        <f t="shared" si="12"/>
        <v>5.324384893422944E-2</v>
      </c>
    </row>
    <row r="196" spans="1:9" x14ac:dyDescent="0.25">
      <c r="A196" s="1">
        <v>45050</v>
      </c>
      <c r="B196" s="2">
        <f t="shared" si="14"/>
        <v>190</v>
      </c>
      <c r="C196" s="3">
        <f>+VLOOKUP(A196,Precios!$B:$H,1+$C$3,0)</f>
        <v>310.74</v>
      </c>
      <c r="D196" s="10">
        <f t="shared" si="13"/>
        <v>-2.2245996035367033E-2</v>
      </c>
      <c r="E196" s="28">
        <f t="shared" si="10"/>
        <v>4.7671494044156755E-4</v>
      </c>
      <c r="F196" s="9"/>
      <c r="H196" s="10">
        <f t="shared" si="11"/>
        <v>-5.324384893422944E-2</v>
      </c>
      <c r="I196" s="10">
        <f t="shared" si="12"/>
        <v>5.324384893422944E-2</v>
      </c>
    </row>
    <row r="197" spans="1:9" x14ac:dyDescent="0.25">
      <c r="A197" s="1">
        <v>45049</v>
      </c>
      <c r="B197" s="2">
        <f t="shared" si="14"/>
        <v>191</v>
      </c>
      <c r="C197" s="3">
        <f>+VLOOKUP(A197,Precios!$B:$H,1+$C$3,0)</f>
        <v>317.81</v>
      </c>
      <c r="D197" s="10">
        <f t="shared" si="13"/>
        <v>-1.749775867932124E-2</v>
      </c>
      <c r="E197" s="28">
        <f t="shared" si="10"/>
        <v>2.9191654320003083E-4</v>
      </c>
      <c r="F197" s="9"/>
      <c r="H197" s="10">
        <f t="shared" si="11"/>
        <v>-5.324384893422944E-2</v>
      </c>
      <c r="I197" s="10">
        <f t="shared" si="12"/>
        <v>5.324384893422944E-2</v>
      </c>
    </row>
    <row r="198" spans="1:9" x14ac:dyDescent="0.25">
      <c r="A198" s="1">
        <v>45048</v>
      </c>
      <c r="B198" s="2">
        <f t="shared" si="14"/>
        <v>192</v>
      </c>
      <c r="C198" s="3">
        <f>+VLOOKUP(A198,Precios!$B:$H,1+$C$3,0)</f>
        <v>323.47000000000003</v>
      </c>
      <c r="D198" s="10">
        <f t="shared" si="13"/>
        <v>1.1191347025540255E-2</v>
      </c>
      <c r="E198" s="28">
        <f t="shared" si="10"/>
        <v>1.3464214885456968E-4</v>
      </c>
      <c r="F198" s="9"/>
      <c r="H198" s="10">
        <f t="shared" si="11"/>
        <v>-5.324384893422944E-2</v>
      </c>
      <c r="I198" s="10">
        <f t="shared" si="12"/>
        <v>5.324384893422944E-2</v>
      </c>
    </row>
    <row r="199" spans="1:9" x14ac:dyDescent="0.25">
      <c r="A199" s="1">
        <v>45044</v>
      </c>
      <c r="B199" s="2">
        <f t="shared" si="14"/>
        <v>193</v>
      </c>
      <c r="C199" s="3">
        <f>+VLOOKUP(A199,Precios!$B:$H,1+$C$3,0)</f>
        <v>319.89</v>
      </c>
      <c r="D199" s="10">
        <f t="shared" si="13"/>
        <v>1.9667219176335404E-2</v>
      </c>
      <c r="E199" s="28">
        <f t="shared" ref="E199:E262" si="15" xml:space="preserve"> (D199 - $F$2) ^2</f>
        <v>4.0318280672403022E-4</v>
      </c>
      <c r="F199" s="9"/>
      <c r="H199" s="10">
        <f t="shared" ref="H199:H257" si="16">-$I$5*$F$3</f>
        <v>-5.324384893422944E-2</v>
      </c>
      <c r="I199" s="10">
        <f t="shared" ref="I199:I257" si="17">+$I$5*$F$3</f>
        <v>5.324384893422944E-2</v>
      </c>
    </row>
    <row r="200" spans="1:9" x14ac:dyDescent="0.25">
      <c r="A200" s="1">
        <v>45043</v>
      </c>
      <c r="B200" s="2">
        <f t="shared" si="14"/>
        <v>194</v>
      </c>
      <c r="C200" s="3">
        <f>+VLOOKUP(A200,Precios!$B:$H,1+$C$3,0)</f>
        <v>313.72000000000003</v>
      </c>
      <c r="D200" s="10">
        <f t="shared" ref="D200:D258" si="18" xml:space="preserve"> (C200/C201) - 1</f>
        <v>8.4865629420085575E-3</v>
      </c>
      <c r="E200" s="28">
        <f t="shared" si="15"/>
        <v>7.9187863243765884E-5</v>
      </c>
      <c r="F200" s="9"/>
      <c r="H200" s="10">
        <f t="shared" si="16"/>
        <v>-5.324384893422944E-2</v>
      </c>
      <c r="I200" s="10">
        <f t="shared" si="17"/>
        <v>5.324384893422944E-2</v>
      </c>
    </row>
    <row r="201" spans="1:9" x14ac:dyDescent="0.25">
      <c r="A201" s="1">
        <v>45042</v>
      </c>
      <c r="B201" s="2">
        <f t="shared" ref="B201:B258" si="19">+B200+1</f>
        <v>195</v>
      </c>
      <c r="C201" s="3">
        <f>+VLOOKUP(A201,Precios!$B:$H,1+$C$3,0)</f>
        <v>311.08</v>
      </c>
      <c r="D201" s="10">
        <f t="shared" si="18"/>
        <v>-5.4987212276215169E-3</v>
      </c>
      <c r="E201" s="28">
        <f t="shared" si="15"/>
        <v>2.5872766021755822E-5</v>
      </c>
      <c r="F201" s="9"/>
      <c r="H201" s="10">
        <f t="shared" si="16"/>
        <v>-5.324384893422944E-2</v>
      </c>
      <c r="I201" s="10">
        <f t="shared" si="17"/>
        <v>5.324384893422944E-2</v>
      </c>
    </row>
    <row r="202" spans="1:9" x14ac:dyDescent="0.25">
      <c r="A202" s="1">
        <v>45041</v>
      </c>
      <c r="B202" s="2">
        <f t="shared" si="19"/>
        <v>196</v>
      </c>
      <c r="C202" s="3">
        <f>+VLOOKUP(A202,Precios!$B:$H,1+$C$3,0)</f>
        <v>312.8</v>
      </c>
      <c r="D202" s="10">
        <f t="shared" si="18"/>
        <v>-1.1284255776464192E-2</v>
      </c>
      <c r="E202" s="28">
        <f t="shared" si="15"/>
        <v>1.182017417724322E-4</v>
      </c>
      <c r="F202" s="9"/>
      <c r="H202" s="10">
        <f t="shared" si="16"/>
        <v>-5.324384893422944E-2</v>
      </c>
      <c r="I202" s="10">
        <f t="shared" si="17"/>
        <v>5.324384893422944E-2</v>
      </c>
    </row>
    <row r="203" spans="1:9" x14ac:dyDescent="0.25">
      <c r="A203" s="1">
        <v>45040</v>
      </c>
      <c r="B203" s="2">
        <f t="shared" si="19"/>
        <v>197</v>
      </c>
      <c r="C203" s="3">
        <f>+VLOOKUP(A203,Precios!$B:$H,1+$C$3,0)</f>
        <v>316.37</v>
      </c>
      <c r="D203" s="10">
        <f t="shared" si="18"/>
        <v>9.0903291656034835E-3</v>
      </c>
      <c r="E203" s="28">
        <f t="shared" si="15"/>
        <v>9.0297933838346623E-5</v>
      </c>
      <c r="F203" s="9"/>
      <c r="H203" s="10">
        <f t="shared" si="16"/>
        <v>-5.324384893422944E-2</v>
      </c>
      <c r="I203" s="10">
        <f t="shared" si="17"/>
        <v>5.324384893422944E-2</v>
      </c>
    </row>
    <row r="204" spans="1:9" x14ac:dyDescent="0.25">
      <c r="A204" s="1">
        <v>45037</v>
      </c>
      <c r="B204" s="2">
        <f t="shared" si="19"/>
        <v>198</v>
      </c>
      <c r="C204" s="3">
        <f>+VLOOKUP(A204,Precios!$B:$H,1+$C$3,0)</f>
        <v>313.52</v>
      </c>
      <c r="D204" s="10">
        <f t="shared" si="18"/>
        <v>-3.33302500539574E-2</v>
      </c>
      <c r="E204" s="28">
        <f t="shared" si="15"/>
        <v>1.083598458277652E-3</v>
      </c>
      <c r="F204" s="9"/>
      <c r="H204" s="10">
        <f t="shared" si="16"/>
        <v>-5.324384893422944E-2</v>
      </c>
      <c r="I204" s="10">
        <f t="shared" si="17"/>
        <v>5.324384893422944E-2</v>
      </c>
    </row>
    <row r="205" spans="1:9" x14ac:dyDescent="0.25">
      <c r="A205" s="1">
        <v>45036</v>
      </c>
      <c r="B205" s="2">
        <f t="shared" si="19"/>
        <v>199</v>
      </c>
      <c r="C205" s="3">
        <f>+VLOOKUP(A205,Precios!$B:$H,1+$C$3,0)</f>
        <v>324.33</v>
      </c>
      <c r="D205" s="10">
        <f t="shared" si="18"/>
        <v>-3.2947701115152994E-2</v>
      </c>
      <c r="E205" s="28">
        <f t="shared" si="15"/>
        <v>1.058559266636097E-3</v>
      </c>
      <c r="F205" s="9"/>
      <c r="H205" s="10">
        <f t="shared" si="16"/>
        <v>-5.324384893422944E-2</v>
      </c>
      <c r="I205" s="10">
        <f t="shared" si="17"/>
        <v>5.324384893422944E-2</v>
      </c>
    </row>
    <row r="206" spans="1:9" x14ac:dyDescent="0.25">
      <c r="A206" s="1">
        <v>45035</v>
      </c>
      <c r="B206" s="2">
        <f t="shared" si="19"/>
        <v>200</v>
      </c>
      <c r="C206" s="3">
        <f>+VLOOKUP(A206,Precios!$B:$H,1+$C$3,0)</f>
        <v>335.38</v>
      </c>
      <c r="D206" s="10">
        <f t="shared" si="18"/>
        <v>3.7110193332137165E-3</v>
      </c>
      <c r="E206" s="28">
        <f t="shared" si="15"/>
        <v>1.7000882691641496E-5</v>
      </c>
      <c r="F206" s="9"/>
      <c r="H206" s="10">
        <f t="shared" si="16"/>
        <v>-5.324384893422944E-2</v>
      </c>
      <c r="I206" s="10">
        <f t="shared" si="17"/>
        <v>5.324384893422944E-2</v>
      </c>
    </row>
    <row r="207" spans="1:9" x14ac:dyDescent="0.25">
      <c r="A207" s="1">
        <v>45034</v>
      </c>
      <c r="B207" s="2">
        <f t="shared" si="19"/>
        <v>201</v>
      </c>
      <c r="C207" s="3">
        <f>+VLOOKUP(A207,Precios!$B:$H,1+$C$3,0)</f>
        <v>334.14</v>
      </c>
      <c r="D207" s="10">
        <f t="shared" si="18"/>
        <v>-5.1762302060275878E-2</v>
      </c>
      <c r="E207" s="28">
        <f t="shared" si="15"/>
        <v>2.6368336662928884E-3</v>
      </c>
      <c r="F207" s="9"/>
      <c r="H207" s="10">
        <f t="shared" si="16"/>
        <v>-5.324384893422944E-2</v>
      </c>
      <c r="I207" s="10">
        <f t="shared" si="17"/>
        <v>5.324384893422944E-2</v>
      </c>
    </row>
    <row r="208" spans="1:9" x14ac:dyDescent="0.25">
      <c r="A208" s="1">
        <v>45033</v>
      </c>
      <c r="B208" s="2">
        <f t="shared" si="19"/>
        <v>202</v>
      </c>
      <c r="C208" s="3">
        <f>+VLOOKUP(A208,Precios!$B:$H,1+$C$3,0)</f>
        <v>352.38</v>
      </c>
      <c r="D208" s="10">
        <f t="shared" si="18"/>
        <v>9.5112588093737571E-3</v>
      </c>
      <c r="E208" s="28">
        <f t="shared" si="15"/>
        <v>9.8474902423946868E-5</v>
      </c>
      <c r="F208" s="9"/>
      <c r="H208" s="10">
        <f t="shared" si="16"/>
        <v>-5.324384893422944E-2</v>
      </c>
      <c r="I208" s="10">
        <f t="shared" si="17"/>
        <v>5.324384893422944E-2</v>
      </c>
    </row>
    <row r="209" spans="1:9" x14ac:dyDescent="0.25">
      <c r="A209" s="1">
        <v>45030</v>
      </c>
      <c r="B209" s="2">
        <f t="shared" si="19"/>
        <v>203</v>
      </c>
      <c r="C209" s="3">
        <f>+VLOOKUP(A209,Precios!$B:$H,1+$C$3,0)</f>
        <v>349.06</v>
      </c>
      <c r="D209" s="10">
        <f t="shared" si="18"/>
        <v>-2.4577046181984974E-3</v>
      </c>
      <c r="E209" s="28">
        <f t="shared" si="15"/>
        <v>4.1841164174694587E-6</v>
      </c>
      <c r="F209" s="9"/>
      <c r="H209" s="10">
        <f t="shared" si="16"/>
        <v>-5.324384893422944E-2</v>
      </c>
      <c r="I209" s="10">
        <f t="shared" si="17"/>
        <v>5.324384893422944E-2</v>
      </c>
    </row>
    <row r="210" spans="1:9" x14ac:dyDescent="0.25">
      <c r="A210" s="1">
        <v>45029</v>
      </c>
      <c r="B210" s="2">
        <f t="shared" si="19"/>
        <v>204</v>
      </c>
      <c r="C210" s="3">
        <f>+VLOOKUP(A210,Precios!$B:$H,1+$C$3,0)</f>
        <v>349.92</v>
      </c>
      <c r="D210" s="10">
        <f t="shared" si="18"/>
        <v>-3.5027765912002407E-3</v>
      </c>
      <c r="E210" s="28">
        <f t="shared" si="15"/>
        <v>9.551704875255773E-6</v>
      </c>
      <c r="F210" s="9"/>
      <c r="H210" s="10">
        <f t="shared" si="16"/>
        <v>-5.324384893422944E-2</v>
      </c>
      <c r="I210" s="10">
        <f t="shared" si="17"/>
        <v>5.324384893422944E-2</v>
      </c>
    </row>
    <row r="211" spans="1:9" x14ac:dyDescent="0.25">
      <c r="A211" s="1">
        <v>45028</v>
      </c>
      <c r="B211" s="2">
        <f t="shared" si="19"/>
        <v>205</v>
      </c>
      <c r="C211" s="3">
        <f>+VLOOKUP(A211,Precios!$B:$H,1+$C$3,0)</f>
        <v>351.15</v>
      </c>
      <c r="D211" s="10">
        <f t="shared" si="18"/>
        <v>-2.3297440122739266E-3</v>
      </c>
      <c r="E211" s="28">
        <f t="shared" si="15"/>
        <v>3.6770006072042792E-6</v>
      </c>
      <c r="F211" s="9"/>
      <c r="H211" s="10">
        <f t="shared" si="16"/>
        <v>-5.324384893422944E-2</v>
      </c>
      <c r="I211" s="10">
        <f t="shared" si="17"/>
        <v>5.324384893422944E-2</v>
      </c>
    </row>
    <row r="212" spans="1:9" x14ac:dyDescent="0.25">
      <c r="A212" s="1">
        <v>45027</v>
      </c>
      <c r="B212" s="2">
        <f t="shared" si="19"/>
        <v>206</v>
      </c>
      <c r="C212" s="3">
        <f>+VLOOKUP(A212,Precios!$B:$H,1+$C$3,0)</f>
        <v>351.97</v>
      </c>
      <c r="D212" s="10">
        <f t="shared" si="18"/>
        <v>-1.7255339941365189E-2</v>
      </c>
      <c r="E212" s="28">
        <f t="shared" si="15"/>
        <v>2.8369158766754937E-4</v>
      </c>
      <c r="F212" s="9"/>
      <c r="H212" s="10">
        <f t="shared" si="16"/>
        <v>-5.324384893422944E-2</v>
      </c>
      <c r="I212" s="10">
        <f t="shared" si="17"/>
        <v>5.324384893422944E-2</v>
      </c>
    </row>
    <row r="213" spans="1:9" x14ac:dyDescent="0.25">
      <c r="A213" s="1">
        <v>45026</v>
      </c>
      <c r="B213" s="2">
        <f t="shared" si="19"/>
        <v>207</v>
      </c>
      <c r="C213" s="3">
        <f>+VLOOKUP(A213,Precios!$B:$H,1+$C$3,0)</f>
        <v>358.15</v>
      </c>
      <c r="D213" s="10">
        <f t="shared" si="18"/>
        <v>2.3022651318232557E-2</v>
      </c>
      <c r="E213" s="28">
        <f t="shared" si="15"/>
        <v>5.4919194383204256E-4</v>
      </c>
      <c r="F213" s="9"/>
      <c r="H213" s="10">
        <f t="shared" si="16"/>
        <v>-5.324384893422944E-2</v>
      </c>
      <c r="I213" s="10">
        <f t="shared" si="17"/>
        <v>5.324384893422944E-2</v>
      </c>
    </row>
    <row r="214" spans="1:9" x14ac:dyDescent="0.25">
      <c r="A214" s="1">
        <v>45021</v>
      </c>
      <c r="B214" s="2">
        <f t="shared" si="19"/>
        <v>208</v>
      </c>
      <c r="C214" s="3">
        <f>+VLOOKUP(A214,Precios!$B:$H,1+$C$3,0)</f>
        <v>350.09</v>
      </c>
      <c r="D214" s="10">
        <f t="shared" si="18"/>
        <v>-1.6656367619796608E-2</v>
      </c>
      <c r="E214" s="28">
        <f t="shared" si="15"/>
        <v>2.6387319825660826E-4</v>
      </c>
      <c r="F214" s="9"/>
      <c r="H214" s="10">
        <f t="shared" si="16"/>
        <v>-5.324384893422944E-2</v>
      </c>
      <c r="I214" s="10">
        <f t="shared" si="17"/>
        <v>5.324384893422944E-2</v>
      </c>
    </row>
    <row r="215" spans="1:9" x14ac:dyDescent="0.25">
      <c r="A215" s="1">
        <v>45020</v>
      </c>
      <c r="B215" s="2">
        <f t="shared" si="19"/>
        <v>209</v>
      </c>
      <c r="C215" s="3">
        <f>+VLOOKUP(A215,Precios!$B:$H,1+$C$3,0)</f>
        <v>356.02</v>
      </c>
      <c r="D215" s="10">
        <f t="shared" si="18"/>
        <v>9.8139323803039247E-3</v>
      </c>
      <c r="E215" s="28">
        <f t="shared" si="15"/>
        <v>1.0457364710632019E-4</v>
      </c>
      <c r="F215" s="9"/>
      <c r="H215" s="10">
        <f t="shared" si="16"/>
        <v>-5.324384893422944E-2</v>
      </c>
      <c r="I215" s="10">
        <f t="shared" si="17"/>
        <v>5.324384893422944E-2</v>
      </c>
    </row>
    <row r="216" spans="1:9" x14ac:dyDescent="0.25">
      <c r="A216" s="1">
        <v>45019</v>
      </c>
      <c r="B216" s="2">
        <f t="shared" si="19"/>
        <v>210</v>
      </c>
      <c r="C216" s="3">
        <f>+VLOOKUP(A216,Precios!$B:$H,1+$C$3,0)</f>
        <v>352.56</v>
      </c>
      <c r="D216" s="10">
        <f t="shared" si="18"/>
        <v>5.5617352614014681E-3</v>
      </c>
      <c r="E216" s="28">
        <f t="shared" si="15"/>
        <v>3.5687822852190159E-5</v>
      </c>
      <c r="F216" s="9"/>
      <c r="H216" s="10">
        <f t="shared" si="16"/>
        <v>-5.324384893422944E-2</v>
      </c>
      <c r="I216" s="10">
        <f t="shared" si="17"/>
        <v>5.324384893422944E-2</v>
      </c>
    </row>
    <row r="217" spans="1:9" x14ac:dyDescent="0.25">
      <c r="A217" s="1">
        <v>45016</v>
      </c>
      <c r="B217" s="2">
        <f t="shared" si="19"/>
        <v>211</v>
      </c>
      <c r="C217" s="3">
        <f>+VLOOKUP(A217,Precios!$B:$H,1+$C$3,0)</f>
        <v>350.61</v>
      </c>
      <c r="D217" s="10">
        <f t="shared" si="18"/>
        <v>-5.1923731699011766E-3</v>
      </c>
      <c r="E217" s="28">
        <f t="shared" si="15"/>
        <v>2.2850119272170228E-5</v>
      </c>
      <c r="F217" s="9"/>
      <c r="H217" s="10">
        <f t="shared" si="16"/>
        <v>-5.324384893422944E-2</v>
      </c>
      <c r="I217" s="10">
        <f t="shared" si="17"/>
        <v>5.324384893422944E-2</v>
      </c>
    </row>
    <row r="218" spans="1:9" x14ac:dyDescent="0.25">
      <c r="A218" s="1">
        <v>45015</v>
      </c>
      <c r="B218" s="2">
        <f t="shared" si="19"/>
        <v>212</v>
      </c>
      <c r="C218" s="3">
        <f>+VLOOKUP(A218,Precios!$B:$H,1+$C$3,0)</f>
        <v>352.44</v>
      </c>
      <c r="D218" s="10">
        <f t="shared" si="18"/>
        <v>-5.3901509806688619E-3</v>
      </c>
      <c r="E218" s="28">
        <f t="shared" si="15"/>
        <v>2.4780062340999425E-5</v>
      </c>
      <c r="F218" s="9"/>
      <c r="H218" s="10">
        <f t="shared" si="16"/>
        <v>-5.324384893422944E-2</v>
      </c>
      <c r="I218" s="10">
        <f t="shared" si="17"/>
        <v>5.324384893422944E-2</v>
      </c>
    </row>
    <row r="219" spans="1:9" x14ac:dyDescent="0.25">
      <c r="A219" s="1">
        <v>45014</v>
      </c>
      <c r="B219" s="2">
        <f t="shared" si="19"/>
        <v>213</v>
      </c>
      <c r="C219" s="3">
        <f>+VLOOKUP(A219,Precios!$B:$H,1+$C$3,0)</f>
        <v>354.35</v>
      </c>
      <c r="D219" s="10">
        <f t="shared" si="18"/>
        <v>4.4503656669880876E-3</v>
      </c>
      <c r="E219" s="28">
        <f t="shared" si="15"/>
        <v>2.364448002932779E-5</v>
      </c>
      <c r="F219" s="9"/>
      <c r="H219" s="10">
        <f t="shared" si="16"/>
        <v>-5.324384893422944E-2</v>
      </c>
      <c r="I219" s="10">
        <f t="shared" si="17"/>
        <v>5.324384893422944E-2</v>
      </c>
    </row>
    <row r="220" spans="1:9" x14ac:dyDescent="0.25">
      <c r="A220" s="1">
        <v>45013</v>
      </c>
      <c r="B220" s="2">
        <f t="shared" si="19"/>
        <v>214</v>
      </c>
      <c r="C220" s="3">
        <f>+VLOOKUP(A220,Precios!$B:$H,1+$C$3,0)</f>
        <v>352.78</v>
      </c>
      <c r="D220" s="10">
        <f t="shared" si="18"/>
        <v>2.9653843908703514E-2</v>
      </c>
      <c r="E220" s="28">
        <f t="shared" si="15"/>
        <v>9.0396659542545479E-4</v>
      </c>
      <c r="F220" s="9"/>
      <c r="H220" s="10">
        <f t="shared" si="16"/>
        <v>-5.324384893422944E-2</v>
      </c>
      <c r="I220" s="10">
        <f t="shared" si="17"/>
        <v>5.324384893422944E-2</v>
      </c>
    </row>
    <row r="221" spans="1:9" x14ac:dyDescent="0.25">
      <c r="A221" s="1">
        <v>45012</v>
      </c>
      <c r="B221" s="2">
        <f t="shared" si="19"/>
        <v>215</v>
      </c>
      <c r="C221" s="3">
        <f>+VLOOKUP(A221,Precios!$B:$H,1+$C$3,0)</f>
        <v>342.62</v>
      </c>
      <c r="D221" s="10">
        <f t="shared" si="18"/>
        <v>1.7129286032358637E-2</v>
      </c>
      <c r="E221" s="28">
        <f t="shared" si="15"/>
        <v>3.0770349832877553E-4</v>
      </c>
      <c r="F221" s="9"/>
      <c r="H221" s="10">
        <f t="shared" si="16"/>
        <v>-5.324384893422944E-2</v>
      </c>
      <c r="I221" s="10">
        <f t="shared" si="17"/>
        <v>5.324384893422944E-2</v>
      </c>
    </row>
    <row r="222" spans="1:9" x14ac:dyDescent="0.25">
      <c r="A222" s="1">
        <v>45009</v>
      </c>
      <c r="B222" s="2">
        <f t="shared" si="19"/>
        <v>216</v>
      </c>
      <c r="C222" s="3">
        <f>+VLOOKUP(A222,Precios!$B:$H,1+$C$3,0)</f>
        <v>336.85</v>
      </c>
      <c r="D222" s="10">
        <f t="shared" si="18"/>
        <v>2.0525940028557343E-3</v>
      </c>
      <c r="E222" s="28">
        <f t="shared" si="15"/>
        <v>6.075176611482762E-6</v>
      </c>
      <c r="F222" s="9"/>
      <c r="H222" s="10">
        <f t="shared" si="16"/>
        <v>-5.324384893422944E-2</v>
      </c>
      <c r="I222" s="10">
        <f t="shared" si="17"/>
        <v>5.324384893422944E-2</v>
      </c>
    </row>
    <row r="223" spans="1:9" x14ac:dyDescent="0.25">
      <c r="A223" s="1">
        <v>45008</v>
      </c>
      <c r="B223" s="2">
        <f t="shared" si="19"/>
        <v>217</v>
      </c>
      <c r="C223" s="3">
        <f>+VLOOKUP(A223,Precios!$B:$H,1+$C$3,0)</f>
        <v>336.16</v>
      </c>
      <c r="D223" s="10">
        <f t="shared" si="18"/>
        <v>5.1729808928624443E-3</v>
      </c>
      <c r="E223" s="28">
        <f t="shared" si="15"/>
        <v>3.1194171134343851E-5</v>
      </c>
      <c r="F223" s="9"/>
      <c r="H223" s="10">
        <f t="shared" si="16"/>
        <v>-5.324384893422944E-2</v>
      </c>
      <c r="I223" s="10">
        <f t="shared" si="17"/>
        <v>5.324384893422944E-2</v>
      </c>
    </row>
    <row r="224" spans="1:9" x14ac:dyDescent="0.25">
      <c r="A224" s="1">
        <v>45007</v>
      </c>
      <c r="B224" s="2">
        <f t="shared" si="19"/>
        <v>218</v>
      </c>
      <c r="C224" s="3">
        <f>+VLOOKUP(A224,Precios!$B:$H,1+$C$3,0)</f>
        <v>334.43</v>
      </c>
      <c r="D224" s="10">
        <f t="shared" si="18"/>
        <v>8.5343787696019469E-3</v>
      </c>
      <c r="E224" s="28">
        <f t="shared" si="15"/>
        <v>8.0041152388826589E-5</v>
      </c>
      <c r="F224" s="9"/>
      <c r="H224" s="10">
        <f t="shared" si="16"/>
        <v>-5.324384893422944E-2</v>
      </c>
      <c r="I224" s="10">
        <f t="shared" si="17"/>
        <v>5.324384893422944E-2</v>
      </c>
    </row>
    <row r="225" spans="1:9" x14ac:dyDescent="0.25">
      <c r="A225" s="1">
        <v>45006</v>
      </c>
      <c r="B225" s="2">
        <f t="shared" si="19"/>
        <v>219</v>
      </c>
      <c r="C225" s="3">
        <f>+VLOOKUP(A225,Precios!$B:$H,1+$C$3,0)</f>
        <v>331.6</v>
      </c>
      <c r="D225" s="10">
        <f t="shared" si="18"/>
        <v>-1.0267430754536733E-2</v>
      </c>
      <c r="E225" s="28">
        <f t="shared" si="15"/>
        <v>9.712570463290693E-5</v>
      </c>
      <c r="F225" s="9"/>
      <c r="H225" s="10">
        <f t="shared" si="16"/>
        <v>-5.324384893422944E-2</v>
      </c>
      <c r="I225" s="10">
        <f t="shared" si="17"/>
        <v>5.324384893422944E-2</v>
      </c>
    </row>
    <row r="226" spans="1:9" x14ac:dyDescent="0.25">
      <c r="A226" s="1">
        <v>45002</v>
      </c>
      <c r="B226" s="2">
        <f t="shared" si="19"/>
        <v>220</v>
      </c>
      <c r="C226" s="3">
        <f>+VLOOKUP(A226,Precios!$B:$H,1+$C$3,0)</f>
        <v>335.04</v>
      </c>
      <c r="D226" s="10">
        <f t="shared" si="18"/>
        <v>-6.4940841562138862E-3</v>
      </c>
      <c r="E226" s="28">
        <f t="shared" si="15"/>
        <v>3.6989395984289251E-5</v>
      </c>
      <c r="F226" s="9"/>
      <c r="H226" s="10">
        <f t="shared" si="16"/>
        <v>-5.324384893422944E-2</v>
      </c>
      <c r="I226" s="10">
        <f t="shared" si="17"/>
        <v>5.324384893422944E-2</v>
      </c>
    </row>
    <row r="227" spans="1:9" x14ac:dyDescent="0.25">
      <c r="A227" s="1">
        <v>45001</v>
      </c>
      <c r="B227" s="2">
        <f t="shared" si="19"/>
        <v>221</v>
      </c>
      <c r="C227" s="3">
        <f>+VLOOKUP(A227,Precios!$B:$H,1+$C$3,0)</f>
        <v>337.23</v>
      </c>
      <c r="D227" s="10">
        <f t="shared" si="18"/>
        <v>9.8823106639116531E-3</v>
      </c>
      <c r="E227" s="28">
        <f t="shared" si="15"/>
        <v>1.0597681254446802E-4</v>
      </c>
      <c r="F227" s="9"/>
      <c r="H227" s="10">
        <f t="shared" si="16"/>
        <v>-5.324384893422944E-2</v>
      </c>
      <c r="I227" s="10">
        <f t="shared" si="17"/>
        <v>5.324384893422944E-2</v>
      </c>
    </row>
    <row r="228" spans="1:9" x14ac:dyDescent="0.25">
      <c r="A228" s="1">
        <v>45000</v>
      </c>
      <c r="B228" s="2">
        <f t="shared" si="19"/>
        <v>222</v>
      </c>
      <c r="C228" s="3">
        <f>+VLOOKUP(A228,Precios!$B:$H,1+$C$3,0)</f>
        <v>333.93</v>
      </c>
      <c r="D228" s="10">
        <f t="shared" si="18"/>
        <v>-2.3110903080478584E-2</v>
      </c>
      <c r="E228" s="28">
        <f t="shared" si="15"/>
        <v>5.152314241957857E-4</v>
      </c>
      <c r="F228" s="9"/>
      <c r="H228" s="10">
        <f t="shared" si="16"/>
        <v>-5.324384893422944E-2</v>
      </c>
      <c r="I228" s="10">
        <f t="shared" si="17"/>
        <v>5.324384893422944E-2</v>
      </c>
    </row>
    <row r="229" spans="1:9" x14ac:dyDescent="0.25">
      <c r="A229" s="1">
        <v>44999</v>
      </c>
      <c r="B229" s="2">
        <f t="shared" si="19"/>
        <v>223</v>
      </c>
      <c r="C229" s="3">
        <f>+VLOOKUP(A229,Precios!$B:$H,1+$C$3,0)</f>
        <v>341.83</v>
      </c>
      <c r="D229" s="10">
        <f t="shared" si="18"/>
        <v>-8.2685389346640603E-3</v>
      </c>
      <c r="E229" s="28">
        <f t="shared" si="15"/>
        <v>6.1722166211230898E-5</v>
      </c>
      <c r="F229" s="9"/>
      <c r="H229" s="10">
        <f t="shared" si="16"/>
        <v>-5.324384893422944E-2</v>
      </c>
      <c r="I229" s="10">
        <f t="shared" si="17"/>
        <v>5.324384893422944E-2</v>
      </c>
    </row>
    <row r="230" spans="1:9" x14ac:dyDescent="0.25">
      <c r="A230" s="1">
        <v>44998</v>
      </c>
      <c r="B230" s="2">
        <f t="shared" si="19"/>
        <v>224</v>
      </c>
      <c r="C230" s="3">
        <f>+VLOOKUP(A230,Precios!$B:$H,1+$C$3,0)</f>
        <v>344.68</v>
      </c>
      <c r="D230" s="10">
        <f t="shared" si="18"/>
        <v>2.1819044230997342E-2</v>
      </c>
      <c r="E230" s="28">
        <f t="shared" si="15"/>
        <v>4.9422792363128752E-4</v>
      </c>
      <c r="F230" s="9"/>
      <c r="H230" s="10">
        <f t="shared" si="16"/>
        <v>-5.324384893422944E-2</v>
      </c>
      <c r="I230" s="10">
        <f t="shared" si="17"/>
        <v>5.324384893422944E-2</v>
      </c>
    </row>
    <row r="231" spans="1:9" x14ac:dyDescent="0.25">
      <c r="A231" s="1">
        <v>44995</v>
      </c>
      <c r="B231" s="2">
        <f t="shared" si="19"/>
        <v>225</v>
      </c>
      <c r="C231" s="3">
        <f>+VLOOKUP(A231,Precios!$B:$H,1+$C$3,0)</f>
        <v>337.32</v>
      </c>
      <c r="D231" s="10">
        <f t="shared" si="18"/>
        <v>5.5446252906456994E-3</v>
      </c>
      <c r="E231" s="28">
        <f t="shared" si="15"/>
        <v>3.5483688116191515E-5</v>
      </c>
      <c r="F231" s="9"/>
      <c r="H231" s="10">
        <f t="shared" si="16"/>
        <v>-5.324384893422944E-2</v>
      </c>
      <c r="I231" s="10">
        <f t="shared" si="17"/>
        <v>5.324384893422944E-2</v>
      </c>
    </row>
    <row r="232" spans="1:9" x14ac:dyDescent="0.25">
      <c r="A232" s="1">
        <v>44994</v>
      </c>
      <c r="B232" s="2">
        <f t="shared" si="19"/>
        <v>226</v>
      </c>
      <c r="C232" s="3">
        <f>+VLOOKUP(A232,Precios!$B:$H,1+$C$3,0)</f>
        <v>335.46</v>
      </c>
      <c r="D232" s="10">
        <f t="shared" si="18"/>
        <v>-5.2781401968925445E-3</v>
      </c>
      <c r="E232" s="28">
        <f t="shared" si="15"/>
        <v>2.3677438881262377E-5</v>
      </c>
      <c r="F232" s="9"/>
      <c r="H232" s="10">
        <f t="shared" si="16"/>
        <v>-5.324384893422944E-2</v>
      </c>
      <c r="I232" s="10">
        <f t="shared" si="17"/>
        <v>5.324384893422944E-2</v>
      </c>
    </row>
    <row r="233" spans="1:9" x14ac:dyDescent="0.25">
      <c r="A233" s="1">
        <v>44993</v>
      </c>
      <c r="B233" s="2">
        <f t="shared" si="19"/>
        <v>227</v>
      </c>
      <c r="C233" s="3">
        <f>+VLOOKUP(A233,Precios!$B:$H,1+$C$3,0)</f>
        <v>337.24</v>
      </c>
      <c r="D233" s="10">
        <f t="shared" si="18"/>
        <v>-3.260708463020956E-4</v>
      </c>
      <c r="E233" s="28">
        <f t="shared" si="15"/>
        <v>7.4170827320804202E-9</v>
      </c>
      <c r="F233" s="9"/>
      <c r="H233" s="10">
        <f t="shared" si="16"/>
        <v>-5.324384893422944E-2</v>
      </c>
      <c r="I233" s="10">
        <f t="shared" si="17"/>
        <v>5.324384893422944E-2</v>
      </c>
    </row>
    <row r="234" spans="1:9" x14ac:dyDescent="0.25">
      <c r="A234" s="1">
        <v>44992</v>
      </c>
      <c r="B234" s="2">
        <f t="shared" si="19"/>
        <v>228</v>
      </c>
      <c r="C234" s="3">
        <f>+VLOOKUP(A234,Precios!$B:$H,1+$C$3,0)</f>
        <v>337.35</v>
      </c>
      <c r="D234" s="10">
        <f t="shared" si="18"/>
        <v>-8.1150216106553597E-3</v>
      </c>
      <c r="E234" s="28">
        <f t="shared" si="15"/>
        <v>5.9333563473522103E-5</v>
      </c>
      <c r="F234" s="9"/>
      <c r="H234" s="10">
        <f t="shared" si="16"/>
        <v>-5.324384893422944E-2</v>
      </c>
      <c r="I234" s="10">
        <f t="shared" si="17"/>
        <v>5.324384893422944E-2</v>
      </c>
    </row>
    <row r="235" spans="1:9" x14ac:dyDescent="0.25">
      <c r="A235" s="1">
        <v>44991</v>
      </c>
      <c r="B235" s="2">
        <f t="shared" si="19"/>
        <v>229</v>
      </c>
      <c r="C235" s="3">
        <f>+VLOOKUP(A235,Precios!$B:$H,1+$C$3,0)</f>
        <v>340.11</v>
      </c>
      <c r="D235" s="10">
        <f t="shared" si="18"/>
        <v>-1.7079937575862569E-2</v>
      </c>
      <c r="E235" s="28">
        <f t="shared" si="15"/>
        <v>2.7781369814217863E-4</v>
      </c>
      <c r="F235" s="9"/>
      <c r="H235" s="10">
        <f t="shared" si="16"/>
        <v>-5.324384893422944E-2</v>
      </c>
      <c r="I235" s="10">
        <f t="shared" si="17"/>
        <v>5.324384893422944E-2</v>
      </c>
    </row>
    <row r="236" spans="1:9" x14ac:dyDescent="0.25">
      <c r="A236" s="1">
        <v>44988</v>
      </c>
      <c r="B236" s="2">
        <f t="shared" si="19"/>
        <v>230</v>
      </c>
      <c r="C236" s="3">
        <f>+VLOOKUP(A236,Precios!$B:$H,1+$C$3,0)</f>
        <v>346.02</v>
      </c>
      <c r="D236" s="10">
        <f t="shared" si="18"/>
        <v>4.7913581322414078E-3</v>
      </c>
      <c r="E236" s="28">
        <f t="shared" si="15"/>
        <v>2.7076947852446149E-5</v>
      </c>
      <c r="F236" s="9"/>
      <c r="H236" s="10">
        <f t="shared" si="16"/>
        <v>-5.324384893422944E-2</v>
      </c>
      <c r="I236" s="10">
        <f t="shared" si="17"/>
        <v>5.324384893422944E-2</v>
      </c>
    </row>
    <row r="237" spans="1:9" x14ac:dyDescent="0.25">
      <c r="A237" s="1">
        <v>44987</v>
      </c>
      <c r="B237" s="2">
        <f t="shared" si="19"/>
        <v>231</v>
      </c>
      <c r="C237" s="3">
        <f>+VLOOKUP(A237,Precios!$B:$H,1+$C$3,0)</f>
        <v>344.37</v>
      </c>
      <c r="D237" s="10">
        <f t="shared" si="18"/>
        <v>1.1046832756766989E-3</v>
      </c>
      <c r="E237" s="28">
        <f t="shared" si="15"/>
        <v>2.3009146462508198E-6</v>
      </c>
      <c r="F237" s="9"/>
      <c r="H237" s="10">
        <f t="shared" si="16"/>
        <v>-5.324384893422944E-2</v>
      </c>
      <c r="I237" s="10">
        <f t="shared" si="17"/>
        <v>5.324384893422944E-2</v>
      </c>
    </row>
    <row r="238" spans="1:9" x14ac:dyDescent="0.25">
      <c r="A238" s="1">
        <v>44986</v>
      </c>
      <c r="B238" s="2">
        <f t="shared" si="19"/>
        <v>232</v>
      </c>
      <c r="C238" s="3">
        <f>+VLOOKUP(A238,Precios!$B:$H,1+$C$3,0)</f>
        <v>343.99</v>
      </c>
      <c r="D238" s="10">
        <f t="shared" si="18"/>
        <v>-1.1437767623645789E-2</v>
      </c>
      <c r="E238" s="28">
        <f t="shared" si="15"/>
        <v>1.2156328843636664E-4</v>
      </c>
      <c r="F238" s="9"/>
      <c r="H238" s="10">
        <f t="shared" si="16"/>
        <v>-5.324384893422944E-2</v>
      </c>
      <c r="I238" s="10">
        <f t="shared" si="17"/>
        <v>5.324384893422944E-2</v>
      </c>
    </row>
    <row r="239" spans="1:9" x14ac:dyDescent="0.25">
      <c r="A239" s="1">
        <v>44985</v>
      </c>
      <c r="B239" s="2">
        <f t="shared" si="19"/>
        <v>233</v>
      </c>
      <c r="C239" s="3">
        <f>+VLOOKUP(A239,Precios!$B:$H,1+$C$3,0)</f>
        <v>347.97</v>
      </c>
      <c r="D239" s="10">
        <f t="shared" si="18"/>
        <v>1.0365853658536706E-2</v>
      </c>
      <c r="E239" s="28">
        <f t="shared" si="15"/>
        <v>1.1616629695390718E-4</v>
      </c>
      <c r="F239" s="9"/>
      <c r="H239" s="10">
        <f t="shared" si="16"/>
        <v>-5.324384893422944E-2</v>
      </c>
      <c r="I239" s="10">
        <f t="shared" si="17"/>
        <v>5.324384893422944E-2</v>
      </c>
    </row>
    <row r="240" spans="1:9" x14ac:dyDescent="0.25">
      <c r="A240" s="1">
        <v>44984</v>
      </c>
      <c r="B240" s="2">
        <f t="shared" si="19"/>
        <v>234</v>
      </c>
      <c r="C240" s="3">
        <f>+VLOOKUP(A240,Precios!$B:$H,1+$C$3,0)</f>
        <v>344.4</v>
      </c>
      <c r="D240" s="10">
        <f t="shared" si="18"/>
        <v>-5.199306759098854E-3</v>
      </c>
      <c r="E240" s="28">
        <f t="shared" si="15"/>
        <v>2.2916454953388204E-5</v>
      </c>
      <c r="F240" s="9"/>
      <c r="H240" s="10">
        <f t="shared" si="16"/>
        <v>-5.324384893422944E-2</v>
      </c>
      <c r="I240" s="10">
        <f t="shared" si="17"/>
        <v>5.324384893422944E-2</v>
      </c>
    </row>
    <row r="241" spans="1:9" x14ac:dyDescent="0.25">
      <c r="A241" s="1">
        <v>44981</v>
      </c>
      <c r="B241" s="2">
        <f t="shared" si="19"/>
        <v>235</v>
      </c>
      <c r="C241" s="3">
        <f>+VLOOKUP(A241,Precios!$B:$H,1+$C$3,0)</f>
        <v>346.2</v>
      </c>
      <c r="D241" s="10">
        <f t="shared" si="18"/>
        <v>-2.7365692063948677E-3</v>
      </c>
      <c r="E241" s="28">
        <f t="shared" si="15"/>
        <v>5.4027232003599977E-6</v>
      </c>
      <c r="F241" s="9"/>
      <c r="H241" s="10">
        <f t="shared" si="16"/>
        <v>-5.324384893422944E-2</v>
      </c>
      <c r="I241" s="10">
        <f t="shared" si="17"/>
        <v>5.324384893422944E-2</v>
      </c>
    </row>
    <row r="242" spans="1:9" x14ac:dyDescent="0.25">
      <c r="A242" s="1">
        <v>44980</v>
      </c>
      <c r="B242" s="2">
        <f t="shared" si="19"/>
        <v>236</v>
      </c>
      <c r="C242" s="3">
        <f>+VLOOKUP(A242,Precios!$B:$H,1+$C$3,0)</f>
        <v>347.15</v>
      </c>
      <c r="D242" s="10">
        <f t="shared" si="18"/>
        <v>3.555735430157192E-3</v>
      </c>
      <c r="E242" s="28">
        <f t="shared" si="15"/>
        <v>1.5744458670275694E-5</v>
      </c>
      <c r="F242" s="9"/>
      <c r="H242" s="10">
        <f t="shared" si="16"/>
        <v>-5.324384893422944E-2</v>
      </c>
      <c r="I242" s="10">
        <f t="shared" si="17"/>
        <v>5.324384893422944E-2</v>
      </c>
    </row>
    <row r="243" spans="1:9" x14ac:dyDescent="0.25">
      <c r="A243" s="1">
        <v>44979</v>
      </c>
      <c r="B243" s="2">
        <f t="shared" si="19"/>
        <v>237</v>
      </c>
      <c r="C243" s="3">
        <f>+VLOOKUP(A243,Precios!$B:$H,1+$C$3,0)</f>
        <v>345.92</v>
      </c>
      <c r="D243" s="10">
        <f t="shared" si="18"/>
        <v>4.3381438528511396E-4</v>
      </c>
      <c r="E243" s="28">
        <f t="shared" si="15"/>
        <v>7.1572905956546918E-7</v>
      </c>
      <c r="F243" s="9"/>
      <c r="H243" s="10">
        <f t="shared" si="16"/>
        <v>-5.324384893422944E-2</v>
      </c>
      <c r="I243" s="10">
        <f t="shared" si="17"/>
        <v>5.324384893422944E-2</v>
      </c>
    </row>
    <row r="244" spans="1:9" x14ac:dyDescent="0.25">
      <c r="A244" s="1">
        <v>44978</v>
      </c>
      <c r="B244" s="2">
        <f t="shared" si="19"/>
        <v>238</v>
      </c>
      <c r="C244" s="3">
        <f>+VLOOKUP(A244,Precios!$B:$H,1+$C$3,0)</f>
        <v>345.77</v>
      </c>
      <c r="D244" s="10">
        <f t="shared" si="18"/>
        <v>-6.9460143172398903E-2</v>
      </c>
      <c r="E244" s="28">
        <f t="shared" si="15"/>
        <v>4.7676193770104774E-3</v>
      </c>
      <c r="F244" s="9"/>
      <c r="H244" s="10">
        <f t="shared" si="16"/>
        <v>-5.324384893422944E-2</v>
      </c>
      <c r="I244" s="10">
        <f t="shared" si="17"/>
        <v>5.324384893422944E-2</v>
      </c>
    </row>
    <row r="245" spans="1:9" x14ac:dyDescent="0.25">
      <c r="A245" s="1">
        <v>44977</v>
      </c>
      <c r="B245" s="2">
        <f t="shared" si="19"/>
        <v>239</v>
      </c>
      <c r="C245" s="3">
        <f>+VLOOKUP(A245,Precios!$B:$H,1+$C$3,0)</f>
        <v>371.58</v>
      </c>
      <c r="D245" s="10">
        <f t="shared" si="18"/>
        <v>4.2475591964987069E-2</v>
      </c>
      <c r="E245" s="28">
        <f t="shared" si="15"/>
        <v>1.8393621277747263E-3</v>
      </c>
      <c r="F245" s="9"/>
      <c r="H245" s="10">
        <f t="shared" si="16"/>
        <v>-5.324384893422944E-2</v>
      </c>
      <c r="I245" s="10">
        <f t="shared" si="17"/>
        <v>5.324384893422944E-2</v>
      </c>
    </row>
    <row r="246" spans="1:9" x14ac:dyDescent="0.25">
      <c r="A246" s="1">
        <v>44974</v>
      </c>
      <c r="B246" s="2">
        <f t="shared" si="19"/>
        <v>240</v>
      </c>
      <c r="C246" s="3">
        <f>+VLOOKUP(A246,Precios!$B:$H,1+$C$3,0)</f>
        <v>356.44</v>
      </c>
      <c r="D246" s="10">
        <f t="shared" si="18"/>
        <v>-4.30191630817367E-3</v>
      </c>
      <c r="E246" s="28">
        <f t="shared" si="15"/>
        <v>1.5129944822823859E-5</v>
      </c>
      <c r="F246" s="9"/>
      <c r="H246" s="10">
        <f t="shared" si="16"/>
        <v>-5.324384893422944E-2</v>
      </c>
      <c r="I246" s="10">
        <f t="shared" si="17"/>
        <v>5.324384893422944E-2</v>
      </c>
    </row>
    <row r="247" spans="1:9" x14ac:dyDescent="0.25">
      <c r="A247" s="1">
        <v>44973</v>
      </c>
      <c r="B247" s="2">
        <f t="shared" si="19"/>
        <v>241</v>
      </c>
      <c r="C247" s="3">
        <f>+VLOOKUP(A247,Precios!$B:$H,1+$C$3,0)</f>
        <v>357.98</v>
      </c>
      <c r="D247" s="10">
        <f t="shared" si="18"/>
        <v>-6.9627451524313377E-3</v>
      </c>
      <c r="E247" s="28">
        <f t="shared" si="15"/>
        <v>4.2909729137758395E-5</v>
      </c>
      <c r="F247" s="9"/>
      <c r="H247" s="10">
        <f t="shared" si="16"/>
        <v>-5.324384893422944E-2</v>
      </c>
      <c r="I247" s="10">
        <f t="shared" si="17"/>
        <v>5.324384893422944E-2</v>
      </c>
    </row>
    <row r="248" spans="1:9" x14ac:dyDescent="0.25">
      <c r="A248" s="1">
        <v>44972</v>
      </c>
      <c r="B248" s="2">
        <f t="shared" si="19"/>
        <v>242</v>
      </c>
      <c r="C248" s="3">
        <f>+VLOOKUP(A248,Precios!$B:$H,1+$C$3,0)</f>
        <v>360.49</v>
      </c>
      <c r="D248" s="10">
        <f t="shared" si="18"/>
        <v>7.546326057184416E-3</v>
      </c>
      <c r="E248" s="28">
        <f t="shared" si="15"/>
        <v>6.3338030885516891E-5</v>
      </c>
      <c r="F248" s="9"/>
      <c r="H248" s="10">
        <f t="shared" si="16"/>
        <v>-5.324384893422944E-2</v>
      </c>
      <c r="I248" s="10">
        <f t="shared" si="17"/>
        <v>5.324384893422944E-2</v>
      </c>
    </row>
    <row r="249" spans="1:9" x14ac:dyDescent="0.25">
      <c r="A249" s="1">
        <v>44971</v>
      </c>
      <c r="B249" s="2">
        <f t="shared" si="19"/>
        <v>243</v>
      </c>
      <c r="C249" s="3">
        <f>+VLOOKUP(A249,Precios!$B:$H,1+$C$3,0)</f>
        <v>357.79</v>
      </c>
      <c r="D249" s="10">
        <f t="shared" si="18"/>
        <v>1.8200145601166007E-3</v>
      </c>
      <c r="E249" s="28">
        <f t="shared" si="15"/>
        <v>4.9827520785339636E-6</v>
      </c>
      <c r="F249" s="9"/>
      <c r="H249" s="10">
        <f t="shared" si="16"/>
        <v>-5.324384893422944E-2</v>
      </c>
      <c r="I249" s="10">
        <f t="shared" si="17"/>
        <v>5.324384893422944E-2</v>
      </c>
    </row>
    <row r="250" spans="1:9" x14ac:dyDescent="0.25">
      <c r="A250" s="1">
        <v>44970</v>
      </c>
      <c r="B250" s="2">
        <f t="shared" si="19"/>
        <v>244</v>
      </c>
      <c r="C250" s="3">
        <f>+VLOOKUP(A250,Precios!$B:$H,1+$C$3,0)</f>
        <v>357.14</v>
      </c>
      <c r="D250" s="10">
        <f t="shared" si="18"/>
        <v>2.162595114136967E-2</v>
      </c>
      <c r="E250" s="28">
        <f t="shared" si="15"/>
        <v>4.8567981187755329E-4</v>
      </c>
      <c r="F250" s="9"/>
      <c r="H250" s="10">
        <f t="shared" si="16"/>
        <v>-5.324384893422944E-2</v>
      </c>
      <c r="I250" s="10">
        <f t="shared" si="17"/>
        <v>5.324384893422944E-2</v>
      </c>
    </row>
    <row r="251" spans="1:9" x14ac:dyDescent="0.25">
      <c r="A251" s="1">
        <v>44967</v>
      </c>
      <c r="B251" s="2">
        <f t="shared" si="19"/>
        <v>245</v>
      </c>
      <c r="C251" s="3">
        <f>+VLOOKUP(A251,Precios!$B:$H,1+$C$3,0)</f>
        <v>349.58</v>
      </c>
      <c r="D251" s="10">
        <f t="shared" si="18"/>
        <v>1.2315623657455088E-3</v>
      </c>
      <c r="E251" s="28">
        <f t="shared" si="15"/>
        <v>2.7019327974837509E-6</v>
      </c>
      <c r="F251" s="9"/>
      <c r="H251" s="10">
        <f t="shared" si="16"/>
        <v>-5.324384893422944E-2</v>
      </c>
      <c r="I251" s="10">
        <f t="shared" si="17"/>
        <v>5.324384893422944E-2</v>
      </c>
    </row>
    <row r="252" spans="1:9" x14ac:dyDescent="0.25">
      <c r="A252" s="1">
        <v>44966</v>
      </c>
      <c r="B252" s="2">
        <f t="shared" si="19"/>
        <v>246</v>
      </c>
      <c r="C252" s="3">
        <f>+VLOOKUP(A252,Precios!$B:$H,1+$C$3,0)</f>
        <v>349.15</v>
      </c>
      <c r="D252" s="10">
        <f t="shared" si="18"/>
        <v>3.9681398625528441E-3</v>
      </c>
      <c r="E252" s="28">
        <f t="shared" si="15"/>
        <v>1.9187318904929365E-5</v>
      </c>
      <c r="F252" s="9"/>
      <c r="H252" s="10">
        <f t="shared" si="16"/>
        <v>-5.324384893422944E-2</v>
      </c>
      <c r="I252" s="10">
        <f t="shared" si="17"/>
        <v>5.324384893422944E-2</v>
      </c>
    </row>
    <row r="253" spans="1:9" x14ac:dyDescent="0.25">
      <c r="A253" s="1">
        <v>44965</v>
      </c>
      <c r="B253" s="2">
        <f t="shared" si="19"/>
        <v>247</v>
      </c>
      <c r="C253" s="3">
        <f>+VLOOKUP(A253,Precios!$B:$H,1+$C$3,0)</f>
        <v>347.77</v>
      </c>
      <c r="D253" s="10">
        <f t="shared" si="18"/>
        <v>7.0657052674254484E-3</v>
      </c>
      <c r="E253" s="28">
        <f t="shared" si="15"/>
        <v>5.5918967479725276E-5</v>
      </c>
      <c r="F253" s="9"/>
      <c r="H253" s="10">
        <f t="shared" si="16"/>
        <v>-5.324384893422944E-2</v>
      </c>
      <c r="I253" s="10">
        <f t="shared" si="17"/>
        <v>5.324384893422944E-2</v>
      </c>
    </row>
    <row r="254" spans="1:9" x14ac:dyDescent="0.25">
      <c r="A254" s="1">
        <v>44964</v>
      </c>
      <c r="B254" s="2">
        <f t="shared" si="19"/>
        <v>248</v>
      </c>
      <c r="C254" s="3">
        <f>+VLOOKUP(A254,Precios!$B:$H,1+$C$3,0)</f>
        <v>345.33</v>
      </c>
      <c r="D254" s="10">
        <f t="shared" si="18"/>
        <v>9.1466978375218666E-3</v>
      </c>
      <c r="E254" s="28">
        <f t="shared" si="15"/>
        <v>9.1372400411773296E-5</v>
      </c>
      <c r="F254" s="9"/>
      <c r="H254" s="10">
        <f t="shared" si="16"/>
        <v>-5.324384893422944E-2</v>
      </c>
      <c r="I254" s="10">
        <f t="shared" si="17"/>
        <v>5.324384893422944E-2</v>
      </c>
    </row>
    <row r="255" spans="1:9" x14ac:dyDescent="0.25">
      <c r="A255" s="1">
        <v>44960</v>
      </c>
      <c r="B255" s="2">
        <f t="shared" si="19"/>
        <v>249</v>
      </c>
      <c r="C255" s="3">
        <f>+VLOOKUP(A255,Precios!$B:$H,1+$C$3,0)</f>
        <v>342.2</v>
      </c>
      <c r="D255" s="10">
        <f t="shared" si="18"/>
        <v>1.7453096661017575E-2</v>
      </c>
      <c r="E255" s="28">
        <f t="shared" si="15"/>
        <v>3.1916858657388125E-4</v>
      </c>
      <c r="F255" s="9"/>
      <c r="H255" s="10">
        <f t="shared" si="16"/>
        <v>-5.324384893422944E-2</v>
      </c>
      <c r="I255" s="10">
        <f t="shared" si="17"/>
        <v>5.324384893422944E-2</v>
      </c>
    </row>
    <row r="256" spans="1:9" x14ac:dyDescent="0.25">
      <c r="A256" s="1">
        <v>44959</v>
      </c>
      <c r="B256" s="2">
        <f t="shared" si="19"/>
        <v>250</v>
      </c>
      <c r="C256" s="3">
        <f>+VLOOKUP(A256,Precios!$B:$H,1+$C$3,0)</f>
        <v>336.33</v>
      </c>
      <c r="D256" s="10">
        <f t="shared" si="18"/>
        <v>2.5038004113384638E-3</v>
      </c>
      <c r="E256" s="28">
        <f t="shared" si="15"/>
        <v>8.5030195175983323E-6</v>
      </c>
      <c r="F256" s="9"/>
      <c r="H256" s="10">
        <f t="shared" si="16"/>
        <v>-5.324384893422944E-2</v>
      </c>
      <c r="I256" s="10">
        <f t="shared" si="17"/>
        <v>5.324384893422944E-2</v>
      </c>
    </row>
    <row r="257" spans="1:9" x14ac:dyDescent="0.25">
      <c r="A257" s="1">
        <v>44958</v>
      </c>
      <c r="B257" s="2">
        <f t="shared" si="19"/>
        <v>251</v>
      </c>
      <c r="C257" s="3">
        <f>+VLOOKUP(A257,Precios!$B:$H,1+$C$3,0)</f>
        <v>335.49</v>
      </c>
      <c r="D257" s="10">
        <f t="shared" si="18"/>
        <v>3.199114091482369E-2</v>
      </c>
      <c r="E257" s="28">
        <f t="shared" si="15"/>
        <v>1.0499760703825986E-3</v>
      </c>
      <c r="F257" s="9"/>
      <c r="H257" s="10">
        <f t="shared" si="16"/>
        <v>-5.324384893422944E-2</v>
      </c>
      <c r="I257" s="10">
        <f t="shared" si="17"/>
        <v>5.324384893422944E-2</v>
      </c>
    </row>
    <row r="258" spans="1:9" x14ac:dyDescent="0.25">
      <c r="A258" s="1">
        <v>44957</v>
      </c>
      <c r="B258" s="2">
        <f t="shared" si="19"/>
        <v>252</v>
      </c>
      <c r="C258" s="3">
        <f>+VLOOKUP(A258,Precios!$B:$H,1+$C$3,0)</f>
        <v>325.08999999999997</v>
      </c>
      <c r="D258" s="10">
        <f t="shared" si="18"/>
        <v>-2.669039145907437E-3</v>
      </c>
      <c r="E258" s="28">
        <f t="shared" si="15"/>
        <v>5.0933530227910427E-6</v>
      </c>
      <c r="F258" s="9"/>
      <c r="H258" s="10"/>
      <c r="I258" s="10"/>
    </row>
    <row r="259" spans="1:9" x14ac:dyDescent="0.25">
      <c r="A259" s="1">
        <v>44956</v>
      </c>
      <c r="B259" s="2">
        <f t="shared" ref="B259" si="20">+B258+1</f>
        <v>253</v>
      </c>
      <c r="C259" s="3">
        <f>+VLOOKUP(A259,Precios!$B:$H,1+$C$3,0)</f>
        <v>325.95999999999998</v>
      </c>
      <c r="D259" s="10"/>
      <c r="E259" s="28"/>
      <c r="F259" s="9"/>
    </row>
    <row r="260" spans="1:9" x14ac:dyDescent="0.25">
      <c r="A260" s="1"/>
      <c r="B260" s="2"/>
      <c r="C260" s="3"/>
      <c r="D260" s="10"/>
      <c r="E260" s="9"/>
      <c r="F260" s="9"/>
      <c r="H260" s="20"/>
      <c r="I260" s="20"/>
    </row>
    <row r="261" spans="1:9" x14ac:dyDescent="0.25">
      <c r="A261" s="1"/>
      <c r="B261" s="2"/>
      <c r="C261" s="3"/>
      <c r="D261" s="10"/>
      <c r="E261" s="9"/>
      <c r="F261" s="9"/>
      <c r="H261" s="20"/>
    </row>
    <row r="262" spans="1:9" x14ac:dyDescent="0.25">
      <c r="A262" s="1"/>
      <c r="B262" s="2"/>
    </row>
    <row r="263" spans="1:9" x14ac:dyDescent="0.25">
      <c r="A263" s="1"/>
      <c r="B263" s="2"/>
      <c r="H263" s="21"/>
      <c r="I263" s="21"/>
    </row>
    <row r="264" spans="1:9" x14ac:dyDescent="0.25">
      <c r="A264" s="4"/>
      <c r="B264" s="5"/>
    </row>
    <row r="265" spans="1:9" x14ac:dyDescent="0.25">
      <c r="G265" s="37"/>
      <c r="H265" t="s">
        <v>41</v>
      </c>
    </row>
    <row r="266" spans="1:9" x14ac:dyDescent="0.25">
      <c r="B266" s="33"/>
      <c r="E266" s="14"/>
    </row>
    <row r="267" spans="1:9" x14ac:dyDescent="0.25">
      <c r="D267" s="6"/>
      <c r="E267" s="13"/>
      <c r="F267" s="10"/>
    </row>
    <row r="269" spans="1:9" x14ac:dyDescent="0.25">
      <c r="F269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Drop Down 6">
              <controlPr defaultSize="0" autoLine="0" autoPict="0">
                <anchor moveWithCells="1">
                  <from>
                    <xdr:col>1</xdr:col>
                    <xdr:colOff>914400</xdr:colOff>
                    <xdr:row>1</xdr:row>
                    <xdr:rowOff>161925</xdr:rowOff>
                  </from>
                  <to>
                    <xdr:col>3</xdr:col>
                    <xdr:colOff>361950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"/>
  <dimension ref="A1:XEZ273"/>
  <sheetViews>
    <sheetView tabSelected="1" zoomScale="74" zoomScaleNormal="85" workbookViewId="0">
      <selection activeCell="M6" sqref="M6"/>
    </sheetView>
  </sheetViews>
  <sheetFormatPr baseColWidth="10" defaultColWidth="11.42578125" defaultRowHeight="15" x14ac:dyDescent="0.25"/>
  <cols>
    <col min="2" max="2" width="14.42578125" bestFit="1" customWidth="1"/>
    <col min="4" max="4" width="15.85546875" bestFit="1" customWidth="1"/>
    <col min="5" max="5" width="9.42578125" customWidth="1"/>
    <col min="6" max="6" width="15.85546875" bestFit="1" customWidth="1"/>
    <col min="8" max="8" width="6.28515625" customWidth="1"/>
    <col min="9" max="9" width="12.42578125" customWidth="1"/>
    <col min="10" max="10" width="11.7109375" customWidth="1"/>
    <col min="11" max="12" width="16.42578125" customWidth="1"/>
    <col min="13" max="13" width="18.85546875" customWidth="1"/>
  </cols>
  <sheetData>
    <row r="1" spans="1:16 16380:16380" ht="32.450000000000003" customHeight="1" thickBot="1" x14ac:dyDescent="0.3">
      <c r="A1" s="59" t="s">
        <v>13</v>
      </c>
      <c r="B1" s="60"/>
      <c r="C1" s="61"/>
      <c r="O1" s="16" t="s">
        <v>14</v>
      </c>
      <c r="P1" s="27">
        <v>2</v>
      </c>
    </row>
    <row r="2" spans="1:16 16380:16380" ht="21.75" thickTop="1" x14ac:dyDescent="0.35">
      <c r="A2" s="18"/>
      <c r="O2" s="22" t="s">
        <v>19</v>
      </c>
      <c r="P2" s="22" t="s">
        <v>20</v>
      </c>
    </row>
    <row r="4" spans="1:16 16380:16380" ht="23.45" customHeight="1" x14ac:dyDescent="0.25">
      <c r="O4" s="10">
        <f>-L15*$P$1</f>
        <v>-2.0346087370320814E-2</v>
      </c>
      <c r="P4" s="10">
        <f>+L15*$P$1</f>
        <v>2.0346087370320814E-2</v>
      </c>
    </row>
    <row r="5" spans="1:16 16380:16380" ht="24" x14ac:dyDescent="0.25">
      <c r="B5" s="7" t="s">
        <v>28</v>
      </c>
      <c r="C5">
        <v>1</v>
      </c>
      <c r="E5" s="62" t="s">
        <v>16</v>
      </c>
      <c r="F5" s="62"/>
      <c r="G5" s="63">
        <f xml:space="preserve"> SQRT( (1-C7) * SUM(G15:G266) )</f>
        <v>9.9284758003395854E-3</v>
      </c>
      <c r="I5" s="45" t="s">
        <v>39</v>
      </c>
      <c r="J5" s="66" cm="1">
        <f t="array" ref="J5" xml:space="preserve"> V_Dinamica(D15:D266)</f>
        <v>0.15760966719372907</v>
      </c>
      <c r="O5" s="10">
        <f>-L16*$P$1</f>
        <v>-2.0682562611493278E-2</v>
      </c>
      <c r="P5" s="10">
        <f>+L16*$P$1</f>
        <v>2.0682562611493278E-2</v>
      </c>
    </row>
    <row r="6" spans="1:16 16380:16380" x14ac:dyDescent="0.25">
      <c r="D6" s="26"/>
      <c r="E6" s="62" t="s">
        <v>15</v>
      </c>
      <c r="F6" s="62"/>
      <c r="G6" s="66">
        <f xml:space="preserve"> SQRT(252) * G5</f>
        <v>0.15760966719372912</v>
      </c>
      <c r="J6" s="23">
        <f>SQRT( ( SUM( L14:L266 )/COUNT( L14:L266 ) ) )</f>
        <v>9.1691011702228833E-2</v>
      </c>
      <c r="K6" s="26"/>
      <c r="O6" s="10">
        <f>-L17*$P$1</f>
        <v>-2.1070157324402827E-2</v>
      </c>
      <c r="P6" s="10">
        <f>+L17*$P$1</f>
        <v>2.1070157324402827E-2</v>
      </c>
    </row>
    <row r="7" spans="1:16 16380:16380" x14ac:dyDescent="0.25">
      <c r="B7" s="7" t="s">
        <v>2</v>
      </c>
      <c r="C7" s="38">
        <v>0.95</v>
      </c>
      <c r="O7" s="10">
        <f>-L18*$P$1</f>
        <v>-2.1087763621090452E-2</v>
      </c>
      <c r="P7" s="10">
        <f>+L18*$P$1</f>
        <v>2.1087763621090452E-2</v>
      </c>
    </row>
    <row r="8" spans="1:16 16380:16380" x14ac:dyDescent="0.25">
      <c r="O8" s="10">
        <f>-L19*$P$1</f>
        <v>-2.0531028892272957E-2</v>
      </c>
      <c r="P8" s="10">
        <f>+L19*$P$1</f>
        <v>2.0531028892272957E-2</v>
      </c>
      <c r="XEZ8" s="16"/>
    </row>
    <row r="9" spans="1:16 16380:16380" x14ac:dyDescent="0.25">
      <c r="O9" s="10">
        <f>-L20*$P$1</f>
        <v>-2.1011399007459828E-2</v>
      </c>
      <c r="P9" s="10">
        <f>+L20*$P$1</f>
        <v>2.1011399007459828E-2</v>
      </c>
      <c r="XEZ9" s="16"/>
    </row>
    <row r="10" spans="1:16 16380:16380" x14ac:dyDescent="0.25">
      <c r="O10" s="10">
        <f>-L21*$P$1</f>
        <v>-2.0332972817476824E-2</v>
      </c>
      <c r="P10" s="10">
        <f>+L21*$P$1</f>
        <v>2.0332972817476824E-2</v>
      </c>
      <c r="XEZ10" s="16"/>
    </row>
    <row r="11" spans="1:16 16380:16380" x14ac:dyDescent="0.25">
      <c r="O11" s="10">
        <f>-L22*$P$1</f>
        <v>-2.000804943308248E-2</v>
      </c>
      <c r="P11" s="10">
        <f>+L22*$P$1</f>
        <v>2.000804943308248E-2</v>
      </c>
      <c r="XEZ11" s="16"/>
    </row>
    <row r="12" spans="1:16 16380:16380" x14ac:dyDescent="0.25">
      <c r="E12" s="11"/>
      <c r="F12" s="55" t="s">
        <v>21</v>
      </c>
      <c r="G12" s="56"/>
      <c r="K12" s="57" t="s">
        <v>22</v>
      </c>
      <c r="L12" s="58"/>
      <c r="M12" s="65">
        <f xml:space="preserve"> SQRT( SUM(M14:M265) / COUNT(M14:M265) )</f>
        <v>1.4281817711609283E-4</v>
      </c>
      <c r="O12" s="10">
        <f>-L23*$P$1</f>
        <v>-1.9501711728033146E-2</v>
      </c>
      <c r="P12" s="10">
        <f>+L23*$P$1</f>
        <v>1.9501711728033146E-2</v>
      </c>
      <c r="XEZ12" s="16"/>
    </row>
    <row r="13" spans="1:16 16380:16380" ht="18" x14ac:dyDescent="0.35">
      <c r="A13" s="7" t="s">
        <v>0</v>
      </c>
      <c r="B13" s="7" t="s">
        <v>6</v>
      </c>
      <c r="C13" s="8" t="s">
        <v>30</v>
      </c>
      <c r="D13" s="8" t="s">
        <v>1</v>
      </c>
      <c r="E13" s="7" t="s">
        <v>3</v>
      </c>
      <c r="F13" s="7" t="s">
        <v>5</v>
      </c>
      <c r="G13" s="7" t="s">
        <v>7</v>
      </c>
      <c r="K13" s="7" t="s">
        <v>10</v>
      </c>
      <c r="L13" s="7" t="s">
        <v>11</v>
      </c>
      <c r="M13" s="7" t="s">
        <v>38</v>
      </c>
      <c r="N13" s="15"/>
      <c r="O13" s="10">
        <f>-L24*$P$1</f>
        <v>-2.0001949625977216E-2</v>
      </c>
      <c r="P13" s="10">
        <f>+L24*$P$1</f>
        <v>2.0001949625977216E-2</v>
      </c>
      <c r="XEZ13" s="16"/>
    </row>
    <row r="14" spans="1:16 16380:16380" x14ac:dyDescent="0.25">
      <c r="A14" s="15"/>
      <c r="B14" s="15"/>
      <c r="C14" s="16"/>
      <c r="D14" s="16"/>
      <c r="E14" s="15"/>
      <c r="F14" s="15"/>
      <c r="G14" s="15"/>
      <c r="K14" s="19">
        <f xml:space="preserve"> ( 1 - $C$7 )*E15  + $C$7*K15</f>
        <v>9.8574631717928722E-5</v>
      </c>
      <c r="L14" s="36">
        <f xml:space="preserve"> SQRT( K14 )</f>
        <v>9.9284758003395836E-3</v>
      </c>
      <c r="M14" s="64">
        <f xml:space="preserve"> (E15 - K15) ^2</f>
        <v>9.6675543167954204E-9</v>
      </c>
      <c r="N14" s="12"/>
      <c r="O14" s="10">
        <f>-L25*$P$1</f>
        <v>-2.0299239749837258E-2</v>
      </c>
      <c r="P14" s="10">
        <f>+L25*$P$1</f>
        <v>2.0299239749837258E-2</v>
      </c>
    </row>
    <row r="15" spans="1:16 16380:16380" x14ac:dyDescent="0.25">
      <c r="A15" s="1">
        <v>45322</v>
      </c>
      <c r="B15" s="2">
        <v>1</v>
      </c>
      <c r="C15" s="3">
        <f>+VLOOKUP(A15,Precios!$B:$H,1+$C$5,0)</f>
        <v>57.06</v>
      </c>
      <c r="D15" s="10">
        <f xml:space="preserve"> ( C15/C16 ) - 1</f>
        <v>-2.2731246721453546E-3</v>
      </c>
      <c r="E15" s="34">
        <f xml:space="preserve"> D15*D15</f>
        <v>5.1670957751159263E-6</v>
      </c>
      <c r="F15" s="24">
        <f xml:space="preserve"> $C$7^( B15 - 1 )</f>
        <v>1</v>
      </c>
      <c r="G15" s="25">
        <f xml:space="preserve"> E15 * F15</f>
        <v>5.1670957751159263E-6</v>
      </c>
      <c r="K15" s="19">
        <f t="shared" ref="K15:K78" si="0" xml:space="preserve"> ( 1 - $C$7 )*E16  + $C$7*K16</f>
        <v>1.0349081782018203E-4</v>
      </c>
      <c r="L15" s="36">
        <f t="shared" ref="L15:L78" si="1" xml:space="preserve"> SQRT( K15 )</f>
        <v>1.0173043685160407E-2</v>
      </c>
      <c r="M15" s="64">
        <f t="shared" ref="M15:M78" si="2" xml:space="preserve"> (E16 - K16) ^2</f>
        <v>4.7645368359662667E-9</v>
      </c>
      <c r="N15" s="12"/>
      <c r="O15" s="10">
        <f>-L26*$P$1</f>
        <v>-2.0503758006268722E-2</v>
      </c>
      <c r="P15" s="10">
        <f>+L26*$P$1</f>
        <v>2.0503758006268722E-2</v>
      </c>
    </row>
    <row r="16" spans="1:16 16380:16380" x14ac:dyDescent="0.25">
      <c r="A16" s="1">
        <v>45321</v>
      </c>
      <c r="B16" s="2">
        <f>+B15+1</f>
        <v>2</v>
      </c>
      <c r="C16" s="3">
        <f>+VLOOKUP(A16,Precios!$B:$H,1+$C$5,0)</f>
        <v>57.19</v>
      </c>
      <c r="D16" s="10">
        <f t="shared" ref="D16:D79" si="3" xml:space="preserve"> ( C16/C17 ) - 1</f>
        <v>6.1576354679802048E-3</v>
      </c>
      <c r="E16" s="34">
        <f t="shared" ref="E16:E79" si="4" xml:space="preserve"> D16*D16</f>
        <v>3.7916474556527796E-5</v>
      </c>
      <c r="F16" s="24">
        <f xml:space="preserve"> $C$7^( B16 - 1 )</f>
        <v>0.95</v>
      </c>
      <c r="G16" s="25">
        <f t="shared" ref="G16:G79" si="5" xml:space="preserve"> E16 * F16</f>
        <v>3.6020650828701408E-5</v>
      </c>
      <c r="K16" s="19">
        <f t="shared" si="0"/>
        <v>1.0694209904458489E-4</v>
      </c>
      <c r="L16" s="36">
        <f t="shared" si="1"/>
        <v>1.0341281305746639E-2</v>
      </c>
      <c r="M16" s="64">
        <f t="shared" si="2"/>
        <v>6.5473452443379047E-9</v>
      </c>
      <c r="N16" s="12"/>
      <c r="O16" s="10">
        <f>-L27*$P$1</f>
        <v>-2.1030526848454318E-2</v>
      </c>
      <c r="P16" s="10">
        <f>+L27*$P$1</f>
        <v>2.1030526848454318E-2</v>
      </c>
    </row>
    <row r="17" spans="1:16" x14ac:dyDescent="0.25">
      <c r="A17" s="1">
        <v>45320</v>
      </c>
      <c r="B17" s="2">
        <f t="shared" ref="B17:B80" si="6">+B16+1</f>
        <v>3</v>
      </c>
      <c r="C17" s="3">
        <f>+VLOOKUP(A17,Precios!$B:$H,1+$C$5,0)</f>
        <v>56.84</v>
      </c>
      <c r="D17" s="10">
        <f t="shared" si="3"/>
        <v>5.4838139041217815E-3</v>
      </c>
      <c r="E17" s="34">
        <f t="shared" si="4"/>
        <v>3.0072214935039374E-5</v>
      </c>
      <c r="F17" s="24">
        <f xml:space="preserve"> $C$7^( B17 - 1 )</f>
        <v>0.90249999999999997</v>
      </c>
      <c r="G17" s="25">
        <f t="shared" si="5"/>
        <v>2.7140173978873034E-5</v>
      </c>
      <c r="K17" s="19">
        <f t="shared" si="0"/>
        <v>1.109878824187715E-4</v>
      </c>
      <c r="L17" s="36">
        <f t="shared" si="1"/>
        <v>1.0535078662201413E-2</v>
      </c>
      <c r="M17" s="64">
        <f t="shared" si="2"/>
        <v>1.3773185949646573E-11</v>
      </c>
      <c r="N17" s="29"/>
      <c r="O17" s="10">
        <f>-L28*$P$1</f>
        <v>-2.1535794251453706E-2</v>
      </c>
      <c r="P17" s="10">
        <f>+L28*$P$1</f>
        <v>2.1535794251453706E-2</v>
      </c>
    </row>
    <row r="18" spans="1:16" x14ac:dyDescent="0.25">
      <c r="A18" s="1">
        <v>45317</v>
      </c>
      <c r="B18" s="2">
        <f t="shared" si="6"/>
        <v>4</v>
      </c>
      <c r="C18" s="3">
        <f>+VLOOKUP(A18,Precios!$B:$H,1+$C$5,0)</f>
        <v>56.53</v>
      </c>
      <c r="D18" s="10">
        <f t="shared" si="3"/>
        <v>1.0366398570151869E-2</v>
      </c>
      <c r="E18" s="34">
        <f t="shared" si="4"/>
        <v>1.0746221931524672E-4</v>
      </c>
      <c r="F18" s="24">
        <f xml:space="preserve"> $C$7^( B18 - 1 )</f>
        <v>0.85737499999999989</v>
      </c>
      <c r="G18" s="25">
        <f t="shared" si="5"/>
        <v>9.2135420285409649E-5</v>
      </c>
      <c r="K18" s="19">
        <f t="shared" si="0"/>
        <v>1.1117344363474649E-4</v>
      </c>
      <c r="L18" s="36">
        <f t="shared" si="1"/>
        <v>1.0543881810545226E-2</v>
      </c>
      <c r="M18" s="64">
        <f t="shared" si="2"/>
        <v>1.3421949078909233E-8</v>
      </c>
      <c r="N18" s="12"/>
      <c r="O18" s="10">
        <f>-L29*$P$1</f>
        <v>-2.2064402833773471E-2</v>
      </c>
      <c r="P18" s="10">
        <f>+L29*$P$1</f>
        <v>2.2064402833773471E-2</v>
      </c>
    </row>
    <row r="19" spans="1:16" x14ac:dyDescent="0.25">
      <c r="A19" s="1">
        <v>45316</v>
      </c>
      <c r="B19" s="2">
        <f t="shared" si="6"/>
        <v>5</v>
      </c>
      <c r="C19" s="3">
        <f>+VLOOKUP(A19,Precios!$B:$H,1+$C$5,0)</f>
        <v>55.95</v>
      </c>
      <c r="D19" s="10">
        <f t="shared" si="3"/>
        <v>1.4873934337021666E-2</v>
      </c>
      <c r="E19" s="34">
        <f t="shared" si="4"/>
        <v>2.2123392266203213E-4</v>
      </c>
      <c r="F19" s="24">
        <f xml:space="preserve"> $C$7^( B19 - 1 )</f>
        <v>0.81450624999999999</v>
      </c>
      <c r="G19" s="25">
        <f t="shared" si="5"/>
        <v>1.8019641272024181E-4</v>
      </c>
      <c r="K19" s="19">
        <f t="shared" si="0"/>
        <v>1.0538078684383672E-4</v>
      </c>
      <c r="L19" s="36">
        <f t="shared" si="1"/>
        <v>1.0265514446136478E-2</v>
      </c>
      <c r="M19" s="64">
        <f t="shared" si="2"/>
        <v>9.9557898470898578E-9</v>
      </c>
      <c r="N19" s="12"/>
      <c r="O19" s="10">
        <f>-L30*$P$1</f>
        <v>-2.2581714727148115E-2</v>
      </c>
      <c r="P19" s="10">
        <f>+L30*$P$1</f>
        <v>2.2581714727148115E-2</v>
      </c>
    </row>
    <row r="20" spans="1:16" x14ac:dyDescent="0.25">
      <c r="A20" s="1">
        <v>45315</v>
      </c>
      <c r="B20" s="2">
        <f t="shared" si="6"/>
        <v>6</v>
      </c>
      <c r="C20" s="3">
        <f>+VLOOKUP(A20,Precios!$B:$H,1+$C$5,0)</f>
        <v>55.13</v>
      </c>
      <c r="D20" s="10">
        <f t="shared" si="3"/>
        <v>-3.2543843789549776E-3</v>
      </c>
      <c r="E20" s="34">
        <f t="shared" si="4"/>
        <v>1.0591017685986175E-5</v>
      </c>
      <c r="F20" s="24">
        <f xml:space="preserve"> $C$7^( B20 - 1 )</f>
        <v>0.77378093749999999</v>
      </c>
      <c r="G20" s="25">
        <f t="shared" si="5"/>
        <v>8.1951275941414634E-6</v>
      </c>
      <c r="K20" s="19">
        <f t="shared" si="0"/>
        <v>1.1036972206267097E-4</v>
      </c>
      <c r="L20" s="36">
        <f t="shared" si="1"/>
        <v>1.0505699503729914E-2</v>
      </c>
      <c r="M20" s="64">
        <f t="shared" si="2"/>
        <v>1.9668806797882649E-8</v>
      </c>
      <c r="N20" s="12"/>
      <c r="O20" s="10">
        <f>-L31*$P$1</f>
        <v>-2.1537181274987879E-2</v>
      </c>
      <c r="P20" s="10">
        <f>+L31*$P$1</f>
        <v>2.1537181274987879E-2</v>
      </c>
    </row>
    <row r="21" spans="1:16" x14ac:dyDescent="0.25">
      <c r="A21" s="1">
        <v>45314</v>
      </c>
      <c r="B21" s="2">
        <f t="shared" si="6"/>
        <v>7</v>
      </c>
      <c r="C21" s="3">
        <f>+VLOOKUP(A21,Precios!$B:$H,1+$C$5,0)</f>
        <v>55.31</v>
      </c>
      <c r="D21" s="10">
        <f t="shared" si="3"/>
        <v>1.5607785530664664E-2</v>
      </c>
      <c r="E21" s="34">
        <f t="shared" si="4"/>
        <v>2.4360296917122525E-4</v>
      </c>
      <c r="F21" s="24">
        <f xml:space="preserve"> $C$7^( B21 - 1 )</f>
        <v>0.73509189062499991</v>
      </c>
      <c r="G21" s="25">
        <f t="shared" si="5"/>
        <v>1.7907056716993955E-4</v>
      </c>
      <c r="K21" s="19">
        <f t="shared" si="0"/>
        <v>1.0335744589906284E-4</v>
      </c>
      <c r="L21" s="36">
        <f t="shared" si="1"/>
        <v>1.0166486408738412E-2</v>
      </c>
      <c r="M21" s="64">
        <f t="shared" si="2"/>
        <v>4.2953221673870286E-9</v>
      </c>
      <c r="N21" s="12"/>
      <c r="O21" s="10">
        <f>-L32*$P$1</f>
        <v>-2.2092874277530317E-2</v>
      </c>
      <c r="P21" s="10">
        <f>+L32*$P$1</f>
        <v>2.2092874277530317E-2</v>
      </c>
    </row>
    <row r="22" spans="1:16" x14ac:dyDescent="0.25">
      <c r="A22" s="1">
        <v>45313</v>
      </c>
      <c r="B22" s="2">
        <f t="shared" si="6"/>
        <v>8</v>
      </c>
      <c r="C22" s="3">
        <f>+VLOOKUP(A22,Precios!$B:$H,1+$C$5,0)</f>
        <v>54.46</v>
      </c>
      <c r="D22" s="10">
        <f t="shared" si="3"/>
        <v>-1.2869313032445207E-2</v>
      </c>
      <c r="E22" s="34">
        <f t="shared" si="4"/>
        <v>1.6561921792706405E-4</v>
      </c>
      <c r="F22" s="24">
        <f xml:space="preserve"> $C$7^( B22 - 1 )</f>
        <v>0.69833729609374995</v>
      </c>
      <c r="G22" s="25">
        <f t="shared" si="5"/>
        <v>1.1565807682834743E-4</v>
      </c>
      <c r="K22" s="19">
        <f t="shared" si="0"/>
        <v>1.0008051052916804E-4</v>
      </c>
      <c r="L22" s="36">
        <f t="shared" si="1"/>
        <v>1.000402471654124E-2</v>
      </c>
      <c r="M22" s="64">
        <f t="shared" si="2"/>
        <v>1.0005282490800177E-8</v>
      </c>
      <c r="N22" s="12"/>
      <c r="O22" s="10">
        <f>-L33*$P$1</f>
        <v>-2.1640732836341887E-2</v>
      </c>
      <c r="P22" s="10">
        <f>+L33*$P$1</f>
        <v>2.1640732836341887E-2</v>
      </c>
    </row>
    <row r="23" spans="1:16" x14ac:dyDescent="0.25">
      <c r="A23" s="1">
        <v>45310</v>
      </c>
      <c r="B23" s="2">
        <f t="shared" si="6"/>
        <v>9</v>
      </c>
      <c r="C23" s="3">
        <f>+VLOOKUP(A23,Precios!$B:$H,1+$C$5,0)</f>
        <v>55.17</v>
      </c>
      <c r="D23" s="10">
        <f t="shared" si="3"/>
        <v>1.3968020584451457E-2</v>
      </c>
      <c r="E23" s="34">
        <f t="shared" si="4"/>
        <v>1.9510559904765962E-4</v>
      </c>
      <c r="F23" s="24">
        <f xml:space="preserve"> $C$7^( B23 - 1 )</f>
        <v>0.66342043128906247</v>
      </c>
      <c r="G23" s="25">
        <f t="shared" si="5"/>
        <v>1.2943704066710923E-4</v>
      </c>
      <c r="K23" s="19">
        <f t="shared" si="0"/>
        <v>9.507919008082638E-5</v>
      </c>
      <c r="L23" s="36">
        <f t="shared" si="1"/>
        <v>9.7508558640165728E-3</v>
      </c>
      <c r="M23" s="64">
        <f t="shared" si="2"/>
        <v>9.7626538123540351E-9</v>
      </c>
      <c r="N23" s="12"/>
      <c r="O23" s="10">
        <f>-L34*$P$1</f>
        <v>-2.2034368024796819E-2</v>
      </c>
      <c r="P23" s="10">
        <f>+L34*$P$1</f>
        <v>2.2034368024796819E-2</v>
      </c>
    </row>
    <row r="24" spans="1:16" x14ac:dyDescent="0.25">
      <c r="A24" s="1">
        <v>45309</v>
      </c>
      <c r="B24" s="2">
        <f t="shared" si="6"/>
        <v>10</v>
      </c>
      <c r="C24" s="3">
        <f>+VLOOKUP(A24,Precios!$B:$H,1+$C$5,0)</f>
        <v>54.41</v>
      </c>
      <c r="D24" s="10">
        <f t="shared" si="3"/>
        <v>-1.1015237745548578E-3</v>
      </c>
      <c r="E24" s="34">
        <f t="shared" si="4"/>
        <v>1.2133546259095812E-6</v>
      </c>
      <c r="F24" s="24">
        <f xml:space="preserve"> $C$7^( B24 - 1 )</f>
        <v>0.6302494097246093</v>
      </c>
      <c r="G24" s="25">
        <f t="shared" si="5"/>
        <v>7.647160367661377E-7</v>
      </c>
      <c r="K24" s="19">
        <f t="shared" si="0"/>
        <v>1.0001949721003254E-4</v>
      </c>
      <c r="L24" s="36">
        <f t="shared" si="1"/>
        <v>1.0000974812988608E-2</v>
      </c>
      <c r="M24" s="64">
        <f t="shared" si="2"/>
        <v>3.5886962359733985E-9</v>
      </c>
      <c r="N24" s="12"/>
      <c r="O24" s="10">
        <f>-L35*$P$1</f>
        <v>-2.0256895352339991E-2</v>
      </c>
      <c r="P24" s="10">
        <f>+L35*$P$1</f>
        <v>2.0256895352339991E-2</v>
      </c>
    </row>
    <row r="25" spans="1:16" x14ac:dyDescent="0.25">
      <c r="A25" s="1">
        <v>45308</v>
      </c>
      <c r="B25" s="2">
        <f t="shared" si="6"/>
        <v>11</v>
      </c>
      <c r="C25" s="3">
        <f>+VLOOKUP(A25,Precios!$B:$H,1+$C$5,0)</f>
        <v>54.47</v>
      </c>
      <c r="D25" s="10">
        <f t="shared" si="3"/>
        <v>-6.5657486777311869E-3</v>
      </c>
      <c r="E25" s="34">
        <f t="shared" si="4"/>
        <v>4.3109055699128832E-5</v>
      </c>
      <c r="F25" s="24">
        <f xml:space="preserve"> $C$7^( B25 - 1 )</f>
        <v>0.5987369392383789</v>
      </c>
      <c r="G25" s="25">
        <f t="shared" si="5"/>
        <v>2.5810984062753192E-5</v>
      </c>
      <c r="K25" s="19">
        <f t="shared" si="0"/>
        <v>1.0301478360534326E-4</v>
      </c>
      <c r="L25" s="36">
        <f t="shared" si="1"/>
        <v>1.0149619874918629E-2</v>
      </c>
      <c r="M25" s="64">
        <f t="shared" si="2"/>
        <v>1.7409580831263437E-9</v>
      </c>
      <c r="N25" s="12"/>
      <c r="O25" s="10">
        <f>-L36*$P$1</f>
        <v>-2.0494097193214926E-2</v>
      </c>
      <c r="P25" s="10">
        <f>+L36*$P$1</f>
        <v>2.0494097193214926E-2</v>
      </c>
    </row>
    <row r="26" spans="1:16" x14ac:dyDescent="0.25">
      <c r="A26" s="1">
        <v>45307</v>
      </c>
      <c r="B26" s="2">
        <f t="shared" si="6"/>
        <v>12</v>
      </c>
      <c r="C26" s="3">
        <f>+VLOOKUP(A26,Precios!$B:$H,1+$C$5,0)</f>
        <v>54.83</v>
      </c>
      <c r="D26" s="10">
        <f t="shared" si="3"/>
        <v>-7.9609191242989708E-3</v>
      </c>
      <c r="E26" s="34">
        <f t="shared" si="4"/>
        <v>6.3376233303629085E-5</v>
      </c>
      <c r="F26" s="24">
        <f xml:space="preserve"> $C$7^( B26 - 1 )</f>
        <v>0.56880009227645989</v>
      </c>
      <c r="G26" s="25">
        <f t="shared" si="5"/>
        <v>3.6048407351238676E-5</v>
      </c>
      <c r="K26" s="19">
        <f t="shared" si="0"/>
        <v>1.0510102309490717E-4</v>
      </c>
      <c r="L26" s="36">
        <f t="shared" si="1"/>
        <v>1.0251879003134361E-2</v>
      </c>
      <c r="M26" s="64">
        <f t="shared" si="2"/>
        <v>1.1967230082128385E-8</v>
      </c>
      <c r="N26" s="12"/>
      <c r="O26" s="10">
        <f>-L37*$P$1</f>
        <v>-2.1016705199999604E-2</v>
      </c>
      <c r="P26" s="10">
        <f>+L37*$P$1</f>
        <v>2.1016705199999604E-2</v>
      </c>
    </row>
    <row r="27" spans="1:16" x14ac:dyDescent="0.25">
      <c r="A27" s="1">
        <v>45306</v>
      </c>
      <c r="B27" s="2">
        <f t="shared" si="6"/>
        <v>13</v>
      </c>
      <c r="C27" s="3">
        <f>+VLOOKUP(A27,Precios!$B:$H,1+$C$5,0)</f>
        <v>55.27</v>
      </c>
      <c r="D27" s="10">
        <f t="shared" si="3"/>
        <v>-1.0844026748598745E-3</v>
      </c>
      <c r="E27" s="34">
        <f t="shared" si="4"/>
        <v>1.1759291612432508E-6</v>
      </c>
      <c r="F27" s="24">
        <f xml:space="preserve"> $C$7^( B27 - 1 )</f>
        <v>0.54036008766263688</v>
      </c>
      <c r="G27" s="25">
        <f t="shared" si="5"/>
        <v>6.3542518465445404E-7</v>
      </c>
      <c r="K27" s="19">
        <f t="shared" si="0"/>
        <v>1.1057076488088948E-4</v>
      </c>
      <c r="L27" s="36">
        <f t="shared" si="1"/>
        <v>1.0515263424227159E-2</v>
      </c>
      <c r="M27" s="64">
        <f t="shared" si="2"/>
        <v>1.1564178965780408E-8</v>
      </c>
      <c r="N27" s="12"/>
      <c r="O27" s="10">
        <f>-L38*$P$1</f>
        <v>-2.1533563477637643E-2</v>
      </c>
      <c r="P27" s="10">
        <f>+L38*$P$1</f>
        <v>2.1533563477637643E-2</v>
      </c>
    </row>
    <row r="28" spans="1:16" x14ac:dyDescent="0.25">
      <c r="A28" s="1">
        <v>45303</v>
      </c>
      <c r="B28" s="2">
        <f t="shared" si="6"/>
        <v>14</v>
      </c>
      <c r="C28" s="3">
        <f>+VLOOKUP(A28,Precios!$B:$H,1+$C$5,0)</f>
        <v>55.33</v>
      </c>
      <c r="D28" s="10">
        <f t="shared" si="3"/>
        <v>2.9001268805508573E-3</v>
      </c>
      <c r="E28" s="34">
        <f t="shared" si="4"/>
        <v>8.4107359232936474E-6</v>
      </c>
      <c r="F28" s="24">
        <f xml:space="preserve"> $C$7^( B28 - 1 )</f>
        <v>0.51334208327950503</v>
      </c>
      <c r="G28" s="25">
        <f t="shared" si="5"/>
        <v>4.3175847007773322E-6</v>
      </c>
      <c r="K28" s="19">
        <f t="shared" si="0"/>
        <v>1.1594760851023663E-4</v>
      </c>
      <c r="L28" s="36">
        <f t="shared" si="1"/>
        <v>1.0767897125726853E-2</v>
      </c>
      <c r="M28" s="64">
        <f t="shared" si="2"/>
        <v>1.3279610385570789E-8</v>
      </c>
      <c r="N28" s="12"/>
      <c r="O28" s="10">
        <f>-L39*$P$1</f>
        <v>-2.1874444754656903E-2</v>
      </c>
      <c r="P28" s="10">
        <f>+L39*$P$1</f>
        <v>2.1874444754656903E-2</v>
      </c>
    </row>
    <row r="29" spans="1:16" x14ac:dyDescent="0.25">
      <c r="A29" s="1">
        <v>45302</v>
      </c>
      <c r="B29" s="2">
        <f t="shared" si="6"/>
        <v>15</v>
      </c>
      <c r="C29" s="3">
        <f>+VLOOKUP(A29,Precios!$B:$H,1+$C$5,0)</f>
        <v>55.17</v>
      </c>
      <c r="D29" s="10">
        <f t="shared" si="3"/>
        <v>2.5440668726148807E-3</v>
      </c>
      <c r="E29" s="34">
        <f t="shared" si="4"/>
        <v>6.4722762523364598E-6</v>
      </c>
      <c r="F29" s="24">
        <f xml:space="preserve"> $C$7^( B29 - 1 )</f>
        <v>0.48767497911552976</v>
      </c>
      <c r="G29" s="25">
        <f t="shared" si="5"/>
        <v>3.1563671861881224E-6</v>
      </c>
      <c r="K29" s="19">
        <f t="shared" si="0"/>
        <v>1.217094681027577E-4</v>
      </c>
      <c r="L29" s="36">
        <f t="shared" si="1"/>
        <v>1.1032201416886735E-2</v>
      </c>
      <c r="M29" s="64">
        <f t="shared" si="2"/>
        <v>1.3335592992898589E-8</v>
      </c>
      <c r="N29" s="12"/>
      <c r="O29" s="10">
        <f>-L40*$P$1</f>
        <v>-2.2176997103735642E-2</v>
      </c>
      <c r="P29" s="10">
        <f>+L40*$P$1</f>
        <v>2.2176997103735642E-2</v>
      </c>
    </row>
    <row r="30" spans="1:16" x14ac:dyDescent="0.25">
      <c r="A30" s="1">
        <v>45301</v>
      </c>
      <c r="B30" s="2">
        <f t="shared" si="6"/>
        <v>16</v>
      </c>
      <c r="C30" s="3">
        <f>+VLOOKUP(A30,Precios!$B:$H,1+$C$5,0)</f>
        <v>55.03</v>
      </c>
      <c r="D30" s="10">
        <f t="shared" si="3"/>
        <v>3.4646243617797445E-3</v>
      </c>
      <c r="E30" s="34">
        <f t="shared" si="4"/>
        <v>1.2003621968237703E-5</v>
      </c>
      <c r="F30" s="24">
        <f xml:space="preserve"> $C$7^( B30 - 1 )</f>
        <v>0.46329123015975332</v>
      </c>
      <c r="G30" s="25">
        <f t="shared" si="5"/>
        <v>5.5611727880374848E-6</v>
      </c>
      <c r="K30" s="19">
        <f t="shared" si="0"/>
        <v>1.2748346000457454E-4</v>
      </c>
      <c r="L30" s="36">
        <f t="shared" si="1"/>
        <v>1.1290857363574058E-2</v>
      </c>
      <c r="M30" s="64">
        <f t="shared" si="2"/>
        <v>5.3092599303581425E-8</v>
      </c>
      <c r="N30" s="12"/>
      <c r="O30" s="10">
        <f>-L41*$P$1</f>
        <v>-2.2712601898242236E-2</v>
      </c>
      <c r="P30" s="10">
        <f>+L41*$P$1</f>
        <v>2.2712601898242236E-2</v>
      </c>
    </row>
    <row r="31" spans="1:16" x14ac:dyDescent="0.25">
      <c r="A31" s="1">
        <v>45300</v>
      </c>
      <c r="B31" s="2">
        <f t="shared" si="6"/>
        <v>17</v>
      </c>
      <c r="C31" s="3">
        <f>+VLOOKUP(A31,Precios!$B:$H,1+$C$5,0)</f>
        <v>54.84</v>
      </c>
      <c r="D31" s="10">
        <f t="shared" si="3"/>
        <v>-1.8611309949892574E-2</v>
      </c>
      <c r="E31" s="34">
        <f t="shared" si="4"/>
        <v>3.4638085805097031E-4</v>
      </c>
      <c r="F31" s="24">
        <f xml:space="preserve"> $C$7^( B31 - 1 )</f>
        <v>0.44012666865176564</v>
      </c>
      <c r="G31" s="25">
        <f t="shared" si="5"/>
        <v>1.5245145313871368E-4</v>
      </c>
      <c r="K31" s="19">
        <f t="shared" si="0"/>
        <v>1.1596254431792211E-4</v>
      </c>
      <c r="L31" s="36">
        <f t="shared" si="1"/>
        <v>1.0768590637493939E-2</v>
      </c>
      <c r="M31" s="64">
        <f t="shared" si="2"/>
        <v>1.4695399488456362E-8</v>
      </c>
      <c r="N31" s="12"/>
      <c r="O31" s="10">
        <f>-L42*$P$1</f>
        <v>-2.2892609174517981E-2</v>
      </c>
      <c r="P31" s="10">
        <f>+L42*$P$1</f>
        <v>2.2892609174517981E-2</v>
      </c>
    </row>
    <row r="32" spans="1:16" x14ac:dyDescent="0.25">
      <c r="A32" s="1">
        <v>45299</v>
      </c>
      <c r="B32" s="2">
        <f t="shared" si="6"/>
        <v>18</v>
      </c>
      <c r="C32" s="3">
        <f>+VLOOKUP(A32,Precios!$B:$H,1+$C$5,0)</f>
        <v>55.88</v>
      </c>
      <c r="D32" s="10">
        <f t="shared" si="3"/>
        <v>-8.9397461112095122E-4</v>
      </c>
      <c r="E32" s="34">
        <f t="shared" si="4"/>
        <v>7.9919060532885601E-7</v>
      </c>
      <c r="F32" s="24">
        <f xml:space="preserve"> $C$7^( B32 - 1 )</f>
        <v>0.41812033521917735</v>
      </c>
      <c r="G32" s="25">
        <f t="shared" si="5"/>
        <v>3.3415784380411853E-7</v>
      </c>
      <c r="K32" s="19">
        <f t="shared" si="0"/>
        <v>1.2202377346069018E-4</v>
      </c>
      <c r="L32" s="36">
        <f t="shared" si="1"/>
        <v>1.1046437138765158E-2</v>
      </c>
      <c r="M32" s="64">
        <f t="shared" si="2"/>
        <v>9.7750555796056215E-9</v>
      </c>
      <c r="N32" s="12"/>
      <c r="O32" s="10">
        <f>-L43*$P$1</f>
        <v>-2.2696195735966089E-2</v>
      </c>
      <c r="P32" s="10">
        <f>+L43*$P$1</f>
        <v>2.2696195735966089E-2</v>
      </c>
    </row>
    <row r="33" spans="1:16" x14ac:dyDescent="0.25">
      <c r="A33" s="1">
        <v>45296</v>
      </c>
      <c r="B33" s="2">
        <f t="shared" si="6"/>
        <v>19</v>
      </c>
      <c r="C33" s="3">
        <f>+VLOOKUP(A33,Precios!$B:$H,1+$C$5,0)</f>
        <v>55.93</v>
      </c>
      <c r="D33" s="10">
        <f t="shared" si="3"/>
        <v>1.4695210449927387E-2</v>
      </c>
      <c r="E33" s="34">
        <f t="shared" si="4"/>
        <v>2.1594921016765509E-4</v>
      </c>
      <c r="F33" s="24">
        <f xml:space="preserve"> $C$7^( B33 - 1 )</f>
        <v>0.39721431845821847</v>
      </c>
      <c r="G33" s="25">
        <f t="shared" si="5"/>
        <v>8.5778118338335704E-5</v>
      </c>
      <c r="K33" s="19">
        <f t="shared" si="0"/>
        <v>1.1708032942348149E-4</v>
      </c>
      <c r="L33" s="36">
        <f t="shared" si="1"/>
        <v>1.0820366418170944E-2</v>
      </c>
      <c r="M33" s="64">
        <f t="shared" si="2"/>
        <v>7.3891702175624412E-9</v>
      </c>
      <c r="N33" s="12"/>
      <c r="O33" s="10">
        <f>-L44*$P$1</f>
        <v>-2.32809253948194E-2</v>
      </c>
      <c r="P33" s="10">
        <f>+L44*$P$1</f>
        <v>2.32809253948194E-2</v>
      </c>
    </row>
    <row r="34" spans="1:16" x14ac:dyDescent="0.25">
      <c r="A34" s="1">
        <v>45295</v>
      </c>
      <c r="B34" s="2">
        <f t="shared" si="6"/>
        <v>20</v>
      </c>
      <c r="C34" s="3">
        <f>+VLOOKUP(A34,Precios!$B:$H,1+$C$5,0)</f>
        <v>55.12</v>
      </c>
      <c r="D34" s="10">
        <f t="shared" si="3"/>
        <v>-5.9513074842201252E-3</v>
      </c>
      <c r="E34" s="34">
        <f t="shared" si="4"/>
        <v>3.5418060771734479E-5</v>
      </c>
      <c r="F34" s="24">
        <f xml:space="preserve"> $C$7^( B34 - 1 )</f>
        <v>0.37735360253530753</v>
      </c>
      <c r="G34" s="25">
        <f t="shared" si="5"/>
        <v>1.3365132827028459E-5</v>
      </c>
      <c r="K34" s="19">
        <f t="shared" si="0"/>
        <v>1.2137834356304713E-4</v>
      </c>
      <c r="L34" s="36">
        <f t="shared" si="1"/>
        <v>1.101718401239841E-2</v>
      </c>
      <c r="M34" s="64">
        <f t="shared" si="2"/>
        <v>1.4126910437519203E-7</v>
      </c>
      <c r="N34" s="12"/>
      <c r="O34" s="10">
        <f>-L45*$P$1</f>
        <v>-2.3378084270613299E-2</v>
      </c>
      <c r="P34" s="10">
        <f>+L45*$P$1</f>
        <v>2.3378084270613299E-2</v>
      </c>
    </row>
    <row r="35" spans="1:16" x14ac:dyDescent="0.25">
      <c r="A35" s="1">
        <v>45294</v>
      </c>
      <c r="B35" s="2">
        <f t="shared" si="6"/>
        <v>21</v>
      </c>
      <c r="C35" s="3">
        <f>+VLOOKUP(A35,Precios!$B:$H,1+$C$5,0)</f>
        <v>55.45</v>
      </c>
      <c r="D35" s="10">
        <f t="shared" si="3"/>
        <v>-2.1873346269183136E-2</v>
      </c>
      <c r="E35" s="34">
        <f t="shared" si="4"/>
        <v>4.7844327701158782E-4</v>
      </c>
      <c r="F35" s="24">
        <f xml:space="preserve"> $C$7^( B35 - 1 )</f>
        <v>0.35848592240854216</v>
      </c>
      <c r="G35" s="25">
        <f t="shared" si="5"/>
        <v>1.7151517947966471E-4</v>
      </c>
      <c r="K35" s="19">
        <f t="shared" si="0"/>
        <v>1.0258545232891339E-4</v>
      </c>
      <c r="L35" s="36">
        <f t="shared" si="1"/>
        <v>1.0128447676169995E-2</v>
      </c>
      <c r="M35" s="64">
        <f t="shared" si="2"/>
        <v>2.3358906112473374E-9</v>
      </c>
      <c r="N35" s="12"/>
      <c r="O35" s="10">
        <f>-L46*$P$1</f>
        <v>-2.395891876743355E-2</v>
      </c>
      <c r="P35" s="10">
        <f>+L46*$P$1</f>
        <v>2.395891876743355E-2</v>
      </c>
    </row>
    <row r="36" spans="1:16" x14ac:dyDescent="0.25">
      <c r="A36" s="1">
        <v>45293</v>
      </c>
      <c r="B36" s="2">
        <f t="shared" si="6"/>
        <v>22</v>
      </c>
      <c r="C36" s="3">
        <f>+VLOOKUP(A36,Precios!$B:$H,1+$C$5,0)</f>
        <v>56.69</v>
      </c>
      <c r="D36" s="10">
        <f t="shared" si="3"/>
        <v>-7.528011204481766E-3</v>
      </c>
      <c r="E36" s="34">
        <f t="shared" si="4"/>
        <v>5.6670952694803009E-5</v>
      </c>
      <c r="F36" s="24">
        <f xml:space="preserve"> $C$7^( B36 - 1 )</f>
        <v>0.34056162628811509</v>
      </c>
      <c r="G36" s="25">
        <f t="shared" si="5"/>
        <v>1.9299951813038951E-5</v>
      </c>
      <c r="K36" s="19">
        <f t="shared" si="0"/>
        <v>1.0500200494123498E-4</v>
      </c>
      <c r="L36" s="36">
        <f t="shared" si="1"/>
        <v>1.0247048596607463E-2</v>
      </c>
      <c r="M36" s="64">
        <f t="shared" si="2"/>
        <v>1.1765608240208626E-8</v>
      </c>
      <c r="N36" s="12"/>
      <c r="O36" s="10">
        <f>-L47*$P$1</f>
        <v>-1.9234977862041938E-2</v>
      </c>
      <c r="P36" s="10">
        <f>+L47*$P$1</f>
        <v>1.9234977862041938E-2</v>
      </c>
    </row>
    <row r="37" spans="1:16" x14ac:dyDescent="0.25">
      <c r="A37" s="1">
        <v>45289</v>
      </c>
      <c r="B37" s="2">
        <f t="shared" si="6"/>
        <v>23</v>
      </c>
      <c r="C37" s="3">
        <f>+VLOOKUP(A37,Precios!$B:$H,1+$C$5,0)</f>
        <v>57.12</v>
      </c>
      <c r="D37" s="10">
        <f t="shared" si="3"/>
        <v>-1.3986013986014845E-3</v>
      </c>
      <c r="E37" s="34">
        <f t="shared" si="4"/>
        <v>1.9560858721700285E-6</v>
      </c>
      <c r="F37" s="24">
        <f xml:space="preserve"> $C$7^( B37 - 1 )</f>
        <v>0.32353354497370929</v>
      </c>
      <c r="G37" s="25">
        <f t="shared" si="5"/>
        <v>6.3285939649615929E-7</v>
      </c>
      <c r="K37" s="19">
        <f t="shared" si="0"/>
        <v>1.1042547436592261E-4</v>
      </c>
      <c r="L37" s="36">
        <f t="shared" si="1"/>
        <v>1.0508352599999802E-2</v>
      </c>
      <c r="M37" s="64">
        <f t="shared" si="2"/>
        <v>1.2091705861760002E-8</v>
      </c>
      <c r="N37" s="12"/>
      <c r="O37" s="10">
        <f>-L48*$P$1</f>
        <v>-1.8805898725804217E-2</v>
      </c>
      <c r="P37" s="10">
        <f>+L48*$P$1</f>
        <v>1.8805898725804217E-2</v>
      </c>
    </row>
    <row r="38" spans="1:16" x14ac:dyDescent="0.25">
      <c r="A38" s="1">
        <v>45288</v>
      </c>
      <c r="B38" s="2">
        <f t="shared" si="6"/>
        <v>24</v>
      </c>
      <c r="C38" s="3">
        <f>+VLOOKUP(A38,Precios!$B:$H,1+$C$5,0)</f>
        <v>57.2</v>
      </c>
      <c r="D38" s="10">
        <f t="shared" si="3"/>
        <v>-2.4415765608650775E-3</v>
      </c>
      <c r="E38" s="34">
        <f t="shared" si="4"/>
        <v>5.9612961025657397E-6</v>
      </c>
      <c r="F38" s="24">
        <f xml:space="preserve"> $C$7^( B38 - 1 )</f>
        <v>0.30735686772502385</v>
      </c>
      <c r="G38" s="25">
        <f t="shared" si="5"/>
        <v>1.8322452976659982E-6</v>
      </c>
      <c r="K38" s="19">
        <f t="shared" si="0"/>
        <v>1.1592358901136245E-4</v>
      </c>
      <c r="L38" s="36">
        <f t="shared" si="1"/>
        <v>1.0766781738818822E-2</v>
      </c>
      <c r="M38" s="64">
        <f t="shared" si="2"/>
        <v>5.4737634149454867E-9</v>
      </c>
      <c r="N38" s="12"/>
      <c r="O38" s="10">
        <f>-L49*$P$1</f>
        <v>-1.9287804752602267E-2</v>
      </c>
      <c r="P38" s="10">
        <f>+L49*$P$1</f>
        <v>1.9287804752602267E-2</v>
      </c>
    </row>
    <row r="39" spans="1:16" x14ac:dyDescent="0.25">
      <c r="A39" s="1">
        <v>45287</v>
      </c>
      <c r="B39" s="2">
        <f t="shared" si="6"/>
        <v>25</v>
      </c>
      <c r="C39" s="3">
        <f>+VLOOKUP(A39,Precios!$B:$H,1+$C$5,0)</f>
        <v>57.34</v>
      </c>
      <c r="D39" s="10">
        <f t="shared" si="3"/>
        <v>-6.755586350251086E-3</v>
      </c>
      <c r="E39" s="34">
        <f t="shared" si="4"/>
        <v>4.5637946935698789E-5</v>
      </c>
      <c r="F39" s="24">
        <f xml:space="preserve"> $C$7^( B39 - 1 )</f>
        <v>0.29198902433877266</v>
      </c>
      <c r="G39" s="25">
        <f t="shared" si="5"/>
        <v>1.3325779598579369E-5</v>
      </c>
      <c r="K39" s="19">
        <f t="shared" si="0"/>
        <v>1.1962283333113421E-4</v>
      </c>
      <c r="L39" s="36">
        <f t="shared" si="1"/>
        <v>1.0937222377328451E-2</v>
      </c>
      <c r="M39" s="64">
        <f t="shared" si="2"/>
        <v>4.4408011122250861E-9</v>
      </c>
      <c r="N39" s="12"/>
      <c r="O39" s="10">
        <f>-L50*$P$1</f>
        <v>-1.9787253550319996E-2</v>
      </c>
      <c r="P39" s="10">
        <f>+L50*$P$1</f>
        <v>1.9787253550319996E-2</v>
      </c>
    </row>
    <row r="40" spans="1:16" x14ac:dyDescent="0.25">
      <c r="A40" s="1">
        <v>45286</v>
      </c>
      <c r="B40" s="2">
        <f t="shared" si="6"/>
        <v>26</v>
      </c>
      <c r="C40" s="3">
        <f>+VLOOKUP(A40,Precios!$B:$H,1+$C$5,0)</f>
        <v>57.73</v>
      </c>
      <c r="D40" s="10">
        <f t="shared" si="3"/>
        <v>7.5043630017452845E-3</v>
      </c>
      <c r="E40" s="34">
        <f t="shared" si="4"/>
        <v>5.6315464061963497E-5</v>
      </c>
      <c r="F40" s="24">
        <f xml:space="preserve"> $C$7^( B40 - 1 )</f>
        <v>0.27738957312183399</v>
      </c>
      <c r="G40" s="25">
        <f t="shared" si="5"/>
        <v>1.5621322536306038E-5</v>
      </c>
      <c r="K40" s="19">
        <f t="shared" si="0"/>
        <v>1.2295480013477478E-4</v>
      </c>
      <c r="L40" s="36">
        <f t="shared" si="1"/>
        <v>1.1088498551867821E-2</v>
      </c>
      <c r="M40" s="64">
        <f t="shared" si="2"/>
        <v>1.4451747745468697E-8</v>
      </c>
      <c r="N40" s="12"/>
      <c r="O40" s="10">
        <f>-L51*$P$1</f>
        <v>-2.0056845328000082E-2</v>
      </c>
      <c r="P40" s="10">
        <f>+L51*$P$1</f>
        <v>2.0056845328000082E-2</v>
      </c>
    </row>
    <row r="41" spans="1:16" x14ac:dyDescent="0.25">
      <c r="A41" s="1">
        <v>45282</v>
      </c>
      <c r="B41" s="2">
        <f t="shared" si="6"/>
        <v>27</v>
      </c>
      <c r="C41" s="3">
        <f>+VLOOKUP(A41,Precios!$B:$H,1+$C$5,0)</f>
        <v>57.3</v>
      </c>
      <c r="D41" s="10">
        <f t="shared" si="3"/>
        <v>-2.9580650774316819E-3</v>
      </c>
      <c r="E41" s="34">
        <f t="shared" si="4"/>
        <v>8.7501490023209026E-6</v>
      </c>
      <c r="F41" s="24">
        <f xml:space="preserve"> $C$7^( B41 - 1 )</f>
        <v>0.26352009446574232</v>
      </c>
      <c r="G41" s="25">
        <f t="shared" si="5"/>
        <v>2.305840091680925E-6</v>
      </c>
      <c r="K41" s="19">
        <f t="shared" si="0"/>
        <v>1.289655712470092E-4</v>
      </c>
      <c r="L41" s="36">
        <f t="shared" si="1"/>
        <v>1.1356300949121118E-2</v>
      </c>
      <c r="M41" s="64">
        <f t="shared" si="2"/>
        <v>1.6848027782104392E-9</v>
      </c>
      <c r="N41" s="12"/>
      <c r="O41" s="10">
        <f>-L52*$P$1</f>
        <v>-2.0573519261248761E-2</v>
      </c>
      <c r="P41" s="10">
        <f>+L52*$P$1</f>
        <v>2.0573519261248761E-2</v>
      </c>
    </row>
    <row r="42" spans="1:16" x14ac:dyDescent="0.25">
      <c r="A42" s="1">
        <v>45281</v>
      </c>
      <c r="B42" s="2">
        <f t="shared" si="6"/>
        <v>28</v>
      </c>
      <c r="C42" s="3">
        <f>+VLOOKUP(A42,Precios!$B:$H,1+$C$5,0)</f>
        <v>57.47</v>
      </c>
      <c r="D42" s="10">
        <f t="shared" si="3"/>
        <v>9.4853328649218138E-3</v>
      </c>
      <c r="E42" s="34">
        <f t="shared" si="4"/>
        <v>8.9971539558365865E-5</v>
      </c>
      <c r="F42" s="24">
        <f xml:space="preserve"> $C$7^( B42 - 1 )</f>
        <v>0.2503440897424552</v>
      </c>
      <c r="G42" s="25">
        <f t="shared" si="5"/>
        <v>2.2523843173466402E-5</v>
      </c>
      <c r="K42" s="19">
        <f t="shared" si="0"/>
        <v>1.3101788870430623E-4</v>
      </c>
      <c r="L42" s="36">
        <f t="shared" si="1"/>
        <v>1.1446304587258991E-2</v>
      </c>
      <c r="M42" s="64">
        <f t="shared" si="2"/>
        <v>2.0044665869414345E-9</v>
      </c>
      <c r="N42" s="12"/>
      <c r="O42" s="10">
        <f>-L53*$P$1</f>
        <v>-2.110183695183113E-2</v>
      </c>
      <c r="P42" s="10">
        <f>+L53*$P$1</f>
        <v>2.110183695183113E-2</v>
      </c>
    </row>
    <row r="43" spans="1:16" x14ac:dyDescent="0.25">
      <c r="A43" s="1">
        <v>45280</v>
      </c>
      <c r="B43" s="2">
        <f t="shared" si="6"/>
        <v>29</v>
      </c>
      <c r="C43" s="3">
        <f>+VLOOKUP(A43,Precios!$B:$H,1+$C$5,0)</f>
        <v>56.93</v>
      </c>
      <c r="D43" s="10">
        <f t="shared" si="3"/>
        <v>-1.317386028774481E-2</v>
      </c>
      <c r="E43" s="34">
        <f t="shared" si="4"/>
        <v>1.7355059488101976E-4</v>
      </c>
      <c r="F43" s="24">
        <f xml:space="preserve"> $C$7^( B43 - 1 )</f>
        <v>0.23782688525533241</v>
      </c>
      <c r="G43" s="25">
        <f t="shared" si="5"/>
        <v>4.127499741476297E-5</v>
      </c>
      <c r="K43" s="19">
        <f t="shared" si="0"/>
        <v>1.2877932522132132E-4</v>
      </c>
      <c r="L43" s="36">
        <f t="shared" si="1"/>
        <v>1.1348097867983045E-2</v>
      </c>
      <c r="M43" s="64">
        <f t="shared" si="2"/>
        <v>1.8068986897728872E-8</v>
      </c>
      <c r="N43" s="12"/>
      <c r="O43" s="10">
        <f>-L54*$P$1</f>
        <v>-2.1561017388378144E-2</v>
      </c>
      <c r="P43" s="10">
        <f>+L54*$P$1</f>
        <v>2.1561017388378144E-2</v>
      </c>
    </row>
    <row r="44" spans="1:16" x14ac:dyDescent="0.25">
      <c r="A44" s="1">
        <v>45279</v>
      </c>
      <c r="B44" s="2">
        <f t="shared" si="6"/>
        <v>30</v>
      </c>
      <c r="C44" s="3">
        <f>+VLOOKUP(A44,Precios!$B:$H,1+$C$5,0)</f>
        <v>57.69</v>
      </c>
      <c r="D44" s="10">
        <f t="shared" si="3"/>
        <v>-1.0389610389610615E-3</v>
      </c>
      <c r="E44" s="34">
        <f t="shared" si="4"/>
        <v>1.0794400404790483E-6</v>
      </c>
      <c r="F44" s="24">
        <f xml:space="preserve"> $C$7^( B44 - 1 )</f>
        <v>0.2259355409925658</v>
      </c>
      <c r="G44" s="25">
        <f t="shared" si="5"/>
        <v>2.4388386951467092E-7</v>
      </c>
      <c r="K44" s="19">
        <f t="shared" si="0"/>
        <v>1.3550037180978672E-4</v>
      </c>
      <c r="L44" s="36">
        <f t="shared" si="1"/>
        <v>1.16404626974097E-2</v>
      </c>
      <c r="M44" s="64">
        <f t="shared" si="2"/>
        <v>5.1377859183254346E-10</v>
      </c>
      <c r="N44" s="12"/>
      <c r="O44" s="10">
        <f>-L55*$P$1</f>
        <v>-2.2073891088108318E-2</v>
      </c>
      <c r="P44" s="10">
        <f>+L55*$P$1</f>
        <v>2.2073891088108318E-2</v>
      </c>
    </row>
    <row r="45" spans="1:16" x14ac:dyDescent="0.25">
      <c r="A45" s="1">
        <v>45278</v>
      </c>
      <c r="B45" s="2">
        <f t="shared" si="6"/>
        <v>31</v>
      </c>
      <c r="C45" s="3">
        <f>+VLOOKUP(A45,Precios!$B:$H,1+$C$5,0)</f>
        <v>57.75</v>
      </c>
      <c r="D45" s="10">
        <f t="shared" si="3"/>
        <v>1.0675533776688839E-2</v>
      </c>
      <c r="E45" s="34">
        <f t="shared" si="4"/>
        <v>1.1396702141722426E-4</v>
      </c>
      <c r="F45" s="24">
        <f xml:space="preserve"> $C$7^( B45 - 1 )</f>
        <v>0.21463876394293749</v>
      </c>
      <c r="G45" s="25">
        <f t="shared" si="5"/>
        <v>2.4461740607251299E-5</v>
      </c>
      <c r="K45" s="19">
        <f t="shared" si="0"/>
        <v>1.3663370604097424E-4</v>
      </c>
      <c r="L45" s="36">
        <f t="shared" si="1"/>
        <v>1.168904213530665E-2</v>
      </c>
      <c r="M45" s="64">
        <f t="shared" si="2"/>
        <v>1.8899326602247702E-8</v>
      </c>
      <c r="N45" s="12"/>
      <c r="O45" s="10">
        <f>-L56*$P$1</f>
        <v>-1.9456603291548271E-2</v>
      </c>
      <c r="P45" s="10">
        <f>+L56*$P$1</f>
        <v>1.9456603291548271E-2</v>
      </c>
    </row>
    <row r="46" spans="1:16" x14ac:dyDescent="0.25">
      <c r="A46" s="1">
        <v>45275</v>
      </c>
      <c r="B46" s="2">
        <f t="shared" si="6"/>
        <v>32</v>
      </c>
      <c r="C46" s="3">
        <f>+VLOOKUP(A46,Precios!$B:$H,1+$C$5,0)</f>
        <v>57.14</v>
      </c>
      <c r="D46" s="10">
        <f t="shared" si="3"/>
        <v>2.4561403508771562E-3</v>
      </c>
      <c r="E46" s="34">
        <f t="shared" si="4"/>
        <v>6.0326254232069599E-6</v>
      </c>
      <c r="F46" s="24">
        <f xml:space="preserve"> $C$7^( B46 - 1 )</f>
        <v>0.20390682574579064</v>
      </c>
      <c r="G46" s="25">
        <f t="shared" si="5"/>
        <v>1.230093500959488E-6</v>
      </c>
      <c r="K46" s="19">
        <f t="shared" si="0"/>
        <v>1.435074471261199E-4</v>
      </c>
      <c r="L46" s="36">
        <f t="shared" si="1"/>
        <v>1.1979459383716775E-2</v>
      </c>
      <c r="M46" s="64">
        <f t="shared" si="2"/>
        <v>1.0408632861060063E-6</v>
      </c>
      <c r="N46" s="12"/>
      <c r="O46" s="10">
        <f>-L57*$P$1</f>
        <v>-1.9710527337961851E-2</v>
      </c>
      <c r="P46" s="10">
        <f>+L57*$P$1</f>
        <v>1.9710527337961851E-2</v>
      </c>
    </row>
    <row r="47" spans="1:16" x14ac:dyDescent="0.25">
      <c r="A47" s="1">
        <v>45274</v>
      </c>
      <c r="B47" s="2">
        <f t="shared" si="6"/>
        <v>33</v>
      </c>
      <c r="C47" s="3">
        <f>+VLOOKUP(A47,Precios!$B:$H,1+$C$5,0)</f>
        <v>57</v>
      </c>
      <c r="D47" s="10">
        <f t="shared" si="3"/>
        <v>3.3357505438723845E-2</v>
      </c>
      <c r="E47" s="34">
        <f t="shared" si="4"/>
        <v>1.1127231690944909E-3</v>
      </c>
      <c r="F47" s="24">
        <f xml:space="preserve"> $C$7^( B47 - 1 )</f>
        <v>0.19371148445850112</v>
      </c>
      <c r="G47" s="25">
        <f t="shared" si="5"/>
        <v>2.1554725687666159E-4</v>
      </c>
      <c r="K47" s="19">
        <f t="shared" si="0"/>
        <v>9.2496093338310866E-5</v>
      </c>
      <c r="L47" s="36">
        <f t="shared" si="1"/>
        <v>9.6174889310209691E-3</v>
      </c>
      <c r="M47" s="64">
        <f t="shared" si="2"/>
        <v>6.660638080032088E-9</v>
      </c>
      <c r="N47" s="12"/>
      <c r="O47" s="10">
        <f>-L58*$P$1</f>
        <v>-2.022086290238162E-2</v>
      </c>
      <c r="P47" s="10">
        <f>+L58*$P$1</f>
        <v>2.022086290238162E-2</v>
      </c>
    </row>
    <row r="48" spans="1:16" x14ac:dyDescent="0.25">
      <c r="A48" s="1">
        <v>45273</v>
      </c>
      <c r="B48" s="2">
        <f t="shared" si="6"/>
        <v>34</v>
      </c>
      <c r="C48" s="3">
        <f>+VLOOKUP(A48,Precios!$B:$H,1+$C$5,0)</f>
        <v>55.16</v>
      </c>
      <c r="D48" s="10">
        <f t="shared" si="3"/>
        <v>1.3039485766758396E-2</v>
      </c>
      <c r="E48" s="34">
        <f t="shared" si="4"/>
        <v>1.700281890614948E-4</v>
      </c>
      <c r="F48" s="24">
        <f xml:space="preserve"> $C$7^( B48 - 1 )</f>
        <v>0.18402591023557605</v>
      </c>
      <c r="G48" s="25">
        <f t="shared" si="5"/>
        <v>3.1289592257748193E-5</v>
      </c>
      <c r="K48" s="19">
        <f t="shared" si="0"/>
        <v>8.8415456721301173E-5</v>
      </c>
      <c r="L48" s="36">
        <f t="shared" si="1"/>
        <v>9.4029493629021084E-3</v>
      </c>
      <c r="M48" s="64">
        <f t="shared" si="2"/>
        <v>8.4250234413497879E-9</v>
      </c>
      <c r="N48" s="12"/>
      <c r="O48" s="10">
        <f>-L59*$P$1</f>
        <v>-2.0105361593861323E-2</v>
      </c>
      <c r="P48" s="10">
        <f>+L59*$P$1</f>
        <v>2.0105361593861323E-2</v>
      </c>
    </row>
    <row r="49" spans="1:16" x14ac:dyDescent="0.25">
      <c r="A49" s="1">
        <v>45271</v>
      </c>
      <c r="B49" s="2">
        <f t="shared" si="6"/>
        <v>35</v>
      </c>
      <c r="C49" s="3">
        <f>+VLOOKUP(A49,Precios!$B:$H,1+$C$5,0)</f>
        <v>54.45</v>
      </c>
      <c r="D49" s="10">
        <f t="shared" si="3"/>
        <v>1.1031439602868787E-3</v>
      </c>
      <c r="E49" s="34">
        <f t="shared" si="4"/>
        <v>1.2169265971174186E-6</v>
      </c>
      <c r="F49" s="24">
        <f xml:space="preserve"> $C$7^( B49 - 1 )</f>
        <v>0.17482461472379726</v>
      </c>
      <c r="G49" s="25">
        <f t="shared" si="5"/>
        <v>2.1274872348819437E-7</v>
      </c>
      <c r="K49" s="19">
        <f t="shared" si="0"/>
        <v>9.3004853043626641E-5</v>
      </c>
      <c r="L49" s="36">
        <f t="shared" si="1"/>
        <v>9.6439023763011337E-3</v>
      </c>
      <c r="M49" s="64">
        <f t="shared" si="2"/>
        <v>9.5218475106052282E-9</v>
      </c>
      <c r="N49" s="12"/>
      <c r="O49" s="10">
        <f>-L60*$P$1</f>
        <v>-2.0601280377881642E-2</v>
      </c>
      <c r="P49" s="10">
        <f>+L60*$P$1</f>
        <v>2.0601280377881642E-2</v>
      </c>
    </row>
    <row r="50" spans="1:16" x14ac:dyDescent="0.25">
      <c r="A50" s="1">
        <v>45268</v>
      </c>
      <c r="B50" s="2">
        <f t="shared" si="6"/>
        <v>36</v>
      </c>
      <c r="C50" s="3">
        <f>+VLOOKUP(A50,Precios!$B:$H,1+$C$5,0)</f>
        <v>54.39</v>
      </c>
      <c r="D50" s="10">
        <f t="shared" si="3"/>
        <v>-5.5126791620729865E-4</v>
      </c>
      <c r="E50" s="34">
        <f t="shared" si="4"/>
        <v>3.0389631543953724E-7</v>
      </c>
      <c r="F50" s="24">
        <f xml:space="preserve"> $C$7^( B50 - 1 )</f>
        <v>0.16608338398760736</v>
      </c>
      <c r="G50" s="25">
        <f t="shared" si="5"/>
        <v>5.0472128449563714E-8</v>
      </c>
      <c r="K50" s="19">
        <f t="shared" si="0"/>
        <v>9.7883850766162812E-5</v>
      </c>
      <c r="L50" s="36">
        <f t="shared" si="1"/>
        <v>9.8936267751599978E-3</v>
      </c>
      <c r="M50" s="64">
        <f t="shared" si="2"/>
        <v>2.8845715242190871E-9</v>
      </c>
      <c r="N50" s="12"/>
      <c r="O50" s="10">
        <f>-L61*$P$1</f>
        <v>-2.1084423155491399E-2</v>
      </c>
      <c r="P50" s="10">
        <f>+L61*$P$1</f>
        <v>2.1084423155491399E-2</v>
      </c>
    </row>
    <row r="51" spans="1:16" x14ac:dyDescent="0.25">
      <c r="A51" s="1">
        <v>45267</v>
      </c>
      <c r="B51" s="2">
        <f t="shared" si="6"/>
        <v>37</v>
      </c>
      <c r="C51" s="3">
        <f>+VLOOKUP(A51,Precios!$B:$H,1+$C$5,0)</f>
        <v>54.42</v>
      </c>
      <c r="D51" s="10">
        <f t="shared" si="3"/>
        <v>6.8455134135061435E-3</v>
      </c>
      <c r="E51" s="34">
        <f t="shared" si="4"/>
        <v>4.6861053894492531E-5</v>
      </c>
      <c r="F51" s="24">
        <f xml:space="preserve"> $C$7^( B51 - 1 )</f>
        <v>0.15777921478822701</v>
      </c>
      <c r="G51" s="25">
        <f t="shared" si="5"/>
        <v>7.3937002876218187E-6</v>
      </c>
      <c r="K51" s="19">
        <f t="shared" si="0"/>
        <v>1.0056926112782967E-4</v>
      </c>
      <c r="L51" s="36">
        <f t="shared" si="1"/>
        <v>1.0028422664000041E-2</v>
      </c>
      <c r="M51" s="64">
        <f t="shared" si="2"/>
        <v>1.1017284146196879E-8</v>
      </c>
      <c r="N51" s="12"/>
      <c r="O51" s="10">
        <f>-L62*$P$1</f>
        <v>-2.1561211261548106E-2</v>
      </c>
      <c r="P51" s="10">
        <f>+L62*$P$1</f>
        <v>2.1561211261548106E-2</v>
      </c>
    </row>
    <row r="52" spans="1:16" x14ac:dyDescent="0.25">
      <c r="A52" s="1">
        <v>45266</v>
      </c>
      <c r="B52" s="2">
        <f t="shared" si="6"/>
        <v>38</v>
      </c>
      <c r="C52" s="3">
        <f>+VLOOKUP(A52,Precios!$B:$H,1+$C$5,0)</f>
        <v>54.05</v>
      </c>
      <c r="D52" s="10">
        <f t="shared" si="3"/>
        <v>-9.2421441774503954E-4</v>
      </c>
      <c r="E52" s="34">
        <f t="shared" si="4"/>
        <v>8.5417228996780245E-7</v>
      </c>
      <c r="F52" s="24">
        <f xml:space="preserve"> $C$7^( B52 - 1 )</f>
        <v>0.14989025404881567</v>
      </c>
      <c r="G52" s="25">
        <f t="shared" si="5"/>
        <v>1.2803210154473257E-7</v>
      </c>
      <c r="K52" s="19">
        <f t="shared" si="0"/>
        <v>1.0581742369824345E-4</v>
      </c>
      <c r="L52" s="36">
        <f t="shared" si="1"/>
        <v>1.028675963062438E-2</v>
      </c>
      <c r="M52" s="64">
        <f t="shared" si="2"/>
        <v>1.2119618689455012E-8</v>
      </c>
      <c r="N52" s="12"/>
      <c r="O52" s="10">
        <f>-L63*$P$1</f>
        <v>-2.2038064415685066E-2</v>
      </c>
      <c r="P52" s="10">
        <f>+L63*$P$1</f>
        <v>2.2038064415685066E-2</v>
      </c>
    </row>
    <row r="53" spans="1:16" x14ac:dyDescent="0.25">
      <c r="A53" s="1">
        <v>45265</v>
      </c>
      <c r="B53" s="2">
        <f t="shared" si="6"/>
        <v>39</v>
      </c>
      <c r="C53" s="3">
        <f>+VLOOKUP(A53,Precios!$B:$H,1+$C$5,0)</f>
        <v>54.1</v>
      </c>
      <c r="D53" s="10">
        <f t="shared" si="3"/>
        <v>1.1102886750555818E-3</v>
      </c>
      <c r="E53" s="34">
        <f t="shared" si="4"/>
        <v>1.2327409419566793E-6</v>
      </c>
      <c r="F53" s="24">
        <f xml:space="preserve"> $C$7^( B53 - 1 )</f>
        <v>0.14239574134637487</v>
      </c>
      <c r="G53" s="25">
        <f t="shared" si="5"/>
        <v>1.755370603179498E-7</v>
      </c>
      <c r="K53" s="19">
        <f t="shared" si="0"/>
        <v>1.1132188068541644E-4</v>
      </c>
      <c r="L53" s="36">
        <f t="shared" si="1"/>
        <v>1.0550918475915565E-2</v>
      </c>
      <c r="M53" s="64">
        <f t="shared" si="2"/>
        <v>9.5941516447005178E-9</v>
      </c>
      <c r="N53" s="12"/>
      <c r="O53" s="10">
        <f>-L64*$P$1</f>
        <v>-2.2486491677432024E-2</v>
      </c>
      <c r="P53" s="10">
        <f>+L64*$P$1</f>
        <v>2.2486491677432024E-2</v>
      </c>
    </row>
    <row r="54" spans="1:16" x14ac:dyDescent="0.25">
      <c r="A54" s="1">
        <v>45264</v>
      </c>
      <c r="B54" s="2">
        <f t="shared" si="6"/>
        <v>40</v>
      </c>
      <c r="C54" s="3">
        <f>+VLOOKUP(A54,Precios!$B:$H,1+$C$5,0)</f>
        <v>54.04</v>
      </c>
      <c r="D54" s="10">
        <f t="shared" si="3"/>
        <v>4.2742984575356857E-3</v>
      </c>
      <c r="E54" s="34">
        <f t="shared" si="4"/>
        <v>1.8269627304091942E-5</v>
      </c>
      <c r="F54" s="24">
        <f xml:space="preserve"> $C$7^( B54 - 1 )</f>
        <v>0.13527595427905614</v>
      </c>
      <c r="G54" s="25">
        <f t="shared" si="5"/>
        <v>2.4714412678837375E-6</v>
      </c>
      <c r="K54" s="19">
        <f t="shared" si="0"/>
        <v>1.1621936770548616E-4</v>
      </c>
      <c r="L54" s="36">
        <f t="shared" si="1"/>
        <v>1.0780508694189072E-2</v>
      </c>
      <c r="M54" s="64">
        <f t="shared" si="2"/>
        <v>1.2520711400624492E-8</v>
      </c>
      <c r="N54" s="12"/>
      <c r="O54" s="10">
        <f>-L65*$P$1</f>
        <v>-2.2891049293576993E-2</v>
      </c>
      <c r="P54" s="10">
        <f>+L65*$P$1</f>
        <v>2.2891049293576993E-2</v>
      </c>
    </row>
    <row r="55" spans="1:16" x14ac:dyDescent="0.25">
      <c r="A55" s="1">
        <v>45261</v>
      </c>
      <c r="B55" s="2">
        <f t="shared" si="6"/>
        <v>41</v>
      </c>
      <c r="C55" s="3">
        <f>+VLOOKUP(A55,Precios!$B:$H,1+$C$5,0)</f>
        <v>53.81</v>
      </c>
      <c r="D55" s="10">
        <f t="shared" si="3"/>
        <v>-3.1493145609483575E-3</v>
      </c>
      <c r="E55" s="34">
        <f t="shared" si="4"/>
        <v>9.9181822038013449E-6</v>
      </c>
      <c r="F55" s="24">
        <f xml:space="preserve"> $C$7^( B55 - 1 )</f>
        <v>0.12851215656510334</v>
      </c>
      <c r="G55" s="25">
        <f t="shared" si="5"/>
        <v>1.2746069842161401E-6</v>
      </c>
      <c r="K55" s="19">
        <f t="shared" si="0"/>
        <v>1.2181416694241693E-4</v>
      </c>
      <c r="L55" s="36">
        <f t="shared" si="1"/>
        <v>1.1036945544054159E-2</v>
      </c>
      <c r="M55" s="64">
        <f t="shared" si="2"/>
        <v>2.9537733722749131E-7</v>
      </c>
      <c r="N55" s="12"/>
      <c r="O55" s="10">
        <f>-L66*$P$1</f>
        <v>-2.3366557466819551E-2</v>
      </c>
      <c r="P55" s="10">
        <f>+L66*$P$1</f>
        <v>2.3366557466819551E-2</v>
      </c>
    </row>
    <row r="56" spans="1:16" x14ac:dyDescent="0.25">
      <c r="A56" s="1">
        <v>45260</v>
      </c>
      <c r="B56" s="2">
        <f t="shared" si="6"/>
        <v>42</v>
      </c>
      <c r="C56" s="3">
        <f>+VLOOKUP(A56,Precios!$B:$H,1+$C$5,0)</f>
        <v>53.98</v>
      </c>
      <c r="D56" s="10">
        <f t="shared" si="3"/>
        <v>2.5261158594491961E-2</v>
      </c>
      <c r="E56" s="34">
        <f t="shared" si="4"/>
        <v>6.3812613353607514E-4</v>
      </c>
      <c r="F56" s="24">
        <f xml:space="preserve"> $C$7^( B56 - 1 )</f>
        <v>0.12208654873684816</v>
      </c>
      <c r="G56" s="25">
        <f t="shared" si="5"/>
        <v>7.7906617302208505E-5</v>
      </c>
      <c r="K56" s="19">
        <f t="shared" si="0"/>
        <v>9.4639852911171743E-5</v>
      </c>
      <c r="L56" s="36">
        <f t="shared" si="1"/>
        <v>9.7283016457741355E-3</v>
      </c>
      <c r="M56" s="64">
        <f t="shared" si="2"/>
        <v>2.4728124687851119E-9</v>
      </c>
      <c r="N56" s="12"/>
      <c r="O56" s="10">
        <f>-L67*$P$1</f>
        <v>-2.0287635194417567E-2</v>
      </c>
      <c r="P56" s="10">
        <f>+L67*$P$1</f>
        <v>2.0287635194417567E-2</v>
      </c>
    </row>
    <row r="57" spans="1:16" x14ac:dyDescent="0.25">
      <c r="A57" s="1">
        <v>45259</v>
      </c>
      <c r="B57" s="2">
        <f t="shared" si="6"/>
        <v>43</v>
      </c>
      <c r="C57" s="3">
        <f>+VLOOKUP(A57,Precios!$B:$H,1+$C$5,0)</f>
        <v>52.65</v>
      </c>
      <c r="D57" s="10">
        <f t="shared" si="3"/>
        <v>6.8846815834766595E-3</v>
      </c>
      <c r="E57" s="34">
        <f t="shared" si="4"/>
        <v>4.7398840505862686E-5</v>
      </c>
      <c r="F57" s="24">
        <f xml:space="preserve"> $C$7^( B57 - 1 )</f>
        <v>0.11598222130000577</v>
      </c>
      <c r="G57" s="25">
        <f t="shared" si="5"/>
        <v>5.4974228089146429E-6</v>
      </c>
      <c r="K57" s="19">
        <f t="shared" si="0"/>
        <v>9.712622198513537E-5</v>
      </c>
      <c r="L57" s="36">
        <f t="shared" si="1"/>
        <v>9.8552636689809257E-3</v>
      </c>
      <c r="M57" s="64">
        <f t="shared" si="2"/>
        <v>1.0381988402638506E-8</v>
      </c>
      <c r="N57" s="12"/>
      <c r="O57" s="10">
        <f>-L68*$P$1</f>
        <v>-2.0752051314595815E-2</v>
      </c>
      <c r="P57" s="10">
        <f>+L68*$P$1</f>
        <v>2.0752051314595815E-2</v>
      </c>
    </row>
    <row r="58" spans="1:16" x14ac:dyDescent="0.25">
      <c r="A58" s="1">
        <v>45258</v>
      </c>
      <c r="B58" s="2">
        <f t="shared" si="6"/>
        <v>44</v>
      </c>
      <c r="C58" s="3">
        <f>+VLOOKUP(A58,Precios!$B:$H,1+$C$5,0)</f>
        <v>52.29</v>
      </c>
      <c r="D58" s="10">
        <f t="shared" si="3"/>
        <v>-5.7339449541282672E-4</v>
      </c>
      <c r="E58" s="34">
        <f t="shared" si="4"/>
        <v>3.2878124736973018E-7</v>
      </c>
      <c r="F58" s="24">
        <f xml:space="preserve"> $C$7^( B58 - 1 )</f>
        <v>0.11018311023500546</v>
      </c>
      <c r="G58" s="25">
        <f t="shared" si="5"/>
        <v>3.6226140422141582E-8</v>
      </c>
      <c r="K58" s="19">
        <f t="shared" si="0"/>
        <v>1.022208241292283E-4</v>
      </c>
      <c r="L58" s="36">
        <f t="shared" si="1"/>
        <v>1.011043145119081E-2</v>
      </c>
      <c r="M58" s="64">
        <f t="shared" si="2"/>
        <v>5.4236161403078662E-10</v>
      </c>
      <c r="N58" s="12"/>
      <c r="O58" s="10">
        <f>-L69*$P$1</f>
        <v>-2.1214957164977007E-2</v>
      </c>
      <c r="P58" s="10">
        <f>+L69*$P$1</f>
        <v>2.1214957164977007E-2</v>
      </c>
    </row>
    <row r="59" spans="1:16" x14ac:dyDescent="0.25">
      <c r="A59" s="1">
        <v>45257</v>
      </c>
      <c r="B59" s="2">
        <f t="shared" si="6"/>
        <v>45</v>
      </c>
      <c r="C59" s="3">
        <f>+VLOOKUP(A59,Precios!$B:$H,1+$C$5,0)</f>
        <v>52.32</v>
      </c>
      <c r="D59" s="10">
        <f t="shared" si="3"/>
        <v>-1.1151011151011136E-2</v>
      </c>
      <c r="E59" s="34">
        <f t="shared" si="4"/>
        <v>1.243450496899747E-4</v>
      </c>
      <c r="F59" s="24">
        <f xml:space="preserve"> $C$7^( B59 - 1 )</f>
        <v>0.10467395472325518</v>
      </c>
      <c r="G59" s="25">
        <f t="shared" si="5"/>
        <v>1.3015688101309327E-5</v>
      </c>
      <c r="K59" s="19">
        <f t="shared" si="0"/>
        <v>1.0105639120497848E-4</v>
      </c>
      <c r="L59" s="36">
        <f t="shared" si="1"/>
        <v>1.0052680796930662E-2</v>
      </c>
      <c r="M59" s="64">
        <f t="shared" si="2"/>
        <v>1.0188064375493971E-8</v>
      </c>
      <c r="N59" s="12"/>
      <c r="O59" s="10">
        <f>-L70*$P$1</f>
        <v>-2.1729397749506343E-2</v>
      </c>
      <c r="P59" s="10">
        <f>+L70*$P$1</f>
        <v>2.1729397749506343E-2</v>
      </c>
    </row>
    <row r="60" spans="1:16" x14ac:dyDescent="0.25">
      <c r="A60" s="1">
        <v>45254</v>
      </c>
      <c r="B60" s="2">
        <f t="shared" si="6"/>
        <v>46</v>
      </c>
      <c r="C60" s="3">
        <f>+VLOOKUP(A60,Precios!$B:$H,1+$C$5,0)</f>
        <v>52.91</v>
      </c>
      <c r="D60" s="10">
        <f t="shared" si="3"/>
        <v>2.2731577950367843E-3</v>
      </c>
      <c r="E60" s="34">
        <f t="shared" si="4"/>
        <v>5.1672463611364953E-6</v>
      </c>
      <c r="F60" s="24">
        <f xml:space="preserve"> $C$7^( B60 - 1 )</f>
        <v>9.9440256987092426E-2</v>
      </c>
      <c r="G60" s="25">
        <f t="shared" si="5"/>
        <v>5.1383230606703127E-7</v>
      </c>
      <c r="K60" s="19">
        <f t="shared" si="0"/>
        <v>1.061031883020228E-4</v>
      </c>
      <c r="L60" s="36">
        <f t="shared" si="1"/>
        <v>1.0300640188940821E-2</v>
      </c>
      <c r="M60" s="64">
        <f t="shared" si="2"/>
        <v>1.0140637618410001E-8</v>
      </c>
      <c r="N60" s="12"/>
      <c r="O60" s="10">
        <f>-L71*$P$1</f>
        <v>-2.2221303397792186E-2</v>
      </c>
      <c r="P60" s="10">
        <f>+L71*$P$1</f>
        <v>2.2221303397792186E-2</v>
      </c>
    </row>
    <row r="61" spans="1:16" x14ac:dyDescent="0.25">
      <c r="A61" s="1">
        <v>45253</v>
      </c>
      <c r="B61" s="2">
        <f t="shared" si="6"/>
        <v>47</v>
      </c>
      <c r="C61" s="3">
        <f>+VLOOKUP(A61,Precios!$B:$H,1+$C$5,0)</f>
        <v>52.79</v>
      </c>
      <c r="D61" s="10">
        <f t="shared" si="3"/>
        <v>3.230710756366495E-3</v>
      </c>
      <c r="E61" s="34">
        <f t="shared" si="4"/>
        <v>1.043749199130217E-5</v>
      </c>
      <c r="F61" s="24">
        <f xml:space="preserve"> $C$7^( B61 - 1 )</f>
        <v>9.44682441377378E-2</v>
      </c>
      <c r="G61" s="25">
        <f t="shared" si="5"/>
        <v>9.8601154162001648E-7</v>
      </c>
      <c r="K61" s="19">
        <f t="shared" si="0"/>
        <v>1.1113822494995546E-4</v>
      </c>
      <c r="L61" s="36">
        <f t="shared" si="1"/>
        <v>1.0542211577745699E-2</v>
      </c>
      <c r="M61" s="64">
        <f t="shared" si="2"/>
        <v>1.0335702345972205E-8</v>
      </c>
      <c r="N61" s="12"/>
      <c r="O61" s="10">
        <f>-L72*$P$1</f>
        <v>-2.2443291600428319E-2</v>
      </c>
      <c r="P61" s="10">
        <f>+L72*$P$1</f>
        <v>2.2443291600428319E-2</v>
      </c>
    </row>
    <row r="62" spans="1:16" x14ac:dyDescent="0.25">
      <c r="A62" s="1">
        <v>45252</v>
      </c>
      <c r="B62" s="2">
        <f t="shared" si="6"/>
        <v>48</v>
      </c>
      <c r="C62" s="3">
        <f>+VLOOKUP(A62,Precios!$B:$H,1+$C$5,0)</f>
        <v>52.62</v>
      </c>
      <c r="D62" s="10">
        <f t="shared" si="3"/>
        <v>3.8153376573826225E-3</v>
      </c>
      <c r="E62" s="34">
        <f t="shared" si="4"/>
        <v>1.4556801439841918E-5</v>
      </c>
      <c r="F62" s="24">
        <f xml:space="preserve"> $C$7^( B62 - 1 )</f>
        <v>8.9744831930850921E-2</v>
      </c>
      <c r="G62" s="25">
        <f t="shared" si="5"/>
        <v>1.3063976986693816E-6</v>
      </c>
      <c r="K62" s="19">
        <f t="shared" si="0"/>
        <v>1.1622145776627723E-4</v>
      </c>
      <c r="L62" s="36">
        <f t="shared" si="1"/>
        <v>1.0780605630774053E-2</v>
      </c>
      <c r="M62" s="64">
        <f t="shared" si="2"/>
        <v>1.0806072488814433E-8</v>
      </c>
      <c r="N62" s="12"/>
      <c r="O62" s="10">
        <f>-L73*$P$1</f>
        <v>-2.279867095534702E-2</v>
      </c>
      <c r="P62" s="10">
        <f>+L73*$P$1</f>
        <v>2.279867095534702E-2</v>
      </c>
    </row>
    <row r="63" spans="1:16" x14ac:dyDescent="0.25">
      <c r="A63" s="1">
        <v>45251</v>
      </c>
      <c r="B63" s="2">
        <f t="shared" si="6"/>
        <v>49</v>
      </c>
      <c r="C63" s="3">
        <f>+VLOOKUP(A63,Precios!$B:$H,1+$C$5,0)</f>
        <v>52.42</v>
      </c>
      <c r="D63" s="10">
        <f t="shared" si="3"/>
        <v>-4.1793313069908855E-3</v>
      </c>
      <c r="E63" s="34">
        <f t="shared" si="4"/>
        <v>1.7466810173594142E-5</v>
      </c>
      <c r="F63" s="24">
        <f xml:space="preserve"> $C$7^( B63 - 1 )</f>
        <v>8.5257590334308367E-2</v>
      </c>
      <c r="G63" s="25">
        <f t="shared" si="5"/>
        <v>1.489178146227419E-6</v>
      </c>
      <c r="K63" s="19">
        <f t="shared" si="0"/>
        <v>1.2141907079747107E-4</v>
      </c>
      <c r="L63" s="36">
        <f t="shared" si="1"/>
        <v>1.1019032207842533E-2</v>
      </c>
      <c r="M63" s="64">
        <f t="shared" si="2"/>
        <v>9.9660536272428844E-9</v>
      </c>
      <c r="N63" s="12"/>
      <c r="O63" s="10">
        <f>-L74*$P$1</f>
        <v>-1.8404203207251099E-2</v>
      </c>
      <c r="P63" s="10">
        <f>+L74*$P$1</f>
        <v>1.8404203207251099E-2</v>
      </c>
    </row>
    <row r="64" spans="1:16" x14ac:dyDescent="0.25">
      <c r="A64" s="1">
        <v>45247</v>
      </c>
      <c r="B64" s="2">
        <f t="shared" si="6"/>
        <v>50</v>
      </c>
      <c r="C64" s="3">
        <f>+VLOOKUP(A64,Precios!$B:$H,1+$C$5,0)</f>
        <v>52.64</v>
      </c>
      <c r="D64" s="10">
        <f t="shared" si="3"/>
        <v>5.1556234485392594E-3</v>
      </c>
      <c r="E64" s="34">
        <f t="shared" si="4"/>
        <v>2.6580453143127845E-5</v>
      </c>
      <c r="F64" s="24">
        <f xml:space="preserve"> $C$7^( B64 - 1 )</f>
        <v>8.0994710817592949E-2</v>
      </c>
      <c r="G64" s="25">
        <f t="shared" si="5"/>
        <v>2.1528761157282192E-6</v>
      </c>
      <c r="K64" s="19">
        <f t="shared" si="0"/>
        <v>1.2641057698980492E-4</v>
      </c>
      <c r="L64" s="36">
        <f t="shared" si="1"/>
        <v>1.1243245838716012E-2</v>
      </c>
      <c r="M64" s="64">
        <f t="shared" si="2"/>
        <v>8.4252478757523822E-9</v>
      </c>
      <c r="N64" s="12"/>
      <c r="O64" s="10">
        <f>-L75*$P$1</f>
        <v>-1.7630263224793517E-2</v>
      </c>
      <c r="P64" s="10">
        <f>+L75*$P$1</f>
        <v>1.7630263224793517E-2</v>
      </c>
    </row>
    <row r="65" spans="1:16" x14ac:dyDescent="0.25">
      <c r="A65" s="1">
        <v>45246</v>
      </c>
      <c r="B65" s="2">
        <f t="shared" si="6"/>
        <v>51</v>
      </c>
      <c r="C65" s="3">
        <f>+VLOOKUP(A65,Precios!$B:$H,1+$C$5,0)</f>
        <v>52.37</v>
      </c>
      <c r="D65" s="10">
        <f t="shared" si="3"/>
        <v>-6.2618595825427725E-3</v>
      </c>
      <c r="E65" s="34">
        <f t="shared" si="4"/>
        <v>3.9210885431482744E-5</v>
      </c>
      <c r="F65" s="24">
        <f xml:space="preserve"> $C$7^( B65 - 1 )</f>
        <v>7.6944975276713304E-2</v>
      </c>
      <c r="G65" s="25">
        <f t="shared" si="5"/>
        <v>3.0170806101034774E-6</v>
      </c>
      <c r="K65" s="19">
        <f t="shared" si="0"/>
        <v>1.3100003444024293E-4</v>
      </c>
      <c r="L65" s="36">
        <f t="shared" si="1"/>
        <v>1.1445524646788496E-2</v>
      </c>
      <c r="M65" s="64">
        <f t="shared" si="2"/>
        <v>1.2095457524533812E-8</v>
      </c>
      <c r="N65" s="12"/>
      <c r="O65" s="10">
        <f>-L76*$P$1</f>
        <v>-1.8018172000946509E-2</v>
      </c>
      <c r="P65" s="10">
        <f>+L76*$P$1</f>
        <v>1.8018172000946509E-2</v>
      </c>
    </row>
    <row r="66" spans="1:16" x14ac:dyDescent="0.25">
      <c r="A66" s="1">
        <v>45245</v>
      </c>
      <c r="B66" s="2">
        <f t="shared" si="6"/>
        <v>52</v>
      </c>
      <c r="C66" s="3">
        <f>+VLOOKUP(A66,Precios!$B:$H,1+$C$5,0)</f>
        <v>52.7</v>
      </c>
      <c r="D66" s="10">
        <f t="shared" si="3"/>
        <v>5.1497234407782422E-3</v>
      </c>
      <c r="E66" s="34">
        <f t="shared" si="4"/>
        <v>2.6519651516500897E-5</v>
      </c>
      <c r="F66" s="24">
        <f xml:space="preserve"> $C$7^( B66 - 1 )</f>
        <v>7.3097726512877631E-2</v>
      </c>
      <c r="G66" s="25">
        <f t="shared" si="5"/>
        <v>1.9385262337700033E-6</v>
      </c>
      <c r="K66" s="19">
        <f t="shared" si="0"/>
        <v>1.3649900196254514E-4</v>
      </c>
      <c r="L66" s="36">
        <f t="shared" si="1"/>
        <v>1.1683278733409776E-2</v>
      </c>
      <c r="M66" s="64">
        <f t="shared" si="2"/>
        <v>4.5163686152659184E-7</v>
      </c>
      <c r="N66" s="12"/>
      <c r="O66" s="10">
        <f>-L77*$P$1</f>
        <v>-1.8297447553578521E-2</v>
      </c>
      <c r="P66" s="10">
        <f>+L77*$P$1</f>
        <v>1.8297447553578521E-2</v>
      </c>
    </row>
    <row r="67" spans="1:16" x14ac:dyDescent="0.25">
      <c r="A67" s="1">
        <v>45244</v>
      </c>
      <c r="B67" s="2">
        <f t="shared" si="6"/>
        <v>53</v>
      </c>
      <c r="C67" s="3">
        <f>+VLOOKUP(A67,Precios!$B:$H,1+$C$5,0)</f>
        <v>52.43</v>
      </c>
      <c r="D67" s="10">
        <f t="shared" si="3"/>
        <v>2.7837678886492911E-2</v>
      </c>
      <c r="E67" s="34">
        <f t="shared" si="4"/>
        <v>7.7493636578749323E-4</v>
      </c>
      <c r="F67" s="24">
        <f xml:space="preserve"> $C$7^( B67 - 1 )</f>
        <v>6.9442840187233748E-2</v>
      </c>
      <c r="G67" s="25">
        <f t="shared" si="5"/>
        <v>5.3813782204656605E-5</v>
      </c>
      <c r="K67" s="19">
        <f t="shared" si="0"/>
        <v>1.0289703544544258E-4</v>
      </c>
      <c r="L67" s="36">
        <f t="shared" si="1"/>
        <v>1.0143817597208784E-2</v>
      </c>
      <c r="M67" s="64">
        <f t="shared" si="2"/>
        <v>9.08160586515277E-9</v>
      </c>
      <c r="N67" s="12"/>
      <c r="O67" s="10">
        <f>-L78*$P$1</f>
        <v>-1.8297698289039439E-2</v>
      </c>
      <c r="P67" s="10">
        <f>+L78*$P$1</f>
        <v>1.8297698289039439E-2</v>
      </c>
    </row>
    <row r="68" spans="1:16" x14ac:dyDescent="0.25">
      <c r="A68" s="1">
        <v>45243</v>
      </c>
      <c r="B68" s="2">
        <f t="shared" si="6"/>
        <v>54</v>
      </c>
      <c r="C68" s="3">
        <f>+VLOOKUP(A68,Precios!$B:$H,1+$C$5,0)</f>
        <v>51.01</v>
      </c>
      <c r="D68" s="10">
        <f t="shared" si="3"/>
        <v>-3.5163117796445098E-3</v>
      </c>
      <c r="E68" s="34">
        <f t="shared" si="4"/>
        <v>1.2364448531666739E-5</v>
      </c>
      <c r="F68" s="24">
        <f xml:space="preserve"> $C$7^( B68 - 1 )</f>
        <v>6.5970698177872072E-2</v>
      </c>
      <c r="G68" s="25">
        <f t="shared" si="5"/>
        <v>8.1569130221841992E-7</v>
      </c>
      <c r="K68" s="19">
        <f t="shared" si="0"/>
        <v>1.0766190844090446E-4</v>
      </c>
      <c r="L68" s="36">
        <f t="shared" si="1"/>
        <v>1.0376025657297908E-2</v>
      </c>
      <c r="M68" s="64">
        <f t="shared" si="2"/>
        <v>9.4349884565853588E-9</v>
      </c>
      <c r="N68" s="12"/>
      <c r="O68" s="10">
        <f>-L79*$P$1</f>
        <v>-1.822065131725607E-2</v>
      </c>
      <c r="P68" s="10">
        <f>+L79*$P$1</f>
        <v>1.822065131725607E-2</v>
      </c>
    </row>
    <row r="69" spans="1:16" x14ac:dyDescent="0.25">
      <c r="A69" s="1">
        <v>45240</v>
      </c>
      <c r="B69" s="2">
        <f t="shared" si="6"/>
        <v>55</v>
      </c>
      <c r="C69" s="3">
        <f>+VLOOKUP(A69,Precios!$B:$H,1+$C$5,0)</f>
        <v>51.19</v>
      </c>
      <c r="D69" s="10">
        <f t="shared" si="3"/>
        <v>3.922337713277102E-3</v>
      </c>
      <c r="E69" s="34">
        <f t="shared" si="4"/>
        <v>1.5384733136995845E-5</v>
      </c>
      <c r="F69" s="24">
        <f xml:space="preserve"> $C$7^( B69 - 1 )</f>
        <v>6.2672163268978454E-2</v>
      </c>
      <c r="G69" s="25">
        <f t="shared" si="5"/>
        <v>9.641945070114666E-7</v>
      </c>
      <c r="K69" s="19">
        <f t="shared" si="0"/>
        <v>1.125186018779523E-4</v>
      </c>
      <c r="L69" s="36">
        <f t="shared" si="1"/>
        <v>1.0607478582488504E-2</v>
      </c>
      <c r="M69" s="64">
        <f t="shared" si="2"/>
        <v>1.2201764019035512E-8</v>
      </c>
      <c r="N69" s="12"/>
      <c r="O69" s="10">
        <f>-L80*$P$1</f>
        <v>-1.822031663494689E-2</v>
      </c>
      <c r="P69" s="10">
        <f>+L80*$P$1</f>
        <v>1.822031663494689E-2</v>
      </c>
    </row>
    <row r="70" spans="1:16" x14ac:dyDescent="0.25">
      <c r="A70" s="1">
        <v>45239</v>
      </c>
      <c r="B70" s="2">
        <f t="shared" si="6"/>
        <v>56</v>
      </c>
      <c r="C70" s="3">
        <f>+VLOOKUP(A70,Precios!$B:$H,1+$C$5,0)</f>
        <v>50.99</v>
      </c>
      <c r="D70" s="10">
        <f t="shared" si="3"/>
        <v>2.753195673549591E-3</v>
      </c>
      <c r="E70" s="34">
        <f t="shared" si="4"/>
        <v>7.5800864168521866E-6</v>
      </c>
      <c r="F70" s="24">
        <f xml:space="preserve"> $C$7^( B70 - 1 )</f>
        <v>5.9538555105529543E-2</v>
      </c>
      <c r="G70" s="25">
        <f t="shared" si="5"/>
        <v>4.5130739283442989E-7</v>
      </c>
      <c r="K70" s="19">
        <f t="shared" si="0"/>
        <v>1.1804168163906284E-4</v>
      </c>
      <c r="L70" s="36">
        <f t="shared" si="1"/>
        <v>1.0864698874753172E-2</v>
      </c>
      <c r="M70" s="64">
        <f t="shared" si="2"/>
        <v>1.1685175593895356E-8</v>
      </c>
      <c r="N70" s="12"/>
      <c r="O70" s="10">
        <f>-L81*$P$1</f>
        <v>-1.8692683318925485E-2</v>
      </c>
      <c r="P70" s="10">
        <f>+L81*$P$1</f>
        <v>1.8692683318925485E-2</v>
      </c>
    </row>
    <row r="71" spans="1:16" x14ac:dyDescent="0.25">
      <c r="A71" s="1">
        <v>45238</v>
      </c>
      <c r="B71" s="2">
        <f t="shared" si="6"/>
        <v>57</v>
      </c>
      <c r="C71" s="3">
        <f>+VLOOKUP(A71,Precios!$B:$H,1+$C$5,0)</f>
        <v>50.85</v>
      </c>
      <c r="D71" s="10">
        <f t="shared" si="3"/>
        <v>-3.9177277179235359E-3</v>
      </c>
      <c r="E71" s="34">
        <f t="shared" si="4"/>
        <v>1.5348590471786357E-5</v>
      </c>
      <c r="F71" s="24">
        <f xml:space="preserve"> $C$7^( B71 - 1 )</f>
        <v>5.6561627350253066E-2</v>
      </c>
      <c r="G71" s="25">
        <f t="shared" si="5"/>
        <v>8.6814125461682478E-7</v>
      </c>
      <c r="K71" s="19">
        <f t="shared" si="0"/>
        <v>1.2344658117418266E-4</v>
      </c>
      <c r="L71" s="36">
        <f t="shared" si="1"/>
        <v>1.1110651698896093E-2</v>
      </c>
      <c r="M71" s="64">
        <f t="shared" si="2"/>
        <v>2.4576871516154382E-9</v>
      </c>
      <c r="N71" s="12"/>
      <c r="O71" s="10">
        <f>-L82*$P$1</f>
        <v>-1.9159261261890281E-2</v>
      </c>
      <c r="P71" s="10">
        <f>+L82*$P$1</f>
        <v>1.9159261261890281E-2</v>
      </c>
    </row>
    <row r="72" spans="1:16" x14ac:dyDescent="0.25">
      <c r="A72" s="1">
        <v>45237</v>
      </c>
      <c r="B72" s="2">
        <f t="shared" si="6"/>
        <v>58</v>
      </c>
      <c r="C72" s="3">
        <f>+VLOOKUP(A72,Precios!$B:$H,1+$C$5,0)</f>
        <v>51.05</v>
      </c>
      <c r="D72" s="10">
        <f t="shared" si="3"/>
        <v>-8.7378640776699656E-3</v>
      </c>
      <c r="E72" s="34">
        <f t="shared" si="4"/>
        <v>7.6350268639835203E-5</v>
      </c>
      <c r="F72" s="24">
        <f xml:space="preserve"> $C$7^( B72 - 1 )</f>
        <v>5.3733545982740404E-2</v>
      </c>
      <c r="G72" s="25">
        <f t="shared" si="5"/>
        <v>4.1025706707531673E-6</v>
      </c>
      <c r="K72" s="19">
        <f t="shared" si="0"/>
        <v>1.259253344654641E-4</v>
      </c>
      <c r="L72" s="36">
        <f t="shared" si="1"/>
        <v>1.1221645800214159E-2</v>
      </c>
      <c r="M72" s="64">
        <f t="shared" si="2"/>
        <v>6.4625999066768633E-9</v>
      </c>
      <c r="N72" s="12"/>
      <c r="O72" s="10">
        <f>-L83*$P$1</f>
        <v>-1.9087735107672071E-2</v>
      </c>
      <c r="P72" s="10">
        <f>+L83*$P$1</f>
        <v>1.9087735107672071E-2</v>
      </c>
    </row>
    <row r="73" spans="1:16" x14ac:dyDescent="0.25">
      <c r="A73" s="1">
        <v>45236</v>
      </c>
      <c r="B73" s="2">
        <f t="shared" si="6"/>
        <v>59</v>
      </c>
      <c r="C73" s="3">
        <f>+VLOOKUP(A73,Precios!$B:$H,1+$C$5,0)</f>
        <v>51.5</v>
      </c>
      <c r="D73" s="10">
        <f t="shared" si="3"/>
        <v>7.0394994133751165E-3</v>
      </c>
      <c r="E73" s="34">
        <f t="shared" si="4"/>
        <v>4.9554551990908609E-5</v>
      </c>
      <c r="F73" s="24">
        <f xml:space="preserve"> $C$7^( B73 - 1 )</f>
        <v>5.1046868683603391E-2</v>
      </c>
      <c r="G73" s="25">
        <f t="shared" si="5"/>
        <v>2.5296047081547089E-6</v>
      </c>
      <c r="K73" s="19">
        <f t="shared" si="0"/>
        <v>1.2994484933254595E-4</v>
      </c>
      <c r="L73" s="36">
        <f t="shared" si="1"/>
        <v>1.139933547767351E-2</v>
      </c>
      <c r="M73" s="64">
        <f t="shared" si="2"/>
        <v>8.1961065446689129E-7</v>
      </c>
      <c r="N73" s="12"/>
      <c r="O73" s="10">
        <f>-L84*$P$1</f>
        <v>-1.9150490518662522E-2</v>
      </c>
      <c r="P73" s="10">
        <f>+L84*$P$1</f>
        <v>1.9150490518662522E-2</v>
      </c>
    </row>
    <row r="74" spans="1:16" x14ac:dyDescent="0.25">
      <c r="A74" s="1">
        <v>45233</v>
      </c>
      <c r="B74" s="2">
        <f t="shared" si="6"/>
        <v>60</v>
      </c>
      <c r="C74" s="3">
        <f>+VLOOKUP(A74,Precios!$B:$H,1+$C$5,0)</f>
        <v>51.14</v>
      </c>
      <c r="D74" s="10">
        <f t="shared" si="3"/>
        <v>3.1464300121016642E-2</v>
      </c>
      <c r="E74" s="34">
        <f t="shared" si="4"/>
        <v>9.9000218210540782E-4</v>
      </c>
      <c r="F74" s="24">
        <f xml:space="preserve"> $C$7^( B74 - 1 )</f>
        <v>4.8494525249423222E-2</v>
      </c>
      <c r="G74" s="25">
        <f t="shared" si="5"/>
        <v>4.8009685817094786E-5</v>
      </c>
      <c r="K74" s="19">
        <f t="shared" si="0"/>
        <v>8.4678673923447908E-5</v>
      </c>
      <c r="L74" s="36">
        <f t="shared" si="1"/>
        <v>9.2021016036255496E-3</v>
      </c>
      <c r="M74" s="64">
        <f t="shared" si="2"/>
        <v>1.9444230772029572E-8</v>
      </c>
      <c r="N74" s="12"/>
      <c r="O74" s="10">
        <f>-L85*$P$1</f>
        <v>-1.934829808240341E-2</v>
      </c>
      <c r="P74" s="10">
        <f>+L85*$P$1</f>
        <v>1.934829808240341E-2</v>
      </c>
    </row>
    <row r="75" spans="1:16" x14ac:dyDescent="0.25">
      <c r="A75" s="1">
        <v>45231</v>
      </c>
      <c r="B75" s="2">
        <f t="shared" si="6"/>
        <v>61</v>
      </c>
      <c r="C75" s="3">
        <f>+VLOOKUP(A75,Precios!$B:$H,1+$C$5,0)</f>
        <v>49.58</v>
      </c>
      <c r="D75" s="10">
        <f t="shared" si="3"/>
        <v>1.4735980352026168E-2</v>
      </c>
      <c r="E75" s="34">
        <f t="shared" si="4"/>
        <v>2.1714911693530126E-4</v>
      </c>
      <c r="F75" s="24">
        <f xml:space="preserve"> $C$7^( B75 - 1 )</f>
        <v>4.606979898695205E-2</v>
      </c>
      <c r="G75" s="25">
        <f t="shared" si="5"/>
        <v>1.0004016167403475E-5</v>
      </c>
      <c r="K75" s="19">
        <f t="shared" si="0"/>
        <v>7.7706545343876669E-5</v>
      </c>
      <c r="L75" s="36">
        <f t="shared" si="1"/>
        <v>8.8151316123967587E-3</v>
      </c>
      <c r="M75" s="64">
        <f t="shared" si="2"/>
        <v>4.7805752874655636E-9</v>
      </c>
      <c r="N75" s="12"/>
      <c r="O75" s="10">
        <f>-L86*$P$1</f>
        <v>-1.9781649388902478E-2</v>
      </c>
      <c r="P75" s="10">
        <f>+L86*$P$1</f>
        <v>1.9781649388902478E-2</v>
      </c>
    </row>
    <row r="76" spans="1:16" x14ac:dyDescent="0.25">
      <c r="A76" s="1">
        <v>45230</v>
      </c>
      <c r="B76" s="2">
        <f t="shared" si="6"/>
        <v>62</v>
      </c>
      <c r="C76" s="3">
        <f>+VLOOKUP(A76,Precios!$B:$H,1+$C$5,0)</f>
        <v>48.86</v>
      </c>
      <c r="D76" s="10">
        <f t="shared" si="3"/>
        <v>-3.4672649398327371E-3</v>
      </c>
      <c r="E76" s="34">
        <f t="shared" si="4"/>
        <v>1.2021926162993314E-5</v>
      </c>
      <c r="F76" s="24">
        <f xml:space="preserve"> $C$7^( B76 - 1 )</f>
        <v>4.3766309037604451E-2</v>
      </c>
      <c r="G76" s="25">
        <f t="shared" si="5"/>
        <v>5.2615533567682762E-7</v>
      </c>
      <c r="K76" s="19">
        <f t="shared" si="0"/>
        <v>8.1163630563923174E-5</v>
      </c>
      <c r="L76" s="36">
        <f t="shared" si="1"/>
        <v>9.0090860004732546E-3</v>
      </c>
      <c r="M76" s="64">
        <f t="shared" si="2"/>
        <v>2.5715369197505169E-9</v>
      </c>
      <c r="N76" s="12"/>
      <c r="O76" s="10">
        <f>-L87*$P$1</f>
        <v>-1.9860328598369295E-2</v>
      </c>
      <c r="P76" s="10">
        <f>+L87*$P$1</f>
        <v>1.9860328598369295E-2</v>
      </c>
    </row>
    <row r="77" spans="1:16" x14ac:dyDescent="0.25">
      <c r="A77" s="1">
        <v>45229</v>
      </c>
      <c r="B77" s="2">
        <f t="shared" si="6"/>
        <v>63</v>
      </c>
      <c r="C77" s="3">
        <f>+VLOOKUP(A77,Precios!$B:$H,1+$C$5,0)</f>
        <v>49.03</v>
      </c>
      <c r="D77" s="10">
        <f t="shared" si="3"/>
        <v>5.7435897435897942E-3</v>
      </c>
      <c r="E77" s="34">
        <f t="shared" si="4"/>
        <v>3.2988823142669881E-5</v>
      </c>
      <c r="F77" s="24">
        <f xml:space="preserve"> $C$7^( B77 - 1 )</f>
        <v>4.1577993585724227E-2</v>
      </c>
      <c r="G77" s="25">
        <f t="shared" si="5"/>
        <v>1.3716090770265192E-6</v>
      </c>
      <c r="K77" s="19">
        <f t="shared" si="0"/>
        <v>8.3699146743989138E-5</v>
      </c>
      <c r="L77" s="36">
        <f t="shared" si="1"/>
        <v>9.1487237767892606E-3</v>
      </c>
      <c r="M77" s="64">
        <f t="shared" si="2"/>
        <v>2.1048371110469334E-15</v>
      </c>
      <c r="N77" s="12"/>
      <c r="O77" s="10">
        <f>-L88*$P$1</f>
        <v>-2.0040076973428283E-2</v>
      </c>
      <c r="P77" s="10">
        <f>+L88*$P$1</f>
        <v>2.0040076973428283E-2</v>
      </c>
    </row>
    <row r="78" spans="1:16" x14ac:dyDescent="0.25">
      <c r="A78" s="1">
        <v>45226</v>
      </c>
      <c r="B78" s="2">
        <f t="shared" si="6"/>
        <v>64</v>
      </c>
      <c r="C78" s="3">
        <f>+VLOOKUP(A78,Precios!$B:$H,1+$C$5,0)</f>
        <v>48.75</v>
      </c>
      <c r="D78" s="10">
        <f t="shared" si="3"/>
        <v>-9.1463414634146423E-3</v>
      </c>
      <c r="E78" s="34">
        <f t="shared" si="4"/>
        <v>8.3655562165377899E-5</v>
      </c>
      <c r="F78" s="24">
        <f xml:space="preserve"> $C$7^( B78 - 1 )</f>
        <v>3.9499093906438021E-2</v>
      </c>
      <c r="G78" s="25">
        <f t="shared" si="5"/>
        <v>3.3043189057661253E-6</v>
      </c>
      <c r="K78" s="19">
        <f t="shared" si="0"/>
        <v>8.3701440669179211E-5</v>
      </c>
      <c r="L78" s="36">
        <f t="shared" si="1"/>
        <v>9.1488491445197197E-3</v>
      </c>
      <c r="M78" s="64">
        <f t="shared" si="2"/>
        <v>1.9791259846791268E-10</v>
      </c>
      <c r="N78" s="12"/>
      <c r="O78" s="10">
        <f>-L89*$P$1</f>
        <v>-2.0249075972933638E-2</v>
      </c>
      <c r="P78" s="10">
        <f>+L89*$P$1</f>
        <v>2.0249075972933638E-2</v>
      </c>
    </row>
    <row r="79" spans="1:16" x14ac:dyDescent="0.25">
      <c r="A79" s="1">
        <v>45225</v>
      </c>
      <c r="B79" s="2">
        <f t="shared" si="6"/>
        <v>65</v>
      </c>
      <c r="C79" s="3">
        <f>+VLOOKUP(A79,Precios!$B:$H,1+$C$5,0)</f>
        <v>49.2</v>
      </c>
      <c r="D79" s="10">
        <f t="shared" si="3"/>
        <v>9.8522167487684609E-3</v>
      </c>
      <c r="E79" s="34">
        <f t="shared" si="4"/>
        <v>9.7066174864713782E-5</v>
      </c>
      <c r="F79" s="24">
        <f xml:space="preserve"> $C$7^( B79 - 1 )</f>
        <v>3.7524139211116116E-2</v>
      </c>
      <c r="G79" s="25">
        <f t="shared" si="5"/>
        <v>3.64232465831406E-6</v>
      </c>
      <c r="K79" s="19">
        <f t="shared" ref="K79:K142" si="7" xml:space="preserve"> ( 1 - $C$7 )*E80  + $C$7*K80</f>
        <v>8.2998033606256335E-5</v>
      </c>
      <c r="L79" s="36">
        <f t="shared" ref="L79:L142" si="8" xml:space="preserve"> SQRT( K79 )</f>
        <v>9.1103256586280348E-3</v>
      </c>
      <c r="M79" s="64">
        <f t="shared" ref="M79:M142" si="9" xml:space="preserve"> (E80 - K80) ^2</f>
        <v>3.7186502258423012E-15</v>
      </c>
      <c r="N79" s="12"/>
      <c r="O79" s="10">
        <f>-L90*$P$1</f>
        <v>-2.0765223885962712E-2</v>
      </c>
      <c r="P79" s="10">
        <f>+L90*$P$1</f>
        <v>2.0765223885962712E-2</v>
      </c>
    </row>
    <row r="80" spans="1:16" x14ac:dyDescent="0.25">
      <c r="A80" s="1">
        <v>45224</v>
      </c>
      <c r="B80" s="2">
        <f t="shared" si="6"/>
        <v>66</v>
      </c>
      <c r="C80" s="3">
        <f>+VLOOKUP(A80,Precios!$B:$H,1+$C$5,0)</f>
        <v>48.72</v>
      </c>
      <c r="D80" s="10">
        <f t="shared" ref="D80:D143" si="10" xml:space="preserve"> ( C80/C81 ) - 1</f>
        <v>9.1135045567523054E-3</v>
      </c>
      <c r="E80" s="34">
        <f t="shared" ref="E80:E143" si="11" xml:space="preserve"> D80*D80</f>
        <v>8.3055965305945038E-5</v>
      </c>
      <c r="F80" s="24">
        <f xml:space="preserve"> $C$7^( B80 - 1 )</f>
        <v>3.5647932250560309E-2</v>
      </c>
      <c r="G80" s="25">
        <f t="shared" ref="G80:G143" si="12" xml:space="preserve"> E80 * F80</f>
        <v>2.9607734242312161E-6</v>
      </c>
      <c r="K80" s="19">
        <f t="shared" si="7"/>
        <v>8.2994984569430608E-5</v>
      </c>
      <c r="L80" s="36">
        <f t="shared" si="8"/>
        <v>9.1101583174734452E-3</v>
      </c>
      <c r="M80" s="64">
        <f t="shared" si="9"/>
        <v>7.6007633580500964E-9</v>
      </c>
      <c r="N80" s="12"/>
      <c r="O80" s="10">
        <f>-L91*$P$1</f>
        <v>-1.895578222043922E-2</v>
      </c>
      <c r="P80" s="10">
        <f>+L91*$P$1</f>
        <v>1.895578222043922E-2</v>
      </c>
    </row>
    <row r="81" spans="1:16" x14ac:dyDescent="0.25">
      <c r="A81" s="1">
        <v>45223</v>
      </c>
      <c r="B81" s="2">
        <f t="shared" ref="B81:B144" si="13">+B80+1</f>
        <v>67</v>
      </c>
      <c r="C81" s="3">
        <f>+VLOOKUP(A81,Precios!$B:$H,1+$C$5,0)</f>
        <v>48.28</v>
      </c>
      <c r="D81" s="10">
        <f t="shared" si="10"/>
        <v>4.1442188147544634E-4</v>
      </c>
      <c r="E81" s="34">
        <f t="shared" si="11"/>
        <v>1.717454958456489E-7</v>
      </c>
      <c r="F81" s="24">
        <f xml:space="preserve"> $C$7^( B81 - 1 )</f>
        <v>3.3865535638032296E-2</v>
      </c>
      <c r="G81" s="25">
        <f t="shared" si="12"/>
        <v>5.8162532102323502E-9</v>
      </c>
      <c r="K81" s="19">
        <f t="shared" si="7"/>
        <v>8.7354102415408772E-5</v>
      </c>
      <c r="L81" s="36">
        <f t="shared" si="8"/>
        <v>9.3463416594627424E-3</v>
      </c>
      <c r="M81" s="64">
        <f t="shared" si="9"/>
        <v>7.7976692137530144E-9</v>
      </c>
      <c r="N81" s="12"/>
      <c r="O81" s="10">
        <f>-L92*$P$1</f>
        <v>-1.9091082050509151E-2</v>
      </c>
      <c r="P81" s="10">
        <f>+L92*$P$1</f>
        <v>1.9091082050509151E-2</v>
      </c>
    </row>
    <row r="82" spans="1:16" x14ac:dyDescent="0.25">
      <c r="A82" s="1">
        <v>45222</v>
      </c>
      <c r="B82" s="2">
        <f t="shared" si="13"/>
        <v>68</v>
      </c>
      <c r="C82" s="3">
        <f>+VLOOKUP(A82,Precios!$B:$H,1+$C$5,0)</f>
        <v>48.26</v>
      </c>
      <c r="D82" s="10">
        <f t="shared" si="10"/>
        <v>-1.8614270941055278E-3</v>
      </c>
      <c r="E82" s="34">
        <f t="shared" si="11"/>
        <v>3.4649108266701493E-6</v>
      </c>
      <c r="F82" s="24">
        <f xml:space="preserve"> $C$7^( B82 - 1 )</f>
        <v>3.2172258856130675E-2</v>
      </c>
      <c r="G82" s="25">
        <f t="shared" si="12"/>
        <v>1.1147400802904177E-7</v>
      </c>
      <c r="K82" s="19">
        <f t="shared" si="7"/>
        <v>9.1769323025342391E-5</v>
      </c>
      <c r="L82" s="36">
        <f t="shared" si="8"/>
        <v>9.5796306309451403E-3</v>
      </c>
      <c r="M82" s="64">
        <f t="shared" si="9"/>
        <v>1.8709596758597238E-10</v>
      </c>
      <c r="N82" s="12"/>
      <c r="O82" s="10">
        <f>-L93*$P$1</f>
        <v>-1.947950574832882E-2</v>
      </c>
      <c r="P82" s="10">
        <f>+L93*$P$1</f>
        <v>1.947950574832882E-2</v>
      </c>
    </row>
    <row r="83" spans="1:16" x14ac:dyDescent="0.25">
      <c r="A83" s="1">
        <v>45219</v>
      </c>
      <c r="B83" s="2">
        <f t="shared" si="13"/>
        <v>69</v>
      </c>
      <c r="C83" s="3">
        <f>+VLOOKUP(A83,Precios!$B:$H,1+$C$5,0)</f>
        <v>48.35</v>
      </c>
      <c r="D83" s="10">
        <f t="shared" si="10"/>
        <v>-1.0235414534288667E-2</v>
      </c>
      <c r="E83" s="34">
        <f t="shared" si="11"/>
        <v>1.0476371068872769E-4</v>
      </c>
      <c r="F83" s="24">
        <f xml:space="preserve"> $C$7^( B83 - 1 )</f>
        <v>3.0563645913324146E-2</v>
      </c>
      <c r="G83" s="25">
        <f t="shared" si="12"/>
        <v>3.2019609580562053E-6</v>
      </c>
      <c r="K83" s="19">
        <f t="shared" si="7"/>
        <v>9.1085407885164215E-5</v>
      </c>
      <c r="L83" s="36">
        <f t="shared" si="8"/>
        <v>9.5438675538360353E-3</v>
      </c>
      <c r="M83" s="64">
        <f t="shared" si="9"/>
        <v>1.4395867073305023E-10</v>
      </c>
      <c r="N83" s="12"/>
      <c r="O83" s="10">
        <f>-L94*$P$1</f>
        <v>-1.6505792202605823E-2</v>
      </c>
      <c r="P83" s="10">
        <f>+L94*$P$1</f>
        <v>1.6505792202605823E-2</v>
      </c>
    </row>
    <row r="84" spans="1:16" x14ac:dyDescent="0.25">
      <c r="A84" s="1">
        <v>45218</v>
      </c>
      <c r="B84" s="2">
        <f t="shared" si="13"/>
        <v>70</v>
      </c>
      <c r="C84" s="3">
        <f>+VLOOKUP(A84,Precios!$B:$H,1+$C$5,0)</f>
        <v>48.85</v>
      </c>
      <c r="D84" s="10">
        <f t="shared" si="10"/>
        <v>-8.9267599918847473E-3</v>
      </c>
      <c r="E84" s="34">
        <f t="shared" si="11"/>
        <v>7.9687043952714174E-5</v>
      </c>
      <c r="F84" s="24">
        <f xml:space="preserve"> $C$7^( B84 - 1 )</f>
        <v>2.903546361765794E-2</v>
      </c>
      <c r="G84" s="25">
        <f t="shared" si="12"/>
        <v>2.3137502654877416E-6</v>
      </c>
      <c r="K84" s="19">
        <f t="shared" si="7"/>
        <v>9.168532177634579E-5</v>
      </c>
      <c r="L84" s="36">
        <f t="shared" si="8"/>
        <v>9.5752452593312609E-3</v>
      </c>
      <c r="M84" s="64">
        <f t="shared" si="9"/>
        <v>1.4498394922331985E-9</v>
      </c>
      <c r="N84" s="12"/>
      <c r="O84" s="10">
        <f>-L95*$P$1</f>
        <v>-1.6663375109575898E-2</v>
      </c>
      <c r="P84" s="10">
        <f>+L95*$P$1</f>
        <v>1.6663375109575898E-2</v>
      </c>
    </row>
    <row r="85" spans="1:16" x14ac:dyDescent="0.25">
      <c r="A85" s="1">
        <v>45217</v>
      </c>
      <c r="B85" s="2">
        <f t="shared" si="13"/>
        <v>71</v>
      </c>
      <c r="C85" s="3">
        <f>+VLOOKUP(A85,Precios!$B:$H,1+$C$5,0)</f>
        <v>49.29</v>
      </c>
      <c r="D85" s="10">
        <f t="shared" si="10"/>
        <v>-7.4506645187273346E-3</v>
      </c>
      <c r="E85" s="34">
        <f t="shared" si="11"/>
        <v>5.5512401770622427E-5</v>
      </c>
      <c r="F85" s="24">
        <f xml:space="preserve"> $C$7^( B85 - 1 )</f>
        <v>2.7583690436775037E-2</v>
      </c>
      <c r="G85" s="25">
        <f t="shared" si="12"/>
        <v>1.5312369058427315E-6</v>
      </c>
      <c r="K85" s="19">
        <f t="shared" si="7"/>
        <v>9.3589159671383863E-5</v>
      </c>
      <c r="L85" s="36">
        <f t="shared" si="8"/>
        <v>9.6741490412017052E-3</v>
      </c>
      <c r="M85" s="64">
        <f t="shared" si="9"/>
        <v>7.188507976146717E-9</v>
      </c>
      <c r="N85" s="12"/>
      <c r="O85" s="10">
        <f>-L96*$P$1</f>
        <v>-1.5246818948032103E-2</v>
      </c>
      <c r="P85" s="10">
        <f>+L96*$P$1</f>
        <v>1.5246818948032103E-2</v>
      </c>
    </row>
    <row r="86" spans="1:16" x14ac:dyDescent="0.25">
      <c r="A86" s="1">
        <v>45216</v>
      </c>
      <c r="B86" s="2">
        <f t="shared" si="13"/>
        <v>72</v>
      </c>
      <c r="C86" s="3">
        <f>+VLOOKUP(A86,Precios!$B:$H,1+$C$5,0)</f>
        <v>49.66</v>
      </c>
      <c r="D86" s="10">
        <f t="shared" si="10"/>
        <v>-3.6115569823436111E-3</v>
      </c>
      <c r="E86" s="34">
        <f t="shared" si="11"/>
        <v>1.304334383671489E-5</v>
      </c>
      <c r="F86" s="24">
        <f xml:space="preserve"> $C$7^( B86 - 1 )</f>
        <v>2.6204505914936286E-2</v>
      </c>
      <c r="G86" s="25">
        <f t="shared" si="12"/>
        <v>3.4179438071974311E-7</v>
      </c>
      <c r="K86" s="19">
        <f t="shared" si="7"/>
        <v>9.7828413136366452E-5</v>
      </c>
      <c r="L86" s="36">
        <f t="shared" si="8"/>
        <v>9.890824694451239E-3</v>
      </c>
      <c r="M86" s="64">
        <f t="shared" si="9"/>
        <v>2.4320394542488121E-10</v>
      </c>
      <c r="N86" s="12"/>
      <c r="O86" s="10">
        <f>-L97*$P$1</f>
        <v>-1.5259290063268342E-2</v>
      </c>
      <c r="P86" s="10">
        <f>+L97*$P$1</f>
        <v>1.5259290063268342E-2</v>
      </c>
    </row>
    <row r="87" spans="1:16" x14ac:dyDescent="0.25">
      <c r="A87" s="1">
        <v>45215</v>
      </c>
      <c r="B87" s="2">
        <f t="shared" si="13"/>
        <v>73</v>
      </c>
      <c r="C87" s="3">
        <f>+VLOOKUP(A87,Precios!$B:$H,1+$C$5,0)</f>
        <v>49.84</v>
      </c>
      <c r="D87" s="10">
        <f t="shared" si="10"/>
        <v>9.1111561044745493E-3</v>
      </c>
      <c r="E87" s="34">
        <f t="shared" si="11"/>
        <v>8.3013165560103848E-5</v>
      </c>
      <c r="F87" s="24">
        <f xml:space="preserve"> $C$7^( B87 - 1 )</f>
        <v>2.4894280619189475E-2</v>
      </c>
      <c r="G87" s="25">
        <f t="shared" si="12"/>
        <v>2.0665530385404603E-6</v>
      </c>
      <c r="K87" s="19">
        <f t="shared" si="7"/>
        <v>9.8608163008801337E-5</v>
      </c>
      <c r="L87" s="36">
        <f t="shared" si="8"/>
        <v>9.9301642991846475E-3</v>
      </c>
      <c r="M87" s="64">
        <f t="shared" si="9"/>
        <v>1.2859514573963655E-9</v>
      </c>
      <c r="N87" s="12"/>
      <c r="O87" s="10">
        <f>-L98*$P$1</f>
        <v>-1.4389548152823306E-2</v>
      </c>
      <c r="P87" s="10">
        <f>+L98*$P$1</f>
        <v>1.4389548152823306E-2</v>
      </c>
    </row>
    <row r="88" spans="1:16" x14ac:dyDescent="0.25">
      <c r="A88" s="1">
        <v>45212</v>
      </c>
      <c r="B88" s="2">
        <f t="shared" si="13"/>
        <v>74</v>
      </c>
      <c r="C88" s="3">
        <f>+VLOOKUP(A88,Precios!$B:$H,1+$C$5,0)</f>
        <v>49.39</v>
      </c>
      <c r="D88" s="10">
        <f t="shared" si="10"/>
        <v>-8.0337417152038793E-3</v>
      </c>
      <c r="E88" s="34">
        <f t="shared" si="11"/>
        <v>6.4541005946606967E-5</v>
      </c>
      <c r="F88" s="24">
        <f xml:space="preserve"> $C$7^( B88 - 1 )</f>
        <v>2.364956658823E-2</v>
      </c>
      <c r="G88" s="25">
        <f t="shared" si="12"/>
        <v>1.5263668178056299E-6</v>
      </c>
      <c r="K88" s="19">
        <f t="shared" si="7"/>
        <v>1.0040117127523262E-4</v>
      </c>
      <c r="L88" s="36">
        <f t="shared" si="8"/>
        <v>1.0020038486714141E-2</v>
      </c>
      <c r="M88" s="64">
        <f t="shared" si="9"/>
        <v>1.7725753123284829E-9</v>
      </c>
      <c r="N88" s="12"/>
      <c r="O88" s="10">
        <f>-L99*$P$1</f>
        <v>-1.4724161749267667E-2</v>
      </c>
      <c r="P88" s="10">
        <f>+L99*$P$1</f>
        <v>1.4724161749267667E-2</v>
      </c>
    </row>
    <row r="89" spans="1:16" x14ac:dyDescent="0.25">
      <c r="A89" s="1">
        <v>45211</v>
      </c>
      <c r="B89" s="2">
        <f t="shared" si="13"/>
        <v>75</v>
      </c>
      <c r="C89" s="3">
        <f>+VLOOKUP(A89,Precios!$B:$H,1+$C$5,0)</f>
        <v>49.79</v>
      </c>
      <c r="D89" s="10">
        <f t="shared" si="10"/>
        <v>-7.7720207253886286E-3</v>
      </c>
      <c r="E89" s="34">
        <f t="shared" si="11"/>
        <v>6.0404306155870383E-5</v>
      </c>
      <c r="F89" s="24">
        <f xml:space="preserve"> $C$7^( B89 - 1 )</f>
        <v>2.2467088258818501E-2</v>
      </c>
      <c r="G89" s="25">
        <f t="shared" si="12"/>
        <v>1.3571088776166336E-6</v>
      </c>
      <c r="K89" s="19">
        <f t="shared" si="7"/>
        <v>1.0250626943940958E-4</v>
      </c>
      <c r="L89" s="36">
        <f t="shared" si="8"/>
        <v>1.0124537986466819E-2</v>
      </c>
      <c r="M89" s="64">
        <f t="shared" si="9"/>
        <v>1.1203635332887323E-8</v>
      </c>
      <c r="N89" s="12"/>
      <c r="O89" s="10">
        <f>-L100*$P$1</f>
        <v>-1.4878945208773645E-2</v>
      </c>
      <c r="P89" s="10">
        <f>+L100*$P$1</f>
        <v>1.4878945208773645E-2</v>
      </c>
    </row>
    <row r="90" spans="1:16" x14ac:dyDescent="0.25">
      <c r="A90" s="1">
        <v>45210</v>
      </c>
      <c r="B90" s="2">
        <f t="shared" si="13"/>
        <v>76</v>
      </c>
      <c r="C90" s="3">
        <f>+VLOOKUP(A90,Precios!$B:$H,1+$C$5,0)</f>
        <v>50.18</v>
      </c>
      <c r="D90" s="10">
        <f t="shared" si="10"/>
        <v>1.396926761125572E-3</v>
      </c>
      <c r="E90" s="34">
        <f t="shared" si="11"/>
        <v>1.951404375948781E-6</v>
      </c>
      <c r="F90" s="24">
        <f xml:space="preserve"> $C$7^( B90 - 1 )</f>
        <v>2.1343733845877573E-2</v>
      </c>
      <c r="G90" s="25">
        <f t="shared" si="12"/>
        <v>4.1650255625931604E-8</v>
      </c>
      <c r="K90" s="19">
        <f t="shared" si="7"/>
        <v>1.077986307585391E-4</v>
      </c>
      <c r="L90" s="36">
        <f t="shared" si="8"/>
        <v>1.0382611942981356E-2</v>
      </c>
      <c r="M90" s="64">
        <f t="shared" si="9"/>
        <v>1.2914264062330637E-7</v>
      </c>
      <c r="N90" s="12"/>
      <c r="O90" s="10">
        <f>-L101*$P$1</f>
        <v>-1.507242196464993E-2</v>
      </c>
      <c r="P90" s="10">
        <f>+L101*$P$1</f>
        <v>1.507242196464993E-2</v>
      </c>
    </row>
    <row r="91" spans="1:16" x14ac:dyDescent="0.25">
      <c r="A91" s="1">
        <v>45209</v>
      </c>
      <c r="B91" s="2">
        <f t="shared" si="13"/>
        <v>77</v>
      </c>
      <c r="C91" s="3">
        <f>+VLOOKUP(A91,Precios!$B:$H,1+$C$5,0)</f>
        <v>50.11</v>
      </c>
      <c r="D91" s="10">
        <f t="shared" si="10"/>
        <v>2.1194212349704422E-2</v>
      </c>
      <c r="E91" s="34">
        <f t="shared" si="11"/>
        <v>4.4919463712436345E-4</v>
      </c>
      <c r="F91" s="24">
        <f xml:space="preserve"> $C$7^( B91 - 1 )</f>
        <v>2.0276547153583693E-2</v>
      </c>
      <c r="G91" s="25">
        <f t="shared" si="12"/>
        <v>9.1081162407890719E-6</v>
      </c>
      <c r="K91" s="19">
        <f t="shared" si="7"/>
        <v>8.9830419897179905E-5</v>
      </c>
      <c r="L91" s="36">
        <f t="shared" si="8"/>
        <v>9.4778911102196099E-3</v>
      </c>
      <c r="M91" s="64">
        <f t="shared" si="9"/>
        <v>6.6247920300565663E-10</v>
      </c>
      <c r="N91" s="12"/>
      <c r="O91" s="10">
        <f>-L102*$P$1</f>
        <v>-1.5215339438974121E-2</v>
      </c>
      <c r="P91" s="10">
        <f>+L102*$P$1</f>
        <v>1.5215339438974121E-2</v>
      </c>
    </row>
    <row r="92" spans="1:16" x14ac:dyDescent="0.25">
      <c r="A92" s="1">
        <v>45208</v>
      </c>
      <c r="B92" s="2">
        <f t="shared" si="13"/>
        <v>78</v>
      </c>
      <c r="C92" s="3">
        <f>+VLOOKUP(A92,Precios!$B:$H,1+$C$5,0)</f>
        <v>49.07</v>
      </c>
      <c r="D92" s="10">
        <f t="shared" si="10"/>
        <v>-8.0857085102081783E-3</v>
      </c>
      <c r="E92" s="34">
        <f t="shared" si="11"/>
        <v>6.5378682112052954E-5</v>
      </c>
      <c r="F92" s="24">
        <f xml:space="preserve"> $C$7^( B92 - 1 )</f>
        <v>1.926271979590451E-2</v>
      </c>
      <c r="G92" s="25">
        <f t="shared" si="12"/>
        <v>1.2593712341499905E-6</v>
      </c>
      <c r="K92" s="19">
        <f t="shared" si="7"/>
        <v>9.1117353464818167E-5</v>
      </c>
      <c r="L92" s="36">
        <f t="shared" si="8"/>
        <v>9.5455410252545756E-3</v>
      </c>
      <c r="M92" s="64">
        <f t="shared" si="9"/>
        <v>5.6113060994390927E-9</v>
      </c>
      <c r="N92" s="12"/>
      <c r="O92" s="10">
        <f>-L103*$P$1</f>
        <v>-1.5488121301511377E-2</v>
      </c>
      <c r="P92" s="10">
        <f>+L103*$P$1</f>
        <v>1.5488121301511377E-2</v>
      </c>
    </row>
    <row r="93" spans="1:16" x14ac:dyDescent="0.25">
      <c r="A93" s="1">
        <v>45205</v>
      </c>
      <c r="B93" s="2">
        <f t="shared" si="13"/>
        <v>79</v>
      </c>
      <c r="C93" s="3">
        <f>+VLOOKUP(A93,Precios!$B:$H,1+$C$5,0)</f>
        <v>49.47</v>
      </c>
      <c r="D93" s="10">
        <f t="shared" si="10"/>
        <v>4.467005076142172E-3</v>
      </c>
      <c r="E93" s="34">
        <f t="shared" si="11"/>
        <v>1.995413435027993E-5</v>
      </c>
      <c r="F93" s="24">
        <f xml:space="preserve"> $C$7^( B93 - 1 )</f>
        <v>1.8299583806109285E-2</v>
      </c>
      <c r="G93" s="25">
        <f t="shared" si="12"/>
        <v>3.6515235382131165E-7</v>
      </c>
      <c r="K93" s="19">
        <f t="shared" si="7"/>
        <v>9.4862786049793873E-5</v>
      </c>
      <c r="L93" s="36">
        <f t="shared" si="8"/>
        <v>9.7397528741644101E-3</v>
      </c>
      <c r="M93" s="64">
        <f t="shared" si="9"/>
        <v>2.8627833108911869E-7</v>
      </c>
      <c r="N93" s="12"/>
      <c r="O93" s="10">
        <f>-L104*$P$1</f>
        <v>-1.5139289839316152E-2</v>
      </c>
      <c r="P93" s="10">
        <f>+L104*$P$1</f>
        <v>1.5139289839316152E-2</v>
      </c>
    </row>
    <row r="94" spans="1:16" x14ac:dyDescent="0.25">
      <c r="A94" s="1">
        <v>45204</v>
      </c>
      <c r="B94" s="2">
        <f t="shared" si="13"/>
        <v>80</v>
      </c>
      <c r="C94" s="3">
        <f>+VLOOKUP(A94,Precios!$B:$H,1+$C$5,0)</f>
        <v>49.25</v>
      </c>
      <c r="D94" s="10">
        <f t="shared" si="10"/>
        <v>-2.4559318676965813E-2</v>
      </c>
      <c r="E94" s="34">
        <f t="shared" si="11"/>
        <v>6.0316013387676183E-4</v>
      </c>
      <c r="F94" s="24">
        <f xml:space="preserve"> $C$7^( B94 - 1 )</f>
        <v>1.7384604615803819E-2</v>
      </c>
      <c r="G94" s="25">
        <f t="shared" si="12"/>
        <v>1.0485700447462803E-5</v>
      </c>
      <c r="K94" s="19">
        <f t="shared" si="7"/>
        <v>6.8110294058900802E-5</v>
      </c>
      <c r="L94" s="36">
        <f t="shared" si="8"/>
        <v>8.2528961013029114E-3</v>
      </c>
      <c r="M94" s="64">
        <f t="shared" si="9"/>
        <v>6.8301047169703085E-10</v>
      </c>
      <c r="N94" s="12"/>
      <c r="O94" s="10">
        <f>-L105*$P$1</f>
        <v>-1.5348789940458421E-2</v>
      </c>
      <c r="P94" s="10">
        <f>+L105*$P$1</f>
        <v>1.5348789940458421E-2</v>
      </c>
    </row>
    <row r="95" spans="1:16" x14ac:dyDescent="0.25">
      <c r="A95" s="1">
        <v>45203</v>
      </c>
      <c r="B95" s="2">
        <f t="shared" si="13"/>
        <v>81</v>
      </c>
      <c r="C95" s="3">
        <f>+VLOOKUP(A95,Precios!$B:$H,1+$C$5,0)</f>
        <v>50.49</v>
      </c>
      <c r="D95" s="10">
        <f t="shared" si="10"/>
        <v>6.5789473684212396E-3</v>
      </c>
      <c r="E95" s="34">
        <f t="shared" si="11"/>
        <v>4.3282548476456754E-5</v>
      </c>
      <c r="F95" s="24">
        <f xml:space="preserve"> $C$7^( B95 - 1 )</f>
        <v>1.6515374385013628E-2</v>
      </c>
      <c r="G95" s="25">
        <f t="shared" si="12"/>
        <v>7.1482749242618453E-7</v>
      </c>
      <c r="K95" s="19">
        <f t="shared" si="7"/>
        <v>6.9417017510608391E-5</v>
      </c>
      <c r="L95" s="36">
        <f t="shared" si="8"/>
        <v>8.331687554787949E-3</v>
      </c>
      <c r="M95" s="64">
        <f t="shared" si="9"/>
        <v>5.1081835505569082E-8</v>
      </c>
      <c r="N95" s="12"/>
      <c r="O95" s="10">
        <f>-L106*$P$1</f>
        <v>-1.4993411814676789E-2</v>
      </c>
      <c r="P95" s="10">
        <f>+L106*$P$1</f>
        <v>1.4993411814676789E-2</v>
      </c>
    </row>
    <row r="96" spans="1:16" x14ac:dyDescent="0.25">
      <c r="A96" s="1">
        <v>45202</v>
      </c>
      <c r="B96" s="2">
        <f t="shared" si="13"/>
        <v>82</v>
      </c>
      <c r="C96" s="3">
        <f>+VLOOKUP(A96,Precios!$B:$H,1+$C$5,0)</f>
        <v>50.16</v>
      </c>
      <c r="D96" s="10">
        <f t="shared" si="10"/>
        <v>-1.6856134849078885E-2</v>
      </c>
      <c r="E96" s="34">
        <f t="shared" si="11"/>
        <v>2.8412928205033165E-4</v>
      </c>
      <c r="F96" s="24">
        <f xml:space="preserve"> $C$7^( B96 - 1 )</f>
        <v>1.5689605665762947E-2</v>
      </c>
      <c r="G96" s="25">
        <f t="shared" si="12"/>
        <v>4.4578763934660421E-6</v>
      </c>
      <c r="K96" s="19">
        <f t="shared" si="7"/>
        <v>5.811637200851769E-5</v>
      </c>
      <c r="L96" s="36">
        <f t="shared" si="8"/>
        <v>7.6234094740160515E-3</v>
      </c>
      <c r="M96" s="64">
        <f t="shared" si="9"/>
        <v>3.6184637719912485E-12</v>
      </c>
      <c r="N96" s="12"/>
      <c r="O96" s="10">
        <f>-L107*$P$1</f>
        <v>-1.5145789803886638E-2</v>
      </c>
      <c r="P96" s="10">
        <f>+L107*$P$1</f>
        <v>1.5145789803886638E-2</v>
      </c>
    </row>
    <row r="97" spans="1:16" x14ac:dyDescent="0.25">
      <c r="A97" s="1">
        <v>45201</v>
      </c>
      <c r="B97" s="2">
        <f t="shared" si="13"/>
        <v>83</v>
      </c>
      <c r="C97" s="3">
        <f>+VLOOKUP(A97,Precios!$B:$H,1+$C$5,0)</f>
        <v>51.02</v>
      </c>
      <c r="D97" s="10">
        <f t="shared" si="10"/>
        <v>7.5039494470774404E-3</v>
      </c>
      <c r="E97" s="34">
        <f t="shared" si="11"/>
        <v>5.6309257304293824E-5</v>
      </c>
      <c r="F97" s="24">
        <f xml:space="preserve"> $C$7^( B97 - 1 )</f>
        <v>1.49051253824748E-2</v>
      </c>
      <c r="G97" s="25">
        <f t="shared" si="12"/>
        <v>8.3929654031453436E-7</v>
      </c>
      <c r="K97" s="19">
        <f t="shared" si="7"/>
        <v>5.8211483308739996E-5</v>
      </c>
      <c r="L97" s="36">
        <f t="shared" si="8"/>
        <v>7.629645031634171E-3</v>
      </c>
      <c r="M97" s="64">
        <f t="shared" si="9"/>
        <v>1.6624024309863189E-8</v>
      </c>
      <c r="N97" s="12"/>
      <c r="O97" s="10">
        <f>-L108*$P$1</f>
        <v>-1.5351418759078446E-2</v>
      </c>
      <c r="P97" s="10">
        <f>+L108*$P$1</f>
        <v>1.5351418759078446E-2</v>
      </c>
    </row>
    <row r="98" spans="1:16" x14ac:dyDescent="0.25">
      <c r="A98" s="1">
        <v>45198</v>
      </c>
      <c r="B98" s="2">
        <f t="shared" si="13"/>
        <v>84</v>
      </c>
      <c r="C98" s="3">
        <f>+VLOOKUP(A98,Precios!$B:$H,1+$C$5,0)</f>
        <v>50.64</v>
      </c>
      <c r="D98" s="10">
        <f t="shared" si="10"/>
        <v>-1.3442431326709525E-2</v>
      </c>
      <c r="E98" s="34">
        <f t="shared" si="11"/>
        <v>1.8069895997330161E-4</v>
      </c>
      <c r="F98" s="24">
        <f xml:space="preserve"> $C$7^( B98 - 1 )</f>
        <v>1.415986911335106E-2</v>
      </c>
      <c r="G98" s="25">
        <f t="shared" si="12"/>
        <v>2.558673622140613E-6</v>
      </c>
      <c r="K98" s="19">
        <f t="shared" si="7"/>
        <v>5.1764774010605163E-5</v>
      </c>
      <c r="L98" s="36">
        <f t="shared" si="8"/>
        <v>7.1947740764116532E-3</v>
      </c>
      <c r="M98" s="64">
        <f t="shared" si="9"/>
        <v>2.3725877117303865E-9</v>
      </c>
      <c r="N98" s="12"/>
      <c r="O98" s="10">
        <f>-L109*$P$1</f>
        <v>-1.5719488853005066E-2</v>
      </c>
      <c r="P98" s="10">
        <f>+L109*$P$1</f>
        <v>1.5719488853005066E-2</v>
      </c>
    </row>
    <row r="99" spans="1:16" x14ac:dyDescent="0.25">
      <c r="A99" s="1">
        <v>45197</v>
      </c>
      <c r="B99" s="2">
        <f t="shared" si="13"/>
        <v>85</v>
      </c>
      <c r="C99" s="3">
        <f>+VLOOKUP(A99,Precios!$B:$H,1+$C$5,0)</f>
        <v>51.33</v>
      </c>
      <c r="D99" s="10">
        <f t="shared" si="10"/>
        <v>2.3432923257176164E-3</v>
      </c>
      <c r="E99" s="34">
        <f t="shared" si="11"/>
        <v>5.4910189237670753E-6</v>
      </c>
      <c r="F99" s="24">
        <f xml:space="preserve"> $C$7^( B99 - 1 )</f>
        <v>1.3451875657683507E-2</v>
      </c>
      <c r="G99" s="25">
        <f t="shared" si="12"/>
        <v>7.3864503796501811E-8</v>
      </c>
      <c r="K99" s="19">
        <f t="shared" si="7"/>
        <v>5.4200234804649271E-5</v>
      </c>
      <c r="L99" s="36">
        <f t="shared" si="8"/>
        <v>7.3620808746338333E-3</v>
      </c>
      <c r="M99" s="64">
        <f t="shared" si="9"/>
        <v>5.2488443658169502E-10</v>
      </c>
      <c r="N99" s="12"/>
      <c r="O99" s="10">
        <f>-L110*$P$1</f>
        <v>-1.584261794315641E-2</v>
      </c>
      <c r="P99" s="10">
        <f>+L110*$P$1</f>
        <v>1.584261794315641E-2</v>
      </c>
    </row>
    <row r="100" spans="1:16" x14ac:dyDescent="0.25">
      <c r="A100" s="1">
        <v>45196</v>
      </c>
      <c r="B100" s="2">
        <f t="shared" si="13"/>
        <v>86</v>
      </c>
      <c r="C100" s="3">
        <f>+VLOOKUP(A100,Precios!$B:$H,1+$C$5,0)</f>
        <v>51.21</v>
      </c>
      <c r="D100" s="10">
        <f t="shared" si="10"/>
        <v>5.6952081696779455E-3</v>
      </c>
      <c r="E100" s="34">
        <f t="shared" si="11"/>
        <v>3.2435396095966414E-5</v>
      </c>
      <c r="F100" s="24">
        <f xml:space="preserve"> $C$7^( B100 - 1 )</f>
        <v>1.2779281874799332E-2</v>
      </c>
      <c r="G100" s="25">
        <f t="shared" si="12"/>
        <v>4.1450106943112063E-7</v>
      </c>
      <c r="K100" s="19">
        <f t="shared" si="7"/>
        <v>5.5345752631422056E-5</v>
      </c>
      <c r="L100" s="36">
        <f t="shared" si="8"/>
        <v>7.4394726043868226E-3</v>
      </c>
      <c r="M100" s="64">
        <f t="shared" si="9"/>
        <v>8.3951972482992291E-10</v>
      </c>
      <c r="N100" s="12"/>
      <c r="O100" s="10">
        <f>-L111*$P$1</f>
        <v>-1.5923318785605163E-2</v>
      </c>
      <c r="P100" s="10">
        <f>+L111*$P$1</f>
        <v>1.5923318785605163E-2</v>
      </c>
    </row>
    <row r="101" spans="1:16" x14ac:dyDescent="0.25">
      <c r="A101" s="1">
        <v>45195</v>
      </c>
      <c r="B101" s="2">
        <f t="shared" si="13"/>
        <v>87</v>
      </c>
      <c r="C101" s="3">
        <f>+VLOOKUP(A101,Precios!$B:$H,1+$C$5,0)</f>
        <v>50.92</v>
      </c>
      <c r="D101" s="10">
        <f t="shared" si="10"/>
        <v>-5.2744676694665982E-3</v>
      </c>
      <c r="E101" s="34">
        <f t="shared" si="11"/>
        <v>2.7820009196248409E-5</v>
      </c>
      <c r="F101" s="24">
        <f xml:space="preserve"> $C$7^( B101 - 1 )</f>
        <v>1.2140317781059364E-2</v>
      </c>
      <c r="G101" s="25">
        <f t="shared" si="12"/>
        <v>3.3774375231444961E-7</v>
      </c>
      <c r="K101" s="19">
        <f t="shared" si="7"/>
        <v>5.6794475970115411E-5</v>
      </c>
      <c r="L101" s="36">
        <f t="shared" si="8"/>
        <v>7.5362109823249651E-3</v>
      </c>
      <c r="M101" s="64">
        <f t="shared" si="9"/>
        <v>4.6843034907115032E-10</v>
      </c>
      <c r="N101" s="12"/>
      <c r="O101" s="10">
        <f>-L112*$P$1</f>
        <v>-1.61768966932463E-2</v>
      </c>
      <c r="P101" s="10">
        <f>+L112*$P$1</f>
        <v>1.61768966932463E-2</v>
      </c>
    </row>
    <row r="102" spans="1:16" x14ac:dyDescent="0.25">
      <c r="A102" s="1">
        <v>45194</v>
      </c>
      <c r="B102" s="2">
        <f t="shared" si="13"/>
        <v>88</v>
      </c>
      <c r="C102" s="3">
        <f>+VLOOKUP(A102,Precios!$B:$H,1+$C$5,0)</f>
        <v>51.19</v>
      </c>
      <c r="D102" s="10">
        <f t="shared" si="10"/>
        <v>-6.019417475728206E-3</v>
      </c>
      <c r="E102" s="34">
        <f t="shared" si="11"/>
        <v>3.6233386747102127E-5</v>
      </c>
      <c r="F102" s="24">
        <f xml:space="preserve"> $C$7^( B102 - 1 )</f>
        <v>1.1533301892006397E-2</v>
      </c>
      <c r="G102" s="25">
        <f t="shared" si="12"/>
        <v>4.1789058792415249E-7</v>
      </c>
      <c r="K102" s="19">
        <f t="shared" si="7"/>
        <v>5.7876638560800326E-5</v>
      </c>
      <c r="L102" s="36">
        <f t="shared" si="8"/>
        <v>7.6076697194870603E-3</v>
      </c>
      <c r="M102" s="64">
        <f t="shared" si="9"/>
        <v>1.7536610209991572E-9</v>
      </c>
      <c r="N102" s="12"/>
      <c r="O102" s="10">
        <f>-L113*$P$1</f>
        <v>-1.6596913764773479E-2</v>
      </c>
      <c r="P102" s="10">
        <f>+L113*$P$1</f>
        <v>1.6596913764773479E-2</v>
      </c>
    </row>
    <row r="103" spans="1:16" x14ac:dyDescent="0.25">
      <c r="A103" s="1">
        <v>45191</v>
      </c>
      <c r="B103" s="2">
        <f t="shared" si="13"/>
        <v>89</v>
      </c>
      <c r="C103" s="3">
        <f>+VLOOKUP(A103,Precios!$B:$H,1+$C$5,0)</f>
        <v>51.5</v>
      </c>
      <c r="D103" s="10">
        <f t="shared" si="10"/>
        <v>-4.2536736272235087E-3</v>
      </c>
      <c r="E103" s="34">
        <f t="shared" si="11"/>
        <v>1.80937393269368E-5</v>
      </c>
      <c r="F103" s="24">
        <f xml:space="preserve"> $C$7^( B103 - 1 )</f>
        <v>1.0956636797406077E-2</v>
      </c>
      <c r="G103" s="25">
        <f t="shared" si="12"/>
        <v>1.9824653011218923E-7</v>
      </c>
      <c r="K103" s="19">
        <f t="shared" si="7"/>
        <v>5.997047536258262E-5</v>
      </c>
      <c r="L103" s="36">
        <f t="shared" si="8"/>
        <v>7.7440606507556886E-3</v>
      </c>
      <c r="M103" s="64">
        <f t="shared" si="9"/>
        <v>2.8535920244226255E-9</v>
      </c>
      <c r="N103" s="12"/>
      <c r="O103" s="10">
        <f>-L114*$P$1</f>
        <v>-1.6463961264925525E-2</v>
      </c>
      <c r="P103" s="10">
        <f>+L114*$P$1</f>
        <v>1.6463961264925525E-2</v>
      </c>
    </row>
    <row r="104" spans="1:16" x14ac:dyDescent="0.25">
      <c r="A104" s="1">
        <v>45190</v>
      </c>
      <c r="B104" s="2">
        <f t="shared" si="13"/>
        <v>90</v>
      </c>
      <c r="C104" s="3">
        <f>+VLOOKUP(A104,Precios!$B:$H,1+$C$5,0)</f>
        <v>51.72</v>
      </c>
      <c r="D104" s="10">
        <f t="shared" si="10"/>
        <v>-1.0522288119380274E-2</v>
      </c>
      <c r="E104" s="34">
        <f t="shared" si="11"/>
        <v>1.1071854726725127E-4</v>
      </c>
      <c r="F104" s="24">
        <f xml:space="preserve"> $C$7^( B104 - 1 )</f>
        <v>1.0408804957535772E-2</v>
      </c>
      <c r="G104" s="25">
        <f t="shared" si="12"/>
        <v>1.1524477636865237E-6</v>
      </c>
      <c r="K104" s="19">
        <f t="shared" si="7"/>
        <v>5.7299524209705322E-5</v>
      </c>
      <c r="L104" s="36">
        <f t="shared" si="8"/>
        <v>7.5696449196580758E-3</v>
      </c>
      <c r="M104" s="64">
        <f t="shared" si="9"/>
        <v>1.0199259155662524E-9</v>
      </c>
      <c r="N104" s="12"/>
      <c r="O104" s="10">
        <f>-L115*$P$1</f>
        <v>-1.6877301468081377E-2</v>
      </c>
      <c r="P104" s="10">
        <f>+L115*$P$1</f>
        <v>1.6877301468081377E-2</v>
      </c>
    </row>
    <row r="105" spans="1:16" x14ac:dyDescent="0.25">
      <c r="A105" s="1">
        <v>45189</v>
      </c>
      <c r="B105" s="2">
        <f t="shared" si="13"/>
        <v>91</v>
      </c>
      <c r="C105" s="3">
        <f>+VLOOKUP(A105,Precios!$B:$H,1+$C$5,0)</f>
        <v>52.27</v>
      </c>
      <c r="D105" s="10">
        <f t="shared" si="10"/>
        <v>5.1923076923077183E-3</v>
      </c>
      <c r="E105" s="34">
        <f t="shared" si="11"/>
        <v>2.6960059171597902E-5</v>
      </c>
      <c r="F105" s="24">
        <f xml:space="preserve"> $C$7^( B105 - 1 )</f>
        <v>9.8883647096589845E-3</v>
      </c>
      <c r="G105" s="25">
        <f t="shared" si="12"/>
        <v>2.665908976827467E-7</v>
      </c>
      <c r="K105" s="19">
        <f t="shared" si="7"/>
        <v>5.8896338159079399E-5</v>
      </c>
      <c r="L105" s="36">
        <f t="shared" si="8"/>
        <v>7.6743949702292105E-3</v>
      </c>
      <c r="M105" s="64">
        <f t="shared" si="9"/>
        <v>2.9068028510651936E-9</v>
      </c>
      <c r="N105" s="12"/>
      <c r="O105" s="10">
        <f>-L116*$P$1</f>
        <v>-1.7289351088382358E-2</v>
      </c>
      <c r="P105" s="10">
        <f>+L116*$P$1</f>
        <v>1.7289351088382358E-2</v>
      </c>
    </row>
    <row r="106" spans="1:16" x14ac:dyDescent="0.25">
      <c r="A106" s="1">
        <v>45188</v>
      </c>
      <c r="B106" s="2">
        <f t="shared" si="13"/>
        <v>92</v>
      </c>
      <c r="C106" s="3">
        <f>+VLOOKUP(A106,Precios!$B:$H,1+$C$5,0)</f>
        <v>52</v>
      </c>
      <c r="D106" s="10">
        <f t="shared" si="10"/>
        <v>1.0493587252234704E-2</v>
      </c>
      <c r="E106" s="34">
        <f t="shared" si="11"/>
        <v>1.1011537342026269E-4</v>
      </c>
      <c r="F106" s="24">
        <f xml:space="preserve"> $C$7^( B106 - 1 )</f>
        <v>9.3939464741760355E-3</v>
      </c>
      <c r="G106" s="25">
        <f t="shared" si="12"/>
        <v>1.0344179238938543E-6</v>
      </c>
      <c r="K106" s="19">
        <f t="shared" si="7"/>
        <v>5.6200599461122381E-5</v>
      </c>
      <c r="L106" s="36">
        <f t="shared" si="8"/>
        <v>7.4967059073383947E-3</v>
      </c>
      <c r="M106" s="64">
        <f t="shared" si="9"/>
        <v>5.2728810318892649E-10</v>
      </c>
      <c r="N106" s="12"/>
      <c r="O106" s="10">
        <f>-L117*$P$1</f>
        <v>-1.7721315173250228E-2</v>
      </c>
      <c r="P106" s="10">
        <f>+L117*$P$1</f>
        <v>1.7721315173250228E-2</v>
      </c>
    </row>
    <row r="107" spans="1:16" x14ac:dyDescent="0.25">
      <c r="A107" s="1">
        <v>45187</v>
      </c>
      <c r="B107" s="2">
        <f t="shared" si="13"/>
        <v>93</v>
      </c>
      <c r="C107" s="3">
        <f>+VLOOKUP(A107,Precios!$B:$H,1+$C$5,0)</f>
        <v>51.46</v>
      </c>
      <c r="D107" s="10">
        <f t="shared" si="10"/>
        <v>5.8639562157936087E-3</v>
      </c>
      <c r="E107" s="34">
        <f t="shared" si="11"/>
        <v>3.4385982500744503E-5</v>
      </c>
      <c r="F107" s="24">
        <f xml:space="preserve"> $C$7^( B107 - 1 )</f>
        <v>8.9242491504672328E-3</v>
      </c>
      <c r="G107" s="25">
        <f t="shared" si="12"/>
        <v>3.0686907512025028E-7</v>
      </c>
      <c r="K107" s="19">
        <f t="shared" si="7"/>
        <v>5.734873719587911E-5</v>
      </c>
      <c r="L107" s="36">
        <f t="shared" si="8"/>
        <v>7.5728949019433188E-3</v>
      </c>
      <c r="M107" s="64">
        <f t="shared" si="9"/>
        <v>9.8317024397159569E-10</v>
      </c>
      <c r="N107" s="12"/>
      <c r="O107" s="10">
        <f>-L118*$P$1</f>
        <v>-1.8174219388794422E-2</v>
      </c>
      <c r="P107" s="10">
        <f>+L118*$P$1</f>
        <v>1.8174219388794422E-2</v>
      </c>
    </row>
    <row r="108" spans="1:16" x14ac:dyDescent="0.25">
      <c r="A108" s="1">
        <v>45184</v>
      </c>
      <c r="B108" s="2">
        <f t="shared" si="13"/>
        <v>94</v>
      </c>
      <c r="C108" s="3">
        <f>+VLOOKUP(A108,Precios!$B:$H,1+$C$5,0)</f>
        <v>51.16</v>
      </c>
      <c r="D108" s="10">
        <f t="shared" si="10"/>
        <v>-5.2498541707175495E-3</v>
      </c>
      <c r="E108" s="34">
        <f t="shared" si="11"/>
        <v>2.7560968813800448E-5</v>
      </c>
      <c r="F108" s="24">
        <f xml:space="preserve"> $C$7^( B108 - 1 )</f>
        <v>8.4780366929438702E-3</v>
      </c>
      <c r="G108" s="25">
        <f t="shared" si="12"/>
        <v>2.336629048964819E-7</v>
      </c>
      <c r="K108" s="19">
        <f t="shared" si="7"/>
        <v>5.8916514479146408E-5</v>
      </c>
      <c r="L108" s="36">
        <f t="shared" si="8"/>
        <v>7.6757093795392231E-3</v>
      </c>
      <c r="M108" s="64">
        <f t="shared" si="9"/>
        <v>3.2697078646416813E-9</v>
      </c>
      <c r="N108" s="12"/>
      <c r="O108" s="10">
        <f>-L119*$P$1</f>
        <v>-1.4982484712061879E-2</v>
      </c>
      <c r="P108" s="10">
        <f>+L119*$P$1</f>
        <v>1.4982484712061879E-2</v>
      </c>
    </row>
    <row r="109" spans="1:16" x14ac:dyDescent="0.25">
      <c r="A109" s="1">
        <v>45183</v>
      </c>
      <c r="B109" s="2">
        <f t="shared" si="13"/>
        <v>95</v>
      </c>
      <c r="C109" s="3">
        <f>+VLOOKUP(A109,Precios!$B:$H,1+$C$5,0)</f>
        <v>51.43</v>
      </c>
      <c r="D109" s="10">
        <f t="shared" si="10"/>
        <v>2.1434138737335129E-3</v>
      </c>
      <c r="E109" s="34">
        <f t="shared" si="11"/>
        <v>4.5942230341133037E-6</v>
      </c>
      <c r="F109" s="24">
        <f xml:space="preserve"> $C$7^( B109 - 1 )</f>
        <v>8.054134858296676E-3</v>
      </c>
      <c r="G109" s="25">
        <f t="shared" si="12"/>
        <v>3.7002491885841479E-8</v>
      </c>
      <c r="K109" s="19">
        <f t="shared" si="7"/>
        <v>6.1775582449937629E-5</v>
      </c>
      <c r="L109" s="36">
        <f t="shared" si="8"/>
        <v>7.859744426502533E-3</v>
      </c>
      <c r="M109" s="64">
        <f t="shared" si="9"/>
        <v>3.7756638284316506E-10</v>
      </c>
      <c r="N109" s="12"/>
      <c r="O109" s="10">
        <f>-L120*$P$1</f>
        <v>-1.5325624865091906E-2</v>
      </c>
      <c r="P109" s="10">
        <f>+L120*$P$1</f>
        <v>1.5325624865091906E-2</v>
      </c>
    </row>
    <row r="110" spans="1:16" x14ac:dyDescent="0.25">
      <c r="A110" s="1">
        <v>45182</v>
      </c>
      <c r="B110" s="2">
        <f t="shared" si="13"/>
        <v>96</v>
      </c>
      <c r="C110" s="3">
        <f>+VLOOKUP(A110,Precios!$B:$H,1+$C$5,0)</f>
        <v>51.32</v>
      </c>
      <c r="D110" s="10">
        <f t="shared" si="10"/>
        <v>-6.5814943863723441E-3</v>
      </c>
      <c r="E110" s="34">
        <f t="shared" si="11"/>
        <v>4.3316068357850681E-5</v>
      </c>
      <c r="F110" s="24">
        <f xml:space="preserve"> $C$7^( B110 - 1 )</f>
        <v>7.6514281153818439E-3</v>
      </c>
      <c r="G110" s="25">
        <f t="shared" si="12"/>
        <v>3.3142978328106057E-7</v>
      </c>
      <c r="K110" s="19">
        <f t="shared" si="7"/>
        <v>6.2747135823205358E-5</v>
      </c>
      <c r="L110" s="36">
        <f t="shared" si="8"/>
        <v>7.9213089715782052E-3</v>
      </c>
      <c r="M110" s="64">
        <f t="shared" si="9"/>
        <v>1.6429315837415221E-10</v>
      </c>
      <c r="N110" s="12"/>
      <c r="O110" s="10">
        <f>-L121*$P$1</f>
        <v>-1.4172087149691117E-2</v>
      </c>
      <c r="P110" s="10">
        <f>+L121*$P$1</f>
        <v>1.4172087149691117E-2</v>
      </c>
    </row>
    <row r="111" spans="1:16" x14ac:dyDescent="0.25">
      <c r="A111" s="1">
        <v>45181</v>
      </c>
      <c r="B111" s="2">
        <f t="shared" si="13"/>
        <v>97</v>
      </c>
      <c r="C111" s="3">
        <f>+VLOOKUP(A111,Precios!$B:$H,1+$C$5,0)</f>
        <v>51.66</v>
      </c>
      <c r="D111" s="10">
        <f t="shared" si="10"/>
        <v>-7.1112819527197058E-3</v>
      </c>
      <c r="E111" s="34">
        <f t="shared" si="11"/>
        <v>5.0570331011076993E-5</v>
      </c>
      <c r="F111" s="24">
        <f xml:space="preserve"> $C$7^( B111 - 1 )</f>
        <v>7.268856709612752E-3</v>
      </c>
      <c r="G111" s="25">
        <f t="shared" si="12"/>
        <v>3.6758848987720484E-7</v>
      </c>
      <c r="K111" s="19">
        <f t="shared" si="7"/>
        <v>6.3388020287001581E-5</v>
      </c>
      <c r="L111" s="36">
        <f t="shared" si="8"/>
        <v>7.9616593928025815E-3</v>
      </c>
      <c r="M111" s="64">
        <f t="shared" si="9"/>
        <v>1.6564515289377785E-9</v>
      </c>
      <c r="N111" s="12"/>
      <c r="O111" s="10">
        <f>-L122*$P$1</f>
        <v>-1.4414977151439806E-2</v>
      </c>
      <c r="P111" s="10">
        <f>+L122*$P$1</f>
        <v>1.4414977151439806E-2</v>
      </c>
    </row>
    <row r="112" spans="1:16" x14ac:dyDescent="0.25">
      <c r="A112" s="1">
        <v>45180</v>
      </c>
      <c r="B112" s="2">
        <f t="shared" si="13"/>
        <v>98</v>
      </c>
      <c r="C112" s="3">
        <f>+VLOOKUP(A112,Precios!$B:$H,1+$C$5,0)</f>
        <v>52.03</v>
      </c>
      <c r="D112" s="10">
        <f t="shared" si="10"/>
        <v>-4.9722700325109948E-3</v>
      </c>
      <c r="E112" s="34">
        <f t="shared" si="11"/>
        <v>2.472346927620689E-5</v>
      </c>
      <c r="F112" s="24">
        <f xml:space="preserve"> $C$7^( B112 - 1 )</f>
        <v>6.9054138741321139E-3</v>
      </c>
      <c r="G112" s="25">
        <f t="shared" si="12"/>
        <v>1.7072578775659811E-7</v>
      </c>
      <c r="K112" s="19">
        <f t="shared" si="7"/>
        <v>6.5422996655990781E-5</v>
      </c>
      <c r="L112" s="36">
        <f t="shared" si="8"/>
        <v>8.0884483466231501E-3</v>
      </c>
      <c r="M112" s="64">
        <f t="shared" si="9"/>
        <v>4.7372659780684046E-9</v>
      </c>
      <c r="N112" s="12"/>
      <c r="O112" s="10">
        <f>-L123*$P$1</f>
        <v>-1.473200833683384E-2</v>
      </c>
      <c r="P112" s="10">
        <f>+L123*$P$1</f>
        <v>1.473200833683384E-2</v>
      </c>
    </row>
    <row r="113" spans="1:16" x14ac:dyDescent="0.25">
      <c r="A113" s="1">
        <v>45177</v>
      </c>
      <c r="B113" s="2">
        <f t="shared" si="13"/>
        <v>99</v>
      </c>
      <c r="C113" s="3">
        <f>+VLOOKUP(A113,Precios!$B:$H,1+$C$5,0)</f>
        <v>52.29</v>
      </c>
      <c r="D113" s="10">
        <f t="shared" si="10"/>
        <v>1.9127773527150005E-4</v>
      </c>
      <c r="E113" s="34">
        <f t="shared" si="11"/>
        <v>3.6587172010594057E-8</v>
      </c>
      <c r="F113" s="24">
        <f xml:space="preserve"> $C$7^( B113 - 1 )</f>
        <v>6.5601431804255088E-3</v>
      </c>
      <c r="G113" s="25">
        <f t="shared" si="12"/>
        <v>2.4001708695635365E-10</v>
      </c>
      <c r="K113" s="19">
        <f t="shared" si="7"/>
        <v>6.8864386628831852E-5</v>
      </c>
      <c r="L113" s="36">
        <f t="shared" si="8"/>
        <v>8.2984568823867393E-3</v>
      </c>
      <c r="M113" s="64">
        <f t="shared" si="9"/>
        <v>4.8301621653990388E-10</v>
      </c>
      <c r="N113" s="12"/>
      <c r="O113" s="10">
        <f>-L124*$P$1</f>
        <v>-1.4515119453182198E-2</v>
      </c>
      <c r="P113" s="10">
        <f>+L124*$P$1</f>
        <v>1.4515119453182198E-2</v>
      </c>
    </row>
    <row r="114" spans="1:16" x14ac:dyDescent="0.25">
      <c r="A114" s="1">
        <v>45176</v>
      </c>
      <c r="B114" s="2">
        <f t="shared" si="13"/>
        <v>100</v>
      </c>
      <c r="C114" s="3">
        <f>+VLOOKUP(A114,Precios!$B:$H,1+$C$5,0)</f>
        <v>52.28</v>
      </c>
      <c r="D114" s="10">
        <f t="shared" si="10"/>
        <v>-9.4732853353542978E-3</v>
      </c>
      <c r="E114" s="34">
        <f t="shared" si="11"/>
        <v>8.9743135045038789E-5</v>
      </c>
      <c r="F114" s="24">
        <f xml:space="preserve"> $C$7^( B114 - 1 )</f>
        <v>6.2321360214042318E-3</v>
      </c>
      <c r="G114" s="25">
        <f t="shared" si="12"/>
        <v>5.5929142458793076E-7</v>
      </c>
      <c r="K114" s="19">
        <f t="shared" si="7"/>
        <v>6.7765505133242024E-5</v>
      </c>
      <c r="L114" s="36">
        <f t="shared" si="8"/>
        <v>8.2319806324627626E-3</v>
      </c>
      <c r="M114" s="64">
        <f t="shared" si="9"/>
        <v>4.7480949318831144E-9</v>
      </c>
      <c r="N114" s="12"/>
      <c r="O114" s="10">
        <f>-L125*$P$1</f>
        <v>-1.4347359112985361E-2</v>
      </c>
      <c r="P114" s="10">
        <f>+L125*$P$1</f>
        <v>1.4347359112985361E-2</v>
      </c>
    </row>
    <row r="115" spans="1:16" x14ac:dyDescent="0.25">
      <c r="A115" s="1">
        <v>45175</v>
      </c>
      <c r="B115" s="2">
        <f t="shared" si="13"/>
        <v>101</v>
      </c>
      <c r="C115" s="3">
        <f>+VLOOKUP(A115,Precios!$B:$H,1+$C$5,0)</f>
        <v>52.78</v>
      </c>
      <c r="D115" s="10">
        <f t="shared" si="10"/>
        <v>1.5180265654648473E-3</v>
      </c>
      <c r="E115" s="34">
        <f t="shared" si="11"/>
        <v>2.3044046534570003E-6</v>
      </c>
      <c r="F115" s="24">
        <f xml:space="preserve"> $C$7^( B115 - 1 )</f>
        <v>5.9205292203340209E-3</v>
      </c>
      <c r="G115" s="25">
        <f t="shared" si="12"/>
        <v>1.3643295086265864E-8</v>
      </c>
      <c r="K115" s="19">
        <f t="shared" si="7"/>
        <v>7.1210826211125453E-5</v>
      </c>
      <c r="L115" s="36">
        <f t="shared" si="8"/>
        <v>8.4386507340406883E-3</v>
      </c>
      <c r="M115" s="64">
        <f t="shared" si="9"/>
        <v>4.9550028413947256E-9</v>
      </c>
      <c r="N115" s="12"/>
      <c r="O115" s="10">
        <f>-L126*$P$1</f>
        <v>-1.471598139615218E-2</v>
      </c>
      <c r="P115" s="10">
        <f>+L126*$P$1</f>
        <v>1.471598139615218E-2</v>
      </c>
    </row>
    <row r="116" spans="1:16" x14ac:dyDescent="0.25">
      <c r="A116" s="1">
        <v>45174</v>
      </c>
      <c r="B116" s="2">
        <f t="shared" si="13"/>
        <v>102</v>
      </c>
      <c r="C116" s="3">
        <f>+VLOOKUP(A116,Precios!$B:$H,1+$C$5,0)</f>
        <v>52.7</v>
      </c>
      <c r="D116" s="10">
        <f t="shared" si="10"/>
        <v>-2.0829388373414526E-3</v>
      </c>
      <c r="E116" s="34">
        <f t="shared" si="11"/>
        <v>4.3386342001053622E-6</v>
      </c>
      <c r="F116" s="24">
        <f xml:space="preserve"> $C$7^( B116 - 1 )</f>
        <v>5.6245027593173199E-3</v>
      </c>
      <c r="G116" s="25">
        <f t="shared" si="12"/>
        <v>2.4402660030161104E-8</v>
      </c>
      <c r="K116" s="19">
        <f t="shared" si="7"/>
        <v>7.4730415264337048E-5</v>
      </c>
      <c r="L116" s="36">
        <f t="shared" si="8"/>
        <v>8.6446755441911792E-3</v>
      </c>
      <c r="M116" s="64">
        <f t="shared" si="9"/>
        <v>5.717893192345897E-9</v>
      </c>
      <c r="N116" s="12"/>
      <c r="O116" s="10">
        <f>-L127*$P$1</f>
        <v>-1.5082337230627617E-2</v>
      </c>
      <c r="P116" s="10">
        <f>+L127*$P$1</f>
        <v>1.5082337230627617E-2</v>
      </c>
    </row>
    <row r="117" spans="1:16" x14ac:dyDescent="0.25">
      <c r="A117" s="1">
        <v>45173</v>
      </c>
      <c r="B117" s="2">
        <f t="shared" si="13"/>
        <v>103</v>
      </c>
      <c r="C117" s="3">
        <f>+VLOOKUP(A117,Precios!$B:$H,1+$C$5,0)</f>
        <v>52.81</v>
      </c>
      <c r="D117" s="10">
        <f t="shared" si="10"/>
        <v>-1.7013232514176968E-3</v>
      </c>
      <c r="E117" s="34">
        <f t="shared" si="11"/>
        <v>2.8945008058144834E-6</v>
      </c>
      <c r="F117" s="24">
        <f xml:space="preserve"> $C$7^( B117 - 1 )</f>
        <v>5.3432776213514534E-3</v>
      </c>
      <c r="G117" s="25">
        <f t="shared" si="12"/>
        <v>1.5466121380692278E-8</v>
      </c>
      <c r="K117" s="19">
        <f t="shared" si="7"/>
        <v>7.8511252867417185E-5</v>
      </c>
      <c r="L117" s="36">
        <f t="shared" si="8"/>
        <v>8.860657586625114E-3</v>
      </c>
      <c r="M117" s="64">
        <f t="shared" si="9"/>
        <v>6.6074454344693165E-9</v>
      </c>
      <c r="N117" s="12"/>
      <c r="O117" s="10">
        <f>-L128*$P$1</f>
        <v>-1.5471967707955283E-2</v>
      </c>
      <c r="P117" s="10">
        <f>+L128*$P$1</f>
        <v>1.5471967707955283E-2</v>
      </c>
    </row>
    <row r="118" spans="1:16" x14ac:dyDescent="0.25">
      <c r="A118" s="1">
        <v>45170</v>
      </c>
      <c r="B118" s="2">
        <f t="shared" si="13"/>
        <v>104</v>
      </c>
      <c r="C118" s="3">
        <f>+VLOOKUP(A118,Precios!$B:$H,1+$C$5,0)</f>
        <v>52.9</v>
      </c>
      <c r="D118" s="10">
        <f t="shared" si="10"/>
        <v>1.135503406510141E-3</v>
      </c>
      <c r="E118" s="34">
        <f t="shared" si="11"/>
        <v>1.2893679861961345E-6</v>
      </c>
      <c r="F118" s="24">
        <f xml:space="preserve"> $C$7^( B118 - 1 )</f>
        <v>5.0761137402838812E-3</v>
      </c>
      <c r="G118" s="25">
        <f t="shared" si="12"/>
        <v>6.5449785510123564E-9</v>
      </c>
      <c r="K118" s="19">
        <f t="shared" si="7"/>
        <v>8.2575562598007773E-5</v>
      </c>
      <c r="L118" s="36">
        <f t="shared" si="8"/>
        <v>9.0871096943972111E-3</v>
      </c>
      <c r="M118" s="64">
        <f t="shared" si="9"/>
        <v>2.7998597664740123E-7</v>
      </c>
      <c r="N118" s="12"/>
      <c r="O118" s="10">
        <f>-L129*$P$1</f>
        <v>-1.5018364277999118E-2</v>
      </c>
      <c r="P118" s="10">
        <f>+L129*$P$1</f>
        <v>1.5018364277999118E-2</v>
      </c>
    </row>
    <row r="119" spans="1:16" x14ac:dyDescent="0.25">
      <c r="A119" s="1">
        <v>45169</v>
      </c>
      <c r="B119" s="2">
        <f t="shared" si="13"/>
        <v>105</v>
      </c>
      <c r="C119" s="3">
        <f>+VLOOKUP(A119,Precios!$B:$H,1+$C$5,0)</f>
        <v>52.84</v>
      </c>
      <c r="D119" s="10">
        <f t="shared" si="10"/>
        <v>-2.4192059095106133E-2</v>
      </c>
      <c r="E119" s="34">
        <f t="shared" si="11"/>
        <v>5.8525572326110738E-4</v>
      </c>
      <c r="F119" s="24">
        <f xml:space="preserve"> $C$7^( B119 - 1 )</f>
        <v>4.8223080532696872E-3</v>
      </c>
      <c r="G119" s="25">
        <f t="shared" si="12"/>
        <v>2.8222833875042138E-6</v>
      </c>
      <c r="K119" s="19">
        <f t="shared" si="7"/>
        <v>5.6118712036791982E-5</v>
      </c>
      <c r="L119" s="36">
        <f t="shared" si="8"/>
        <v>7.4912423560309395E-3</v>
      </c>
      <c r="M119" s="64">
        <f t="shared" si="9"/>
        <v>2.7039632664695399E-9</v>
      </c>
      <c r="N119" s="12"/>
      <c r="O119" s="10">
        <f>-L130*$P$1</f>
        <v>-1.5269430055531727E-2</v>
      </c>
      <c r="P119" s="10">
        <f>+L130*$P$1</f>
        <v>1.5269430055531727E-2</v>
      </c>
    </row>
    <row r="120" spans="1:16" x14ac:dyDescent="0.25">
      <c r="A120" s="1">
        <v>45168</v>
      </c>
      <c r="B120" s="2">
        <f t="shared" si="13"/>
        <v>106</v>
      </c>
      <c r="C120" s="3">
        <f>+VLOOKUP(A120,Precios!$B:$H,1+$C$5,0)</f>
        <v>54.15</v>
      </c>
      <c r="D120" s="10">
        <f t="shared" si="10"/>
        <v>2.5921125717460747E-3</v>
      </c>
      <c r="E120" s="34">
        <f t="shared" si="11"/>
        <v>6.719047584604049E-6</v>
      </c>
      <c r="F120" s="24">
        <f xml:space="preserve"> $C$7^( B120 - 1 )</f>
        <v>4.5811926506062021E-3</v>
      </c>
      <c r="G120" s="25">
        <f t="shared" si="12"/>
        <v>3.0781251413661424E-8</v>
      </c>
      <c r="K120" s="19">
        <f t="shared" si="7"/>
        <v>5.8718694376380819E-5</v>
      </c>
      <c r="L120" s="36">
        <f t="shared" si="8"/>
        <v>7.6628124325459528E-3</v>
      </c>
      <c r="M120" s="64">
        <f t="shared" si="9"/>
        <v>2.8945447509446655E-8</v>
      </c>
      <c r="N120" s="12"/>
      <c r="O120" s="10">
        <f>-L131*$P$1</f>
        <v>-1.5516224797514936E-2</v>
      </c>
      <c r="P120" s="10">
        <f>+L131*$P$1</f>
        <v>1.5516224797514936E-2</v>
      </c>
    </row>
    <row r="121" spans="1:16" x14ac:dyDescent="0.25">
      <c r="A121" s="1">
        <v>45167</v>
      </c>
      <c r="B121" s="2">
        <f t="shared" si="13"/>
        <v>107</v>
      </c>
      <c r="C121" s="3">
        <f>+VLOOKUP(A121,Precios!$B:$H,1+$C$5,0)</f>
        <v>54.01</v>
      </c>
      <c r="D121" s="10">
        <f t="shared" si="10"/>
        <v>1.4844043592634248E-2</v>
      </c>
      <c r="E121" s="34">
        <f t="shared" si="11"/>
        <v>2.2034563018002588E-4</v>
      </c>
      <c r="F121" s="24">
        <f xml:space="preserve"> $C$7^( B121 - 1 )</f>
        <v>4.3521330180758934E-3</v>
      </c>
      <c r="G121" s="25">
        <f t="shared" si="12"/>
        <v>9.5897349249523076E-7</v>
      </c>
      <c r="K121" s="19">
        <f t="shared" si="7"/>
        <v>5.021201354461002E-5</v>
      </c>
      <c r="L121" s="36">
        <f t="shared" si="8"/>
        <v>7.0860435748455585E-3</v>
      </c>
      <c r="M121" s="64">
        <f t="shared" si="9"/>
        <v>1.2053090064085954E-9</v>
      </c>
      <c r="N121" s="12"/>
      <c r="O121" s="10">
        <f>-L132*$P$1</f>
        <v>-1.5917194433590749E-2</v>
      </c>
      <c r="P121" s="10">
        <f>+L132*$P$1</f>
        <v>1.5917194433590749E-2</v>
      </c>
    </row>
    <row r="122" spans="1:16" x14ac:dyDescent="0.25">
      <c r="A122" s="1">
        <v>45166</v>
      </c>
      <c r="B122" s="2">
        <f t="shared" si="13"/>
        <v>108</v>
      </c>
      <c r="C122" s="3">
        <f>+VLOOKUP(A122,Precios!$B:$H,1+$C$5,0)</f>
        <v>53.22</v>
      </c>
      <c r="D122" s="10">
        <f t="shared" si="10"/>
        <v>4.1509433962263476E-3</v>
      </c>
      <c r="E122" s="34">
        <f t="shared" si="11"/>
        <v>1.7230331078675125E-5</v>
      </c>
      <c r="F122" s="24">
        <f xml:space="preserve"> $C$7^( B122 - 1 )</f>
        <v>4.1345263671720978E-3</v>
      </c>
      <c r="G122" s="25">
        <f t="shared" si="12"/>
        <v>7.123925815988716E-8</v>
      </c>
      <c r="K122" s="19">
        <f t="shared" si="7"/>
        <v>5.1947891569132909E-5</v>
      </c>
      <c r="L122" s="36">
        <f t="shared" si="8"/>
        <v>7.2074885757199029E-3</v>
      </c>
      <c r="M122" s="64">
        <f t="shared" si="9"/>
        <v>2.1346725586589536E-9</v>
      </c>
      <c r="N122" s="12"/>
      <c r="O122" s="10">
        <f>-L133*$P$1</f>
        <v>-1.5610987615482699E-2</v>
      </c>
      <c r="P122" s="10">
        <f>+L133*$P$1</f>
        <v>1.5610987615482699E-2</v>
      </c>
    </row>
    <row r="123" spans="1:16" x14ac:dyDescent="0.25">
      <c r="A123" s="1">
        <v>45163</v>
      </c>
      <c r="B123" s="2">
        <f t="shared" si="13"/>
        <v>109</v>
      </c>
      <c r="C123" s="3">
        <f>+VLOOKUP(A123,Precios!$B:$H,1+$C$5,0)</f>
        <v>53</v>
      </c>
      <c r="D123" s="10">
        <f t="shared" si="10"/>
        <v>2.8382213812676582E-3</v>
      </c>
      <c r="E123" s="34">
        <f t="shared" si="11"/>
        <v>8.0555006090848932E-6</v>
      </c>
      <c r="F123" s="24">
        <f xml:space="preserve"> $C$7^( B123 - 1 )</f>
        <v>3.9278000488134927E-3</v>
      </c>
      <c r="G123" s="25">
        <f t="shared" si="12"/>
        <v>3.1640395685580766E-8</v>
      </c>
      <c r="K123" s="19">
        <f t="shared" si="7"/>
        <v>5.4258017409135441E-5</v>
      </c>
      <c r="L123" s="36">
        <f t="shared" si="8"/>
        <v>7.3660041684169199E-3</v>
      </c>
      <c r="M123" s="64">
        <f t="shared" si="9"/>
        <v>1.0059607612424732E-9</v>
      </c>
      <c r="N123" s="12"/>
      <c r="O123" s="10">
        <f>-L134*$P$1</f>
        <v>-1.5768443452825822E-2</v>
      </c>
      <c r="P123" s="10">
        <f>+L134*$P$1</f>
        <v>1.5768443452825822E-2</v>
      </c>
    </row>
    <row r="124" spans="1:16" x14ac:dyDescent="0.25">
      <c r="A124" s="1">
        <v>45162</v>
      </c>
      <c r="B124" s="2">
        <f t="shared" si="13"/>
        <v>110</v>
      </c>
      <c r="C124" s="3">
        <f>+VLOOKUP(A124,Precios!$B:$H,1+$C$5,0)</f>
        <v>52.85</v>
      </c>
      <c r="D124" s="10">
        <f t="shared" si="10"/>
        <v>-9.1863517060367661E-3</v>
      </c>
      <c r="E124" s="34">
        <f t="shared" si="11"/>
        <v>8.4389057667004602E-5</v>
      </c>
      <c r="F124" s="24">
        <f xml:space="preserve"> $C$7^( B124 - 1 )</f>
        <v>3.731410046372818E-3</v>
      </c>
      <c r="G124" s="25">
        <f t="shared" si="12"/>
        <v>3.1489017758259608E-7</v>
      </c>
      <c r="K124" s="19">
        <f t="shared" si="7"/>
        <v>5.2672173185037064E-5</v>
      </c>
      <c r="L124" s="36">
        <f t="shared" si="8"/>
        <v>7.2575597265910992E-3</v>
      </c>
      <c r="M124" s="64">
        <f t="shared" si="9"/>
        <v>5.8611906994368247E-10</v>
      </c>
      <c r="N124" s="12"/>
      <c r="O124" s="10">
        <f>-L135*$P$1</f>
        <v>-1.5548861904609128E-2</v>
      </c>
      <c r="P124" s="10">
        <f>+L135*$P$1</f>
        <v>1.5548861904609128E-2</v>
      </c>
    </row>
    <row r="125" spans="1:16" x14ac:dyDescent="0.25">
      <c r="A125" s="1">
        <v>45161</v>
      </c>
      <c r="B125" s="2">
        <f t="shared" si="13"/>
        <v>111</v>
      </c>
      <c r="C125" s="3">
        <f>+VLOOKUP(A125,Precios!$B:$H,1+$C$5,0)</f>
        <v>53.34</v>
      </c>
      <c r="D125" s="10">
        <f t="shared" si="10"/>
        <v>8.6989409984872257E-3</v>
      </c>
      <c r="E125" s="34">
        <f t="shared" si="11"/>
        <v>7.5671574495161933E-5</v>
      </c>
      <c r="F125" s="24">
        <f xml:space="preserve"> $C$7^( B125 - 1 )</f>
        <v>3.5448395440541773E-3</v>
      </c>
      <c r="G125" s="25">
        <f t="shared" si="12"/>
        <v>2.6824358963129156E-7</v>
      </c>
      <c r="K125" s="19">
        <f t="shared" si="7"/>
        <v>5.146167837924102E-5</v>
      </c>
      <c r="L125" s="36">
        <f t="shared" si="8"/>
        <v>7.1736795564926806E-3</v>
      </c>
      <c r="M125" s="64">
        <f t="shared" si="9"/>
        <v>2.8694207757961754E-9</v>
      </c>
      <c r="N125" s="12"/>
      <c r="O125" s="10">
        <f>-L136*$P$1</f>
        <v>-1.563723735755217E-2</v>
      </c>
      <c r="P125" s="10">
        <f>+L136*$P$1</f>
        <v>1.563723735755217E-2</v>
      </c>
    </row>
    <row r="126" spans="1:16" x14ac:dyDescent="0.25">
      <c r="A126" s="1">
        <v>45160</v>
      </c>
      <c r="B126" s="2">
        <f t="shared" si="13"/>
        <v>112</v>
      </c>
      <c r="C126" s="3">
        <f>+VLOOKUP(A126,Precios!$B:$H,1+$C$5,0)</f>
        <v>52.88</v>
      </c>
      <c r="D126" s="10">
        <f t="shared" si="10"/>
        <v>7.570022710068347E-4</v>
      </c>
      <c r="E126" s="34">
        <f t="shared" si="11"/>
        <v>5.7305243830950522E-7</v>
      </c>
      <c r="F126" s="24">
        <f xml:space="preserve"> $C$7^( B126 - 1 )</f>
        <v>3.3675975668514685E-3</v>
      </c>
      <c r="G126" s="25">
        <f t="shared" si="12"/>
        <v>1.929809996929391E-9</v>
      </c>
      <c r="K126" s="19">
        <f t="shared" si="7"/>
        <v>5.414002711297426E-5</v>
      </c>
      <c r="L126" s="36">
        <f t="shared" si="8"/>
        <v>7.35799069807609E-3</v>
      </c>
      <c r="M126" s="64">
        <f t="shared" si="9"/>
        <v>2.979406443959307E-9</v>
      </c>
      <c r="N126" s="12"/>
      <c r="O126" s="10">
        <f>-L137*$P$1</f>
        <v>-1.6039830263180836E-2</v>
      </c>
      <c r="P126" s="10">
        <f>+L137*$P$1</f>
        <v>1.6039830263180836E-2</v>
      </c>
    </row>
    <row r="127" spans="1:16" x14ac:dyDescent="0.25">
      <c r="A127" s="1">
        <v>45159</v>
      </c>
      <c r="B127" s="2">
        <f t="shared" si="13"/>
        <v>113</v>
      </c>
      <c r="C127" s="3">
        <f>+VLOOKUP(A127,Precios!$B:$H,1+$C$5,0)</f>
        <v>52.84</v>
      </c>
      <c r="D127" s="10">
        <f t="shared" si="10"/>
        <v>-1.5117157974300355E-3</v>
      </c>
      <c r="E127" s="34">
        <f t="shared" si="11"/>
        <v>2.2852846521995281E-6</v>
      </c>
      <c r="F127" s="24">
        <f xml:space="preserve"> $C$7^( B127 - 1 )</f>
        <v>3.1992176885088947E-3</v>
      </c>
      <c r="G127" s="25">
        <f t="shared" si="12"/>
        <v>7.3111230825946281E-9</v>
      </c>
      <c r="K127" s="19">
        <f t="shared" si="7"/>
        <v>5.6869224084593987E-5</v>
      </c>
      <c r="L127" s="36">
        <f t="shared" si="8"/>
        <v>7.5411686153138086E-3</v>
      </c>
      <c r="M127" s="64">
        <f t="shared" si="9"/>
        <v>3.5431592059085335E-9</v>
      </c>
      <c r="N127" s="12"/>
      <c r="O127" s="10">
        <f>-L138*$P$1</f>
        <v>-1.57834816956944E-2</v>
      </c>
      <c r="P127" s="10">
        <f>+L138*$P$1</f>
        <v>1.57834816956944E-2</v>
      </c>
    </row>
    <row r="128" spans="1:16" x14ac:dyDescent="0.25">
      <c r="A128" s="1">
        <v>45156</v>
      </c>
      <c r="B128" s="2">
        <f t="shared" si="13"/>
        <v>114</v>
      </c>
      <c r="C128" s="3">
        <f>+VLOOKUP(A128,Precios!$B:$H,1+$C$5,0)</f>
        <v>52.92</v>
      </c>
      <c r="D128" s="10">
        <f t="shared" si="10"/>
        <v>-5.6657223796041656E-4</v>
      </c>
      <c r="E128" s="34">
        <f t="shared" si="11"/>
        <v>3.2100410082747488E-7</v>
      </c>
      <c r="F128" s="24">
        <f xml:space="preserve"> $C$7^( B128 - 1 )</f>
        <v>3.0392568040834502E-3</v>
      </c>
      <c r="G128" s="25">
        <f t="shared" si="12"/>
        <v>9.7561389757859286E-10</v>
      </c>
      <c r="K128" s="19">
        <f t="shared" si="7"/>
        <v>5.9845446189002758E-5</v>
      </c>
      <c r="L128" s="36">
        <f t="shared" si="8"/>
        <v>7.7359838539776413E-3</v>
      </c>
      <c r="M128" s="64">
        <f t="shared" si="9"/>
        <v>4.7820815123308523E-9</v>
      </c>
      <c r="N128" s="12"/>
      <c r="O128" s="10">
        <f>-L139*$P$1</f>
        <v>-1.6154443385113969E-2</v>
      </c>
      <c r="P128" s="10">
        <f>+L139*$P$1</f>
        <v>1.6154443385113969E-2</v>
      </c>
    </row>
    <row r="129" spans="1:16" x14ac:dyDescent="0.25">
      <c r="A129" s="1">
        <v>45155</v>
      </c>
      <c r="B129" s="2">
        <f t="shared" si="13"/>
        <v>115</v>
      </c>
      <c r="C129" s="3">
        <f>+VLOOKUP(A129,Precios!$B:$H,1+$C$5,0)</f>
        <v>52.95</v>
      </c>
      <c r="D129" s="10">
        <f t="shared" si="10"/>
        <v>-1.1204481792716936E-2</v>
      </c>
      <c r="E129" s="34">
        <f t="shared" si="11"/>
        <v>1.2554041224332533E-4</v>
      </c>
      <c r="F129" s="24">
        <f xml:space="preserve"> $C$7^( B129 - 1 )</f>
        <v>2.8872939638792776E-3</v>
      </c>
      <c r="G129" s="25">
        <f t="shared" si="12"/>
        <v>3.6247207449306936E-7</v>
      </c>
      <c r="K129" s="19">
        <f t="shared" si="7"/>
        <v>5.6387816396669987E-5</v>
      </c>
      <c r="L129" s="36">
        <f t="shared" si="8"/>
        <v>7.5091821389995589E-3</v>
      </c>
      <c r="M129" s="64">
        <f t="shared" si="9"/>
        <v>1.4456073279900252E-9</v>
      </c>
      <c r="N129" s="12"/>
      <c r="O129" s="10">
        <f>-L140*$P$1</f>
        <v>-1.4701524785246993E-2</v>
      </c>
      <c r="P129" s="10">
        <f>+L140*$P$1</f>
        <v>1.4701524785246993E-2</v>
      </c>
    </row>
    <row r="130" spans="1:16" x14ac:dyDescent="0.25">
      <c r="A130" s="1">
        <v>45154</v>
      </c>
      <c r="B130" s="2">
        <f t="shared" si="13"/>
        <v>116</v>
      </c>
      <c r="C130" s="3">
        <f>+VLOOKUP(A130,Precios!$B:$H,1+$C$5,0)</f>
        <v>53.55</v>
      </c>
      <c r="D130" s="10">
        <f t="shared" si="10"/>
        <v>4.5019696117050145E-3</v>
      </c>
      <c r="E130" s="34">
        <f t="shared" si="11"/>
        <v>2.02677303847154E-5</v>
      </c>
      <c r="F130" s="24">
        <f xml:space="preserve"> $C$7^( B130 - 1 )</f>
        <v>2.7429292656853134E-3</v>
      </c>
      <c r="G130" s="25">
        <f t="shared" si="12"/>
        <v>5.559295082125533E-8</v>
      </c>
      <c r="K130" s="19">
        <f t="shared" si="7"/>
        <v>5.8288873555193915E-5</v>
      </c>
      <c r="L130" s="36">
        <f t="shared" si="8"/>
        <v>7.6347150277658636E-3</v>
      </c>
      <c r="M130" s="64">
        <f t="shared" si="9"/>
        <v>1.4431404715166663E-9</v>
      </c>
      <c r="N130" s="12"/>
      <c r="O130" s="10">
        <f>-L141*$P$1</f>
        <v>-1.4184644736505199E-2</v>
      </c>
      <c r="P130" s="10">
        <f>+L141*$P$1</f>
        <v>1.4184644736505199E-2</v>
      </c>
    </row>
    <row r="131" spans="1:16" x14ac:dyDescent="0.25">
      <c r="A131" s="1">
        <v>45153</v>
      </c>
      <c r="B131" s="2">
        <f t="shared" si="13"/>
        <v>117</v>
      </c>
      <c r="C131" s="3">
        <f>+VLOOKUP(A131,Precios!$B:$H,1+$C$5,0)</f>
        <v>53.31</v>
      </c>
      <c r="D131" s="10">
        <f t="shared" si="10"/>
        <v>4.711647191858237E-3</v>
      </c>
      <c r="E131" s="34">
        <f t="shared" si="11"/>
        <v>2.2199619260545609E-5</v>
      </c>
      <c r="F131" s="24">
        <f xml:space="preserve"> $C$7^( B131 - 1 )</f>
        <v>2.605782802401048E-3</v>
      </c>
      <c r="G131" s="25">
        <f t="shared" si="12"/>
        <v>5.7847386088980817E-8</v>
      </c>
      <c r="K131" s="19">
        <f t="shared" si="7"/>
        <v>6.0188307991754354E-5</v>
      </c>
      <c r="L131" s="36">
        <f t="shared" si="8"/>
        <v>7.7581123987574682E-3</v>
      </c>
      <c r="M131" s="64">
        <f t="shared" si="9"/>
        <v>3.9714237718420911E-9</v>
      </c>
      <c r="N131" s="12"/>
      <c r="O131" s="10">
        <f>-L142*$P$1</f>
        <v>-1.4544410927270757E-2</v>
      </c>
      <c r="P131" s="10">
        <f>+L142*$P$1</f>
        <v>1.4544410927270757E-2</v>
      </c>
    </row>
    <row r="132" spans="1:16" x14ac:dyDescent="0.25">
      <c r="A132" s="1">
        <v>45152</v>
      </c>
      <c r="B132" s="2">
        <f t="shared" si="13"/>
        <v>118</v>
      </c>
      <c r="C132" s="3">
        <f>+VLOOKUP(A132,Precios!$B:$H,1+$C$5,0)</f>
        <v>53.06</v>
      </c>
      <c r="D132" s="10">
        <f t="shared" si="10"/>
        <v>5.6571751838574436E-4</v>
      </c>
      <c r="E132" s="34">
        <f t="shared" si="11"/>
        <v>3.2003631060852499E-7</v>
      </c>
      <c r="F132" s="24">
        <f xml:space="preserve"> $C$7^( B132 - 1 )</f>
        <v>2.4754936622809957E-3</v>
      </c>
      <c r="G132" s="25">
        <f t="shared" si="12"/>
        <v>7.9224785861119581E-10</v>
      </c>
      <c r="K132" s="19">
        <f t="shared" si="7"/>
        <v>6.3339269659183083E-5</v>
      </c>
      <c r="L132" s="36">
        <f t="shared" si="8"/>
        <v>7.9585972167953746E-3</v>
      </c>
      <c r="M132" s="64">
        <f t="shared" si="9"/>
        <v>2.3300625570162333E-9</v>
      </c>
      <c r="N132" s="12"/>
      <c r="O132" s="10">
        <f>-L143*$P$1</f>
        <v>-1.4853355653749839E-2</v>
      </c>
      <c r="P132" s="10">
        <f>+L143*$P$1</f>
        <v>1.4853355653749839E-2</v>
      </c>
    </row>
    <row r="133" spans="1:16" x14ac:dyDescent="0.25">
      <c r="A133" s="1">
        <v>45149</v>
      </c>
      <c r="B133" s="2">
        <f t="shared" si="13"/>
        <v>119</v>
      </c>
      <c r="C133" s="3">
        <f>+VLOOKUP(A133,Precios!$B:$H,1+$C$5,0)</f>
        <v>53.03</v>
      </c>
      <c r="D133" s="10">
        <f t="shared" si="10"/>
        <v>-1.0449710766934128E-2</v>
      </c>
      <c r="E133" s="34">
        <f t="shared" si="11"/>
        <v>1.0919645511257904E-4</v>
      </c>
      <c r="F133" s="24">
        <f xml:space="preserve"> $C$7^( B133 - 1 )</f>
        <v>2.3517189791669455E-3</v>
      </c>
      <c r="G133" s="25">
        <f t="shared" si="12"/>
        <v>2.5679937594600359E-7</v>
      </c>
      <c r="K133" s="19">
        <f t="shared" si="7"/>
        <v>6.0925733582688549E-5</v>
      </c>
      <c r="L133" s="36">
        <f t="shared" si="8"/>
        <v>7.8054938077413497E-3</v>
      </c>
      <c r="M133" s="64">
        <f t="shared" si="9"/>
        <v>6.1030604389307517E-10</v>
      </c>
      <c r="N133" s="12"/>
      <c r="O133" s="10">
        <f>-L144*$P$1</f>
        <v>-1.5215828234705126E-2</v>
      </c>
      <c r="P133" s="10">
        <f>+L144*$P$1</f>
        <v>1.5215828234705126E-2</v>
      </c>
    </row>
    <row r="134" spans="1:16" x14ac:dyDescent="0.25">
      <c r="A134" s="1">
        <v>45148</v>
      </c>
      <c r="B134" s="2">
        <f t="shared" si="13"/>
        <v>120</v>
      </c>
      <c r="C134" s="3">
        <f>+VLOOKUP(A134,Precios!$B:$H,1+$C$5,0)</f>
        <v>53.59</v>
      </c>
      <c r="D134" s="10">
        <f t="shared" si="10"/>
        <v>-6.1201780415429674E-3</v>
      </c>
      <c r="E134" s="34">
        <f t="shared" si="11"/>
        <v>3.7456579260184715E-5</v>
      </c>
      <c r="F134" s="24">
        <f xml:space="preserve"> $C$7^( B134 - 1 )</f>
        <v>2.2341330302085988E-3</v>
      </c>
      <c r="G134" s="25">
        <f t="shared" si="12"/>
        <v>8.3682980923805038E-8</v>
      </c>
      <c r="K134" s="19">
        <f t="shared" si="7"/>
        <v>6.2160952231241382E-5</v>
      </c>
      <c r="L134" s="36">
        <f t="shared" si="8"/>
        <v>7.884221726412911E-3</v>
      </c>
      <c r="M134" s="64">
        <f t="shared" si="9"/>
        <v>1.182225896202763E-9</v>
      </c>
      <c r="N134" s="12"/>
      <c r="O134" s="10">
        <f>-L145*$P$1</f>
        <v>-1.5089509156696509E-2</v>
      </c>
      <c r="P134" s="10">
        <f>+L145*$P$1</f>
        <v>1.5089509156696509E-2</v>
      </c>
    </row>
    <row r="135" spans="1:16" x14ac:dyDescent="0.25">
      <c r="A135" s="1">
        <v>45147</v>
      </c>
      <c r="B135" s="2">
        <f t="shared" si="13"/>
        <v>121</v>
      </c>
      <c r="C135" s="3">
        <f>+VLOOKUP(A135,Precios!$B:$H,1+$C$5,0)</f>
        <v>53.92</v>
      </c>
      <c r="D135" s="10">
        <f t="shared" si="10"/>
        <v>9.7378277153559178E-3</v>
      </c>
      <c r="E135" s="34">
        <f t="shared" si="11"/>
        <v>9.482528861395385E-5</v>
      </c>
      <c r="F135" s="24">
        <f xml:space="preserve"> $C$7^( B135 - 1 )</f>
        <v>2.1224263786981689E-3</v>
      </c>
      <c r="G135" s="25">
        <f t="shared" si="12"/>
        <v>2.0125969392192277E-7</v>
      </c>
      <c r="K135" s="19">
        <f t="shared" si="7"/>
        <v>6.0441776632151248E-5</v>
      </c>
      <c r="L135" s="36">
        <f t="shared" si="8"/>
        <v>7.7744309523045639E-3</v>
      </c>
      <c r="M135" s="64">
        <f t="shared" si="9"/>
        <v>1.8990020245300855E-10</v>
      </c>
      <c r="N135" s="12"/>
      <c r="O135" s="10">
        <f>-L146*$P$1</f>
        <v>-1.5035188191214254E-2</v>
      </c>
      <c r="P135" s="10">
        <f>+L146*$P$1</f>
        <v>1.5035188191214254E-2</v>
      </c>
    </row>
    <row r="136" spans="1:16" x14ac:dyDescent="0.25">
      <c r="A136" s="1">
        <v>45146</v>
      </c>
      <c r="B136" s="2">
        <f t="shared" si="13"/>
        <v>122</v>
      </c>
      <c r="C136" s="3">
        <f>+VLOOKUP(A136,Precios!$B:$H,1+$C$5,0)</f>
        <v>53.4</v>
      </c>
      <c r="D136" s="10">
        <f t="shared" si="10"/>
        <v>-6.8811604984192476E-3</v>
      </c>
      <c r="E136" s="34">
        <f t="shared" si="11"/>
        <v>4.7350369805005431E-5</v>
      </c>
      <c r="F136" s="24">
        <f xml:space="preserve"> $C$7^( B136 - 1 )</f>
        <v>2.0163050597632598E-3</v>
      </c>
      <c r="G136" s="25">
        <f t="shared" si="12"/>
        <v>9.5472790219493927E-8</v>
      </c>
      <c r="K136" s="19">
        <f t="shared" si="7"/>
        <v>6.1130798044106295E-5</v>
      </c>
      <c r="L136" s="36">
        <f t="shared" si="8"/>
        <v>7.8186186787760851E-3</v>
      </c>
      <c r="M136" s="64">
        <f t="shared" si="9"/>
        <v>4.0659514376460212E-9</v>
      </c>
      <c r="N136" s="12"/>
      <c r="O136" s="10">
        <f>-L147*$P$1</f>
        <v>-1.5385569379215737E-2</v>
      </c>
      <c r="P136" s="10">
        <f>+L147*$P$1</f>
        <v>1.5385569379215737E-2</v>
      </c>
    </row>
    <row r="137" spans="1:16" x14ac:dyDescent="0.25">
      <c r="A137" s="1">
        <v>45145</v>
      </c>
      <c r="B137" s="2">
        <f t="shared" si="13"/>
        <v>123</v>
      </c>
      <c r="C137" s="3">
        <f>+VLOOKUP(A137,Precios!$B:$H,1+$C$5,0)</f>
        <v>53.77</v>
      </c>
      <c r="D137" s="10">
        <f t="shared" si="10"/>
        <v>7.4446305602093865E-4</v>
      </c>
      <c r="E137" s="34">
        <f t="shared" si="11"/>
        <v>5.5422524178003529E-7</v>
      </c>
      <c r="F137" s="24">
        <f xml:space="preserve"> $C$7^( B137 - 1 )</f>
        <v>1.9154898067750973E-3</v>
      </c>
      <c r="G137" s="25">
        <f t="shared" si="12"/>
        <v>1.0616128012871214E-9</v>
      </c>
      <c r="K137" s="19">
        <f t="shared" si="7"/>
        <v>6.4319038717912941E-5</v>
      </c>
      <c r="L137" s="36">
        <f t="shared" si="8"/>
        <v>8.0199151315904181E-3</v>
      </c>
      <c r="M137" s="64">
        <f t="shared" si="9"/>
        <v>1.663767171242936E-9</v>
      </c>
      <c r="N137" s="12"/>
      <c r="O137" s="10">
        <f>-L148*$P$1</f>
        <v>-1.5757024296216129E-2</v>
      </c>
      <c r="P137" s="10">
        <f>+L148*$P$1</f>
        <v>1.5757024296216129E-2</v>
      </c>
    </row>
    <row r="138" spans="1:16" x14ac:dyDescent="0.25">
      <c r="A138" s="1">
        <v>45142</v>
      </c>
      <c r="B138" s="2">
        <f t="shared" si="13"/>
        <v>124</v>
      </c>
      <c r="C138" s="3">
        <f>+VLOOKUP(A138,Precios!$B:$H,1+$C$5,0)</f>
        <v>53.73</v>
      </c>
      <c r="D138" s="10">
        <f t="shared" si="10"/>
        <v>1.0152284263959421E-2</v>
      </c>
      <c r="E138" s="34">
        <f t="shared" si="11"/>
        <v>1.0306887577623809E-4</v>
      </c>
      <c r="F138" s="24">
        <f xml:space="preserve"> $C$7^( B138 - 1 )</f>
        <v>1.8197153164363424E-3</v>
      </c>
      <c r="G138" s="25">
        <f t="shared" si="12"/>
        <v>1.8755601189789516E-7</v>
      </c>
      <c r="K138" s="19">
        <f t="shared" si="7"/>
        <v>6.2279573609580032E-5</v>
      </c>
      <c r="L138" s="36">
        <f t="shared" si="8"/>
        <v>7.8917408478472E-3</v>
      </c>
      <c r="M138" s="64">
        <f t="shared" si="9"/>
        <v>3.5092275138256791E-9</v>
      </c>
      <c r="N138" s="12"/>
      <c r="O138" s="10">
        <f>-L149*$P$1</f>
        <v>-1.6092932165032828E-2</v>
      </c>
      <c r="P138" s="10">
        <f>+L149*$P$1</f>
        <v>1.6092932165032828E-2</v>
      </c>
    </row>
    <row r="139" spans="1:16" x14ac:dyDescent="0.25">
      <c r="A139" s="1">
        <v>45141</v>
      </c>
      <c r="B139" s="2">
        <f t="shared" si="13"/>
        <v>125</v>
      </c>
      <c r="C139" s="3">
        <f>+VLOOKUP(A139,Precios!$B:$H,1+$C$5,0)</f>
        <v>53.19</v>
      </c>
      <c r="D139" s="10">
        <f t="shared" si="10"/>
        <v>2.4500565397662655E-3</v>
      </c>
      <c r="E139" s="34">
        <f t="shared" si="11"/>
        <v>6.0027770480514464E-6</v>
      </c>
      <c r="F139" s="24">
        <f xml:space="preserve"> $C$7^( B139 - 1 )</f>
        <v>1.7287295506145249E-3</v>
      </c>
      <c r="G139" s="25">
        <f t="shared" si="12"/>
        <v>1.0377178068717161E-8</v>
      </c>
      <c r="K139" s="19">
        <f t="shared" si="7"/>
        <v>6.5241510270713115E-5</v>
      </c>
      <c r="L139" s="36">
        <f t="shared" si="8"/>
        <v>8.0772216925569847E-3</v>
      </c>
      <c r="M139" s="64">
        <f t="shared" si="9"/>
        <v>5.0245934912144811E-8</v>
      </c>
      <c r="N139" s="12"/>
      <c r="O139" s="10">
        <f>-L150*$P$1</f>
        <v>-1.6312748358058102E-2</v>
      </c>
      <c r="P139" s="10">
        <f>+L150*$P$1</f>
        <v>1.6312748358058102E-2</v>
      </c>
    </row>
    <row r="140" spans="1:16" x14ac:dyDescent="0.25">
      <c r="A140" s="1">
        <v>45140</v>
      </c>
      <c r="B140" s="2">
        <f t="shared" si="13"/>
        <v>126</v>
      </c>
      <c r="C140" s="3">
        <f>+VLOOKUP(A140,Precios!$B:$H,1+$C$5,0)</f>
        <v>53.06</v>
      </c>
      <c r="D140" s="10">
        <f t="shared" si="10"/>
        <v>-1.6679021497405411E-2</v>
      </c>
      <c r="E140" s="34">
        <f t="shared" si="11"/>
        <v>2.781897581109118E-4</v>
      </c>
      <c r="F140" s="24">
        <f xml:space="preserve"> $C$7^( B140 - 1 )</f>
        <v>1.6422930730837987E-3</v>
      </c>
      <c r="G140" s="25">
        <f t="shared" si="12"/>
        <v>4.5686911274840797E-7</v>
      </c>
      <c r="K140" s="19">
        <f t="shared" si="7"/>
        <v>5.4033707752807914E-5</v>
      </c>
      <c r="L140" s="36">
        <f t="shared" si="8"/>
        <v>7.3507623926234965E-3</v>
      </c>
      <c r="M140" s="64">
        <f t="shared" si="9"/>
        <v>5.5731336480096819E-9</v>
      </c>
      <c r="N140" s="12"/>
      <c r="O140" s="10">
        <f>-L151*$P$1</f>
        <v>-1.6305893302029927E-2</v>
      </c>
      <c r="P140" s="10">
        <f>+L151*$P$1</f>
        <v>1.6305893302029927E-2</v>
      </c>
    </row>
    <row r="141" spans="1:16" x14ac:dyDescent="0.25">
      <c r="A141" s="1">
        <v>45139</v>
      </c>
      <c r="B141" s="2">
        <f t="shared" si="13"/>
        <v>127</v>
      </c>
      <c r="C141" s="3">
        <f>+VLOOKUP(A141,Precios!$B:$H,1+$C$5,0)</f>
        <v>53.96</v>
      </c>
      <c r="D141" s="10">
        <f t="shared" si="10"/>
        <v>-1.1178303096939679E-2</v>
      </c>
      <c r="E141" s="34">
        <f t="shared" si="11"/>
        <v>1.2495446012705122E-4</v>
      </c>
      <c r="F141" s="24">
        <f xml:space="preserve"> $C$7^( B141 - 1 )</f>
        <v>1.5601784194296088E-3</v>
      </c>
      <c r="G141" s="25">
        <f t="shared" si="12"/>
        <v>1.9495125210170285E-7</v>
      </c>
      <c r="K141" s="19">
        <f t="shared" si="7"/>
        <v>5.0301036575216161E-5</v>
      </c>
      <c r="L141" s="36">
        <f t="shared" si="8"/>
        <v>7.0923223682525993E-3</v>
      </c>
      <c r="M141" s="64">
        <f t="shared" si="9"/>
        <v>2.6706895429399716E-9</v>
      </c>
      <c r="N141" s="12"/>
      <c r="O141" s="10">
        <f>-L152*$P$1</f>
        <v>-1.670300198915271E-2</v>
      </c>
      <c r="P141" s="10">
        <f>+L152*$P$1</f>
        <v>1.670300198915271E-2</v>
      </c>
    </row>
    <row r="142" spans="1:16" x14ac:dyDescent="0.25">
      <c r="A142" s="1">
        <v>45138</v>
      </c>
      <c r="B142" s="2">
        <f t="shared" si="13"/>
        <v>128</v>
      </c>
      <c r="C142" s="3">
        <f>+VLOOKUP(A142,Precios!$B:$H,1+$C$5,0)</f>
        <v>54.57</v>
      </c>
      <c r="D142" s="10">
        <f t="shared" si="10"/>
        <v>-1.0982976386600951E-3</v>
      </c>
      <c r="E142" s="34">
        <f t="shared" si="11"/>
        <v>1.2062577030863408E-6</v>
      </c>
      <c r="F142" s="24">
        <f xml:space="preserve"> $C$7^( B142 - 1 )</f>
        <v>1.4821694984581285E-3</v>
      </c>
      <c r="G142" s="25">
        <f t="shared" si="12"/>
        <v>1.7878783747947359E-9</v>
      </c>
      <c r="K142" s="19">
        <f t="shared" si="7"/>
        <v>5.2884972305328255E-5</v>
      </c>
      <c r="L142" s="36">
        <f t="shared" si="8"/>
        <v>7.2722054636353787E-3</v>
      </c>
      <c r="M142" s="64">
        <f t="shared" si="9"/>
        <v>2.0621975003086064E-9</v>
      </c>
      <c r="N142" s="12"/>
      <c r="O142" s="10">
        <f>-L153*$P$1</f>
        <v>-1.6625771314304122E-2</v>
      </c>
      <c r="P142" s="10">
        <f>+L153*$P$1</f>
        <v>1.6625771314304122E-2</v>
      </c>
    </row>
    <row r="143" spans="1:16" x14ac:dyDescent="0.25">
      <c r="A143" s="1">
        <v>45135</v>
      </c>
      <c r="B143" s="2">
        <f t="shared" si="13"/>
        <v>129</v>
      </c>
      <c r="C143" s="3">
        <f>+VLOOKUP(A143,Precios!$B:$H,1+$C$5,0)</f>
        <v>54.63</v>
      </c>
      <c r="D143" s="10">
        <f t="shared" si="10"/>
        <v>3.1215571061329328E-3</v>
      </c>
      <c r="E143" s="34">
        <f t="shared" si="11"/>
        <v>9.74411876684901E-6</v>
      </c>
      <c r="F143" s="24">
        <f xml:space="preserve"> $C$7^( B143 - 1 )</f>
        <v>1.4080610235352219E-3</v>
      </c>
      <c r="G143" s="25">
        <f t="shared" si="12"/>
        <v>1.3720313844298181E-8</v>
      </c>
      <c r="K143" s="19">
        <f t="shared" ref="K143:K206" si="14" xml:space="preserve"> ( 1 - $C$7 )*E144  + $C$7*K144</f>
        <v>5.5155543544195584E-5</v>
      </c>
      <c r="L143" s="36">
        <f t="shared" ref="L143:L206" si="15" xml:space="preserve"> SQRT( K143 )</f>
        <v>7.4266778268749197E-3</v>
      </c>
      <c r="M143" s="64">
        <f t="shared" ref="M143:M206" si="16" xml:space="preserve"> (E144 - K144) ^2</f>
        <v>2.9698438206278419E-9</v>
      </c>
      <c r="N143" s="12"/>
      <c r="O143" s="10">
        <f>-L154*$P$1</f>
        <v>-1.6729396263879103E-2</v>
      </c>
      <c r="P143" s="10">
        <f>+L154*$P$1</f>
        <v>1.6729396263879103E-2</v>
      </c>
    </row>
    <row r="144" spans="1:16" x14ac:dyDescent="0.25">
      <c r="A144" s="1">
        <v>45134</v>
      </c>
      <c r="B144" s="2">
        <f t="shared" si="13"/>
        <v>130</v>
      </c>
      <c r="C144" s="3">
        <f>+VLOOKUP(A144,Precios!$B:$H,1+$C$5,0)</f>
        <v>54.46</v>
      </c>
      <c r="D144" s="10">
        <f t="shared" ref="D144:D207" si="17" xml:space="preserve"> ( C144/C145 ) - 1</f>
        <v>1.8395879323032105E-3</v>
      </c>
      <c r="E144" s="34">
        <f t="shared" ref="E144:E207" si="18" xml:space="preserve"> D144*D144</f>
        <v>3.3840837606756014E-6</v>
      </c>
      <c r="F144" s="24">
        <f xml:space="preserve"> $C$7^( B144 - 1 )</f>
        <v>1.3376579723584608E-3</v>
      </c>
      <c r="G144" s="25">
        <f t="shared" ref="G144:G207" si="19" xml:space="preserve"> E144 * F144</f>
        <v>4.5267466215965195E-9</v>
      </c>
      <c r="K144" s="19">
        <f t="shared" si="14"/>
        <v>5.7880357217012428E-5</v>
      </c>
      <c r="L144" s="36">
        <f t="shared" si="15"/>
        <v>7.6079141173525629E-3</v>
      </c>
      <c r="M144" s="64">
        <f t="shared" si="16"/>
        <v>3.6636683251946894E-10</v>
      </c>
      <c r="N144" s="12"/>
      <c r="O144" s="10">
        <f>-L155*$P$1</f>
        <v>-1.70707899253092E-2</v>
      </c>
      <c r="P144" s="10">
        <f>+L155*$P$1</f>
        <v>1.70707899253092E-2</v>
      </c>
    </row>
    <row r="145" spans="1:16" x14ac:dyDescent="0.25">
      <c r="A145" s="1">
        <v>45133</v>
      </c>
      <c r="B145" s="2">
        <f t="shared" ref="B145:B208" si="20">+B144+1</f>
        <v>131</v>
      </c>
      <c r="C145" s="3">
        <f>+VLOOKUP(A145,Precios!$B:$H,1+$C$5,0)</f>
        <v>54.36</v>
      </c>
      <c r="D145" s="10">
        <f t="shared" si="17"/>
        <v>8.7214696604194231E-3</v>
      </c>
      <c r="E145" s="34">
        <f t="shared" si="18"/>
        <v>7.6064033037616488E-5</v>
      </c>
      <c r="F145" s="24">
        <f xml:space="preserve"> $C$7^( B145 - 1 )</f>
        <v>1.2707750737405378E-3</v>
      </c>
      <c r="G145" s="25">
        <f t="shared" si="19"/>
        <v>9.6660277192379796E-8</v>
      </c>
      <c r="K145" s="19">
        <f t="shared" si="14"/>
        <v>5.6923321647506952E-5</v>
      </c>
      <c r="L145" s="36">
        <f t="shared" si="15"/>
        <v>7.5447545783482546E-3</v>
      </c>
      <c r="M145" s="64">
        <f t="shared" si="16"/>
        <v>6.6945340397650947E-11</v>
      </c>
      <c r="N145" s="12"/>
      <c r="O145" s="10">
        <f>-L156*$P$1</f>
        <v>-1.6864396106838663E-2</v>
      </c>
      <c r="P145" s="10">
        <f>+L156*$P$1</f>
        <v>1.6864396106838663E-2</v>
      </c>
    </row>
    <row r="146" spans="1:16" x14ac:dyDescent="0.25">
      <c r="A146" s="1">
        <v>45132</v>
      </c>
      <c r="B146" s="2">
        <f t="shared" si="20"/>
        <v>132</v>
      </c>
      <c r="C146" s="3">
        <f>+VLOOKUP(A146,Precios!$B:$H,1+$C$5,0)</f>
        <v>53.89</v>
      </c>
      <c r="D146" s="10">
        <f t="shared" si="17"/>
        <v>8.0433969322857291E-3</v>
      </c>
      <c r="E146" s="34">
        <f t="shared" si="18"/>
        <v>6.4696234210303473E-5</v>
      </c>
      <c r="F146" s="24">
        <f xml:space="preserve"> $C$7^( B146 - 1 )</f>
        <v>1.2072363200535108E-3</v>
      </c>
      <c r="G146" s="25">
        <f t="shared" si="19"/>
        <v>7.8103643709366824E-8</v>
      </c>
      <c r="K146" s="19">
        <f t="shared" si="14"/>
        <v>5.6514220986307136E-5</v>
      </c>
      <c r="L146" s="36">
        <f t="shared" si="15"/>
        <v>7.5175940956071271E-3</v>
      </c>
      <c r="M146" s="64">
        <f t="shared" si="16"/>
        <v>2.8402830399943788E-9</v>
      </c>
      <c r="N146" s="12"/>
      <c r="O146" s="10">
        <f>-L157*$P$1</f>
        <v>-1.7071387447089449E-2</v>
      </c>
      <c r="P146" s="10">
        <f>+L157*$P$1</f>
        <v>1.7071387447089449E-2</v>
      </c>
    </row>
    <row r="147" spans="1:16" x14ac:dyDescent="0.25">
      <c r="A147" s="1">
        <v>45131</v>
      </c>
      <c r="B147" s="2">
        <f t="shared" si="20"/>
        <v>133</v>
      </c>
      <c r="C147" s="3">
        <f>+VLOOKUP(A147,Precios!$B:$H,1+$C$5,0)</f>
        <v>53.46</v>
      </c>
      <c r="D147" s="10">
        <f t="shared" si="17"/>
        <v>-2.4258257137526051E-3</v>
      </c>
      <c r="E147" s="34">
        <f t="shared" si="18"/>
        <v>5.8846303935033358E-6</v>
      </c>
      <c r="F147" s="24">
        <f xml:space="preserve"> $C$7^( B147 - 1 )</f>
        <v>1.1468745040508353E-3</v>
      </c>
      <c r="G147" s="25">
        <f t="shared" si="19"/>
        <v>6.74893256407161E-9</v>
      </c>
      <c r="K147" s="19">
        <f t="shared" si="14"/>
        <v>5.917893628066523E-5</v>
      </c>
      <c r="L147" s="36">
        <f t="shared" si="15"/>
        <v>7.6927846896078685E-3</v>
      </c>
      <c r="M147" s="64">
        <f t="shared" si="16"/>
        <v>3.3455058271956801E-9</v>
      </c>
      <c r="N147" s="12"/>
      <c r="O147" s="10">
        <f>-L158*$P$1</f>
        <v>-1.6997976029191612E-2</v>
      </c>
      <c r="P147" s="10">
        <f>+L158*$P$1</f>
        <v>1.6997976029191612E-2</v>
      </c>
    </row>
    <row r="148" spans="1:16" x14ac:dyDescent="0.25">
      <c r="A148" s="1">
        <v>45128</v>
      </c>
      <c r="B148" s="2">
        <f t="shared" si="20"/>
        <v>134</v>
      </c>
      <c r="C148" s="3">
        <f>+VLOOKUP(A148,Precios!$B:$H,1+$C$5,0)</f>
        <v>53.59</v>
      </c>
      <c r="D148" s="10">
        <f t="shared" si="17"/>
        <v>2.0568436798804601E-3</v>
      </c>
      <c r="E148" s="34">
        <f t="shared" si="18"/>
        <v>4.2306059234641929E-6</v>
      </c>
      <c r="F148" s="24">
        <f xml:space="preserve"> $C$7^( B148 - 1 )</f>
        <v>1.0895307788482936E-3</v>
      </c>
      <c r="G148" s="25">
        <f t="shared" si="19"/>
        <v>4.6093753667921468E-9</v>
      </c>
      <c r="K148" s="19">
        <f t="shared" si="14"/>
        <v>6.207095366788634E-5</v>
      </c>
      <c r="L148" s="36">
        <f t="shared" si="15"/>
        <v>7.8785121481080647E-3</v>
      </c>
      <c r="M148" s="64">
        <f t="shared" si="16"/>
        <v>2.8615283287847215E-9</v>
      </c>
      <c r="N148" s="12"/>
      <c r="O148" s="10">
        <f>-L159*$P$1</f>
        <v>-1.6772596705766297E-2</v>
      </c>
      <c r="P148" s="10">
        <f>+L159*$P$1</f>
        <v>1.6772596705766297E-2</v>
      </c>
    </row>
    <row r="149" spans="1:16" x14ac:dyDescent="0.25">
      <c r="A149" s="1">
        <v>45127</v>
      </c>
      <c r="B149" s="2">
        <f t="shared" si="20"/>
        <v>135</v>
      </c>
      <c r="C149" s="3">
        <f>+VLOOKUP(A149,Precios!$B:$H,1+$C$5,0)</f>
        <v>53.48</v>
      </c>
      <c r="D149" s="10">
        <f t="shared" si="17"/>
        <v>-3.3544539694372322E-3</v>
      </c>
      <c r="E149" s="34">
        <f t="shared" si="18"/>
        <v>1.1252361433073203E-5</v>
      </c>
      <c r="F149" s="24">
        <f xml:space="preserve"> $C$7^( B149 - 1 )</f>
        <v>1.0350542399058787E-3</v>
      </c>
      <c r="G149" s="25">
        <f t="shared" si="19"/>
        <v>1.1646804410255808E-8</v>
      </c>
      <c r="K149" s="19">
        <f t="shared" si="14"/>
        <v>6.4745616417087042E-5</v>
      </c>
      <c r="L149" s="36">
        <f t="shared" si="15"/>
        <v>8.0464660825164142E-3</v>
      </c>
      <c r="M149" s="64">
        <f t="shared" si="16"/>
        <v>1.268532694842327E-9</v>
      </c>
      <c r="N149" s="12"/>
      <c r="O149" s="10">
        <f>-L160*$P$1</f>
        <v>-1.7191130517161833E-2</v>
      </c>
      <c r="P149" s="10">
        <f>+L160*$P$1</f>
        <v>1.7191130517161833E-2</v>
      </c>
    </row>
    <row r="150" spans="1:16" x14ac:dyDescent="0.25">
      <c r="A150" s="1">
        <v>45126</v>
      </c>
      <c r="B150" s="2">
        <f t="shared" si="20"/>
        <v>136</v>
      </c>
      <c r="C150" s="3">
        <f>+VLOOKUP(A150,Precios!$B:$H,1+$C$5,0)</f>
        <v>53.66</v>
      </c>
      <c r="D150" s="10">
        <f t="shared" si="17"/>
        <v>-5.5596738324685813E-3</v>
      </c>
      <c r="E150" s="34">
        <f t="shared" si="18"/>
        <v>3.0909973123435882E-5</v>
      </c>
      <c r="F150" s="24">
        <f xml:space="preserve"> $C$7^( B150 - 1 )</f>
        <v>9.8330152791058483E-4</v>
      </c>
      <c r="G150" s="25">
        <f t="shared" si="19"/>
        <v>3.0393823799949616E-8</v>
      </c>
      <c r="K150" s="19">
        <f t="shared" si="14"/>
        <v>6.6526439748331831E-5</v>
      </c>
      <c r="L150" s="36">
        <f t="shared" si="15"/>
        <v>8.1563741790290512E-3</v>
      </c>
      <c r="M150" s="64">
        <f t="shared" si="16"/>
        <v>1.2499532486486409E-12</v>
      </c>
      <c r="N150" s="12"/>
      <c r="O150" s="10">
        <f>-L161*$P$1</f>
        <v>-1.7162913649676786E-2</v>
      </c>
      <c r="P150" s="10">
        <f>+L161*$P$1</f>
        <v>1.7162913649676786E-2</v>
      </c>
    </row>
    <row r="151" spans="1:16" x14ac:dyDescent="0.25">
      <c r="A151" s="1">
        <v>45125</v>
      </c>
      <c r="B151" s="2">
        <f t="shared" si="20"/>
        <v>137</v>
      </c>
      <c r="C151" s="3">
        <f>+VLOOKUP(A151,Precios!$B:$H,1+$C$5,0)</f>
        <v>53.96</v>
      </c>
      <c r="D151" s="10">
        <f t="shared" si="17"/>
        <v>8.2212257100149344E-3</v>
      </c>
      <c r="E151" s="34">
        <f t="shared" si="18"/>
        <v>6.7588552175010567E-5</v>
      </c>
      <c r="F151" s="24">
        <f xml:space="preserve"> $C$7^( B151 - 1 )</f>
        <v>9.3413645151505561E-4</v>
      </c>
      <c r="G151" s="25">
        <f t="shared" si="19"/>
        <v>6.313693029180456E-8</v>
      </c>
      <c r="K151" s="19">
        <f t="shared" si="14"/>
        <v>6.6470539094296105E-5</v>
      </c>
      <c r="L151" s="36">
        <f t="shared" si="15"/>
        <v>8.1529466510149636E-3</v>
      </c>
      <c r="M151" s="64">
        <f t="shared" si="16"/>
        <v>4.2955696404414393E-9</v>
      </c>
      <c r="N151" s="12"/>
      <c r="O151" s="10">
        <f>-L162*$P$1</f>
        <v>-1.60183602880942E-2</v>
      </c>
      <c r="P151" s="10">
        <f>+L162*$P$1</f>
        <v>1.60183602880942E-2</v>
      </c>
    </row>
    <row r="152" spans="1:16" x14ac:dyDescent="0.25">
      <c r="A152" s="1">
        <v>45124</v>
      </c>
      <c r="B152" s="2">
        <f t="shared" si="20"/>
        <v>138</v>
      </c>
      <c r="C152" s="3">
        <f>+VLOOKUP(A152,Precios!$B:$H,1+$C$5,0)</f>
        <v>53.52</v>
      </c>
      <c r="D152" s="10">
        <f t="shared" si="17"/>
        <v>-2.0510908073839706E-3</v>
      </c>
      <c r="E152" s="34">
        <f t="shared" si="18"/>
        <v>4.2069735001350286E-6</v>
      </c>
      <c r="F152" s="24">
        <f xml:space="preserve"> $C$7^( B152 - 1 )</f>
        <v>8.8742962893930278E-4</v>
      </c>
      <c r="G152" s="25">
        <f t="shared" si="19"/>
        <v>3.7333929321823085E-9</v>
      </c>
      <c r="K152" s="19">
        <f t="shared" si="14"/>
        <v>6.974756886240985E-5</v>
      </c>
      <c r="L152" s="36">
        <f t="shared" si="15"/>
        <v>8.3515009945763548E-3</v>
      </c>
      <c r="M152" s="64">
        <f t="shared" si="16"/>
        <v>1.6563737028320855E-10</v>
      </c>
      <c r="N152" s="12"/>
      <c r="O152" s="10">
        <f>-L163*$P$1</f>
        <v>-1.6426399751419664E-2</v>
      </c>
      <c r="P152" s="10">
        <f>+L163*$P$1</f>
        <v>1.6426399751419664E-2</v>
      </c>
    </row>
    <row r="153" spans="1:16" x14ac:dyDescent="0.25">
      <c r="A153" s="1">
        <v>45121</v>
      </c>
      <c r="B153" s="2">
        <f t="shared" si="20"/>
        <v>139</v>
      </c>
      <c r="C153" s="3">
        <f>+VLOOKUP(A153,Precios!$B:$H,1+$C$5,0)</f>
        <v>53.63</v>
      </c>
      <c r="D153" s="10">
        <f t="shared" si="17"/>
        <v>-9.0539541759052655E-3</v>
      </c>
      <c r="E153" s="34">
        <f t="shared" si="18"/>
        <v>8.1974086219392396E-5</v>
      </c>
      <c r="F153" s="24">
        <f xml:space="preserve"> $C$7^( B153 - 1 )</f>
        <v>8.4305814749233772E-4</v>
      </c>
      <c r="G153" s="25">
        <f t="shared" si="19"/>
        <v>6.9108921270498124E-8</v>
      </c>
      <c r="K153" s="19">
        <f t="shared" si="14"/>
        <v>6.9104067948884442E-5</v>
      </c>
      <c r="L153" s="36">
        <f t="shared" si="15"/>
        <v>8.312885657152061E-3</v>
      </c>
      <c r="M153" s="64">
        <f t="shared" si="16"/>
        <v>2.9867228665379865E-10</v>
      </c>
      <c r="N153" s="12"/>
      <c r="O153" s="10">
        <f>-L164*$P$1</f>
        <v>-1.6815877616668754E-2</v>
      </c>
      <c r="P153" s="10">
        <f>+L164*$P$1</f>
        <v>1.6815877616668754E-2</v>
      </c>
    </row>
    <row r="154" spans="1:16" x14ac:dyDescent="0.25">
      <c r="A154" s="1">
        <v>45120</v>
      </c>
      <c r="B154" s="2">
        <f t="shared" si="20"/>
        <v>140</v>
      </c>
      <c r="C154" s="3">
        <f>+VLOOKUP(A154,Precios!$B:$H,1+$C$5,0)</f>
        <v>54.12</v>
      </c>
      <c r="D154" s="10">
        <f t="shared" si="17"/>
        <v>7.2585147962032082E-3</v>
      </c>
      <c r="E154" s="34">
        <f t="shared" si="18"/>
        <v>5.2686037046700902E-5</v>
      </c>
      <c r="F154" s="24">
        <f xml:space="preserve"> $C$7^( B154 - 1 )</f>
        <v>8.0090524011772082E-4</v>
      </c>
      <c r="G154" s="25">
        <f t="shared" si="19"/>
        <v>4.2196523151739117E-8</v>
      </c>
      <c r="K154" s="19">
        <f t="shared" si="14"/>
        <v>6.9968174838473037E-5</v>
      </c>
      <c r="L154" s="36">
        <f t="shared" si="15"/>
        <v>8.3646981319395516E-3</v>
      </c>
      <c r="M154" s="64">
        <f t="shared" si="16"/>
        <v>3.3288107149749618E-9</v>
      </c>
      <c r="N154" s="12"/>
      <c r="O154" s="10">
        <f>-L165*$P$1</f>
        <v>-1.5393323962608457E-2</v>
      </c>
      <c r="P154" s="10">
        <f>+L165*$P$1</f>
        <v>1.5393323962608457E-2</v>
      </c>
    </row>
    <row r="155" spans="1:16" x14ac:dyDescent="0.25">
      <c r="A155" s="1">
        <v>45119</v>
      </c>
      <c r="B155" s="2">
        <f t="shared" si="20"/>
        <v>141</v>
      </c>
      <c r="C155" s="3">
        <f>+VLOOKUP(A155,Precios!$B:$H,1+$C$5,0)</f>
        <v>53.73</v>
      </c>
      <c r="D155" s="10">
        <f t="shared" si="17"/>
        <v>-3.8932146829810943E-3</v>
      </c>
      <c r="E155" s="34">
        <f t="shared" si="18"/>
        <v>1.5157120567779582E-5</v>
      </c>
      <c r="F155" s="24">
        <f xml:space="preserve"> $C$7^( B155 - 1 )</f>
        <v>7.608599781118347E-4</v>
      </c>
      <c r="G155" s="25">
        <f t="shared" si="19"/>
        <v>1.1532446423439212E-8</v>
      </c>
      <c r="K155" s="19">
        <f t="shared" si="14"/>
        <v>7.2852967168509532E-5</v>
      </c>
      <c r="L155" s="36">
        <f t="shared" si="15"/>
        <v>8.5353949626546001E-3</v>
      </c>
      <c r="M155" s="64">
        <f t="shared" si="16"/>
        <v>1.2264048215181699E-9</v>
      </c>
      <c r="N155" s="12"/>
      <c r="O155" s="10">
        <f>-L166*$P$1</f>
        <v>-1.496355330093539E-2</v>
      </c>
      <c r="P155" s="10">
        <f>+L166*$P$1</f>
        <v>1.496355330093539E-2</v>
      </c>
    </row>
    <row r="156" spans="1:16" x14ac:dyDescent="0.25">
      <c r="A156" s="1">
        <v>45118</v>
      </c>
      <c r="B156" s="2">
        <f t="shared" si="20"/>
        <v>142</v>
      </c>
      <c r="C156" s="3">
        <f>+VLOOKUP(A156,Precios!$B:$H,1+$C$5,0)</f>
        <v>53.94</v>
      </c>
      <c r="D156" s="10">
        <f t="shared" si="17"/>
        <v>1.0301554598239226E-2</v>
      </c>
      <c r="E156" s="34">
        <f t="shared" si="18"/>
        <v>1.0612202714050375E-4</v>
      </c>
      <c r="F156" s="24">
        <f xml:space="preserve"> $C$7^( B156 - 1 )</f>
        <v>7.2281697920624293E-4</v>
      </c>
      <c r="G156" s="25">
        <f t="shared" si="19"/>
        <v>7.6706803084941854E-8</v>
      </c>
      <c r="K156" s="19">
        <f t="shared" si="14"/>
        <v>7.1101964012088779E-5</v>
      </c>
      <c r="L156" s="36">
        <f t="shared" si="15"/>
        <v>8.4321980534193316E-3</v>
      </c>
      <c r="M156" s="64">
        <f t="shared" si="16"/>
        <v>1.2335595623560237E-9</v>
      </c>
      <c r="N156" s="12"/>
      <c r="O156" s="10">
        <f>-L167*$P$1</f>
        <v>-1.5350130485330368E-2</v>
      </c>
      <c r="P156" s="10">
        <f>+L167*$P$1</f>
        <v>1.5350130485330368E-2</v>
      </c>
    </row>
    <row r="157" spans="1:16" x14ac:dyDescent="0.25">
      <c r="A157" s="1">
        <v>45117</v>
      </c>
      <c r="B157" s="2">
        <f t="shared" si="20"/>
        <v>143</v>
      </c>
      <c r="C157" s="3">
        <f>+VLOOKUP(A157,Precios!$B:$H,1+$C$5,0)</f>
        <v>53.39</v>
      </c>
      <c r="D157" s="10">
        <f t="shared" si="17"/>
        <v>-6.1429635145197059E-3</v>
      </c>
      <c r="E157" s="34">
        <f t="shared" si="18"/>
        <v>3.7736000740720296E-5</v>
      </c>
      <c r="F157" s="24">
        <f xml:space="preserve"> $C$7^( B157 - 1 )</f>
        <v>6.8667613024593079E-4</v>
      </c>
      <c r="G157" s="25">
        <f t="shared" si="19"/>
        <v>2.591241095959539E-8</v>
      </c>
      <c r="K157" s="19">
        <f t="shared" si="14"/>
        <v>7.2858067342160818E-5</v>
      </c>
      <c r="L157" s="36">
        <f t="shared" si="15"/>
        <v>8.5356937235447246E-3</v>
      </c>
      <c r="M157" s="64">
        <f t="shared" si="16"/>
        <v>1.5638506413392024E-10</v>
      </c>
      <c r="N157" s="12"/>
      <c r="O157" s="10">
        <f>-L168*$P$1</f>
        <v>-1.559213541348522E-2</v>
      </c>
      <c r="P157" s="10">
        <f>+L168*$P$1</f>
        <v>1.559213541348522E-2</v>
      </c>
    </row>
    <row r="158" spans="1:16" x14ac:dyDescent="0.25">
      <c r="A158" s="1">
        <v>45114</v>
      </c>
      <c r="B158" s="2">
        <f t="shared" si="20"/>
        <v>144</v>
      </c>
      <c r="C158" s="3">
        <f>+VLOOKUP(A158,Precios!$B:$H,1+$C$5,0)</f>
        <v>53.72</v>
      </c>
      <c r="D158" s="10">
        <f t="shared" si="17"/>
        <v>9.205335337215903E-3</v>
      </c>
      <c r="E158" s="34">
        <f t="shared" si="18"/>
        <v>8.4738198670595817E-5</v>
      </c>
      <c r="F158" s="24">
        <f xml:space="preserve"> $C$7^( B158 - 1 )</f>
        <v>6.5234232373363428E-4</v>
      </c>
      <c r="G158" s="25">
        <f t="shared" si="19"/>
        <v>5.5278313429778837E-8</v>
      </c>
      <c r="K158" s="19">
        <f t="shared" si="14"/>
        <v>7.2232797272243175E-5</v>
      </c>
      <c r="L158" s="36">
        <f t="shared" si="15"/>
        <v>8.4989880145958062E-3</v>
      </c>
      <c r="M158" s="64">
        <f t="shared" si="16"/>
        <v>1.4482548869328355E-9</v>
      </c>
      <c r="N158" s="12"/>
      <c r="O158" s="10">
        <f>-L169*$P$1</f>
        <v>-1.5496187148969755E-2</v>
      </c>
      <c r="P158" s="10">
        <f>+L169*$P$1</f>
        <v>1.5496187148969755E-2</v>
      </c>
    </row>
    <row r="159" spans="1:16" x14ac:dyDescent="0.25">
      <c r="A159" s="1">
        <v>45113</v>
      </c>
      <c r="B159" s="2">
        <f t="shared" si="20"/>
        <v>145</v>
      </c>
      <c r="C159" s="3">
        <f>+VLOOKUP(A159,Precios!$B:$H,1+$C$5,0)</f>
        <v>53.23</v>
      </c>
      <c r="D159" s="10">
        <f t="shared" si="17"/>
        <v>-1.0410857036623922E-2</v>
      </c>
      <c r="E159" s="34">
        <f t="shared" si="18"/>
        <v>1.0838594423702182E-4</v>
      </c>
      <c r="F159" s="24">
        <f xml:space="preserve"> $C$7^( B159 - 1 )</f>
        <v>6.1972520754695261E-4</v>
      </c>
      <c r="G159" s="25">
        <f t="shared" si="19"/>
        <v>6.7169501787460778E-8</v>
      </c>
      <c r="K159" s="19">
        <f t="shared" si="14"/>
        <v>7.0330000063570608E-5</v>
      </c>
      <c r="L159" s="36">
        <f t="shared" si="15"/>
        <v>8.3862983528831484E-3</v>
      </c>
      <c r="M159" s="64">
        <f t="shared" si="16"/>
        <v>5.0516330258834988E-9</v>
      </c>
      <c r="N159" s="12"/>
      <c r="O159" s="10">
        <f>-L170*$P$1</f>
        <v>-1.5735776491831294E-2</v>
      </c>
      <c r="P159" s="10">
        <f>+L170*$P$1</f>
        <v>1.5735776491831294E-2</v>
      </c>
    </row>
    <row r="160" spans="1:16" x14ac:dyDescent="0.25">
      <c r="A160" s="1">
        <v>45112</v>
      </c>
      <c r="B160" s="2">
        <f t="shared" si="20"/>
        <v>146</v>
      </c>
      <c r="C160" s="3">
        <f>+VLOOKUP(A160,Precios!$B:$H,1+$C$5,0)</f>
        <v>53.79</v>
      </c>
      <c r="D160" s="10">
        <f t="shared" si="17"/>
        <v>1.6759776536312554E-3</v>
      </c>
      <c r="E160" s="34">
        <f t="shared" si="18"/>
        <v>2.8089010954713283E-6</v>
      </c>
      <c r="F160" s="24">
        <f xml:space="preserve"> $C$7^( B160 - 1 )</f>
        <v>5.887389471696049E-4</v>
      </c>
      <c r="G160" s="25">
        <f t="shared" si="19"/>
        <v>1.6537094736513396E-9</v>
      </c>
      <c r="K160" s="19">
        <f t="shared" si="14"/>
        <v>7.3883742114523205E-5</v>
      </c>
      <c r="L160" s="36">
        <f t="shared" si="15"/>
        <v>8.5955652585809166E-3</v>
      </c>
      <c r="M160" s="64">
        <f t="shared" si="16"/>
        <v>2.3491640451735127E-11</v>
      </c>
      <c r="N160" s="12"/>
      <c r="O160" s="10">
        <f>-L171*$P$1</f>
        <v>-1.5353754531443289E-2</v>
      </c>
      <c r="P160" s="10">
        <f>+L171*$P$1</f>
        <v>1.5353754531443289E-2</v>
      </c>
    </row>
    <row r="161" spans="1:16" x14ac:dyDescent="0.25">
      <c r="A161" s="1">
        <v>45111</v>
      </c>
      <c r="B161" s="2">
        <f t="shared" si="20"/>
        <v>147</v>
      </c>
      <c r="C161" s="3">
        <f>+VLOOKUP(A161,Precios!$B:$H,1+$C$5,0)</f>
        <v>53.7</v>
      </c>
      <c r="D161" s="10">
        <f t="shared" si="17"/>
        <v>-8.8593576965669829E-3</v>
      </c>
      <c r="E161" s="34">
        <f t="shared" si="18"/>
        <v>7.8488218795720634E-5</v>
      </c>
      <c r="F161" s="24">
        <f xml:space="preserve"> $C$7^( B161 - 1 )</f>
        <v>5.5930199981112474E-4</v>
      </c>
      <c r="G161" s="25">
        <f t="shared" si="19"/>
        <v>4.3898617734059658E-8</v>
      </c>
      <c r="K161" s="19">
        <f t="shared" si="14"/>
        <v>7.3641401236565439E-5</v>
      </c>
      <c r="L161" s="36">
        <f t="shared" si="15"/>
        <v>8.5814568248383932E-3</v>
      </c>
      <c r="M161" s="64">
        <f t="shared" si="16"/>
        <v>3.6057715780648146E-8</v>
      </c>
      <c r="N161" s="12"/>
      <c r="O161" s="10">
        <f>-L172*$P$1</f>
        <v>-1.5750640901836352E-2</v>
      </c>
      <c r="P161" s="10">
        <f>+L172*$P$1</f>
        <v>1.5750640901836352E-2</v>
      </c>
    </row>
    <row r="162" spans="1:16" x14ac:dyDescent="0.25">
      <c r="A162" s="1">
        <v>45110</v>
      </c>
      <c r="B162" s="2">
        <f t="shared" si="20"/>
        <v>148</v>
      </c>
      <c r="C162" s="3">
        <f>+VLOOKUP(A162,Precios!$B:$H,1+$C$5,0)</f>
        <v>54.18</v>
      </c>
      <c r="D162" s="10">
        <f t="shared" si="17"/>
        <v>1.593849615600984E-2</v>
      </c>
      <c r="E162" s="34">
        <f t="shared" si="18"/>
        <v>2.5403565971514048E-4</v>
      </c>
      <c r="F162" s="24">
        <f xml:space="preserve"> $C$7^( B162 - 1 )</f>
        <v>5.3133689982056841E-4</v>
      </c>
      <c r="G162" s="25">
        <f t="shared" si="19"/>
        <v>1.3497851987691562E-7</v>
      </c>
      <c r="K162" s="19">
        <f t="shared" si="14"/>
        <v>6.4146966579798316E-5</v>
      </c>
      <c r="L162" s="36">
        <f t="shared" si="15"/>
        <v>8.0091801440471001E-3</v>
      </c>
      <c r="M162" s="64">
        <f t="shared" si="16"/>
        <v>4.3816075574855641E-9</v>
      </c>
      <c r="N162" s="12"/>
      <c r="O162" s="10">
        <f>-L173*$P$1</f>
        <v>-1.5818215471676115E-2</v>
      </c>
      <c r="P162" s="10">
        <f>+L173*$P$1</f>
        <v>1.5818215471676115E-2</v>
      </c>
    </row>
    <row r="163" spans="1:16" x14ac:dyDescent="0.25">
      <c r="A163" s="1">
        <v>45107</v>
      </c>
      <c r="B163" s="2">
        <f t="shared" si="20"/>
        <v>149</v>
      </c>
      <c r="C163" s="3">
        <f>+VLOOKUP(A163,Precios!$B:$H,1+$C$5,0)</f>
        <v>53.33</v>
      </c>
      <c r="D163" s="10">
        <f t="shared" si="17"/>
        <v>-1.1238059561715641E-3</v>
      </c>
      <c r="E163" s="34">
        <f t="shared" si="18"/>
        <v>1.2629398271266835E-6</v>
      </c>
      <c r="F163" s="24">
        <f xml:space="preserve"> $C$7^( B163 - 1 )</f>
        <v>5.0477005482953998E-4</v>
      </c>
      <c r="G163" s="25">
        <f t="shared" si="19"/>
        <v>6.3749420578514573E-10</v>
      </c>
      <c r="K163" s="19">
        <f t="shared" si="14"/>
        <v>6.7456652198359988E-5</v>
      </c>
      <c r="L163" s="36">
        <f t="shared" si="15"/>
        <v>8.2131998757098319E-3</v>
      </c>
      <c r="M163" s="64">
        <f t="shared" si="16"/>
        <v>4.1907051741551607E-9</v>
      </c>
      <c r="N163" s="12"/>
      <c r="O163" s="10">
        <f>-L174*$P$1</f>
        <v>-1.6126203283804388E-2</v>
      </c>
      <c r="P163" s="10">
        <f>+L174*$P$1</f>
        <v>1.6126203283804388E-2</v>
      </c>
    </row>
    <row r="164" spans="1:16" x14ac:dyDescent="0.25">
      <c r="A164" s="1">
        <v>45106</v>
      </c>
      <c r="B164" s="2">
        <f t="shared" si="20"/>
        <v>150</v>
      </c>
      <c r="C164" s="3">
        <f>+VLOOKUP(A164,Precios!$B:$H,1+$C$5,0)</f>
        <v>53.39</v>
      </c>
      <c r="D164" s="10">
        <f t="shared" si="17"/>
        <v>2.4408561772437665E-3</v>
      </c>
      <c r="E164" s="34">
        <f t="shared" si="18"/>
        <v>5.9577788779890527E-6</v>
      </c>
      <c r="F164" s="24">
        <f xml:space="preserve"> $C$7^( B164 - 1 )</f>
        <v>4.7953155208806309E-4</v>
      </c>
      <c r="G164" s="25">
        <f t="shared" si="19"/>
        <v>2.8569429523595695E-9</v>
      </c>
      <c r="K164" s="19">
        <f t="shared" si="14"/>
        <v>7.0693435004695306E-5</v>
      </c>
      <c r="L164" s="36">
        <f t="shared" si="15"/>
        <v>8.4079388083343771E-3</v>
      </c>
      <c r="M164" s="64">
        <f t="shared" si="16"/>
        <v>5.2485246177260387E-8</v>
      </c>
      <c r="N164" s="12"/>
      <c r="O164" s="10">
        <f>-L175*$P$1</f>
        <v>-1.5840285030568068E-2</v>
      </c>
      <c r="P164" s="10">
        <f>+L175*$P$1</f>
        <v>1.5840285030568068E-2</v>
      </c>
    </row>
    <row r="165" spans="1:16" x14ac:dyDescent="0.25">
      <c r="A165" s="1">
        <v>45105</v>
      </c>
      <c r="B165" s="2">
        <f t="shared" si="20"/>
        <v>151</v>
      </c>
      <c r="C165" s="3">
        <f>+VLOOKUP(A165,Precios!$B:$H,1+$C$5,0)</f>
        <v>53.26</v>
      </c>
      <c r="D165" s="10">
        <f t="shared" si="17"/>
        <v>-1.6980435585086773E-2</v>
      </c>
      <c r="E165" s="34">
        <f t="shared" si="18"/>
        <v>2.8833519265928118E-4</v>
      </c>
      <c r="F165" s="24">
        <f xml:space="preserve"> $C$7^( B165 - 1 )</f>
        <v>4.5555497448365983E-4</v>
      </c>
      <c r="G165" s="25">
        <f t="shared" si="19"/>
        <v>1.3135253133463997E-7</v>
      </c>
      <c r="K165" s="19">
        <f t="shared" si="14"/>
        <v>5.9238605654453928E-5</v>
      </c>
      <c r="L165" s="36">
        <f t="shared" si="15"/>
        <v>7.6966619813042285E-3</v>
      </c>
      <c r="M165" s="64">
        <f t="shared" si="16"/>
        <v>4.2552759432782271E-9</v>
      </c>
      <c r="N165" s="12"/>
      <c r="O165" s="10">
        <f>-L176*$P$1</f>
        <v>-1.6091859452749956E-2</v>
      </c>
      <c r="P165" s="10">
        <f>+L176*$P$1</f>
        <v>1.6091859452749956E-2</v>
      </c>
    </row>
    <row r="166" spans="1:16" x14ac:dyDescent="0.25">
      <c r="A166" s="1">
        <v>45104</v>
      </c>
      <c r="B166" s="2">
        <f t="shared" si="20"/>
        <v>152</v>
      </c>
      <c r="C166" s="3">
        <f>+VLOOKUP(A166,Precios!$B:$H,1+$C$5,0)</f>
        <v>54.18</v>
      </c>
      <c r="D166" s="10">
        <f t="shared" si="17"/>
        <v>1.100951670087702E-2</v>
      </c>
      <c r="E166" s="34">
        <f t="shared" si="18"/>
        <v>1.2120945798689003E-4</v>
      </c>
      <c r="F166" s="24">
        <f xml:space="preserve"> $C$7^( B166 - 1 )</f>
        <v>4.3277722575947689E-4</v>
      </c>
      <c r="G166" s="25">
        <f t="shared" si="19"/>
        <v>5.2456692963376138E-8</v>
      </c>
      <c r="K166" s="19">
        <f t="shared" si="14"/>
        <v>5.5976981847483607E-5</v>
      </c>
      <c r="L166" s="36">
        <f t="shared" si="15"/>
        <v>7.4817766504676952E-3</v>
      </c>
      <c r="M166" s="64">
        <f t="shared" si="16"/>
        <v>3.4331270671809591E-9</v>
      </c>
      <c r="N166" s="12"/>
      <c r="O166" s="10">
        <f>-L177*$P$1</f>
        <v>-1.6406403134882092E-2</v>
      </c>
      <c r="P166" s="10">
        <f>+L177*$P$1</f>
        <v>1.6406403134882092E-2</v>
      </c>
    </row>
    <row r="167" spans="1:16" x14ac:dyDescent="0.25">
      <c r="A167" s="1">
        <v>45103</v>
      </c>
      <c r="B167" s="2">
        <f t="shared" si="20"/>
        <v>153</v>
      </c>
      <c r="C167" s="3">
        <f>+VLOOKUP(A167,Precios!$B:$H,1+$C$5,0)</f>
        <v>53.59</v>
      </c>
      <c r="D167" s="10">
        <f t="shared" si="17"/>
        <v>5.6011949215828416E-4</v>
      </c>
      <c r="E167" s="34">
        <f t="shared" si="18"/>
        <v>3.1373384549565416E-7</v>
      </c>
      <c r="F167" s="24">
        <f xml:space="preserve"> $C$7^( B167 - 1 )</f>
        <v>4.1113836447150307E-4</v>
      </c>
      <c r="G167" s="25">
        <f t="shared" si="19"/>
        <v>1.289880201164385E-10</v>
      </c>
      <c r="K167" s="19">
        <f t="shared" si="14"/>
        <v>5.8906626479167183E-5</v>
      </c>
      <c r="L167" s="36">
        <f t="shared" si="15"/>
        <v>7.675065242665184E-3</v>
      </c>
      <c r="M167" s="64">
        <f t="shared" si="16"/>
        <v>1.4018213057377474E-9</v>
      </c>
      <c r="N167" s="12"/>
      <c r="O167" s="10">
        <f>-L178*$P$1</f>
        <v>-1.6811616855191409E-2</v>
      </c>
      <c r="P167" s="10">
        <f>+L178*$P$1</f>
        <v>1.6811616855191409E-2</v>
      </c>
    </row>
    <row r="168" spans="1:16" x14ac:dyDescent="0.25">
      <c r="A168" s="1">
        <v>45100</v>
      </c>
      <c r="B168" s="2">
        <f t="shared" si="20"/>
        <v>154</v>
      </c>
      <c r="C168" s="3">
        <f>+VLOOKUP(A168,Precios!$B:$H,1+$C$5,0)</f>
        <v>53.56</v>
      </c>
      <c r="D168" s="10">
        <f t="shared" si="17"/>
        <v>-4.8309178743960457E-3</v>
      </c>
      <c r="E168" s="34">
        <f t="shared" si="18"/>
        <v>2.3337767509159208E-5</v>
      </c>
      <c r="F168" s="24">
        <f xml:space="preserve"> $C$7^( B168 - 1 )</f>
        <v>3.9058144624792786E-4</v>
      </c>
      <c r="G168" s="25">
        <f t="shared" si="19"/>
        <v>9.1152989859253037E-9</v>
      </c>
      <c r="K168" s="19">
        <f t="shared" si="14"/>
        <v>6.0778671688114972E-5</v>
      </c>
      <c r="L168" s="36">
        <f t="shared" si="15"/>
        <v>7.79606770674261E-3</v>
      </c>
      <c r="M168" s="64">
        <f t="shared" si="16"/>
        <v>2.2243792489622931E-10</v>
      </c>
      <c r="N168" s="12"/>
      <c r="O168" s="10">
        <f>-L179*$P$1</f>
        <v>-1.6821455902906374E-2</v>
      </c>
      <c r="P168" s="10">
        <f>+L179*$P$1</f>
        <v>1.6821455902906374E-2</v>
      </c>
    </row>
    <row r="169" spans="1:16" x14ac:dyDescent="0.25">
      <c r="A169" s="1">
        <v>45099</v>
      </c>
      <c r="B169" s="2">
        <f t="shared" si="20"/>
        <v>155</v>
      </c>
      <c r="C169" s="3">
        <f>+VLOOKUP(A169,Precios!$B:$H,1+$C$5,0)</f>
        <v>53.82</v>
      </c>
      <c r="D169" s="10">
        <f t="shared" si="17"/>
        <v>-8.6572112727942852E-3</v>
      </c>
      <c r="E169" s="34">
        <f t="shared" si="18"/>
        <v>7.494730702179644E-5</v>
      </c>
      <c r="F169" s="24">
        <f xml:space="preserve"> $C$7^( B169 - 1 )</f>
        <v>3.7105237393553149E-4</v>
      </c>
      <c r="G169" s="25">
        <f t="shared" si="19"/>
        <v>2.7809376190512697E-8</v>
      </c>
      <c r="K169" s="19">
        <f t="shared" si="14"/>
        <v>6.0032954038973843E-5</v>
      </c>
      <c r="L169" s="36">
        <f t="shared" si="15"/>
        <v>7.7480935744848774E-3</v>
      </c>
      <c r="M169" s="64">
        <f t="shared" si="16"/>
        <v>1.3998244736630361E-9</v>
      </c>
      <c r="N169" s="12"/>
      <c r="O169" s="10">
        <f>-L180*$P$1</f>
        <v>-1.72178275022557E-2</v>
      </c>
      <c r="P169" s="10">
        <f>+L180*$P$1</f>
        <v>1.72178275022557E-2</v>
      </c>
    </row>
    <row r="170" spans="1:16" x14ac:dyDescent="0.25">
      <c r="A170" s="1">
        <v>45098</v>
      </c>
      <c r="B170" s="2">
        <f t="shared" si="20"/>
        <v>156</v>
      </c>
      <c r="C170" s="3">
        <f>+VLOOKUP(A170,Precios!$B:$H,1+$C$5,0)</f>
        <v>54.29</v>
      </c>
      <c r="D170" s="10">
        <f t="shared" si="17"/>
        <v>-4.9486803519062095E-3</v>
      </c>
      <c r="E170" s="34">
        <f t="shared" si="18"/>
        <v>2.4489437225342566E-5</v>
      </c>
      <c r="F170" s="24">
        <f xml:space="preserve"> $C$7^( B170 - 1 )</f>
        <v>3.5249975523875493E-4</v>
      </c>
      <c r="G170" s="25">
        <f t="shared" si="19"/>
        <v>8.6325206278681082E-9</v>
      </c>
      <c r="K170" s="19">
        <f t="shared" si="14"/>
        <v>6.1903665450217601E-5</v>
      </c>
      <c r="L170" s="36">
        <f t="shared" si="15"/>
        <v>7.8678882459156472E-3</v>
      </c>
      <c r="M170" s="64">
        <f t="shared" si="16"/>
        <v>3.5265090946991253E-9</v>
      </c>
      <c r="N170" s="12"/>
      <c r="O170" s="10">
        <f>-L181*$P$1</f>
        <v>-1.6046611643721651E-2</v>
      </c>
      <c r="P170" s="10">
        <f>+L181*$P$1</f>
        <v>1.6046611643721651E-2</v>
      </c>
    </row>
    <row r="171" spans="1:16" x14ac:dyDescent="0.25">
      <c r="A171" s="1">
        <v>45097</v>
      </c>
      <c r="B171" s="2">
        <f t="shared" si="20"/>
        <v>157</v>
      </c>
      <c r="C171" s="3">
        <f>+VLOOKUP(A171,Precios!$B:$H,1+$C$5,0)</f>
        <v>54.56</v>
      </c>
      <c r="D171" s="10">
        <f t="shared" si="17"/>
        <v>-1.087744742567065E-2</v>
      </c>
      <c r="E171" s="34">
        <f t="shared" si="18"/>
        <v>1.1831886249822905E-4</v>
      </c>
      <c r="F171" s="24">
        <f xml:space="preserve"> $C$7^( B171 - 1 )</f>
        <v>3.348747674768171E-4</v>
      </c>
      <c r="G171" s="25">
        <f t="shared" si="19"/>
        <v>3.962200156721595E-8</v>
      </c>
      <c r="K171" s="19">
        <f t="shared" si="14"/>
        <v>5.8934444552953831E-5</v>
      </c>
      <c r="L171" s="36">
        <f t="shared" si="15"/>
        <v>7.6768772657216447E-3</v>
      </c>
      <c r="M171" s="64">
        <f t="shared" si="16"/>
        <v>3.8099204472377719E-9</v>
      </c>
      <c r="N171" s="12"/>
      <c r="O171" s="10">
        <f>-L182*$P$1</f>
        <v>-1.6258267204435569E-2</v>
      </c>
      <c r="P171" s="10">
        <f>+L182*$P$1</f>
        <v>1.6258267204435569E-2</v>
      </c>
    </row>
    <row r="172" spans="1:16" x14ac:dyDescent="0.25">
      <c r="A172" s="1">
        <v>45096</v>
      </c>
      <c r="B172" s="2">
        <f t="shared" si="20"/>
        <v>158</v>
      </c>
      <c r="C172" s="3">
        <f>+VLOOKUP(A172,Precios!$B:$H,1+$C$5,0)</f>
        <v>55.16</v>
      </c>
      <c r="D172" s="10">
        <f t="shared" si="17"/>
        <v>5.4416832940318294E-4</v>
      </c>
      <c r="E172" s="34">
        <f t="shared" si="18"/>
        <v>2.9611917072545099E-7</v>
      </c>
      <c r="F172" s="24">
        <f xml:space="preserve"> $C$7^( B172 - 1 )</f>
        <v>3.181310291029763E-4</v>
      </c>
      <c r="G172" s="25">
        <f t="shared" si="19"/>
        <v>9.4204696520007653E-11</v>
      </c>
      <c r="K172" s="19">
        <f t="shared" si="14"/>
        <v>6.2020672204650062E-5</v>
      </c>
      <c r="L172" s="36">
        <f t="shared" si="15"/>
        <v>7.875320450918176E-3</v>
      </c>
      <c r="M172" s="64">
        <f t="shared" si="16"/>
        <v>1.1376909063054041E-10</v>
      </c>
      <c r="N172" s="12"/>
      <c r="O172" s="10">
        <f>-L183*$P$1</f>
        <v>-1.6147403062351569E-2</v>
      </c>
      <c r="P172" s="10">
        <f>+L183*$P$1</f>
        <v>1.6147403062351569E-2</v>
      </c>
    </row>
    <row r="173" spans="1:16" x14ac:dyDescent="0.25">
      <c r="A173" s="1">
        <v>45093</v>
      </c>
      <c r="B173" s="2">
        <f t="shared" si="20"/>
        <v>159</v>
      </c>
      <c r="C173" s="3">
        <f>+VLOOKUP(A173,Precios!$B:$H,1+$C$5,0)</f>
        <v>55.13</v>
      </c>
      <c r="D173" s="10">
        <f t="shared" si="17"/>
        <v>-7.2033135242210999E-3</v>
      </c>
      <c r="E173" s="34">
        <f t="shared" si="18"/>
        <v>5.1887725728226605E-5</v>
      </c>
      <c r="F173" s="24">
        <f xml:space="preserve"> $C$7^( B173 - 1 )</f>
        <v>3.0222447764782746E-4</v>
      </c>
      <c r="G173" s="25">
        <f t="shared" si="19"/>
        <v>1.5681740804547023E-8</v>
      </c>
      <c r="K173" s="19">
        <f t="shared" si="14"/>
        <v>6.255398517709341E-5</v>
      </c>
      <c r="L173" s="36">
        <f t="shared" si="15"/>
        <v>7.9091077358380574E-3</v>
      </c>
      <c r="M173" s="64">
        <f t="shared" si="16"/>
        <v>2.4198979448457868E-9</v>
      </c>
      <c r="N173" s="12"/>
      <c r="O173" s="10">
        <f>-L184*$P$1</f>
        <v>-1.6563222351179192E-2</v>
      </c>
      <c r="P173" s="10">
        <f>+L184*$P$1</f>
        <v>1.6563222351179192E-2</v>
      </c>
    </row>
    <row r="174" spans="1:16" x14ac:dyDescent="0.25">
      <c r="A174" s="1">
        <v>45092</v>
      </c>
      <c r="B174" s="2">
        <f t="shared" si="20"/>
        <v>160</v>
      </c>
      <c r="C174" s="3">
        <f>+VLOOKUP(A174,Precios!$B:$H,1+$C$5,0)</f>
        <v>55.53</v>
      </c>
      <c r="D174" s="10">
        <f t="shared" si="17"/>
        <v>3.9775809076116886E-3</v>
      </c>
      <c r="E174" s="34">
        <f t="shared" si="18"/>
        <v>1.5821149876597024E-5</v>
      </c>
      <c r="F174" s="24">
        <f xml:space="preserve"> $C$7^( B174 - 1 )</f>
        <v>2.871132537654361E-4</v>
      </c>
      <c r="G174" s="25">
        <f t="shared" si="19"/>
        <v>4.5424618193803994E-9</v>
      </c>
      <c r="K174" s="19">
        <f t="shared" si="14"/>
        <v>6.5013608087645866E-5</v>
      </c>
      <c r="L174" s="36">
        <f t="shared" si="15"/>
        <v>8.0631016419021942E-3</v>
      </c>
      <c r="M174" s="64">
        <f t="shared" si="16"/>
        <v>2.0883997439068456E-9</v>
      </c>
      <c r="N174" s="12"/>
      <c r="O174" s="10">
        <f>-L185*$P$1</f>
        <v>-1.6268285148098159E-2</v>
      </c>
      <c r="P174" s="10">
        <f>+L185*$P$1</f>
        <v>1.6268285148098159E-2</v>
      </c>
    </row>
    <row r="175" spans="1:16" x14ac:dyDescent="0.25">
      <c r="A175" s="1">
        <v>45091</v>
      </c>
      <c r="B175" s="2">
        <f t="shared" si="20"/>
        <v>161</v>
      </c>
      <c r="C175" s="3">
        <f>+VLOOKUP(A175,Precios!$B:$H,1+$C$5,0)</f>
        <v>55.31</v>
      </c>
      <c r="D175" s="10">
        <f t="shared" si="17"/>
        <v>1.0412860796492618E-2</v>
      </c>
      <c r="E175" s="34">
        <f t="shared" si="18"/>
        <v>1.0842766996713288E-4</v>
      </c>
      <c r="F175" s="24">
        <f xml:space="preserve"> $C$7^( B175 - 1 )</f>
        <v>2.7275759107716431E-4</v>
      </c>
      <c r="G175" s="25">
        <f t="shared" si="19"/>
        <v>2.9574470066344959E-8</v>
      </c>
      <c r="K175" s="19">
        <f t="shared" si="14"/>
        <v>6.2728657462409696E-5</v>
      </c>
      <c r="L175" s="36">
        <f t="shared" si="15"/>
        <v>7.920142515284034E-3</v>
      </c>
      <c r="M175" s="64">
        <f t="shared" si="16"/>
        <v>1.6133520591983465E-9</v>
      </c>
      <c r="N175" s="12"/>
      <c r="O175" s="10">
        <f>-L186*$P$1</f>
        <v>-1.4803811891817165E-2</v>
      </c>
      <c r="P175" s="10">
        <f>+L186*$P$1</f>
        <v>1.4803811891817165E-2</v>
      </c>
    </row>
    <row r="176" spans="1:16" x14ac:dyDescent="0.25">
      <c r="A176" s="1">
        <v>45090</v>
      </c>
      <c r="B176" s="2">
        <f t="shared" si="20"/>
        <v>162</v>
      </c>
      <c r="C176" s="3">
        <f>+VLOOKUP(A176,Precios!$B:$H,1+$C$5,0)</f>
        <v>54.74</v>
      </c>
      <c r="D176" s="10">
        <f t="shared" si="17"/>
        <v>4.9568569854967492E-3</v>
      </c>
      <c r="E176" s="34">
        <f t="shared" si="18"/>
        <v>2.457043117466792E-5</v>
      </c>
      <c r="F176" s="24">
        <f xml:space="preserve"> $C$7^( B176 - 1 )</f>
        <v>2.5911971152330608E-4</v>
      </c>
      <c r="G176" s="25">
        <f t="shared" si="19"/>
        <v>6.3666830379831981E-9</v>
      </c>
      <c r="K176" s="19">
        <f t="shared" si="14"/>
        <v>6.4736985161764529E-5</v>
      </c>
      <c r="L176" s="36">
        <f t="shared" si="15"/>
        <v>8.0459297263749778E-3</v>
      </c>
      <c r="M176" s="64">
        <f t="shared" si="16"/>
        <v>2.6122950562517271E-9</v>
      </c>
      <c r="N176" s="12"/>
      <c r="O176" s="10">
        <f>-L187*$P$1</f>
        <v>-1.5179863563245008E-2</v>
      </c>
      <c r="P176" s="10">
        <f>+L187*$P$1</f>
        <v>1.5179863563245008E-2</v>
      </c>
    </row>
    <row r="177" spans="1:16" x14ac:dyDescent="0.25">
      <c r="A177" s="1">
        <v>45089</v>
      </c>
      <c r="B177" s="2">
        <f t="shared" si="20"/>
        <v>163</v>
      </c>
      <c r="C177" s="3">
        <f>+VLOOKUP(A177,Precios!$B:$H,1+$C$5,0)</f>
        <v>54.47</v>
      </c>
      <c r="D177" s="10">
        <f t="shared" si="17"/>
        <v>-4.0226732492228967E-3</v>
      </c>
      <c r="E177" s="34">
        <f t="shared" si="18"/>
        <v>1.6181900070013499E-5</v>
      </c>
      <c r="F177" s="24">
        <f xml:space="preserve"> $C$7^( B177 - 1 )</f>
        <v>2.4616372594714081E-4</v>
      </c>
      <c r="G177" s="25">
        <f t="shared" si="19"/>
        <v>3.9833968141388219E-9</v>
      </c>
      <c r="K177" s="19">
        <f t="shared" si="14"/>
        <v>6.7292515956067224E-5</v>
      </c>
      <c r="L177" s="36">
        <f t="shared" si="15"/>
        <v>8.2032015674410458E-3</v>
      </c>
      <c r="M177" s="64">
        <f t="shared" si="16"/>
        <v>4.5295574955301685E-9</v>
      </c>
      <c r="N177" s="12"/>
      <c r="O177" s="10">
        <f>-L188*$P$1</f>
        <v>-1.5376649286345164E-2</v>
      </c>
      <c r="P177" s="10">
        <f>+L188*$P$1</f>
        <v>1.5376649286345164E-2</v>
      </c>
    </row>
    <row r="178" spans="1:16" x14ac:dyDescent="0.25">
      <c r="A178" s="1">
        <v>45086</v>
      </c>
      <c r="B178" s="2">
        <f t="shared" si="20"/>
        <v>164</v>
      </c>
      <c r="C178" s="3">
        <f>+VLOOKUP(A178,Precios!$B:$H,1+$C$5,0)</f>
        <v>54.69</v>
      </c>
      <c r="D178" s="10">
        <f t="shared" si="17"/>
        <v>1.8318373328447546E-3</v>
      </c>
      <c r="E178" s="34">
        <f t="shared" si="18"/>
        <v>3.355628014003784E-6</v>
      </c>
      <c r="F178" s="24">
        <f xml:space="preserve"> $C$7^( B178 - 1 )</f>
        <v>2.338555396497837E-4</v>
      </c>
      <c r="G178" s="25">
        <f t="shared" si="19"/>
        <v>7.847322000787868E-10</v>
      </c>
      <c r="K178" s="19">
        <f t="shared" si="14"/>
        <v>7.0657615321438982E-5</v>
      </c>
      <c r="L178" s="36">
        <f t="shared" si="15"/>
        <v>8.4058084275957044E-3</v>
      </c>
      <c r="M178" s="64">
        <f t="shared" si="16"/>
        <v>2.7376582674388697E-12</v>
      </c>
      <c r="N178" s="12"/>
      <c r="O178" s="10">
        <f>-L189*$P$1</f>
        <v>-1.5294212515124889E-2</v>
      </c>
      <c r="P178" s="10">
        <f>+L189*$P$1</f>
        <v>1.5294212515124889E-2</v>
      </c>
    </row>
    <row r="179" spans="1:16" x14ac:dyDescent="0.25">
      <c r="A179" s="1">
        <v>45085</v>
      </c>
      <c r="B179" s="2">
        <f t="shared" si="20"/>
        <v>165</v>
      </c>
      <c r="C179" s="3">
        <f>+VLOOKUP(A179,Precios!$B:$H,1+$C$5,0)</f>
        <v>54.59</v>
      </c>
      <c r="D179" s="10">
        <f t="shared" si="17"/>
        <v>8.3117842630218153E-3</v>
      </c>
      <c r="E179" s="34">
        <f t="shared" si="18"/>
        <v>6.9085757635017095E-5</v>
      </c>
      <c r="F179" s="24">
        <f xml:space="preserve"> $C$7^( B179 - 1 )</f>
        <v>2.2216276266729456E-4</v>
      </c>
      <c r="G179" s="25">
        <f t="shared" si="19"/>
        <v>1.5348282777158536E-8</v>
      </c>
      <c r="K179" s="19">
        <f t="shared" si="14"/>
        <v>7.0740344673355927E-5</v>
      </c>
      <c r="L179" s="36">
        <f t="shared" si="15"/>
        <v>8.4107279514531869E-3</v>
      </c>
      <c r="M179" s="64">
        <f t="shared" si="16"/>
        <v>4.5509900316772106E-9</v>
      </c>
      <c r="N179" s="12"/>
      <c r="O179" s="10">
        <f>-L190*$P$1</f>
        <v>-1.5596290574463453E-2</v>
      </c>
      <c r="P179" s="10">
        <f>+L190*$P$1</f>
        <v>1.5596290574463453E-2</v>
      </c>
    </row>
    <row r="180" spans="1:16" x14ac:dyDescent="0.25">
      <c r="A180" s="1">
        <v>45084</v>
      </c>
      <c r="B180" s="2">
        <f t="shared" si="20"/>
        <v>166</v>
      </c>
      <c r="C180" s="3">
        <f>+VLOOKUP(A180,Precios!$B:$H,1+$C$5,0)</f>
        <v>54.14</v>
      </c>
      <c r="D180" s="10">
        <f t="shared" si="17"/>
        <v>-2.5792188651436732E-3</v>
      </c>
      <c r="E180" s="34">
        <f t="shared" si="18"/>
        <v>6.6523699543130169E-6</v>
      </c>
      <c r="F180" s="24">
        <f xml:space="preserve"> $C$7^( B180 - 1 )</f>
        <v>2.1105462453392982E-4</v>
      </c>
      <c r="G180" s="25">
        <f t="shared" si="19"/>
        <v>1.4040134429683296E-9</v>
      </c>
      <c r="K180" s="19">
        <f t="shared" si="14"/>
        <v>7.4113395974358188E-5</v>
      </c>
      <c r="L180" s="36">
        <f t="shared" si="15"/>
        <v>8.6089137511278502E-3</v>
      </c>
      <c r="M180" s="64">
        <f t="shared" si="16"/>
        <v>3.7946725696713157E-8</v>
      </c>
      <c r="N180" s="12"/>
      <c r="O180" s="10">
        <f>-L191*$P$1</f>
        <v>-1.5878904902510371E-2</v>
      </c>
      <c r="P180" s="10">
        <f>+L191*$P$1</f>
        <v>1.5878904902510371E-2</v>
      </c>
    </row>
    <row r="181" spans="1:16" x14ac:dyDescent="0.25">
      <c r="A181" s="1">
        <v>45083</v>
      </c>
      <c r="B181" s="2">
        <f t="shared" si="20"/>
        <v>167</v>
      </c>
      <c r="C181" s="3">
        <f>+VLOOKUP(A181,Precios!$B:$H,1+$C$5,0)</f>
        <v>54.28</v>
      </c>
      <c r="D181" s="10">
        <f t="shared" si="17"/>
        <v>1.6098839385997765E-2</v>
      </c>
      <c r="E181" s="34">
        <f t="shared" si="18"/>
        <v>2.5917262957615288E-4</v>
      </c>
      <c r="F181" s="24">
        <f xml:space="preserve"> $C$7^( B181 - 1 )</f>
        <v>2.0050189330723332E-4</v>
      </c>
      <c r="G181" s="25">
        <f t="shared" si="19"/>
        <v>5.1964602923432905E-8</v>
      </c>
      <c r="K181" s="19">
        <f t="shared" si="14"/>
        <v>6.4373436311105818E-5</v>
      </c>
      <c r="L181" s="36">
        <f t="shared" si="15"/>
        <v>8.0233058218608256E-3</v>
      </c>
      <c r="M181" s="64">
        <f t="shared" si="16"/>
        <v>1.1687876336149671E-9</v>
      </c>
      <c r="N181" s="12"/>
      <c r="O181" s="10">
        <f>-L192*$P$1</f>
        <v>-1.4317759425488377E-2</v>
      </c>
      <c r="P181" s="10">
        <f>+L192*$P$1</f>
        <v>1.4317759425488377E-2</v>
      </c>
    </row>
    <row r="182" spans="1:16" x14ac:dyDescent="0.25">
      <c r="A182" s="1">
        <v>45082</v>
      </c>
      <c r="B182" s="2">
        <f t="shared" si="20"/>
        <v>168</v>
      </c>
      <c r="C182" s="3">
        <f>+VLOOKUP(A182,Precios!$B:$H,1+$C$5,0)</f>
        <v>53.42</v>
      </c>
      <c r="D182" s="10">
        <f t="shared" si="17"/>
        <v>5.6475903614459089E-3</v>
      </c>
      <c r="E182" s="34">
        <f t="shared" si="18"/>
        <v>3.189527689069673E-5</v>
      </c>
      <c r="F182" s="24">
        <f xml:space="preserve"> $C$7^( B182 - 1 )</f>
        <v>1.9047679864187168E-4</v>
      </c>
      <c r="G182" s="25">
        <f t="shared" si="19"/>
        <v>6.075310233935984E-9</v>
      </c>
      <c r="K182" s="19">
        <f t="shared" si="14"/>
        <v>6.6082813122706301E-5</v>
      </c>
      <c r="L182" s="36">
        <f t="shared" si="15"/>
        <v>8.1291336022177845E-3</v>
      </c>
      <c r="M182" s="64">
        <f t="shared" si="16"/>
        <v>3.2267418899105398E-10</v>
      </c>
      <c r="N182" s="12"/>
      <c r="O182" s="10">
        <f>-L193*$P$1</f>
        <v>-1.239222954687451E-2</v>
      </c>
      <c r="P182" s="10">
        <f>+L193*$P$1</f>
        <v>1.239222954687451E-2</v>
      </c>
    </row>
    <row r="183" spans="1:16" x14ac:dyDescent="0.25">
      <c r="A183" s="1">
        <v>45079</v>
      </c>
      <c r="B183" s="2">
        <f t="shared" si="20"/>
        <v>169</v>
      </c>
      <c r="C183" s="3">
        <f>+VLOOKUP(A183,Precios!$B:$H,1+$C$5,0)</f>
        <v>53.12</v>
      </c>
      <c r="D183" s="10">
        <f t="shared" si="17"/>
        <v>9.1185410334346795E-3</v>
      </c>
      <c r="E183" s="34">
        <f t="shared" si="18"/>
        <v>8.3147790578431993E-5</v>
      </c>
      <c r="F183" s="24">
        <f xml:space="preserve"> $C$7^( B183 - 1 )</f>
        <v>1.8095295870977811E-4</v>
      </c>
      <c r="G183" s="25">
        <f t="shared" si="19"/>
        <v>1.5045838715348281E-8</v>
      </c>
      <c r="K183" s="19">
        <f t="shared" si="14"/>
        <v>6.5184656414510209E-5</v>
      </c>
      <c r="L183" s="36">
        <f t="shared" si="15"/>
        <v>8.0737015311757847E-3</v>
      </c>
      <c r="M183" s="64">
        <f t="shared" si="16"/>
        <v>4.6251621906782838E-9</v>
      </c>
      <c r="N183" s="12"/>
      <c r="O183" s="10">
        <f>-L194*$P$1</f>
        <v>-1.255563856627215E-2</v>
      </c>
      <c r="P183" s="10">
        <f>+L194*$P$1</f>
        <v>1.255563856627215E-2</v>
      </c>
    </row>
    <row r="184" spans="1:16" x14ac:dyDescent="0.25">
      <c r="A184" s="1">
        <v>45078</v>
      </c>
      <c r="B184" s="2">
        <f t="shared" si="20"/>
        <v>170</v>
      </c>
      <c r="C184" s="3">
        <f>+VLOOKUP(A184,Precios!$B:$H,1+$C$5,0)</f>
        <v>52.64</v>
      </c>
      <c r="D184" s="10">
        <f t="shared" si="17"/>
        <v>-7.5930144267277733E-4</v>
      </c>
      <c r="E184" s="34">
        <f t="shared" si="18"/>
        <v>5.7653868084496092E-7</v>
      </c>
      <c r="F184" s="24">
        <f xml:space="preserve"> $C$7^( B184 - 1 )</f>
        <v>1.7190531077428917E-4</v>
      </c>
      <c r="G184" s="25">
        <f t="shared" si="19"/>
        <v>9.9110061104051731E-11</v>
      </c>
      <c r="K184" s="19">
        <f t="shared" si="14"/>
        <v>6.8585083663650492E-5</v>
      </c>
      <c r="L184" s="36">
        <f t="shared" si="15"/>
        <v>8.2816111755895962E-3</v>
      </c>
      <c r="M184" s="64">
        <f t="shared" si="16"/>
        <v>2.3441250307754601E-9</v>
      </c>
      <c r="N184" s="12"/>
      <c r="O184" s="10">
        <f>-L195*$P$1</f>
        <v>-1.2836328966043292E-2</v>
      </c>
      <c r="P184" s="10">
        <f>+L195*$P$1</f>
        <v>1.2836328966043292E-2</v>
      </c>
    </row>
    <row r="185" spans="1:16" x14ac:dyDescent="0.25">
      <c r="A185" s="1">
        <v>45077</v>
      </c>
      <c r="B185" s="2">
        <f t="shared" si="20"/>
        <v>171</v>
      </c>
      <c r="C185" s="3">
        <f>+VLOOKUP(A185,Precios!$B:$H,1+$C$5,0)</f>
        <v>52.68</v>
      </c>
      <c r="D185" s="10">
        <f t="shared" si="17"/>
        <v>-1.0704225352112684E-2</v>
      </c>
      <c r="E185" s="34">
        <f t="shared" si="18"/>
        <v>1.1458044038881192E-4</v>
      </c>
      <c r="F185" s="24">
        <f xml:space="preserve"> $C$7^( B185 - 1 )</f>
        <v>1.6331004523557473E-4</v>
      </c>
      <c r="G185" s="25">
        <f t="shared" si="19"/>
        <v>1.8712136903008947E-8</v>
      </c>
      <c r="K185" s="19">
        <f t="shared" si="14"/>
        <v>6.6164275414957779E-5</v>
      </c>
      <c r="L185" s="36">
        <f t="shared" si="15"/>
        <v>8.1341425740490796E-3</v>
      </c>
      <c r="M185" s="64">
        <f t="shared" si="16"/>
        <v>5.1765930876870112E-8</v>
      </c>
      <c r="N185" s="12"/>
      <c r="O185" s="10">
        <f>-L196*$P$1</f>
        <v>-1.3160352419664685E-2</v>
      </c>
      <c r="P185" s="10">
        <f>+L196*$P$1</f>
        <v>1.3160352419664685E-2</v>
      </c>
    </row>
    <row r="186" spans="1:16" x14ac:dyDescent="0.25">
      <c r="A186" s="1">
        <v>45076</v>
      </c>
      <c r="B186" s="2">
        <f t="shared" si="20"/>
        <v>172</v>
      </c>
      <c r="C186" s="3">
        <f>+VLOOKUP(A186,Precios!$B:$H,1+$C$5,0)</f>
        <v>53.25</v>
      </c>
      <c r="D186" s="10">
        <f t="shared" si="17"/>
        <v>-1.6802067946824151E-2</v>
      </c>
      <c r="E186" s="34">
        <f t="shared" si="18"/>
        <v>2.8230948728969553E-4</v>
      </c>
      <c r="F186" s="24">
        <f xml:space="preserve"> $C$7^( B186 - 1 )</f>
        <v>1.5514454297379596E-4</v>
      </c>
      <c r="G186" s="25">
        <f t="shared" si="19"/>
        <v>4.3798776382726472E-8</v>
      </c>
      <c r="K186" s="19">
        <f t="shared" si="14"/>
        <v>5.4788211632076831E-5</v>
      </c>
      <c r="L186" s="36">
        <f t="shared" si="15"/>
        <v>7.4019059459085827E-3</v>
      </c>
      <c r="M186" s="64">
        <f t="shared" si="16"/>
        <v>3.1783724829312873E-9</v>
      </c>
      <c r="N186" s="12"/>
      <c r="O186" s="10">
        <f>-L197*$P$1</f>
        <v>-1.3312617990105472E-2</v>
      </c>
      <c r="P186" s="10">
        <f>+L197*$P$1</f>
        <v>1.3312617990105472E-2</v>
      </c>
    </row>
    <row r="187" spans="1:16" x14ac:dyDescent="0.25">
      <c r="A187" s="1">
        <v>45075</v>
      </c>
      <c r="B187" s="2">
        <f t="shared" si="20"/>
        <v>173</v>
      </c>
      <c r="C187" s="3">
        <f>+VLOOKUP(A187,Precios!$B:$H,1+$C$5,0)</f>
        <v>54.16</v>
      </c>
      <c r="D187" s="10">
        <f t="shared" si="17"/>
        <v>1.1090573012937366E-3</v>
      </c>
      <c r="E187" s="34">
        <f t="shared" si="18"/>
        <v>1.230008097552946E-6</v>
      </c>
      <c r="F187" s="24">
        <f xml:space="preserve"> $C$7^( B187 - 1 )</f>
        <v>1.4738731582510616E-4</v>
      </c>
      <c r="G187" s="25">
        <f t="shared" si="19"/>
        <v>1.8128759194147403E-10</v>
      </c>
      <c r="K187" s="19">
        <f t="shared" si="14"/>
        <v>5.7607064449683355E-5</v>
      </c>
      <c r="L187" s="36">
        <f t="shared" si="15"/>
        <v>7.589931781622504E-3</v>
      </c>
      <c r="M187" s="64">
        <f t="shared" si="16"/>
        <v>9.0392992370014158E-10</v>
      </c>
      <c r="N187" s="12"/>
      <c r="O187" s="10">
        <f>-L198*$P$1</f>
        <v>-1.365743726288529E-2</v>
      </c>
      <c r="P187" s="10">
        <f>+L198*$P$1</f>
        <v>1.365743726288529E-2</v>
      </c>
    </row>
    <row r="188" spans="1:16" x14ac:dyDescent="0.25">
      <c r="A188" s="1">
        <v>45072</v>
      </c>
      <c r="B188" s="2">
        <f t="shared" si="20"/>
        <v>174</v>
      </c>
      <c r="C188" s="3">
        <f>+VLOOKUP(A188,Precios!$B:$H,1+$C$5,0)</f>
        <v>54.1</v>
      </c>
      <c r="D188" s="10">
        <f t="shared" si="17"/>
        <v>5.3893328377625505E-3</v>
      </c>
      <c r="E188" s="34">
        <f t="shared" si="18"/>
        <v>2.9044908436185744E-5</v>
      </c>
      <c r="F188" s="24">
        <f xml:space="preserve"> $C$7^( B188 - 1 )</f>
        <v>1.4001795003385086E-4</v>
      </c>
      <c r="G188" s="25">
        <f t="shared" si="19"/>
        <v>4.0668085381556292E-9</v>
      </c>
      <c r="K188" s="19">
        <f t="shared" si="14"/>
        <v>5.9110335818814808E-5</v>
      </c>
      <c r="L188" s="36">
        <f t="shared" si="15"/>
        <v>7.6883246431725819E-3</v>
      </c>
      <c r="M188" s="64">
        <f t="shared" si="16"/>
        <v>1.5982102586400619E-10</v>
      </c>
      <c r="N188" s="12"/>
      <c r="O188" s="10">
        <f>-L199*$P$1</f>
        <v>-1.3484757628736922E-2</v>
      </c>
      <c r="P188" s="10">
        <f>+L199*$P$1</f>
        <v>1.3484757628736922E-2</v>
      </c>
    </row>
    <row r="189" spans="1:16" x14ac:dyDescent="0.25">
      <c r="A189" s="1">
        <v>45071</v>
      </c>
      <c r="B189" s="2">
        <f t="shared" si="20"/>
        <v>175</v>
      </c>
      <c r="C189" s="3">
        <f>+VLOOKUP(A189,Precios!$B:$H,1+$C$5,0)</f>
        <v>53.81</v>
      </c>
      <c r="D189" s="10">
        <f t="shared" si="17"/>
        <v>8.4332833583209421E-3</v>
      </c>
      <c r="E189" s="34">
        <f t="shared" si="18"/>
        <v>7.1120268201732941E-5</v>
      </c>
      <c r="F189" s="24">
        <f xml:space="preserve"> $C$7^( B189 - 1 )</f>
        <v>1.3301705253215831E-4</v>
      </c>
      <c r="G189" s="25">
        <f t="shared" si="19"/>
        <v>9.4602084514910984E-9</v>
      </c>
      <c r="K189" s="19">
        <f t="shared" si="14"/>
        <v>5.8478234114450697E-5</v>
      </c>
      <c r="L189" s="36">
        <f t="shared" si="15"/>
        <v>7.6471062575624443E-3</v>
      </c>
      <c r="M189" s="64">
        <f t="shared" si="16"/>
        <v>2.1768491597063608E-9</v>
      </c>
      <c r="N189" s="12"/>
      <c r="O189" s="10">
        <f>-L200*$P$1</f>
        <v>-1.3819160278058152E-2</v>
      </c>
      <c r="P189" s="10">
        <f>+L200*$P$1</f>
        <v>1.3819160278058152E-2</v>
      </c>
    </row>
    <row r="190" spans="1:16" x14ac:dyDescent="0.25">
      <c r="A190" s="1">
        <v>45070</v>
      </c>
      <c r="B190" s="2">
        <f t="shared" si="20"/>
        <v>176</v>
      </c>
      <c r="C190" s="3">
        <f>+VLOOKUP(A190,Precios!$B:$H,1+$C$5,0)</f>
        <v>53.36</v>
      </c>
      <c r="D190" s="10">
        <f t="shared" si="17"/>
        <v>3.762227238525151E-3</v>
      </c>
      <c r="E190" s="34">
        <f t="shared" si="18"/>
        <v>1.4154353794300583E-5</v>
      </c>
      <c r="F190" s="24">
        <f xml:space="preserve"> $C$7^( B190 - 1 )</f>
        <v>1.2636619990555041E-4</v>
      </c>
      <c r="G190" s="25">
        <f t="shared" si="19"/>
        <v>1.7886319011044735E-9</v>
      </c>
      <c r="K190" s="19">
        <f t="shared" si="14"/>
        <v>6.0811069920774389E-5</v>
      </c>
      <c r="L190" s="36">
        <f t="shared" si="15"/>
        <v>7.7981452872317265E-3</v>
      </c>
      <c r="M190" s="64">
        <f t="shared" si="16"/>
        <v>1.9781773854481083E-9</v>
      </c>
      <c r="N190" s="12"/>
      <c r="O190" s="10">
        <f>-L201*$P$1</f>
        <v>-1.3758319848283072E-2</v>
      </c>
      <c r="P190" s="10">
        <f>+L201*$P$1</f>
        <v>1.3758319848283072E-2</v>
      </c>
    </row>
    <row r="191" spans="1:16" x14ac:dyDescent="0.25">
      <c r="A191" s="1">
        <v>45069</v>
      </c>
      <c r="B191" s="2">
        <f t="shared" si="20"/>
        <v>177</v>
      </c>
      <c r="C191" s="3">
        <f>+VLOOKUP(A191,Precios!$B:$H,1+$C$5,0)</f>
        <v>53.16</v>
      </c>
      <c r="D191" s="10">
        <f t="shared" si="17"/>
        <v>-4.3079228319911067E-3</v>
      </c>
      <c r="E191" s="34">
        <f t="shared" si="18"/>
        <v>1.8558199126390277E-5</v>
      </c>
      <c r="F191" s="24">
        <f xml:space="preserve"> $C$7^( B191 - 1 )</f>
        <v>1.2004788991027288E-4</v>
      </c>
      <c r="G191" s="25">
        <f t="shared" si="19"/>
        <v>2.2278726456578226E-9</v>
      </c>
      <c r="K191" s="19">
        <f t="shared" si="14"/>
        <v>6.3034905225741974E-5</v>
      </c>
      <c r="L191" s="36">
        <f t="shared" si="15"/>
        <v>7.9394524512551856E-3</v>
      </c>
      <c r="M191" s="64">
        <f t="shared" si="16"/>
        <v>5.5557756701073721E-8</v>
      </c>
      <c r="N191" s="12"/>
      <c r="O191" s="10">
        <f>-L202*$P$1</f>
        <v>-1.407370967869344E-2</v>
      </c>
      <c r="P191" s="10">
        <f>+L202*$P$1</f>
        <v>1.407370967869344E-2</v>
      </c>
    </row>
    <row r="192" spans="1:16" x14ac:dyDescent="0.25">
      <c r="A192" s="1">
        <v>45068</v>
      </c>
      <c r="B192" s="2">
        <f t="shared" si="20"/>
        <v>178</v>
      </c>
      <c r="C192" s="3">
        <f>+VLOOKUP(A192,Precios!$B:$H,1+$C$5,0)</f>
        <v>53.39</v>
      </c>
      <c r="D192" s="10">
        <f t="shared" si="17"/>
        <v>-1.6939790093905338E-2</v>
      </c>
      <c r="E192" s="34">
        <f t="shared" si="18"/>
        <v>2.8695648842557342E-4</v>
      </c>
      <c r="F192" s="24">
        <f xml:space="preserve"> $C$7^( B192 - 1 )</f>
        <v>1.1404549541475923E-4</v>
      </c>
      <c r="G192" s="25">
        <f t="shared" si="19"/>
        <v>3.2726094884974142E-8</v>
      </c>
      <c r="K192" s="19">
        <f t="shared" si="14"/>
        <v>5.1249558741540316E-5</v>
      </c>
      <c r="L192" s="36">
        <f t="shared" si="15"/>
        <v>7.1588797127441883E-3</v>
      </c>
      <c r="M192" s="64">
        <f t="shared" si="16"/>
        <v>6.6128390129166086E-8</v>
      </c>
      <c r="N192" s="12"/>
      <c r="O192" s="10">
        <f>-L203*$P$1</f>
        <v>-1.4285385073940457E-2</v>
      </c>
      <c r="P192" s="10">
        <f>+L203*$P$1</f>
        <v>1.4285385073940457E-2</v>
      </c>
    </row>
    <row r="193" spans="1:16" x14ac:dyDescent="0.25">
      <c r="A193" s="1">
        <v>45065</v>
      </c>
      <c r="B193" s="2">
        <f t="shared" si="20"/>
        <v>179</v>
      </c>
      <c r="C193" s="3">
        <f>+VLOOKUP(A193,Precios!$B:$H,1+$C$5,0)</f>
        <v>54.31</v>
      </c>
      <c r="D193" s="10">
        <f t="shared" si="17"/>
        <v>-1.7191458559536632E-2</v>
      </c>
      <c r="E193" s="34">
        <f t="shared" si="18"/>
        <v>2.9554624740426531E-4</v>
      </c>
      <c r="F193" s="24">
        <f xml:space="preserve"> $C$7^( B193 - 1 )</f>
        <v>1.0834322064402127E-4</v>
      </c>
      <c r="G193" s="25">
        <f t="shared" si="19"/>
        <v>3.2020432293032819E-8</v>
      </c>
      <c r="K193" s="19">
        <f t="shared" si="14"/>
        <v>3.8391838285607412E-5</v>
      </c>
      <c r="L193" s="36">
        <f t="shared" si="15"/>
        <v>6.1961147734372552E-3</v>
      </c>
      <c r="M193" s="64">
        <f t="shared" si="16"/>
        <v>4.1548843069538424E-10</v>
      </c>
      <c r="N193" s="12"/>
      <c r="O193" s="10">
        <f>-L204*$P$1</f>
        <v>-1.457860328493025E-2</v>
      </c>
      <c r="P193" s="10">
        <f>+L204*$P$1</f>
        <v>1.457860328493025E-2</v>
      </c>
    </row>
    <row r="194" spans="1:16" x14ac:dyDescent="0.25">
      <c r="A194" s="1">
        <v>45064</v>
      </c>
      <c r="B194" s="2">
        <f t="shared" si="20"/>
        <v>180</v>
      </c>
      <c r="C194" s="3">
        <f>+VLOOKUP(A194,Precios!$B:$H,1+$C$5,0)</f>
        <v>55.26</v>
      </c>
      <c r="D194" s="10">
        <f t="shared" si="17"/>
        <v>4.362050163576825E-3</v>
      </c>
      <c r="E194" s="34">
        <f t="shared" si="18"/>
        <v>1.9027481629560604E-5</v>
      </c>
      <c r="F194" s="24">
        <f xml:space="preserve"> $C$7^( B194 - 1 )</f>
        <v>1.029260596118202E-4</v>
      </c>
      <c r="G194" s="25">
        <f t="shared" si="19"/>
        <v>1.9584237084669685E-9</v>
      </c>
      <c r="K194" s="19">
        <f t="shared" si="14"/>
        <v>3.9411014951715138E-5</v>
      </c>
      <c r="L194" s="36">
        <f t="shared" si="15"/>
        <v>6.2778192831360749E-3</v>
      </c>
      <c r="M194" s="64">
        <f t="shared" si="16"/>
        <v>1.2699535457857069E-9</v>
      </c>
      <c r="N194" s="12"/>
      <c r="O194" s="10">
        <f>-L205*$P$1</f>
        <v>-1.4844096739606223E-2</v>
      </c>
      <c r="P194" s="10">
        <f>+L205*$P$1</f>
        <v>1.4844096739606223E-2</v>
      </c>
    </row>
    <row r="195" spans="1:16" x14ac:dyDescent="0.25">
      <c r="A195" s="1">
        <v>45063</v>
      </c>
      <c r="B195" s="2">
        <f t="shared" si="20"/>
        <v>181</v>
      </c>
      <c r="C195" s="3">
        <f>+VLOOKUP(A195,Precios!$B:$H,1+$C$5,0)</f>
        <v>55.02</v>
      </c>
      <c r="D195" s="10">
        <f t="shared" si="17"/>
        <v>-2.3572076155937705E-3</v>
      </c>
      <c r="E195" s="34">
        <f t="shared" si="18"/>
        <v>5.556427743013269E-6</v>
      </c>
      <c r="F195" s="24">
        <f xml:space="preserve"> $C$7^( B195 - 1 )</f>
        <v>9.7779756631229188E-5</v>
      </c>
      <c r="G195" s="25">
        <f t="shared" si="19"/>
        <v>5.4330615245084751E-10</v>
      </c>
      <c r="K195" s="19">
        <f t="shared" si="14"/>
        <v>4.1192835331120506E-5</v>
      </c>
      <c r="L195" s="36">
        <f t="shared" si="15"/>
        <v>6.4181644830216458E-3</v>
      </c>
      <c r="M195" s="64">
        <f t="shared" si="16"/>
        <v>1.7738983306226332E-9</v>
      </c>
      <c r="N195" s="12"/>
      <c r="O195" s="10">
        <f>-L206*$P$1</f>
        <v>-1.5223987860697574E-2</v>
      </c>
      <c r="P195" s="10">
        <f>+L206*$P$1</f>
        <v>1.5223987860697574E-2</v>
      </c>
    </row>
    <row r="196" spans="1:16" x14ac:dyDescent="0.25">
      <c r="A196" s="1">
        <v>45062</v>
      </c>
      <c r="B196" s="2">
        <f t="shared" si="20"/>
        <v>182</v>
      </c>
      <c r="C196" s="3">
        <f>+VLOOKUP(A196,Precios!$B:$H,1+$C$5,0)</f>
        <v>55.15</v>
      </c>
      <c r="D196" s="10">
        <f t="shared" si="17"/>
        <v>-1.0867596449919414E-3</v>
      </c>
      <c r="E196" s="34">
        <f t="shared" si="18"/>
        <v>1.1810465259830106E-6</v>
      </c>
      <c r="F196" s="24">
        <f xml:space="preserve"> $C$7^( B196 - 1 )</f>
        <v>9.2890768799667753E-5</v>
      </c>
      <c r="G196" s="25">
        <f t="shared" si="19"/>
        <v>1.0970831978673864E-10</v>
      </c>
      <c r="K196" s="19">
        <f t="shared" si="14"/>
        <v>4.3298718952443536E-5</v>
      </c>
      <c r="L196" s="36">
        <f t="shared" si="15"/>
        <v>6.5801762098323426E-3</v>
      </c>
      <c r="M196" s="64">
        <f t="shared" si="16"/>
        <v>4.0620829230157005E-10</v>
      </c>
      <c r="N196" s="12"/>
      <c r="O196" s="10">
        <f>-L207*$P$1</f>
        <v>-1.4451723415119567E-2</v>
      </c>
      <c r="P196" s="10">
        <f>+L207*$P$1</f>
        <v>1.4451723415119567E-2</v>
      </c>
    </row>
    <row r="197" spans="1:16" x14ac:dyDescent="0.25">
      <c r="A197" s="1">
        <v>45061</v>
      </c>
      <c r="B197" s="2">
        <f t="shared" si="20"/>
        <v>183</v>
      </c>
      <c r="C197" s="3">
        <f>+VLOOKUP(A197,Precios!$B:$H,1+$C$5,0)</f>
        <v>55.21</v>
      </c>
      <c r="D197" s="10">
        <f t="shared" si="17"/>
        <v>4.9144521295960697E-3</v>
      </c>
      <c r="E197" s="34">
        <f t="shared" si="18"/>
        <v>2.4151839734091344E-5</v>
      </c>
      <c r="F197" s="24">
        <f xml:space="preserve"> $C$7^( B197 - 1 )</f>
        <v>8.8246230359684339E-5</v>
      </c>
      <c r="G197" s="25">
        <f t="shared" si="19"/>
        <v>2.131308812784802E-9</v>
      </c>
      <c r="K197" s="19">
        <f t="shared" si="14"/>
        <v>4.4306449437619966E-5</v>
      </c>
      <c r="L197" s="36">
        <f t="shared" si="15"/>
        <v>6.6563089950527361E-3</v>
      </c>
      <c r="M197" s="64">
        <f t="shared" si="16"/>
        <v>2.1621546012652793E-9</v>
      </c>
      <c r="N197" s="12"/>
      <c r="O197" s="10">
        <f>-L208*$P$1</f>
        <v>-1.4387653916639537E-2</v>
      </c>
      <c r="P197" s="10">
        <f>+L208*$P$1</f>
        <v>1.4387653916639537E-2</v>
      </c>
    </row>
    <row r="198" spans="1:16" x14ac:dyDescent="0.25">
      <c r="A198" s="1">
        <v>45058</v>
      </c>
      <c r="B198" s="2">
        <f t="shared" si="20"/>
        <v>184</v>
      </c>
      <c r="C198" s="3">
        <f>+VLOOKUP(A198,Precios!$B:$H,1+$C$5,0)</f>
        <v>54.94</v>
      </c>
      <c r="D198" s="10">
        <f t="shared" si="17"/>
        <v>-3.639010189229186E-4</v>
      </c>
      <c r="E198" s="34">
        <f t="shared" si="18"/>
        <v>1.3242395157313836E-7</v>
      </c>
      <c r="F198" s="24">
        <f xml:space="preserve"> $C$7^( B198 - 1 )</f>
        <v>8.3833918841700136E-5</v>
      </c>
      <c r="G198" s="25">
        <f t="shared" si="19"/>
        <v>1.1101618808879711E-11</v>
      </c>
      <c r="K198" s="19">
        <f t="shared" si="14"/>
        <v>4.6631398147411905E-5</v>
      </c>
      <c r="L198" s="36">
        <f t="shared" si="15"/>
        <v>6.8287186314426448E-3</v>
      </c>
      <c r="M198" s="64">
        <f t="shared" si="16"/>
        <v>5.4917679415373535E-10</v>
      </c>
      <c r="N198" s="12"/>
      <c r="O198" s="10">
        <f>-L209*$P$1</f>
        <v>-1.4143410357324413E-2</v>
      </c>
      <c r="P198" s="10">
        <f>+L209*$P$1</f>
        <v>1.4143410357324413E-2</v>
      </c>
    </row>
    <row r="199" spans="1:16" x14ac:dyDescent="0.25">
      <c r="A199" s="1">
        <v>45057</v>
      </c>
      <c r="B199" s="2">
        <f t="shared" si="20"/>
        <v>185</v>
      </c>
      <c r="C199" s="3">
        <f>+VLOOKUP(A199,Precios!$B:$H,1+$C$5,0)</f>
        <v>54.96</v>
      </c>
      <c r="D199" s="10">
        <f t="shared" si="17"/>
        <v>-8.3002526163840074E-3</v>
      </c>
      <c r="E199" s="34">
        <f t="shared" si="18"/>
        <v>6.8894193495789563E-5</v>
      </c>
      <c r="F199" s="24">
        <f xml:space="preserve"> $C$7^( B199 - 1 )</f>
        <v>7.9642222899615128E-5</v>
      </c>
      <c r="G199" s="25">
        <f t="shared" si="19"/>
        <v>5.4868867148808874E-9</v>
      </c>
      <c r="K199" s="19">
        <f t="shared" si="14"/>
        <v>4.5459672076444654E-5</v>
      </c>
      <c r="L199" s="36">
        <f t="shared" si="15"/>
        <v>6.7423788143684609E-3</v>
      </c>
      <c r="M199" s="64">
        <f t="shared" si="16"/>
        <v>2.0841518906607573E-9</v>
      </c>
      <c r="N199" s="12"/>
      <c r="O199" s="10">
        <f>-L210*$P$1</f>
        <v>-1.4318506389862994E-2</v>
      </c>
      <c r="P199" s="10">
        <f>+L210*$P$1</f>
        <v>1.4318506389862994E-2</v>
      </c>
    </row>
    <row r="200" spans="1:16" x14ac:dyDescent="0.25">
      <c r="A200" s="1">
        <v>45056</v>
      </c>
      <c r="B200" s="2">
        <f t="shared" si="20"/>
        <v>186</v>
      </c>
      <c r="C200" s="3">
        <f>+VLOOKUP(A200,Precios!$B:$H,1+$C$5,0)</f>
        <v>55.42</v>
      </c>
      <c r="D200" s="10">
        <f t="shared" si="17"/>
        <v>1.4456089627754576E-3</v>
      </c>
      <c r="E200" s="34">
        <f t="shared" si="18"/>
        <v>2.0897852732567341E-6</v>
      </c>
      <c r="F200" s="24">
        <f xml:space="preserve"> $C$7^( B200 - 1 )</f>
        <v>7.5660111754634359E-5</v>
      </c>
      <c r="G200" s="25">
        <f t="shared" si="19"/>
        <v>1.581133873177936E-10</v>
      </c>
      <c r="K200" s="19">
        <f t="shared" si="14"/>
        <v>4.7742297697665067E-5</v>
      </c>
      <c r="L200" s="36">
        <f t="shared" si="15"/>
        <v>6.9095801390290758E-3</v>
      </c>
      <c r="M200" s="64">
        <f t="shared" si="16"/>
        <v>7.0377480596866426E-11</v>
      </c>
      <c r="N200" s="12"/>
      <c r="O200" s="10">
        <f>-L211*$P$1</f>
        <v>-1.4089730209439688E-2</v>
      </c>
      <c r="P200" s="10">
        <f>+L211*$P$1</f>
        <v>1.4089730209439688E-2</v>
      </c>
    </row>
    <row r="201" spans="1:16" x14ac:dyDescent="0.25">
      <c r="A201" s="1">
        <v>45055</v>
      </c>
      <c r="B201" s="2">
        <f t="shared" si="20"/>
        <v>187</v>
      </c>
      <c r="C201" s="3">
        <f>+VLOOKUP(A201,Precios!$B:$H,1+$C$5,0)</f>
        <v>55.34</v>
      </c>
      <c r="D201" s="10">
        <f t="shared" si="17"/>
        <v>7.4640451483707349E-3</v>
      </c>
      <c r="E201" s="34">
        <f t="shared" si="18"/>
        <v>5.5711969976916708E-5</v>
      </c>
      <c r="F201" s="24">
        <f xml:space="preserve"> $C$7^( B201 - 1 )</f>
        <v>7.1877106166902651E-5</v>
      </c>
      <c r="G201" s="25">
        <f t="shared" si="19"/>
        <v>4.0044151807981351E-9</v>
      </c>
      <c r="K201" s="19">
        <f t="shared" si="14"/>
        <v>4.7322841261914987E-5</v>
      </c>
      <c r="L201" s="36">
        <f t="shared" si="15"/>
        <v>6.879159924141536E-3</v>
      </c>
      <c r="M201" s="64">
        <f t="shared" si="16"/>
        <v>1.926305359008429E-9</v>
      </c>
      <c r="N201" s="12"/>
      <c r="O201" s="10">
        <f>-L212*$P$1</f>
        <v>-1.4430921641740153E-2</v>
      </c>
      <c r="P201" s="10">
        <f>+L212*$P$1</f>
        <v>1.4430921641740153E-2</v>
      </c>
    </row>
    <row r="202" spans="1:16" x14ac:dyDescent="0.25">
      <c r="A202" s="1">
        <v>45054</v>
      </c>
      <c r="B202" s="2">
        <f t="shared" si="20"/>
        <v>188</v>
      </c>
      <c r="C202" s="3">
        <f>+VLOOKUP(A202,Precios!$B:$H,1+$C$5,0)</f>
        <v>54.93</v>
      </c>
      <c r="D202" s="10">
        <f t="shared" si="17"/>
        <v>2.3722627737225999E-3</v>
      </c>
      <c r="E202" s="34">
        <f t="shared" si="18"/>
        <v>5.6276306675900428E-6</v>
      </c>
      <c r="F202" s="24">
        <f xml:space="preserve"> $C$7^( B202 - 1 )</f>
        <v>6.8283250858557529E-5</v>
      </c>
      <c r="G202" s="25">
        <f t="shared" si="19"/>
        <v>3.8427291661436246E-10</v>
      </c>
      <c r="K202" s="19">
        <f t="shared" si="14"/>
        <v>4.9517326030037352E-5</v>
      </c>
      <c r="L202" s="36">
        <f t="shared" si="15"/>
        <v>7.0368548393467201E-3</v>
      </c>
      <c r="M202" s="64">
        <f t="shared" si="16"/>
        <v>9.0087699072181003E-10</v>
      </c>
      <c r="N202" s="12"/>
      <c r="O202" s="10">
        <f>-L213*$P$1</f>
        <v>-1.4799766012331206E-2</v>
      </c>
      <c r="P202" s="10">
        <f>+L213*$P$1</f>
        <v>1.4799766012331206E-2</v>
      </c>
    </row>
    <row r="203" spans="1:16" x14ac:dyDescent="0.25">
      <c r="A203" s="1">
        <v>45051</v>
      </c>
      <c r="B203" s="2">
        <f t="shared" si="20"/>
        <v>189</v>
      </c>
      <c r="C203" s="3">
        <f>+VLOOKUP(A203,Precios!$B:$H,1+$C$5,0)</f>
        <v>54.8</v>
      </c>
      <c r="D203" s="10">
        <f t="shared" si="17"/>
        <v>4.5829514207149646E-3</v>
      </c>
      <c r="E203" s="34">
        <f t="shared" si="18"/>
        <v>2.1003443724633312E-5</v>
      </c>
      <c r="F203" s="24">
        <f xml:space="preserve"> $C$7^( B203 - 1 )</f>
        <v>6.4869088315629636E-5</v>
      </c>
      <c r="G203" s="25">
        <f t="shared" si="19"/>
        <v>1.3624742459055954E-9</v>
      </c>
      <c r="K203" s="19">
        <f t="shared" si="14"/>
        <v>5.1018056677690195E-5</v>
      </c>
      <c r="L203" s="36">
        <f t="shared" si="15"/>
        <v>7.1426925369702287E-3</v>
      </c>
      <c r="M203" s="64">
        <f t="shared" si="16"/>
        <v>1.7907483901556929E-9</v>
      </c>
      <c r="N203" s="12"/>
      <c r="O203" s="10">
        <f>-L214*$P$1</f>
        <v>-1.5184003644595731E-2</v>
      </c>
      <c r="P203" s="10">
        <f>+L214*$P$1</f>
        <v>1.5184003644595731E-2</v>
      </c>
    </row>
    <row r="204" spans="1:16" x14ac:dyDescent="0.25">
      <c r="A204" s="1">
        <v>45050</v>
      </c>
      <c r="B204" s="2">
        <f t="shared" si="20"/>
        <v>190</v>
      </c>
      <c r="C204" s="3">
        <f>+VLOOKUP(A204,Precios!$B:$H,1+$C$5,0)</f>
        <v>54.55</v>
      </c>
      <c r="D204" s="10">
        <f t="shared" si="17"/>
        <v>-3.2888726475425178E-3</v>
      </c>
      <c r="E204" s="34">
        <f t="shared" si="18"/>
        <v>1.0816683291753331E-5</v>
      </c>
      <c r="F204" s="24">
        <f xml:space="preserve"> $C$7^( B204 - 1 )</f>
        <v>6.1625633899848161E-5</v>
      </c>
      <c r="G204" s="25">
        <f t="shared" si="19"/>
        <v>6.6658496454819527E-10</v>
      </c>
      <c r="K204" s="19">
        <f t="shared" si="14"/>
        <v>5.3133918434844766E-5</v>
      </c>
      <c r="L204" s="36">
        <f t="shared" si="15"/>
        <v>7.2893016424651251E-3</v>
      </c>
      <c r="M204" s="64">
        <f t="shared" si="16"/>
        <v>1.5255016933972517E-9</v>
      </c>
      <c r="N204" s="12"/>
      <c r="O204" s="10">
        <f>-L215*$P$1</f>
        <v>-1.5192960098928936E-2</v>
      </c>
      <c r="P204" s="10">
        <f>+L215*$P$1</f>
        <v>1.5192960098928936E-2</v>
      </c>
    </row>
    <row r="205" spans="1:16" x14ac:dyDescent="0.25">
      <c r="A205" s="1">
        <v>45049</v>
      </c>
      <c r="B205" s="2">
        <f t="shared" si="20"/>
        <v>191</v>
      </c>
      <c r="C205" s="3">
        <f>+VLOOKUP(A205,Precios!$B:$H,1+$C$5,0)</f>
        <v>54.73</v>
      </c>
      <c r="D205" s="10">
        <f t="shared" si="17"/>
        <v>-4.0036396724295598E-3</v>
      </c>
      <c r="E205" s="34">
        <f t="shared" si="18"/>
        <v>1.6029130626651872E-5</v>
      </c>
      <c r="F205" s="24">
        <f xml:space="preserve"> $C$7^( B205 - 1 )</f>
        <v>5.8544352204855748E-5</v>
      </c>
      <c r="G205" s="25">
        <f t="shared" si="19"/>
        <v>9.3841506894434725E-10</v>
      </c>
      <c r="K205" s="19">
        <f t="shared" si="14"/>
        <v>5.5086802003697022E-5</v>
      </c>
      <c r="L205" s="36">
        <f t="shared" si="15"/>
        <v>7.4220483698031114E-3</v>
      </c>
      <c r="M205" s="64">
        <f t="shared" si="16"/>
        <v>3.2618938368467862E-9</v>
      </c>
      <c r="N205" s="12"/>
      <c r="O205" s="10">
        <f>-L216*$P$1</f>
        <v>-1.5351328017740289E-2</v>
      </c>
      <c r="P205" s="10">
        <f>+L216*$P$1</f>
        <v>1.5351328017740289E-2</v>
      </c>
    </row>
    <row r="206" spans="1:16" x14ac:dyDescent="0.25">
      <c r="A206" s="1">
        <v>45048</v>
      </c>
      <c r="B206" s="2">
        <f t="shared" si="20"/>
        <v>192</v>
      </c>
      <c r="C206" s="3">
        <f>+VLOOKUP(A206,Precios!$B:$H,1+$C$5,0)</f>
        <v>54.95</v>
      </c>
      <c r="D206" s="10">
        <f t="shared" si="17"/>
        <v>9.107468123863427E-4</v>
      </c>
      <c r="E206" s="34">
        <f t="shared" si="18"/>
        <v>8.2945975627188411E-7</v>
      </c>
      <c r="F206" s="24">
        <f xml:space="preserve"> $C$7^( B206 - 1 )</f>
        <v>5.5617134594612968E-5</v>
      </c>
      <c r="G206" s="25">
        <f t="shared" si="19"/>
        <v>4.6132174905388247E-11</v>
      </c>
      <c r="K206" s="19">
        <f t="shared" si="14"/>
        <v>5.7942451595666768E-5</v>
      </c>
      <c r="L206" s="36">
        <f t="shared" si="15"/>
        <v>7.6119939303487868E-3</v>
      </c>
      <c r="M206" s="64">
        <f t="shared" si="16"/>
        <v>1.3130291392683279E-8</v>
      </c>
      <c r="N206" s="12"/>
      <c r="O206" s="10">
        <f>-L217*$P$1</f>
        <v>-1.5650623471606326E-2</v>
      </c>
      <c r="P206" s="10">
        <f>+L217*$P$1</f>
        <v>1.5650623471606326E-2</v>
      </c>
    </row>
    <row r="207" spans="1:16" x14ac:dyDescent="0.25">
      <c r="A207" s="1">
        <v>45044</v>
      </c>
      <c r="B207" s="2">
        <f t="shared" si="20"/>
        <v>193</v>
      </c>
      <c r="C207" s="3">
        <f>+VLOOKUP(A207,Precios!$B:$H,1+$C$5,0)</f>
        <v>54.9</v>
      </c>
      <c r="D207" s="10">
        <f t="shared" si="17"/>
        <v>1.2915129151291449E-2</v>
      </c>
      <c r="E207" s="34">
        <f t="shared" si="18"/>
        <v>1.6680056099453819E-4</v>
      </c>
      <c r="F207" s="24">
        <f xml:space="preserve"> $C$7^( B207 - 1 )</f>
        <v>5.2836277864882315E-5</v>
      </c>
      <c r="G207" s="25">
        <f t="shared" si="19"/>
        <v>8.8131207887256702E-9</v>
      </c>
      <c r="K207" s="19">
        <f t="shared" ref="K207:K265" si="21" xml:space="preserve"> ( 1 - $C$7 )*E208  + $C$7*K208</f>
        <v>5.2213077416778794E-5</v>
      </c>
      <c r="L207" s="36">
        <f t="shared" ref="L207:L265" si="22" xml:space="preserve"> SQRT( K207 )</f>
        <v>7.2258617075597834E-3</v>
      </c>
      <c r="M207" s="64">
        <f t="shared" ref="M207:M265" si="23" xml:space="preserve"> (E208 - K208) ^2</f>
        <v>8.5352140350392353E-11</v>
      </c>
      <c r="N207" s="12"/>
      <c r="O207" s="10">
        <f>-L218*$P$1</f>
        <v>-1.5694875145538304E-2</v>
      </c>
      <c r="P207" s="10">
        <f>+L218*$P$1</f>
        <v>1.5694875145538304E-2</v>
      </c>
    </row>
    <row r="208" spans="1:16" x14ac:dyDescent="0.25">
      <c r="A208" s="1">
        <v>45043</v>
      </c>
      <c r="B208" s="2">
        <f t="shared" si="20"/>
        <v>194</v>
      </c>
      <c r="C208" s="3">
        <f>+VLOOKUP(A208,Precios!$B:$H,1+$C$5,0)</f>
        <v>54.2</v>
      </c>
      <c r="D208" s="10">
        <f xml:space="preserve"> ( C208/C209 ) - 1</f>
        <v>7.8095946448493159E-3</v>
      </c>
      <c r="E208" s="34">
        <f t="shared" ref="E208:E267" si="24" xml:space="preserve"> D208*D208</f>
        <v>6.0989768516859114E-5</v>
      </c>
      <c r="F208" s="24">
        <f xml:space="preserve"> $C$7^( B208 - 1 )</f>
        <v>5.0194463971638196E-5</v>
      </c>
      <c r="G208" s="25">
        <f t="shared" ref="G208:G267" si="25" xml:space="preserve"> E208 * F208</f>
        <v>3.0613487384580383E-9</v>
      </c>
      <c r="K208" s="19">
        <f t="shared" si="21"/>
        <v>5.1751146306248251E-5</v>
      </c>
      <c r="L208" s="36">
        <f t="shared" si="22"/>
        <v>7.1938269583197685E-3</v>
      </c>
      <c r="M208" s="64">
        <f t="shared" si="23"/>
        <v>1.214009802347431E-9</v>
      </c>
      <c r="N208" s="12"/>
      <c r="O208" s="10">
        <f>-L219*$P$1</f>
        <v>-1.591574673750748E-2</v>
      </c>
      <c r="P208" s="10">
        <f>+L219*$P$1</f>
        <v>1.591574673750748E-2</v>
      </c>
    </row>
    <row r="209" spans="1:16" x14ac:dyDescent="0.25">
      <c r="A209" s="1">
        <v>45042</v>
      </c>
      <c r="B209" s="2">
        <f t="shared" ref="B209:B267" si="26">+B208+1</f>
        <v>195</v>
      </c>
      <c r="C209" s="3">
        <f>+VLOOKUP(A209,Precios!$B:$H,1+$C$5,0)</f>
        <v>53.78</v>
      </c>
      <c r="D209" s="10">
        <f xml:space="preserve"> ( C209/C210 ) - 1</f>
        <v>-9.2114959469418167E-3</v>
      </c>
      <c r="E209" s="34">
        <f t="shared" si="24"/>
        <v>8.4851657580525518E-5</v>
      </c>
      <c r="F209" s="24">
        <f xml:space="preserve"> $C$7^( B209 - 1 )</f>
        <v>4.7684740773056285E-5</v>
      </c>
      <c r="G209" s="25">
        <f t="shared" si="25"/>
        <v>4.0461292958914958E-9</v>
      </c>
      <c r="K209" s="19">
        <f t="shared" si="21"/>
        <v>5.0009014133917867E-5</v>
      </c>
      <c r="L209" s="36">
        <f t="shared" si="22"/>
        <v>7.0717051786622067E-3</v>
      </c>
      <c r="M209" s="64">
        <f t="shared" si="23"/>
        <v>6.2089892490874509E-10</v>
      </c>
      <c r="N209" s="12"/>
      <c r="O209" s="10">
        <f>-L220*$P$1</f>
        <v>-1.5894813350884617E-2</v>
      </c>
      <c r="P209" s="10">
        <f>+L220*$P$1</f>
        <v>1.5894813350884617E-2</v>
      </c>
    </row>
    <row r="210" spans="1:16" x14ac:dyDescent="0.25">
      <c r="A210" s="1">
        <v>45041</v>
      </c>
      <c r="B210" s="2">
        <f t="shared" si="26"/>
        <v>196</v>
      </c>
      <c r="C210" s="3">
        <f>+VLOOKUP(A210,Precios!$B:$H,1+$C$5,0)</f>
        <v>54.28</v>
      </c>
      <c r="D210" s="10">
        <f xml:space="preserve"> ( C210/C211 ) - 1</f>
        <v>-5.1319648093841597E-3</v>
      </c>
      <c r="E210" s="34">
        <f t="shared" si="24"/>
        <v>2.6337062804757396E-5</v>
      </c>
      <c r="F210" s="24">
        <f xml:space="preserve"> $C$7^( B210 - 1 )</f>
        <v>4.5300503734403463E-5</v>
      </c>
      <c r="G210" s="25">
        <f t="shared" si="25"/>
        <v>1.1930822119401309E-9</v>
      </c>
      <c r="K210" s="19">
        <f t="shared" si="21"/>
        <v>5.1254906309136843E-5</v>
      </c>
      <c r="L210" s="36">
        <f t="shared" si="22"/>
        <v>7.1592531949314971E-3</v>
      </c>
      <c r="M210" s="64">
        <f t="shared" si="23"/>
        <v>1.0559665740843875E-9</v>
      </c>
      <c r="N210" s="12"/>
      <c r="O210" s="10">
        <f>-L221*$P$1</f>
        <v>-1.5470103085007928E-2</v>
      </c>
      <c r="P210" s="10">
        <f>+L221*$P$1</f>
        <v>1.5470103085007928E-2</v>
      </c>
    </row>
    <row r="211" spans="1:16" x14ac:dyDescent="0.25">
      <c r="A211" s="1">
        <v>45040</v>
      </c>
      <c r="B211" s="2">
        <f t="shared" si="26"/>
        <v>197</v>
      </c>
      <c r="C211" s="3">
        <f>+VLOOKUP(A211,Precios!$B:$H,1+$C$5,0)</f>
        <v>54.56</v>
      </c>
      <c r="D211" s="10">
        <f xml:space="preserve"> ( C211/C212 ) - 1</f>
        <v>9.0623266136489189E-3</v>
      </c>
      <c r="E211" s="34">
        <f t="shared" si="24"/>
        <v>8.212576365244948E-5</v>
      </c>
      <c r="F211" s="24">
        <f xml:space="preserve"> $C$7^( B211 - 1 )</f>
        <v>4.3035478547683296E-5</v>
      </c>
      <c r="G211" s="25">
        <f t="shared" si="25"/>
        <v>3.534321539877098E-9</v>
      </c>
      <c r="K211" s="19">
        <f t="shared" si="21"/>
        <v>4.9630124343699336E-5</v>
      </c>
      <c r="L211" s="36">
        <f t="shared" si="22"/>
        <v>7.0448651047198439E-3</v>
      </c>
      <c r="M211" s="64">
        <f t="shared" si="23"/>
        <v>2.3673100249805296E-9</v>
      </c>
      <c r="N211" s="12"/>
      <c r="O211" s="10">
        <f>-L222*$P$1</f>
        <v>-1.5139745569434057E-2</v>
      </c>
      <c r="P211" s="10">
        <f>+L222*$P$1</f>
        <v>1.5139745569434057E-2</v>
      </c>
    </row>
    <row r="212" spans="1:16" x14ac:dyDescent="0.25">
      <c r="A212" s="1">
        <v>45037</v>
      </c>
      <c r="B212" s="2">
        <f t="shared" si="26"/>
        <v>198</v>
      </c>
      <c r="C212" s="3">
        <f>+VLOOKUP(A212,Precios!$B:$H,1+$C$5,0)</f>
        <v>54.07</v>
      </c>
      <c r="D212" s="10">
        <f xml:space="preserve"> ( C212/C213 ) - 1</f>
        <v>-1.8460402436772938E-3</v>
      </c>
      <c r="E212" s="34">
        <f t="shared" si="24"/>
        <v>3.4078645812761223E-6</v>
      </c>
      <c r="F212" s="24">
        <f xml:space="preserve"> $C$7^( B212 - 1 )</f>
        <v>4.0883704620299135E-5</v>
      </c>
      <c r="G212" s="25">
        <f t="shared" si="25"/>
        <v>1.3932612892687238E-10</v>
      </c>
      <c r="K212" s="19">
        <f t="shared" si="21"/>
        <v>5.2062874857511085E-5</v>
      </c>
      <c r="L212" s="36">
        <f t="shared" si="22"/>
        <v>7.2154608208700767E-3</v>
      </c>
      <c r="M212" s="64">
        <f t="shared" si="23"/>
        <v>2.9060587658367829E-9</v>
      </c>
      <c r="N212" s="12"/>
      <c r="O212" s="10">
        <f>-L223*$P$1</f>
        <v>-1.5304778308091344E-2</v>
      </c>
      <c r="P212" s="10">
        <f>+L223*$P$1</f>
        <v>1.5304778308091344E-2</v>
      </c>
    </row>
    <row r="213" spans="1:16" x14ac:dyDescent="0.25">
      <c r="A213" s="1">
        <v>45036</v>
      </c>
      <c r="B213" s="2">
        <f t="shared" si="26"/>
        <v>199</v>
      </c>
      <c r="C213" s="3">
        <f>+VLOOKUP(A213,Precios!$B:$H,1+$C$5,0)</f>
        <v>54.17</v>
      </c>
      <c r="D213" s="10">
        <f xml:space="preserve"> ( C213/C214 ) - 1</f>
        <v>-9.2216894134999894E-4</v>
      </c>
      <c r="E213" s="34">
        <f t="shared" si="24"/>
        <v>8.5039555639057782E-7</v>
      </c>
      <c r="F213" s="24">
        <f xml:space="preserve"> $C$7^( B213 - 1 )</f>
        <v>3.8839519389284171E-5</v>
      </c>
      <c r="G213" s="25">
        <f t="shared" si="25"/>
        <v>3.3028954700992948E-11</v>
      </c>
      <c r="K213" s="19">
        <f t="shared" si="21"/>
        <v>5.4758268504938484E-5</v>
      </c>
      <c r="L213" s="36">
        <f t="shared" si="22"/>
        <v>7.3998830061656031E-3</v>
      </c>
      <c r="M213" s="64">
        <f t="shared" si="23"/>
        <v>3.3182741917022966E-9</v>
      </c>
      <c r="N213" s="12"/>
      <c r="O213" s="10">
        <f>-L224*$P$1</f>
        <v>-1.5700274195234443E-2</v>
      </c>
      <c r="P213" s="10">
        <f>+L224*$P$1</f>
        <v>1.5700274195234443E-2</v>
      </c>
    </row>
    <row r="214" spans="1:16" x14ac:dyDescent="0.25">
      <c r="A214" s="1">
        <v>45035</v>
      </c>
      <c r="B214" s="2">
        <f t="shared" si="26"/>
        <v>200</v>
      </c>
      <c r="C214" s="3">
        <f>+VLOOKUP(A214,Precios!$B:$H,1+$C$5,0)</f>
        <v>54.22</v>
      </c>
      <c r="D214" s="10">
        <f xml:space="preserve"> ( C214/C215 ) - 1</f>
        <v>1.8446781036707272E-4</v>
      </c>
      <c r="E214" s="34">
        <f t="shared" si="24"/>
        <v>3.4028373061622297E-8</v>
      </c>
      <c r="F214" s="24">
        <f xml:space="preserve"> $C$7^( B214 - 1 )</f>
        <v>3.6897543419819962E-5</v>
      </c>
      <c r="G214" s="25">
        <f t="shared" si="25"/>
        <v>1.2555633725470406E-12</v>
      </c>
      <c r="K214" s="19">
        <f t="shared" si="21"/>
        <v>5.7638491669774114E-5</v>
      </c>
      <c r="L214" s="36">
        <f t="shared" si="22"/>
        <v>7.5920018222978653E-3</v>
      </c>
      <c r="M214" s="64">
        <f t="shared" si="23"/>
        <v>1.8505506063945823E-12</v>
      </c>
      <c r="N214" s="12"/>
      <c r="O214" s="10">
        <f>-L225*$P$1</f>
        <v>-1.5890916505543404E-2</v>
      </c>
      <c r="P214" s="10">
        <f>+L225*$P$1</f>
        <v>1.5890916505543404E-2</v>
      </c>
    </row>
    <row r="215" spans="1:16" x14ac:dyDescent="0.25">
      <c r="A215" s="1">
        <v>45034</v>
      </c>
      <c r="B215" s="2">
        <f t="shared" si="26"/>
        <v>201</v>
      </c>
      <c r="C215" s="3">
        <f>+VLOOKUP(A215,Precios!$B:$H,1+$C$5,0)</f>
        <v>54.21</v>
      </c>
      <c r="D215" s="10">
        <f xml:space="preserve"> ( C215/C216 ) - 1</f>
        <v>-7.5064079091906599E-3</v>
      </c>
      <c r="E215" s="34">
        <f t="shared" si="24"/>
        <v>5.6346159699160097E-5</v>
      </c>
      <c r="F215" s="24">
        <f xml:space="preserve"> $C$7^( B215 - 1 )</f>
        <v>3.505266624882897E-5</v>
      </c>
      <c r="G215" s="25">
        <f t="shared" si="25"/>
        <v>1.9750831303378762E-9</v>
      </c>
      <c r="K215" s="19">
        <f t="shared" si="21"/>
        <v>5.7706509141911695E-5</v>
      </c>
      <c r="L215" s="36">
        <f t="shared" si="22"/>
        <v>7.5964800494644682E-3</v>
      </c>
      <c r="M215" s="64">
        <f t="shared" si="23"/>
        <v>5.8497114351145398E-10</v>
      </c>
      <c r="N215" s="12"/>
      <c r="O215" s="10">
        <f>-L226*$P$1</f>
        <v>-1.5992888903166021E-2</v>
      </c>
      <c r="P215" s="10">
        <f>+L226*$P$1</f>
        <v>1.5992888903166021E-2</v>
      </c>
    </row>
    <row r="216" spans="1:16" x14ac:dyDescent="0.25">
      <c r="A216" s="1">
        <v>45033</v>
      </c>
      <c r="B216" s="2">
        <f t="shared" si="26"/>
        <v>202</v>
      </c>
      <c r="C216" s="3">
        <f>+VLOOKUP(A216,Precios!$B:$H,1+$C$5,0)</f>
        <v>54.62</v>
      </c>
      <c r="D216" s="10">
        <f xml:space="preserve"> ( C216/C217 ) - 1</f>
        <v>5.8931860036832706E-3</v>
      </c>
      <c r="E216" s="34">
        <f t="shared" si="24"/>
        <v>3.4729641274008395E-5</v>
      </c>
      <c r="F216" s="24">
        <f xml:space="preserve"> $C$7^( B216 - 1 )</f>
        <v>3.3300032936387521E-5</v>
      </c>
      <c r="G216" s="25">
        <f t="shared" si="25"/>
        <v>1.1564981982934031E-9</v>
      </c>
      <c r="K216" s="19">
        <f t="shared" si="21"/>
        <v>5.8915817977064501E-5</v>
      </c>
      <c r="L216" s="36">
        <f t="shared" si="22"/>
        <v>7.6756640088701446E-3</v>
      </c>
      <c r="M216" s="64">
        <f t="shared" si="23"/>
        <v>2.1523768572581999E-9</v>
      </c>
      <c r="N216" s="12"/>
      <c r="O216" s="10">
        <f>-L227*$P$1</f>
        <v>-1.5852456391558165E-2</v>
      </c>
      <c r="P216" s="10">
        <f>+L227*$P$1</f>
        <v>1.5852456391558165E-2</v>
      </c>
    </row>
    <row r="217" spans="1:16" x14ac:dyDescent="0.25">
      <c r="A217" s="1">
        <v>45030</v>
      </c>
      <c r="B217" s="2">
        <f t="shared" si="26"/>
        <v>203</v>
      </c>
      <c r="C217" s="3">
        <f>+VLOOKUP(A217,Precios!$B:$H,1+$C$5,0)</f>
        <v>54.3</v>
      </c>
      <c r="D217" s="10">
        <f xml:space="preserve"> ( C217/C218 ) - 1</f>
        <v>-3.8525041276830096E-3</v>
      </c>
      <c r="E217" s="34">
        <f t="shared" si="24"/>
        <v>1.4841788053814627E-5</v>
      </c>
      <c r="F217" s="24">
        <f xml:space="preserve"> $C$7^( B217 - 1 )</f>
        <v>3.1635031289568143E-5</v>
      </c>
      <c r="G217" s="25">
        <f t="shared" si="25"/>
        <v>4.6952042947556439E-10</v>
      </c>
      <c r="K217" s="19">
        <f t="shared" si="21"/>
        <v>6.1235503762498708E-5</v>
      </c>
      <c r="L217" s="36">
        <f t="shared" si="22"/>
        <v>7.8253117358031629E-3</v>
      </c>
      <c r="M217" s="64">
        <f t="shared" si="23"/>
        <v>4.8100521079296672E-11</v>
      </c>
      <c r="N217" s="12"/>
      <c r="O217" s="10">
        <f>-L228*$P$1</f>
        <v>-1.5959757001068452E-2</v>
      </c>
      <c r="P217" s="10">
        <f>+L228*$P$1</f>
        <v>1.5959757001068452E-2</v>
      </c>
    </row>
    <row r="218" spans="1:16" x14ac:dyDescent="0.25">
      <c r="A218" s="1">
        <v>45029</v>
      </c>
      <c r="B218" s="2">
        <f t="shared" si="26"/>
        <v>204</v>
      </c>
      <c r="C218" s="3">
        <f>+VLOOKUP(A218,Precios!$B:$H,1+$C$5,0)</f>
        <v>54.51</v>
      </c>
      <c r="D218" s="10">
        <f xml:space="preserve"> ( C218/C219 ) - 1</f>
        <v>7.3923489188689739E-3</v>
      </c>
      <c r="E218" s="34">
        <f t="shared" si="24"/>
        <v>5.4646822538303289E-5</v>
      </c>
      <c r="F218" s="24">
        <f xml:space="preserve"> $C$7^( B218 - 1 )</f>
        <v>3.0053279725089732E-5</v>
      </c>
      <c r="G218" s="25">
        <f t="shared" si="25"/>
        <v>1.6423162438309668E-9</v>
      </c>
      <c r="K218" s="19">
        <f t="shared" si="21"/>
        <v>6.1582276458508993E-5</v>
      </c>
      <c r="L218" s="36">
        <f t="shared" si="22"/>
        <v>7.8474375727691521E-3</v>
      </c>
      <c r="M218" s="64">
        <f t="shared" si="23"/>
        <v>1.218669133226281E-9</v>
      </c>
      <c r="N218" s="12"/>
      <c r="O218" s="10">
        <f>-L229*$P$1</f>
        <v>-1.6355562730850579E-2</v>
      </c>
      <c r="P218" s="10">
        <f>+L229*$P$1</f>
        <v>1.6355562730850579E-2</v>
      </c>
    </row>
    <row r="219" spans="1:16" x14ac:dyDescent="0.25">
      <c r="A219" s="1">
        <v>45028</v>
      </c>
      <c r="B219" s="2">
        <f t="shared" si="26"/>
        <v>205</v>
      </c>
      <c r="C219" s="3">
        <f>+VLOOKUP(A219,Precios!$B:$H,1+$C$5,0)</f>
        <v>54.11</v>
      </c>
      <c r="D219" s="10">
        <f xml:space="preserve"> ( C219/C220 ) - 1</f>
        <v>-5.330882352941213E-3</v>
      </c>
      <c r="E219" s="34">
        <f t="shared" si="24"/>
        <v>2.8418306660900044E-5</v>
      </c>
      <c r="F219" s="24">
        <f xml:space="preserve"> $C$7^( B219 - 1 )</f>
        <v>2.8550615738835244E-5</v>
      </c>
      <c r="G219" s="25">
        <f t="shared" si="25"/>
        <v>8.1136015342373925E-10</v>
      </c>
      <c r="K219" s="19">
        <f t="shared" si="21"/>
        <v>6.3327748553119987E-5</v>
      </c>
      <c r="L219" s="36">
        <f t="shared" si="22"/>
        <v>7.9578733687537401E-3</v>
      </c>
      <c r="M219" s="64">
        <f t="shared" si="23"/>
        <v>1.1085661911992977E-11</v>
      </c>
      <c r="N219" s="12"/>
      <c r="O219" s="10">
        <f>-L230*$P$1</f>
        <v>-1.6762168976273192E-2</v>
      </c>
      <c r="P219" s="10">
        <f>+L230*$P$1</f>
        <v>1.6762168976273192E-2</v>
      </c>
    </row>
    <row r="220" spans="1:16" x14ac:dyDescent="0.25">
      <c r="A220" s="1">
        <v>45027</v>
      </c>
      <c r="B220" s="2">
        <f t="shared" si="26"/>
        <v>206</v>
      </c>
      <c r="C220" s="3">
        <f>+VLOOKUP(A220,Precios!$B:$H,1+$C$5,0)</f>
        <v>54.4</v>
      </c>
      <c r="D220" s="10">
        <f xml:space="preserve"> ( C220/C221 ) - 1</f>
        <v>8.1541882876203786E-3</v>
      </c>
      <c r="E220" s="34">
        <f t="shared" si="24"/>
        <v>6.6490786629965358E-5</v>
      </c>
      <c r="F220" s="24">
        <f xml:space="preserve"> $C$7^( B220 - 1 )</f>
        <v>2.7123084951893486E-5</v>
      </c>
      <c r="G220" s="25">
        <f t="shared" si="25"/>
        <v>1.803435254282774E-9</v>
      </c>
      <c r="K220" s="19">
        <f t="shared" si="21"/>
        <v>6.3161272864864967E-5</v>
      </c>
      <c r="L220" s="36">
        <f t="shared" si="22"/>
        <v>7.9474066754423086E-3</v>
      </c>
      <c r="M220" s="64">
        <f t="shared" si="23"/>
        <v>4.436227356226251E-9</v>
      </c>
      <c r="N220" s="12"/>
      <c r="O220" s="10">
        <f>-L231*$P$1</f>
        <v>-1.6937869088653759E-2</v>
      </c>
      <c r="P220" s="10">
        <f>+L231*$P$1</f>
        <v>1.6937869088653759E-2</v>
      </c>
    </row>
    <row r="221" spans="1:16" x14ac:dyDescent="0.25">
      <c r="A221" s="1">
        <v>45026</v>
      </c>
      <c r="B221" s="2">
        <f t="shared" si="26"/>
        <v>207</v>
      </c>
      <c r="C221" s="3">
        <f>+VLOOKUP(A221,Precios!$B:$H,1+$C$5,0)</f>
        <v>53.96</v>
      </c>
      <c r="D221" s="10">
        <f xml:space="preserve"> ( C221/C222 ) - 1</f>
        <v>1.1244377811094441E-2</v>
      </c>
      <c r="E221" s="34">
        <f t="shared" si="24"/>
        <v>1.2643603235863303E-4</v>
      </c>
      <c r="F221" s="24">
        <f xml:space="preserve"> $C$7^( B221 - 1 )</f>
        <v>2.576693070429881E-5</v>
      </c>
      <c r="G221" s="25">
        <f t="shared" si="25"/>
        <v>3.2578684843113794E-9</v>
      </c>
      <c r="K221" s="19">
        <f t="shared" si="21"/>
        <v>5.983102236519296E-5</v>
      </c>
      <c r="L221" s="36">
        <f t="shared" si="22"/>
        <v>7.7350515425039642E-3</v>
      </c>
      <c r="M221" s="64">
        <f t="shared" si="23"/>
        <v>2.5564114616234257E-9</v>
      </c>
      <c r="N221" s="12"/>
      <c r="O221" s="10">
        <f>-L232*$P$1</f>
        <v>-1.736006324548561E-2</v>
      </c>
      <c r="P221" s="10">
        <f>+L232*$P$1</f>
        <v>1.736006324548561E-2</v>
      </c>
    </row>
    <row r="222" spans="1:16" x14ac:dyDescent="0.25">
      <c r="A222" s="1">
        <v>45021</v>
      </c>
      <c r="B222" s="2">
        <f t="shared" si="26"/>
        <v>208</v>
      </c>
      <c r="C222" s="3">
        <f>+VLOOKUP(A222,Precios!$B:$H,1+$C$5,0)</f>
        <v>53.36</v>
      </c>
      <c r="D222" s="10">
        <f xml:space="preserve"> ( C222/C223 ) - 1</f>
        <v>-1.0385756676557945E-2</v>
      </c>
      <c r="E222" s="34">
        <f t="shared" si="24"/>
        <v>1.0786394174466792E-4</v>
      </c>
      <c r="F222" s="24">
        <f xml:space="preserve"> $C$7^( B222 - 1 )</f>
        <v>2.4478584169083869E-5</v>
      </c>
      <c r="G222" s="25">
        <f t="shared" si="25"/>
        <v>2.6403565768060127E-9</v>
      </c>
      <c r="K222" s="19">
        <f t="shared" si="21"/>
        <v>5.7302973976799536E-5</v>
      </c>
      <c r="L222" s="36">
        <f t="shared" si="22"/>
        <v>7.5698727847170284E-3</v>
      </c>
      <c r="M222" s="64">
        <f t="shared" si="23"/>
        <v>6.3110060288329613E-10</v>
      </c>
      <c r="N222" s="12"/>
      <c r="O222" s="10">
        <f>-L233*$P$1</f>
        <v>-1.6662414633224834E-2</v>
      </c>
      <c r="P222" s="10">
        <f>+L233*$P$1</f>
        <v>1.6662414633224834E-2</v>
      </c>
    </row>
    <row r="223" spans="1:16" x14ac:dyDescent="0.25">
      <c r="A223" s="1">
        <v>45020</v>
      </c>
      <c r="B223" s="2">
        <f t="shared" si="26"/>
        <v>209</v>
      </c>
      <c r="C223" s="3">
        <f>+VLOOKUP(A223,Precios!$B:$H,1+$C$5,0)</f>
        <v>53.92</v>
      </c>
      <c r="D223" s="10">
        <f xml:space="preserve"> ( C223/C224 ) - 1</f>
        <v>5.7825032643163965E-3</v>
      </c>
      <c r="E223" s="34">
        <f t="shared" si="24"/>
        <v>3.343734400182978E-5</v>
      </c>
      <c r="F223" s="24">
        <f xml:space="preserve"> $C$7^( B223 - 1 )</f>
        <v>2.3254654960629675E-5</v>
      </c>
      <c r="G223" s="25">
        <f t="shared" si="25"/>
        <v>7.7757389756243185E-10</v>
      </c>
      <c r="K223" s="19">
        <f t="shared" si="21"/>
        <v>5.8559059764955835E-5</v>
      </c>
      <c r="L223" s="36">
        <f t="shared" si="22"/>
        <v>7.6523891540456719E-3</v>
      </c>
      <c r="M223" s="64">
        <f t="shared" si="23"/>
        <v>3.7591434076379618E-9</v>
      </c>
      <c r="N223" s="12"/>
      <c r="O223" s="10">
        <f>-L234*$P$1</f>
        <v>-1.6180756369556334E-2</v>
      </c>
      <c r="P223" s="10">
        <f>+L234*$P$1</f>
        <v>1.6180756369556334E-2</v>
      </c>
    </row>
    <row r="224" spans="1:16" x14ac:dyDescent="0.25">
      <c r="A224" s="1">
        <v>45019</v>
      </c>
      <c r="B224" s="2">
        <f t="shared" si="26"/>
        <v>210</v>
      </c>
      <c r="C224" s="3">
        <f>+VLOOKUP(A224,Precios!$B:$H,1+$C$5,0)</f>
        <v>53.61</v>
      </c>
      <c r="D224" s="10">
        <f xml:space="preserve"> ( C224/C225 ) - 1</f>
        <v>-5.5928411633110464E-4</v>
      </c>
      <c r="E224" s="34">
        <f t="shared" si="24"/>
        <v>3.1279872278026459E-7</v>
      </c>
      <c r="F224" s="24">
        <f xml:space="preserve"> $C$7^( B224 - 1 )</f>
        <v>2.2091922212598193E-5</v>
      </c>
      <c r="G224" s="25">
        <f t="shared" si="25"/>
        <v>6.9103250518616714E-12</v>
      </c>
      <c r="K224" s="19">
        <f t="shared" si="21"/>
        <v>6.1624652451386136E-5</v>
      </c>
      <c r="L224" s="36">
        <f t="shared" si="22"/>
        <v>7.8501370976172217E-3</v>
      </c>
      <c r="M224" s="64">
        <f t="shared" si="23"/>
        <v>9.0679806305599515E-10</v>
      </c>
      <c r="N224" s="12"/>
      <c r="O224" s="10">
        <f>-L235*$P$1</f>
        <v>-1.6181844836805643E-2</v>
      </c>
      <c r="P224" s="10">
        <f>+L235*$P$1</f>
        <v>1.6181844836805643E-2</v>
      </c>
    </row>
    <row r="225" spans="1:16" x14ac:dyDescent="0.25">
      <c r="A225" s="1">
        <v>45016</v>
      </c>
      <c r="B225" s="2">
        <f t="shared" si="26"/>
        <v>211</v>
      </c>
      <c r="C225" s="3">
        <f>+VLOOKUP(A225,Precios!$B:$H,1+$C$5,0)</f>
        <v>53.64</v>
      </c>
      <c r="D225" s="10">
        <f xml:space="preserve"> ( C225/C226 ) - 1</f>
        <v>-5.7460611677480067E-3</v>
      </c>
      <c r="E225" s="34">
        <f t="shared" si="24"/>
        <v>3.3017218943501586E-5</v>
      </c>
      <c r="F225" s="24">
        <f xml:space="preserve"> $C$7^( B225 - 1 )</f>
        <v>2.0987326101968282E-5</v>
      </c>
      <c r="G225" s="25">
        <f t="shared" si="25"/>
        <v>6.929431409473525E-10</v>
      </c>
      <c r="K225" s="19">
        <f t="shared" si="21"/>
        <v>6.3130306846537952E-5</v>
      </c>
      <c r="L225" s="36">
        <f t="shared" si="22"/>
        <v>7.9454582527717019E-3</v>
      </c>
      <c r="M225" s="64">
        <f t="shared" si="23"/>
        <v>2.6426860366544401E-10</v>
      </c>
      <c r="N225" s="12"/>
      <c r="O225" s="10">
        <f>-L236*$P$1</f>
        <v>-1.5726075707138423E-2</v>
      </c>
      <c r="P225" s="10">
        <f>+L236*$P$1</f>
        <v>1.5726075707138423E-2</v>
      </c>
    </row>
    <row r="226" spans="1:16" x14ac:dyDescent="0.25">
      <c r="A226" s="1">
        <v>45015</v>
      </c>
      <c r="B226" s="2">
        <f t="shared" si="26"/>
        <v>212</v>
      </c>
      <c r="C226" s="3">
        <f>+VLOOKUP(A226,Precios!$B:$H,1+$C$5,0)</f>
        <v>53.95</v>
      </c>
      <c r="D226" s="10">
        <f xml:space="preserve"> ( C226/C227 ) - 1</f>
        <v>6.9055617767823652E-3</v>
      </c>
      <c r="E226" s="34">
        <f t="shared" si="24"/>
        <v>4.7686783452957617E-5</v>
      </c>
      <c r="F226" s="24">
        <f xml:space="preserve"> $C$7^( B226 - 1 )</f>
        <v>1.993795979686987E-5</v>
      </c>
      <c r="G226" s="25">
        <f t="shared" si="25"/>
        <v>9.5077717132710821E-10</v>
      </c>
      <c r="K226" s="19">
        <f t="shared" si="21"/>
        <v>6.3943123867252712E-5</v>
      </c>
      <c r="L226" s="36">
        <f t="shared" si="22"/>
        <v>7.9964444515830107E-3</v>
      </c>
      <c r="M226" s="64">
        <f t="shared" si="23"/>
        <v>4.9999683993960239E-10</v>
      </c>
      <c r="N226" s="12"/>
      <c r="O226" s="10">
        <f>-L237*$P$1</f>
        <v>-1.5894182375464701E-2</v>
      </c>
      <c r="P226" s="10">
        <f>+L237*$P$1</f>
        <v>1.5894182375464701E-2</v>
      </c>
    </row>
    <row r="227" spans="1:16" x14ac:dyDescent="0.25">
      <c r="A227" s="1">
        <v>45014</v>
      </c>
      <c r="B227" s="2">
        <f t="shared" si="26"/>
        <v>213</v>
      </c>
      <c r="C227" s="3">
        <f>+VLOOKUP(A227,Precios!$B:$H,1+$C$5,0)</f>
        <v>53.58</v>
      </c>
      <c r="D227" s="10">
        <f xml:space="preserve"> ( C227/C228 ) - 1</f>
        <v>9.2296100960631566E-3</v>
      </c>
      <c r="E227" s="34">
        <f t="shared" si="24"/>
        <v>8.5185702525350954E-5</v>
      </c>
      <c r="F227" s="24">
        <f xml:space="preserve"> $C$7^( B227 - 1 )</f>
        <v>1.8941061807026376E-5</v>
      </c>
      <c r="G227" s="25">
        <f t="shared" si="25"/>
        <v>1.6135076566076352E-9</v>
      </c>
      <c r="K227" s="19">
        <f t="shared" si="21"/>
        <v>6.2825093411563324E-5</v>
      </c>
      <c r="L227" s="36">
        <f t="shared" si="22"/>
        <v>7.9262281957790826E-3</v>
      </c>
      <c r="M227" s="64">
        <f t="shared" si="23"/>
        <v>2.9129441671935808E-10</v>
      </c>
      <c r="N227" s="12"/>
      <c r="O227" s="10">
        <f>-L238*$P$1</f>
        <v>-1.6160947175858288E-2</v>
      </c>
      <c r="P227" s="10">
        <f>+L238*$P$1</f>
        <v>1.6160947175858288E-2</v>
      </c>
    </row>
    <row r="228" spans="1:16" x14ac:dyDescent="0.25">
      <c r="A228" s="1">
        <v>45013</v>
      </c>
      <c r="B228" s="2">
        <f t="shared" si="26"/>
        <v>214</v>
      </c>
      <c r="C228" s="3">
        <f>+VLOOKUP(A228,Precios!$B:$H,1+$C$5,0)</f>
        <v>53.09</v>
      </c>
      <c r="D228" s="10">
        <f xml:space="preserve"> ( C228/C229 ) - 1</f>
        <v>6.8272330741514509E-3</v>
      </c>
      <c r="E228" s="34">
        <f t="shared" si="24"/>
        <v>4.6611111448787473E-5</v>
      </c>
      <c r="F228" s="24">
        <f xml:space="preserve"> $C$7^( B228 - 1 )</f>
        <v>1.7994008716675057E-5</v>
      </c>
      <c r="G228" s="25">
        <f t="shared" si="25"/>
        <v>8.3872074570339436E-10</v>
      </c>
      <c r="K228" s="19">
        <f t="shared" si="21"/>
        <v>6.3678460883288371E-5</v>
      </c>
      <c r="L228" s="36">
        <f t="shared" si="22"/>
        <v>7.9798785005342262E-3</v>
      </c>
      <c r="M228" s="64">
        <f t="shared" si="23"/>
        <v>4.0899789884759981E-9</v>
      </c>
      <c r="N228" s="12"/>
      <c r="O228" s="10">
        <f>-L239*$P$1</f>
        <v>-1.5754496782051326E-2</v>
      </c>
      <c r="P228" s="10">
        <f>+L239*$P$1</f>
        <v>1.5754496782051326E-2</v>
      </c>
    </row>
    <row r="229" spans="1:16" x14ac:dyDescent="0.25">
      <c r="A229" s="1">
        <v>45012</v>
      </c>
      <c r="B229" s="2">
        <f t="shared" si="26"/>
        <v>215</v>
      </c>
      <c r="C229" s="3">
        <f>+VLOOKUP(A229,Precios!$B:$H,1+$C$5,0)</f>
        <v>52.73</v>
      </c>
      <c r="D229" s="10">
        <f xml:space="preserve"> ( C229/C230 ) - 1</f>
        <v>1.7097264437688775E-3</v>
      </c>
      <c r="E229" s="34">
        <f t="shared" si="24"/>
        <v>2.9231645125225726E-6</v>
      </c>
      <c r="F229" s="24">
        <f xml:space="preserve"> $C$7^( B229 - 1 )</f>
        <v>1.7094308280841301E-5</v>
      </c>
      <c r="G229" s="25">
        <f t="shared" si="25"/>
        <v>4.9969475332676039E-11</v>
      </c>
      <c r="K229" s="19">
        <f t="shared" si="21"/>
        <v>6.6876108060697097E-5</v>
      </c>
      <c r="L229" s="36">
        <f t="shared" si="22"/>
        <v>8.1777813654252893E-3</v>
      </c>
      <c r="M229" s="64">
        <f t="shared" si="23"/>
        <v>4.5332457790364579E-9</v>
      </c>
      <c r="N229" s="12"/>
      <c r="O229" s="10">
        <f>-L240*$P$1</f>
        <v>-1.6160093446913004E-2</v>
      </c>
      <c r="P229" s="10">
        <f>+L240*$P$1</f>
        <v>1.6160093446913004E-2</v>
      </c>
    </row>
    <row r="230" spans="1:16" x14ac:dyDescent="0.25">
      <c r="A230" s="1">
        <v>45009</v>
      </c>
      <c r="B230" s="2">
        <f t="shared" si="26"/>
        <v>216</v>
      </c>
      <c r="C230" s="3">
        <f>+VLOOKUP(A230,Precios!$B:$H,1+$C$5,0)</f>
        <v>52.64</v>
      </c>
      <c r="D230" s="10">
        <f xml:space="preserve"> ( C230/C231 ) - 1</f>
        <v>-1.7068082685377517E-3</v>
      </c>
      <c r="E230" s="34">
        <f t="shared" si="24"/>
        <v>2.913194465548838E-6</v>
      </c>
      <c r="F230" s="24">
        <f xml:space="preserve"> $C$7^( B230 - 1 )</f>
        <v>1.6239592866799238E-5</v>
      </c>
      <c r="G230" s="25">
        <f t="shared" si="25"/>
        <v>4.7309092062325928E-11</v>
      </c>
      <c r="K230" s="19">
        <f t="shared" si="21"/>
        <v>7.0242577197283861E-5</v>
      </c>
      <c r="L230" s="36">
        <f t="shared" si="22"/>
        <v>8.3810844881365958E-3</v>
      </c>
      <c r="M230" s="64">
        <f t="shared" si="23"/>
        <v>8.7648577094631707E-10</v>
      </c>
      <c r="N230" s="12"/>
      <c r="O230" s="10">
        <f>-L241*$P$1</f>
        <v>-1.6360511839946794E-2</v>
      </c>
      <c r="P230" s="10">
        <f>+L241*$P$1</f>
        <v>1.6360511839946794E-2</v>
      </c>
    </row>
    <row r="231" spans="1:16" x14ac:dyDescent="0.25">
      <c r="A231" s="1">
        <v>45008</v>
      </c>
      <c r="B231" s="2">
        <f t="shared" si="26"/>
        <v>217</v>
      </c>
      <c r="C231" s="3">
        <f>+VLOOKUP(A231,Precios!$B:$H,1+$C$5,0)</f>
        <v>52.73</v>
      </c>
      <c r="D231" s="10">
        <f xml:space="preserve"> ( C231/C232 ) - 1</f>
        <v>6.4897881275052249E-3</v>
      </c>
      <c r="E231" s="34">
        <f t="shared" si="24"/>
        <v>4.2117349939907777E-5</v>
      </c>
      <c r="F231" s="24">
        <f xml:space="preserve"> $C$7^( B231 - 1 )</f>
        <v>1.5427613223459279E-5</v>
      </c>
      <c r="G231" s="25">
        <f t="shared" si="25"/>
        <v>6.4977018486998305E-10</v>
      </c>
      <c r="K231" s="19">
        <f t="shared" si="21"/>
        <v>7.1722852316093139E-5</v>
      </c>
      <c r="L231" s="36">
        <f t="shared" si="22"/>
        <v>8.4689345443268796E-3</v>
      </c>
      <c r="M231" s="64">
        <f t="shared" si="23"/>
        <v>5.2420399187076873E-9</v>
      </c>
      <c r="N231" s="12"/>
      <c r="O231" s="10">
        <f>-L242*$P$1</f>
        <v>-1.5013571508199333E-2</v>
      </c>
      <c r="P231" s="10">
        <f>+L242*$P$1</f>
        <v>1.5013571508199333E-2</v>
      </c>
    </row>
    <row r="232" spans="1:16" x14ac:dyDescent="0.25">
      <c r="A232" s="1">
        <v>45007</v>
      </c>
      <c r="B232" s="2">
        <f t="shared" si="26"/>
        <v>218</v>
      </c>
      <c r="C232" s="3">
        <f>+VLOOKUP(A232,Precios!$B:$H,1+$C$5,0)</f>
        <v>52.39</v>
      </c>
      <c r="D232" s="10">
        <f xml:space="preserve"> ( C232/C233 ) - 1</f>
        <v>-1.7149390243901275E-3</v>
      </c>
      <c r="E232" s="34">
        <f t="shared" si="24"/>
        <v>2.9410158573761624E-6</v>
      </c>
      <c r="F232" s="24">
        <f xml:space="preserve"> $C$7^( B232 - 1 )</f>
        <v>1.4656232562286311E-5</v>
      </c>
      <c r="G232" s="25">
        <f t="shared" si="25"/>
        <v>4.3104212375076906E-11</v>
      </c>
      <c r="K232" s="19">
        <f t="shared" si="21"/>
        <v>7.5342948971815081E-5</v>
      </c>
      <c r="L232" s="36">
        <f t="shared" si="22"/>
        <v>8.6800316227428048E-3</v>
      </c>
      <c r="M232" s="64">
        <f t="shared" si="23"/>
        <v>1.4084627279962551E-8</v>
      </c>
      <c r="N232" s="12"/>
      <c r="O232" s="10">
        <f>-L243*$P$1</f>
        <v>-1.5244651012584633E-2</v>
      </c>
      <c r="P232" s="10">
        <f>+L243*$P$1</f>
        <v>1.5244651012584633E-2</v>
      </c>
    </row>
    <row r="233" spans="1:16" x14ac:dyDescent="0.25">
      <c r="A233" s="1">
        <v>45006</v>
      </c>
      <c r="B233" s="2">
        <f t="shared" si="26"/>
        <v>219</v>
      </c>
      <c r="C233" s="3">
        <f>+VLOOKUP(A233,Precios!$B:$H,1+$C$5,0)</f>
        <v>52.48</v>
      </c>
      <c r="D233" s="10">
        <f xml:space="preserve"> ( C233/C234 ) - 1</f>
        <v>1.3714506470928978E-2</v>
      </c>
      <c r="E233" s="34">
        <f t="shared" si="24"/>
        <v>1.8808768774115279E-4</v>
      </c>
      <c r="F233" s="24">
        <f xml:space="preserve"> $C$7^( B233 - 1 )</f>
        <v>1.3923420934171996E-5</v>
      </c>
      <c r="G233" s="25">
        <f t="shared" si="25"/>
        <v>2.6188240489551724E-9</v>
      </c>
      <c r="K233" s="19">
        <f t="shared" si="21"/>
        <v>6.9409015352376257E-5</v>
      </c>
      <c r="L233" s="36">
        <f t="shared" si="22"/>
        <v>8.331207316612417E-3</v>
      </c>
      <c r="M233" s="64">
        <f t="shared" si="23"/>
        <v>6.256165129003708E-9</v>
      </c>
      <c r="N233" s="12"/>
      <c r="O233" s="10">
        <f>-L244*$P$1</f>
        <v>-1.3862354485590965E-2</v>
      </c>
      <c r="P233" s="10">
        <f>+L244*$P$1</f>
        <v>1.3862354485590965E-2</v>
      </c>
    </row>
    <row r="234" spans="1:16" x14ac:dyDescent="0.25">
      <c r="A234" s="1">
        <v>45002</v>
      </c>
      <c r="B234" s="2">
        <f t="shared" si="26"/>
        <v>220</v>
      </c>
      <c r="C234" s="3">
        <f>+VLOOKUP(A234,Precios!$B:$H,1+$C$5,0)</f>
        <v>51.77</v>
      </c>
      <c r="D234" s="10">
        <f xml:space="preserve"> ( C234/C235 ) - 1</f>
        <v>-1.2022900763358657E-2</v>
      </c>
      <c r="E234" s="34">
        <f t="shared" si="24"/>
        <v>1.4455014276557019E-4</v>
      </c>
      <c r="F234" s="24">
        <f xml:space="preserve"> $C$7^( B234 - 1 )</f>
        <v>1.3227249887463397E-5</v>
      </c>
      <c r="G234" s="25">
        <f t="shared" si="25"/>
        <v>1.912000859628706E-9</v>
      </c>
      <c r="K234" s="19">
        <f t="shared" si="21"/>
        <v>6.5454219172734459E-5</v>
      </c>
      <c r="L234" s="36">
        <f t="shared" si="22"/>
        <v>8.0903781847781672E-3</v>
      </c>
      <c r="M234" s="64">
        <f t="shared" si="23"/>
        <v>3.1021127891904752E-14</v>
      </c>
      <c r="N234" s="12"/>
      <c r="O234" s="10">
        <f>-L245*$P$1</f>
        <v>-1.4201357535262735E-2</v>
      </c>
      <c r="P234" s="10">
        <f>+L245*$P$1</f>
        <v>1.4201357535262735E-2</v>
      </c>
    </row>
    <row r="235" spans="1:16" x14ac:dyDescent="0.25">
      <c r="A235" s="1">
        <v>45001</v>
      </c>
      <c r="B235" s="2">
        <f t="shared" si="26"/>
        <v>221</v>
      </c>
      <c r="C235" s="3">
        <f>+VLOOKUP(A235,Precios!$B:$H,1+$C$5,0)</f>
        <v>52.4</v>
      </c>
      <c r="D235" s="10">
        <f xml:space="preserve"> ( C235/C236 ) - 1</f>
        <v>8.0800307810697802E-3</v>
      </c>
      <c r="E235" s="34">
        <f t="shared" si="24"/>
        <v>6.528689742303512E-5</v>
      </c>
      <c r="F235" s="24">
        <f xml:space="preserve"> $C$7^( B235 - 1 )</f>
        <v>1.2565887393090226E-5</v>
      </c>
      <c r="G235" s="25">
        <f t="shared" si="25"/>
        <v>8.2038780126209173E-10</v>
      </c>
      <c r="K235" s="19">
        <f t="shared" si="21"/>
        <v>6.5463025580613358E-5</v>
      </c>
      <c r="L235" s="36">
        <f t="shared" si="22"/>
        <v>8.0909224184028215E-3</v>
      </c>
      <c r="M235" s="64">
        <f t="shared" si="23"/>
        <v>5.2872132177334675E-9</v>
      </c>
      <c r="N235" s="12"/>
      <c r="O235" s="10">
        <f>-L246*$P$1</f>
        <v>-1.3424070987720405E-2</v>
      </c>
      <c r="P235" s="10">
        <f>+L246*$P$1</f>
        <v>1.3424070987720405E-2</v>
      </c>
    </row>
    <row r="236" spans="1:16" x14ac:dyDescent="0.25">
      <c r="A236" s="1">
        <v>45000</v>
      </c>
      <c r="B236" s="2">
        <f t="shared" si="26"/>
        <v>222</v>
      </c>
      <c r="C236" s="3">
        <f>+VLOOKUP(A236,Precios!$B:$H,1+$C$5,0)</f>
        <v>51.98</v>
      </c>
      <c r="D236" s="10">
        <f xml:space="preserve"> ( C236/C237 ) - 1</f>
        <v>-1.1599163339037988E-2</v>
      </c>
      <c r="E236" s="34">
        <f t="shared" si="24"/>
        <v>1.3454059016568289E-4</v>
      </c>
      <c r="F236" s="24">
        <f xml:space="preserve"> $C$7^( B236 - 1 )</f>
        <v>1.1937593023435714E-5</v>
      </c>
      <c r="G236" s="25">
        <f t="shared" si="25"/>
        <v>1.6060908105307797E-9</v>
      </c>
      <c r="K236" s="19">
        <f t="shared" si="21"/>
        <v>6.1827364286662321E-5</v>
      </c>
      <c r="L236" s="36">
        <f t="shared" si="22"/>
        <v>7.8630378535692116E-3</v>
      </c>
      <c r="M236" s="64">
        <f t="shared" si="23"/>
        <v>7.0638376851876068E-10</v>
      </c>
      <c r="N236" s="12"/>
      <c r="O236" s="10">
        <f>-L247*$P$1</f>
        <v>-1.3702471158480301E-2</v>
      </c>
      <c r="P236" s="10">
        <f>+L247*$P$1</f>
        <v>1.3702471158480301E-2</v>
      </c>
    </row>
    <row r="237" spans="1:16" x14ac:dyDescent="0.25">
      <c r="A237" s="1">
        <v>44999</v>
      </c>
      <c r="B237" s="2">
        <f t="shared" si="26"/>
        <v>223</v>
      </c>
      <c r="C237" s="3">
        <f>+VLOOKUP(A237,Precios!$B:$H,1+$C$5,0)</f>
        <v>52.59</v>
      </c>
      <c r="D237" s="10">
        <f xml:space="preserve"> ( C237/C238 ) - 1</f>
        <v>-6.0480060480059272E-3</v>
      </c>
      <c r="E237" s="34">
        <f t="shared" si="24"/>
        <v>3.6578377156716273E-5</v>
      </c>
      <c r="F237" s="24">
        <f xml:space="preserve"> $C$7^( B237 - 1 )</f>
        <v>1.1340713372263926E-5</v>
      </c>
      <c r="G237" s="25">
        <f t="shared" si="25"/>
        <v>4.1482489095688557E-10</v>
      </c>
      <c r="K237" s="19">
        <f t="shared" si="21"/>
        <v>6.3156258346133172E-5</v>
      </c>
      <c r="L237" s="36">
        <f t="shared" si="22"/>
        <v>7.9470911877323504E-3</v>
      </c>
      <c r="M237" s="64">
        <f t="shared" si="23"/>
        <v>1.8280670858632871E-9</v>
      </c>
      <c r="N237" s="12"/>
      <c r="O237" s="10">
        <f>-L248*$P$1</f>
        <v>-1.379490650541939E-2</v>
      </c>
      <c r="P237" s="10">
        <f>+L248*$P$1</f>
        <v>1.379490650541939E-2</v>
      </c>
    </row>
    <row r="238" spans="1:16" x14ac:dyDescent="0.25">
      <c r="A238" s="1">
        <v>44998</v>
      </c>
      <c r="B238" s="2">
        <f t="shared" si="26"/>
        <v>224</v>
      </c>
      <c r="C238" s="3">
        <f>+VLOOKUP(A238,Precios!$B:$H,1+$C$5,0)</f>
        <v>52.91</v>
      </c>
      <c r="D238" s="10">
        <f xml:space="preserve"> ( C238/C239 ) - 1</f>
        <v>4.747436384352488E-3</v>
      </c>
      <c r="E238" s="34">
        <f t="shared" si="24"/>
        <v>2.2538152223473823E-5</v>
      </c>
      <c r="F238" s="24">
        <f xml:space="preserve"> $C$7^( B238 - 1 )</f>
        <v>1.0773677703650732E-5</v>
      </c>
      <c r="G238" s="25">
        <f t="shared" si="25"/>
        <v>2.4281878809152608E-10</v>
      </c>
      <c r="K238" s="19">
        <f t="shared" si="21"/>
        <v>6.5294053405220501E-5</v>
      </c>
      <c r="L238" s="36">
        <f t="shared" si="22"/>
        <v>8.0804735879291441E-3</v>
      </c>
      <c r="M238" s="64">
        <f t="shared" si="23"/>
        <v>4.2068486347694681E-9</v>
      </c>
      <c r="N238" s="12"/>
      <c r="O238" s="10">
        <f>-L249*$P$1</f>
        <v>-1.3699405337629039E-2</v>
      </c>
      <c r="P238" s="10">
        <f>+L249*$P$1</f>
        <v>1.3699405337629039E-2</v>
      </c>
    </row>
    <row r="239" spans="1:16" x14ac:dyDescent="0.25">
      <c r="A239" s="1">
        <v>44995</v>
      </c>
      <c r="B239" s="2">
        <f t="shared" si="26"/>
        <v>225</v>
      </c>
      <c r="C239" s="3">
        <f>+VLOOKUP(A239,Precios!$B:$H,1+$C$5,0)</f>
        <v>52.66</v>
      </c>
      <c r="D239" s="10">
        <f xml:space="preserve"> ( C239/C240 ) - 1</f>
        <v>-1.1265490048817162E-2</v>
      </c>
      <c r="E239" s="34">
        <f t="shared" si="24"/>
        <v>1.2691126603999849E-4</v>
      </c>
      <c r="F239" s="24">
        <f xml:space="preserve"> $C$7^( B239 - 1 )</f>
        <v>1.0234993818468196E-5</v>
      </c>
      <c r="G239" s="25">
        <f t="shared" si="25"/>
        <v>1.2989360234133574E-9</v>
      </c>
      <c r="K239" s="19">
        <f t="shared" si="21"/>
        <v>6.2051042213916396E-5</v>
      </c>
      <c r="L239" s="36">
        <f t="shared" si="22"/>
        <v>7.8772483910256631E-3</v>
      </c>
      <c r="M239" s="64">
        <f t="shared" si="23"/>
        <v>4.1889705235344142E-9</v>
      </c>
      <c r="N239" s="12"/>
      <c r="O239" s="10">
        <f>-L250*$P$1</f>
        <v>-1.4033680873321932E-2</v>
      </c>
      <c r="P239" s="10">
        <f>+L250*$P$1</f>
        <v>1.4033680873321932E-2</v>
      </c>
    </row>
    <row r="240" spans="1:16" x14ac:dyDescent="0.25">
      <c r="A240" s="1">
        <v>44994</v>
      </c>
      <c r="B240" s="2">
        <f t="shared" si="26"/>
        <v>226</v>
      </c>
      <c r="C240" s="3">
        <f>+VLOOKUP(A240,Precios!$B:$H,1+$C$5,0)</f>
        <v>53.26</v>
      </c>
      <c r="D240" s="10">
        <f xml:space="preserve"> ( C240/C241 ) - 1</f>
        <v>7.5159714393091548E-4</v>
      </c>
      <c r="E240" s="34">
        <f t="shared" si="24"/>
        <v>5.6489826676510924E-7</v>
      </c>
      <c r="F240" s="24">
        <f xml:space="preserve"> $C$7^( B240 - 1 )</f>
        <v>9.723244127544787E-6</v>
      </c>
      <c r="G240" s="25">
        <f t="shared" si="25"/>
        <v>5.4926437549840771E-12</v>
      </c>
      <c r="K240" s="19">
        <f t="shared" si="21"/>
        <v>6.5287155053240145E-5</v>
      </c>
      <c r="L240" s="36">
        <f t="shared" si="22"/>
        <v>8.0800467234565018E-3</v>
      </c>
      <c r="M240" s="64">
        <f t="shared" si="23"/>
        <v>1.0620192784894813E-9</v>
      </c>
      <c r="N240" s="12"/>
      <c r="O240" s="10">
        <f>-L251*$P$1</f>
        <v>-1.4397992607478059E-2</v>
      </c>
      <c r="P240" s="10">
        <f>+L251*$P$1</f>
        <v>1.4397992607478059E-2</v>
      </c>
    </row>
    <row r="241" spans="1:16" x14ac:dyDescent="0.25">
      <c r="A241" s="1">
        <v>44993</v>
      </c>
      <c r="B241" s="2">
        <f t="shared" si="26"/>
        <v>227</v>
      </c>
      <c r="C241" s="3">
        <f>+VLOOKUP(A241,Precios!$B:$H,1+$C$5,0)</f>
        <v>53.22</v>
      </c>
      <c r="D241" s="10">
        <f xml:space="preserve"> ( C241/C242 ) - 1</f>
        <v>5.8590058590060057E-3</v>
      </c>
      <c r="E241" s="34">
        <f t="shared" si="24"/>
        <v>3.4327949655866699E-5</v>
      </c>
      <c r="F241" s="24">
        <f xml:space="preserve"> $C$7^( B241 - 1 )</f>
        <v>9.2370819211675474E-6</v>
      </c>
      <c r="G241" s="25">
        <f t="shared" si="25"/>
        <v>3.1709008315695604E-10</v>
      </c>
      <c r="K241" s="19">
        <f t="shared" si="21"/>
        <v>6.6916586916259795E-5</v>
      </c>
      <c r="L241" s="36">
        <f t="shared" si="22"/>
        <v>8.1802559199733969E-3</v>
      </c>
      <c r="M241" s="64">
        <f t="shared" si="23"/>
        <v>4.4645615550899649E-8</v>
      </c>
      <c r="N241" s="12"/>
      <c r="O241" s="10">
        <f>-L252*$P$1</f>
        <v>-1.31888046137227E-2</v>
      </c>
      <c r="P241" s="10">
        <f>+L252*$P$1</f>
        <v>1.31888046137227E-2</v>
      </c>
    </row>
    <row r="242" spans="1:16" x14ac:dyDescent="0.25">
      <c r="A242" s="1">
        <v>44992</v>
      </c>
      <c r="B242" s="2">
        <f t="shared" si="26"/>
        <v>228</v>
      </c>
      <c r="C242" s="3">
        <f>+VLOOKUP(A242,Precios!$B:$H,1+$C$5,0)</f>
        <v>52.91</v>
      </c>
      <c r="D242" s="10">
        <f xml:space="preserve"> ( C242/C243 ) - 1</f>
        <v>-1.6359918200409052E-2</v>
      </c>
      <c r="E242" s="34">
        <f t="shared" si="24"/>
        <v>2.6764692352407532E-4</v>
      </c>
      <c r="F242" s="24">
        <f xml:space="preserve"> $C$7^( B242 - 1 )</f>
        <v>8.7752278251091689E-6</v>
      </c>
      <c r="G242" s="25">
        <f t="shared" si="25"/>
        <v>2.3486627306133317E-9</v>
      </c>
      <c r="K242" s="19">
        <f t="shared" si="21"/>
        <v>5.6351832357953703E-5</v>
      </c>
      <c r="L242" s="36">
        <f t="shared" si="22"/>
        <v>7.5067857540996666E-3</v>
      </c>
      <c r="M242" s="64">
        <f t="shared" si="23"/>
        <v>1.2222208503393327E-9</v>
      </c>
      <c r="N242" s="12"/>
      <c r="O242" s="10">
        <f>-L253*$P$1</f>
        <v>-1.3443444696231538E-2</v>
      </c>
      <c r="P242" s="10">
        <f>+L253*$P$1</f>
        <v>1.3443444696231538E-2</v>
      </c>
    </row>
    <row r="243" spans="1:16" x14ac:dyDescent="0.25">
      <c r="A243" s="1">
        <v>44991</v>
      </c>
      <c r="B243" s="2">
        <f t="shared" si="26"/>
        <v>229</v>
      </c>
      <c r="C243" s="3">
        <f>+VLOOKUP(A243,Precios!$B:$H,1+$C$5,0)</f>
        <v>53.79</v>
      </c>
      <c r="D243" s="10">
        <f xml:space="preserve"> ( C243/C244 ) - 1</f>
        <v>-4.8103607770582091E-3</v>
      </c>
      <c r="E243" s="34">
        <f t="shared" si="24"/>
        <v>2.3139570805460058E-5</v>
      </c>
      <c r="F243" s="24">
        <f xml:space="preserve"> $C$7^( B243 - 1 )</f>
        <v>8.3364664338537104E-6</v>
      </c>
      <c r="G243" s="25">
        <f t="shared" si="25"/>
        <v>1.9290225531349904E-10</v>
      </c>
      <c r="K243" s="19">
        <f t="shared" si="21"/>
        <v>5.8099846123874423E-5</v>
      </c>
      <c r="L243" s="36">
        <f t="shared" si="22"/>
        <v>7.6223255062923163E-3</v>
      </c>
      <c r="M243" s="64">
        <f t="shared" si="23"/>
        <v>4.0470400126748971E-8</v>
      </c>
      <c r="N243" s="12"/>
      <c r="O243" s="10">
        <f>-L254*$P$1</f>
        <v>-1.371621352213067E-2</v>
      </c>
      <c r="P243" s="10">
        <f>+L254*$P$1</f>
        <v>1.371621352213067E-2</v>
      </c>
    </row>
    <row r="244" spans="1:16" x14ac:dyDescent="0.25">
      <c r="A244" s="1">
        <v>44988</v>
      </c>
      <c r="B244" s="2">
        <f t="shared" si="26"/>
        <v>230</v>
      </c>
      <c r="C244" s="3">
        <f>+VLOOKUP(A244,Precios!$B:$H,1+$C$5,0)</f>
        <v>54.05</v>
      </c>
      <c r="D244" s="10">
        <f xml:space="preserve"> ( C244/C245 ) - 1</f>
        <v>1.5786506295808911E-2</v>
      </c>
      <c r="E244" s="34">
        <f t="shared" si="24"/>
        <v>2.4921378102761436E-4</v>
      </c>
      <c r="F244" s="24">
        <f xml:space="preserve"> $C$7^( B244 - 1 )</f>
        <v>7.9196431121610253E-6</v>
      </c>
      <c r="G244" s="25">
        <f t="shared" si="25"/>
        <v>1.9736842043709521E-9</v>
      </c>
      <c r="K244" s="19">
        <f t="shared" si="21"/>
        <v>4.8041217971045994E-5</v>
      </c>
      <c r="L244" s="36">
        <f t="shared" si="22"/>
        <v>6.9311772427954827E-3</v>
      </c>
      <c r="M244" s="64">
        <f t="shared" si="23"/>
        <v>2.262754562354493E-9</v>
      </c>
      <c r="N244" s="12"/>
      <c r="O244" s="10">
        <f>-L255*$P$1</f>
        <v>-1.3119958382604331E-2</v>
      </c>
      <c r="P244" s="10">
        <f>+L255*$P$1</f>
        <v>1.3119958382604331E-2</v>
      </c>
    </row>
    <row r="245" spans="1:16" x14ac:dyDescent="0.25">
      <c r="A245" s="1">
        <v>44987</v>
      </c>
      <c r="B245" s="2">
        <f t="shared" si="26"/>
        <v>231</v>
      </c>
      <c r="C245" s="3">
        <f>+VLOOKUP(A245,Precios!$B:$H,1+$C$5,0)</f>
        <v>53.21</v>
      </c>
      <c r="D245" s="10">
        <f xml:space="preserve"> ( C245/C246 ) - 1</f>
        <v>-1.6885553470918913E-3</v>
      </c>
      <c r="E245" s="34">
        <f t="shared" si="24"/>
        <v>2.8512191601926174E-6</v>
      </c>
      <c r="F245" s="24">
        <f xml:space="preserve"> $C$7^( B245 - 1 )</f>
        <v>7.5236609565529735E-6</v>
      </c>
      <c r="G245" s="25">
        <f t="shared" si="25"/>
        <v>2.1451606274116954E-11</v>
      </c>
      <c r="K245" s="19">
        <f t="shared" si="21"/>
        <v>5.0419638961090912E-5</v>
      </c>
      <c r="L245" s="36">
        <f t="shared" si="22"/>
        <v>7.1006787676313673E-3</v>
      </c>
      <c r="M245" s="64">
        <f t="shared" si="23"/>
        <v>1.1527107903632263E-8</v>
      </c>
      <c r="N245" s="12"/>
      <c r="O245" s="10">
        <f>-L256*$P$1</f>
        <v>-1.1801978706249754E-2</v>
      </c>
      <c r="P245" s="10">
        <f>+L256*$P$1</f>
        <v>1.1801978706249754E-2</v>
      </c>
    </row>
    <row r="246" spans="1:16" x14ac:dyDescent="0.25">
      <c r="A246" s="1">
        <v>44986</v>
      </c>
      <c r="B246" s="2">
        <f t="shared" si="26"/>
        <v>232</v>
      </c>
      <c r="C246" s="3">
        <f>+VLOOKUP(A246,Precios!$B:$H,1+$C$5,0)</f>
        <v>53.3</v>
      </c>
      <c r="D246" s="10">
        <f xml:space="preserve"> ( C246/C247 ) - 1</f>
        <v>1.2345679012345734E-2</v>
      </c>
      <c r="E246" s="34">
        <f t="shared" si="24"/>
        <v>1.5241579027587394E-4</v>
      </c>
      <c r="F246" s="24">
        <f xml:space="preserve"> $C$7^( B246 - 1 )</f>
        <v>7.147477908725325E-6</v>
      </c>
      <c r="G246" s="25">
        <f t="shared" si="25"/>
        <v>1.0893884939377211E-9</v>
      </c>
      <c r="K246" s="19">
        <f t="shared" si="21"/>
        <v>4.5051420470839169E-5</v>
      </c>
      <c r="L246" s="36">
        <f t="shared" si="22"/>
        <v>6.7120354938602026E-3</v>
      </c>
      <c r="M246" s="64">
        <f t="shared" si="23"/>
        <v>1.4258304254498965E-9</v>
      </c>
      <c r="N246" s="12"/>
      <c r="O246" s="10">
        <f>-L257*$P$1</f>
        <v>-1.1697624658090544E-2</v>
      </c>
      <c r="P246" s="10">
        <f>+L257*$P$1</f>
        <v>1.1697624658090544E-2</v>
      </c>
    </row>
    <row r="247" spans="1:16" x14ac:dyDescent="0.25">
      <c r="A247" s="1">
        <v>44985</v>
      </c>
      <c r="B247" s="2">
        <f t="shared" si="26"/>
        <v>233</v>
      </c>
      <c r="C247" s="3">
        <f>+VLOOKUP(A247,Precios!$B:$H,1+$C$5,0)</f>
        <v>52.65</v>
      </c>
      <c r="D247" s="10">
        <f xml:space="preserve"> ( C247/C248 ) - 1</f>
        <v>-3.0297292179511937E-3</v>
      </c>
      <c r="E247" s="34">
        <f t="shared" si="24"/>
        <v>9.1792591341071519E-6</v>
      </c>
      <c r="F247" s="24">
        <f xml:space="preserve"> $C$7^( B247 - 1 )</f>
        <v>6.7901040132890589E-6</v>
      </c>
      <c r="G247" s="25">
        <f t="shared" si="25"/>
        <v>6.2328124285521224E-11</v>
      </c>
      <c r="K247" s="19">
        <f t="shared" si="21"/>
        <v>4.6939428962246121E-5</v>
      </c>
      <c r="L247" s="36">
        <f t="shared" si="22"/>
        <v>6.8512355792401504E-3</v>
      </c>
      <c r="M247" s="64">
        <f t="shared" si="23"/>
        <v>1.6150973961500556E-10</v>
      </c>
      <c r="N247" s="12"/>
      <c r="O247" s="10">
        <f>-L258*$P$1</f>
        <v>-1.0781122580059343E-2</v>
      </c>
      <c r="P247" s="10">
        <f>+L258*$P$1</f>
        <v>1.0781122580059343E-2</v>
      </c>
    </row>
    <row r="248" spans="1:16" x14ac:dyDescent="0.25">
      <c r="A248" s="1">
        <v>44984</v>
      </c>
      <c r="B248" s="2">
        <f t="shared" si="26"/>
        <v>234</v>
      </c>
      <c r="C248" s="3">
        <f>+VLOOKUP(A248,Precios!$B:$H,1+$C$5,0)</f>
        <v>52.81</v>
      </c>
      <c r="D248" s="10">
        <f xml:space="preserve"> ( C248/C249 ) - 1</f>
        <v>5.9047619047618571E-3</v>
      </c>
      <c r="E248" s="34">
        <f t="shared" si="24"/>
        <v>3.4866213151926876E-5</v>
      </c>
      <c r="F248" s="24">
        <f xml:space="preserve"> $C$7^( B248 - 1 )</f>
        <v>6.4505988126246055E-6</v>
      </c>
      <c r="G248" s="25">
        <f t="shared" si="25"/>
        <v>2.2490795315853591E-10</v>
      </c>
      <c r="K248" s="19">
        <f t="shared" si="21"/>
        <v>4.7574861373315552E-5</v>
      </c>
      <c r="L248" s="36">
        <f t="shared" si="22"/>
        <v>6.8974532527096948E-3</v>
      </c>
      <c r="M248" s="64">
        <f t="shared" si="23"/>
        <v>1.723626177780811E-10</v>
      </c>
      <c r="N248" s="12"/>
      <c r="O248" s="10">
        <f>-L259*$P$1</f>
        <v>-1.0496672436007905E-2</v>
      </c>
      <c r="P248" s="10">
        <f>+L259*$P$1</f>
        <v>1.0496672436007905E-2</v>
      </c>
    </row>
    <row r="249" spans="1:16" x14ac:dyDescent="0.25">
      <c r="A249" s="1">
        <v>44981</v>
      </c>
      <c r="B249" s="2">
        <f t="shared" si="26"/>
        <v>235</v>
      </c>
      <c r="C249" s="3">
        <f>+VLOOKUP(A249,Precios!$B:$H,1+$C$5,0)</f>
        <v>52.5</v>
      </c>
      <c r="D249" s="10">
        <f xml:space="preserve"> ( C249/C250 ) - 1</f>
        <v>-7.7490077490076636E-3</v>
      </c>
      <c r="E249" s="34">
        <f t="shared" si="24"/>
        <v>6.0047121094180821E-5</v>
      </c>
      <c r="F249" s="24">
        <f xml:space="preserve"> $C$7^( B249 - 1 )</f>
        <v>6.1280688719933766E-6</v>
      </c>
      <c r="G249" s="25">
        <f t="shared" si="25"/>
        <v>3.6797289363006637E-10</v>
      </c>
      <c r="K249" s="19">
        <f t="shared" si="21"/>
        <v>4.6918426651164749E-5</v>
      </c>
      <c r="L249" s="36">
        <f t="shared" si="22"/>
        <v>6.8497026688145194E-3</v>
      </c>
      <c r="M249" s="64">
        <f t="shared" si="23"/>
        <v>2.1485506637393887E-9</v>
      </c>
      <c r="N249" s="12"/>
      <c r="O249" s="10">
        <f>-L260*$P$1</f>
        <v>-1.0471493948336798E-2</v>
      </c>
      <c r="P249" s="10">
        <f>+L260*$P$1</f>
        <v>1.0471493948336798E-2</v>
      </c>
    </row>
    <row r="250" spans="1:16" x14ac:dyDescent="0.25">
      <c r="A250" s="1">
        <v>44980</v>
      </c>
      <c r="B250" s="2">
        <f t="shared" si="26"/>
        <v>236</v>
      </c>
      <c r="C250" s="3">
        <f>+VLOOKUP(A250,Precios!$B:$H,1+$C$5,0)</f>
        <v>52.91</v>
      </c>
      <c r="D250" s="10">
        <f xml:space="preserve"> ( C250/C251 ) - 1</f>
        <v>-1.6981132075472027E-3</v>
      </c>
      <c r="E250" s="34">
        <f t="shared" si="24"/>
        <v>2.8835884656462491E-6</v>
      </c>
      <c r="F250" s="24">
        <f xml:space="preserve"> $C$7^( B250 - 1 )</f>
        <v>5.8216654283937069E-6</v>
      </c>
      <c r="G250" s="25">
        <f t="shared" si="25"/>
        <v>1.6787287280167623E-11</v>
      </c>
      <c r="K250" s="19">
        <f t="shared" si="21"/>
        <v>4.9236049713560458E-5</v>
      </c>
      <c r="L250" s="36">
        <f t="shared" si="22"/>
        <v>7.0168404366609659E-3</v>
      </c>
      <c r="M250" s="64">
        <f t="shared" si="23"/>
        <v>2.6822000970234449E-9</v>
      </c>
      <c r="N250" s="12"/>
      <c r="O250" s="10">
        <f>-L261*$P$1</f>
        <v>-1.0574132851567903E-2</v>
      </c>
      <c r="P250" s="10">
        <f>+L261*$P$1</f>
        <v>1.0574132851567903E-2</v>
      </c>
    </row>
    <row r="251" spans="1:16" x14ac:dyDescent="0.25">
      <c r="A251" s="1">
        <v>44979</v>
      </c>
      <c r="B251" s="2">
        <f t="shared" si="26"/>
        <v>237</v>
      </c>
      <c r="C251" s="3">
        <f>+VLOOKUP(A251,Precios!$B:$H,1+$C$5,0)</f>
        <v>53</v>
      </c>
      <c r="D251" s="10">
        <f xml:space="preserve"> ( C251/C252 ) - 1</f>
        <v>-1.8864365214110723E-4</v>
      </c>
      <c r="E251" s="34">
        <f t="shared" si="24"/>
        <v>3.558642749313507E-8</v>
      </c>
      <c r="F251" s="24">
        <f xml:space="preserve"> $C$7^( B251 - 1 )</f>
        <v>5.5305821569740211E-6</v>
      </c>
      <c r="G251" s="25">
        <f t="shared" si="25"/>
        <v>1.9681366092398257E-13</v>
      </c>
      <c r="K251" s="19">
        <f t="shared" si="21"/>
        <v>5.1825547781248217E-5</v>
      </c>
      <c r="L251" s="36">
        <f t="shared" si="22"/>
        <v>7.1989963037390296E-3</v>
      </c>
      <c r="M251" s="64">
        <f t="shared" si="23"/>
        <v>2.781827694985025E-8</v>
      </c>
      <c r="N251" s="12"/>
      <c r="O251" s="10">
        <f>-L262*$P$1</f>
        <v>-9.004022513825382E-3</v>
      </c>
      <c r="P251" s="10">
        <f>+L262*$P$1</f>
        <v>9.004022513825382E-3</v>
      </c>
    </row>
    <row r="252" spans="1:16" x14ac:dyDescent="0.25">
      <c r="A252" s="1">
        <v>44978</v>
      </c>
      <c r="B252" s="2">
        <f t="shared" si="26"/>
        <v>238</v>
      </c>
      <c r="C252" s="3">
        <f>+VLOOKUP(A252,Precios!$B:$H,1+$C$5,0)</f>
        <v>53.01</v>
      </c>
      <c r="D252" s="10">
        <f xml:space="preserve"> ( C252/C253 ) - 1</f>
        <v>-1.4500836586726185E-2</v>
      </c>
      <c r="E252" s="34">
        <f t="shared" si="24"/>
        <v>2.1027426171493671E-4</v>
      </c>
      <c r="F252" s="24">
        <f xml:space="preserve"> $C$7^( B252 - 1 )</f>
        <v>5.2540530491253199E-6</v>
      </c>
      <c r="G252" s="25">
        <f t="shared" si="25"/>
        <v>1.1047921259159387E-9</v>
      </c>
      <c r="K252" s="19">
        <f t="shared" si="21"/>
        <v>4.3486141784738291E-5</v>
      </c>
      <c r="L252" s="36">
        <f t="shared" si="22"/>
        <v>6.5944023068613498E-3</v>
      </c>
      <c r="M252" s="64">
        <f t="shared" si="23"/>
        <v>1.149765403899785E-9</v>
      </c>
      <c r="N252" s="12"/>
      <c r="O252" s="10">
        <f>-L263*$P$1</f>
        <v>-9.2059178445591094E-3</v>
      </c>
      <c r="P252" s="10">
        <f>+L263*$P$1</f>
        <v>9.2059178445591094E-3</v>
      </c>
    </row>
    <row r="253" spans="1:16" x14ac:dyDescent="0.25">
      <c r="A253" s="1">
        <v>44977</v>
      </c>
      <c r="B253" s="2">
        <f t="shared" si="26"/>
        <v>239</v>
      </c>
      <c r="C253" s="3">
        <f>+VLOOKUP(A253,Precios!$B:$H,1+$C$5,0)</f>
        <v>53.79</v>
      </c>
      <c r="D253" s="10">
        <f xml:space="preserve"> ( C253/C254 ) - 1</f>
        <v>3.3575825405707249E-3</v>
      </c>
      <c r="E253" s="34">
        <f t="shared" si="24"/>
        <v>1.1273360516745363E-5</v>
      </c>
      <c r="F253" s="24">
        <f xml:space="preserve"> $C$7^( B253 - 1 )</f>
        <v>4.9913503966690538E-6</v>
      </c>
      <c r="G253" s="25">
        <f t="shared" si="25"/>
        <v>5.6269292487050221E-11</v>
      </c>
      <c r="K253" s="19">
        <f t="shared" si="21"/>
        <v>4.5181551325158968E-5</v>
      </c>
      <c r="L253" s="36">
        <f t="shared" si="22"/>
        <v>6.7217223481157691E-3</v>
      </c>
      <c r="M253" s="64">
        <f t="shared" si="23"/>
        <v>1.3720757167029268E-9</v>
      </c>
      <c r="N253" s="12"/>
      <c r="O253" s="10">
        <f>-L264*$P$1</f>
        <v>-3.4483440670685503E-3</v>
      </c>
      <c r="P253" s="10">
        <f>+L264*$P$1</f>
        <v>3.4483440670685503E-3</v>
      </c>
    </row>
    <row r="254" spans="1:16" x14ac:dyDescent="0.25">
      <c r="A254" s="1">
        <v>44974</v>
      </c>
      <c r="B254" s="2">
        <f t="shared" si="26"/>
        <v>240</v>
      </c>
      <c r="C254" s="3">
        <f>+VLOOKUP(A254,Precios!$B:$H,1+$C$5,0)</f>
        <v>53.61</v>
      </c>
      <c r="D254" s="10">
        <f xml:space="preserve"> ( C254/C255 ) - 1</f>
        <v>-3.1610264038676172E-3</v>
      </c>
      <c r="E254" s="34">
        <f t="shared" si="24"/>
        <v>9.9920879259482404E-6</v>
      </c>
      <c r="F254" s="24">
        <f xml:space="preserve"> $C$7^( B254 - 1 )</f>
        <v>4.7417828768356016E-6</v>
      </c>
      <c r="G254" s="25">
        <f t="shared" si="25"/>
        <v>4.7380311431097126E-11</v>
      </c>
      <c r="K254" s="19">
        <f t="shared" si="21"/>
        <v>4.703362834617006E-5</v>
      </c>
      <c r="L254" s="36">
        <f t="shared" si="22"/>
        <v>6.858106761065335E-3</v>
      </c>
      <c r="M254" s="64">
        <f t="shared" si="23"/>
        <v>6.4009643750545843E-9</v>
      </c>
      <c r="N254" s="12"/>
      <c r="O254" s="10">
        <f>-L265*$P$1</f>
        <v>-7.4137453665500824E-4</v>
      </c>
      <c r="P254" s="10">
        <f>+L265*$P$1</f>
        <v>7.4137453665500824E-4</v>
      </c>
    </row>
    <row r="255" spans="1:16" x14ac:dyDescent="0.25">
      <c r="A255" s="1">
        <v>44973</v>
      </c>
      <c r="B255" s="2">
        <f t="shared" si="26"/>
        <v>241</v>
      </c>
      <c r="C255" s="3">
        <f>+VLOOKUP(A255,Precios!$B:$H,1+$C$5,0)</f>
        <v>53.78</v>
      </c>
      <c r="D255" s="10">
        <f xml:space="preserve"> ( C255/C256 ) - 1</f>
        <v>1.1092310584696508E-2</v>
      </c>
      <c r="E255" s="34">
        <f t="shared" si="24"/>
        <v>1.2303935410737019E-4</v>
      </c>
      <c r="F255" s="24">
        <f xml:space="preserve"> $C$7^( B255 - 1 )</f>
        <v>4.5046937329938212E-6</v>
      </c>
      <c r="G255" s="25">
        <f t="shared" si="25"/>
        <v>5.5425460735907802E-10</v>
      </c>
      <c r="K255" s="19">
        <f t="shared" si="21"/>
        <v>4.3033326990317411E-5</v>
      </c>
      <c r="L255" s="36">
        <f t="shared" si="22"/>
        <v>6.5599791913021656E-3</v>
      </c>
      <c r="M255" s="64">
        <f t="shared" si="23"/>
        <v>2.6972489093064031E-8</v>
      </c>
      <c r="N255" s="12"/>
    </row>
    <row r="256" spans="1:16" x14ac:dyDescent="0.25">
      <c r="A256" s="1">
        <v>44972</v>
      </c>
      <c r="B256" s="2">
        <f t="shared" si="26"/>
        <v>242</v>
      </c>
      <c r="C256" s="3">
        <f>+VLOOKUP(A256,Precios!$B:$H,1+$C$5,0)</f>
        <v>53.19</v>
      </c>
      <c r="D256" s="10">
        <f xml:space="preserve"> ( C256/C257 ) - 1</f>
        <v>1.4108674928503318E-2</v>
      </c>
      <c r="E256" s="34">
        <f t="shared" si="24"/>
        <v>1.9905470823817809E-4</v>
      </c>
      <c r="F256" s="24">
        <f xml:space="preserve"> $C$7^( B256 - 1 )</f>
        <v>4.2794590463441302E-6</v>
      </c>
      <c r="G256" s="25">
        <f t="shared" si="25"/>
        <v>8.5184647188726272E-10</v>
      </c>
      <c r="K256" s="19">
        <f t="shared" si="21"/>
        <v>3.4821675345693157E-5</v>
      </c>
      <c r="L256" s="36">
        <f t="shared" si="22"/>
        <v>5.9009893531248771E-3</v>
      </c>
      <c r="M256" s="64">
        <f t="shared" si="23"/>
        <v>1.5034177561411472E-10</v>
      </c>
      <c r="N256" s="12"/>
    </row>
    <row r="257" spans="1:16" x14ac:dyDescent="0.25">
      <c r="A257" s="1">
        <v>44971</v>
      </c>
      <c r="B257" s="2">
        <f t="shared" si="26"/>
        <v>243</v>
      </c>
      <c r="C257" s="3">
        <f>+VLOOKUP(A257,Precios!$B:$H,1+$C$5,0)</f>
        <v>52.45</v>
      </c>
      <c r="D257" s="10">
        <f xml:space="preserve"> ( C257/C258 ) - 1</f>
        <v>-6.8168907403900469E-3</v>
      </c>
      <c r="E257" s="34">
        <f t="shared" si="24"/>
        <v>4.6469999366415561E-5</v>
      </c>
      <c r="F257" s="24">
        <f xml:space="preserve"> $C$7^( B257 - 1 )</f>
        <v>4.0654860940269238E-6</v>
      </c>
      <c r="G257" s="25">
        <f t="shared" si="25"/>
        <v>1.8892313621360242E-10</v>
      </c>
      <c r="K257" s="19">
        <f t="shared" si="21"/>
        <v>3.4208605660391978E-5</v>
      </c>
      <c r="L257" s="36">
        <f t="shared" si="22"/>
        <v>5.848812329045272E-3</v>
      </c>
      <c r="M257" s="64">
        <f t="shared" si="23"/>
        <v>1.0610873194640117E-8</v>
      </c>
      <c r="N257" s="12"/>
    </row>
    <row r="258" spans="1:16" x14ac:dyDescent="0.25">
      <c r="A258" s="1">
        <v>44970</v>
      </c>
      <c r="B258" s="2">
        <f t="shared" si="26"/>
        <v>244</v>
      </c>
      <c r="C258" s="3">
        <f>+VLOOKUP(A258,Precios!$B:$H,1+$C$5,0)</f>
        <v>52.81</v>
      </c>
      <c r="D258" s="10">
        <f xml:space="preserve"> ( C258/C259 ) - 1</f>
        <v>1.1492051331162711E-2</v>
      </c>
      <c r="E258" s="34">
        <f t="shared" si="24"/>
        <v>1.3206724379807866E-4</v>
      </c>
      <c r="F258" s="24">
        <f xml:space="preserve"> $C$7^( B258 - 1 )</f>
        <v>3.862211789325577E-6</v>
      </c>
      <c r="G258" s="25">
        <f t="shared" si="25"/>
        <v>5.1007166598067457E-10</v>
      </c>
      <c r="K258" s="19">
        <f t="shared" si="21"/>
        <v>2.9058151021566362E-5</v>
      </c>
      <c r="L258" s="36">
        <f t="shared" si="22"/>
        <v>5.3905612900296716E-3</v>
      </c>
      <c r="M258" s="64">
        <f t="shared" si="23"/>
        <v>9.1581038962070837E-10</v>
      </c>
      <c r="N258" s="12"/>
    </row>
    <row r="259" spans="1:16" x14ac:dyDescent="0.25">
      <c r="A259" s="1">
        <v>44967</v>
      </c>
      <c r="B259" s="2">
        <f t="shared" si="26"/>
        <v>245</v>
      </c>
      <c r="C259" s="3">
        <f>+VLOOKUP(A259,Precios!$B:$H,1+$C$5,0)</f>
        <v>52.21</v>
      </c>
      <c r="D259" s="10">
        <f xml:space="preserve"> ( C259/C260 ) - 1</f>
        <v>-7.6031172780839373E-3</v>
      </c>
      <c r="E259" s="34">
        <f t="shared" si="24"/>
        <v>5.78073923442985E-5</v>
      </c>
      <c r="F259" s="24">
        <f xml:space="preserve"> $C$7^( B259 - 1 )</f>
        <v>3.6691011998592984E-6</v>
      </c>
      <c r="G259" s="25">
        <f t="shared" si="25"/>
        <v>2.1210117261120285E-10</v>
      </c>
      <c r="K259" s="19">
        <f t="shared" si="21"/>
        <v>2.7545033057212036E-5</v>
      </c>
      <c r="L259" s="36">
        <f t="shared" si="22"/>
        <v>5.2483362180039527E-3</v>
      </c>
      <c r="M259" s="64">
        <f t="shared" si="23"/>
        <v>6.9681934471330425E-12</v>
      </c>
      <c r="N259" s="12"/>
    </row>
    <row r="260" spans="1:16" x14ac:dyDescent="0.25">
      <c r="A260" s="1">
        <v>44966</v>
      </c>
      <c r="B260" s="2">
        <f t="shared" si="26"/>
        <v>246</v>
      </c>
      <c r="C260" s="3">
        <f>+VLOOKUP(A260,Precios!$B:$H,1+$C$5,0)</f>
        <v>52.61</v>
      </c>
      <c r="D260" s="10">
        <f xml:space="preserve"> ( C260/C261 ) - 1</f>
        <v>-5.4820415879016648E-3</v>
      </c>
      <c r="E260" s="34">
        <f t="shared" si="24"/>
        <v>3.0052779971483406E-5</v>
      </c>
      <c r="F260" s="24">
        <f xml:space="preserve"> $C$7^( B260 - 1 )</f>
        <v>3.4856461398663338E-6</v>
      </c>
      <c r="G260" s="25">
        <f t="shared" si="25"/>
        <v>1.047533564998534E-10</v>
      </c>
      <c r="K260" s="19">
        <f t="shared" si="21"/>
        <v>2.7413046377513544E-5</v>
      </c>
      <c r="L260" s="36">
        <f t="shared" si="22"/>
        <v>5.235746974168399E-3</v>
      </c>
      <c r="M260" s="64">
        <f t="shared" si="23"/>
        <v>1.1665080592602763E-10</v>
      </c>
      <c r="N260" s="12"/>
    </row>
    <row r="261" spans="1:16" x14ac:dyDescent="0.25">
      <c r="A261" s="1">
        <v>44965</v>
      </c>
      <c r="B261" s="2">
        <f t="shared" si="26"/>
        <v>247</v>
      </c>
      <c r="C261" s="3">
        <f>+VLOOKUP(A261,Precios!$B:$H,1+$C$5,0)</f>
        <v>52.9</v>
      </c>
      <c r="D261" s="10">
        <f xml:space="preserve"> ( C261/C262 ) - 1</f>
        <v>-4.141566265060237E-3</v>
      </c>
      <c r="E261" s="34">
        <f t="shared" si="24"/>
        <v>1.7152571127885E-5</v>
      </c>
      <c r="F261" s="24">
        <f xml:space="preserve"> $C$7^( B261 - 1 )</f>
        <v>3.3113638328730164E-6</v>
      </c>
      <c r="G261" s="25">
        <f t="shared" si="25"/>
        <v>5.6798403673660314E-11</v>
      </c>
      <c r="K261" s="19">
        <f t="shared" si="21"/>
        <v>2.7953071390651889E-5</v>
      </c>
      <c r="L261" s="36">
        <f t="shared" si="22"/>
        <v>5.2870664257839515E-3</v>
      </c>
      <c r="M261" s="64">
        <f t="shared" si="23"/>
        <v>2.362348117308716E-8</v>
      </c>
      <c r="N261" s="12"/>
    </row>
    <row r="262" spans="1:16" x14ac:dyDescent="0.25">
      <c r="A262" s="1">
        <v>44964</v>
      </c>
      <c r="B262" s="2">
        <f t="shared" si="26"/>
        <v>248</v>
      </c>
      <c r="C262" s="3">
        <f>+VLOOKUP(A262,Precios!$B:$H,1+$C$5,0)</f>
        <v>53.12</v>
      </c>
      <c r="D262" s="10">
        <f xml:space="preserve"> ( C262/C263 ) - 1</f>
        <v>-1.3189671187070373E-2</v>
      </c>
      <c r="E262" s="34">
        <f t="shared" si="24"/>
        <v>1.7396742602303439E-4</v>
      </c>
      <c r="F262" s="24">
        <f xml:space="preserve"> $C$7^( B262 - 1 )</f>
        <v>3.1457956412293666E-6</v>
      </c>
      <c r="G262" s="25">
        <f t="shared" si="25"/>
        <v>5.4726597049915382E-10</v>
      </c>
      <c r="K262" s="19">
        <f t="shared" si="21"/>
        <v>2.0268105357368591E-5</v>
      </c>
      <c r="L262" s="36">
        <f t="shared" si="22"/>
        <v>4.502011256912691E-3</v>
      </c>
      <c r="M262" s="64">
        <f t="shared" si="23"/>
        <v>3.3791666127085069E-10</v>
      </c>
      <c r="N262" s="12"/>
    </row>
    <row r="263" spans="1:16" x14ac:dyDescent="0.25">
      <c r="A263" s="1">
        <v>44960</v>
      </c>
      <c r="B263" s="2">
        <f t="shared" si="26"/>
        <v>249</v>
      </c>
      <c r="C263" s="3">
        <f>+VLOOKUP(A263,Precios!$B:$H,1+$C$5,0)</f>
        <v>53.83</v>
      </c>
      <c r="D263" s="10">
        <f xml:space="preserve"> ( C263/C264 ) - 1</f>
        <v>1.6747301823594185E-3</v>
      </c>
      <c r="E263" s="34">
        <f t="shared" si="24"/>
        <v>2.8047211837056114E-6</v>
      </c>
      <c r="F263" s="24">
        <f xml:space="preserve"> $C$7^( B263 - 1 )</f>
        <v>2.9885058591678981E-6</v>
      </c>
      <c r="G263" s="25">
        <f t="shared" si="25"/>
        <v>8.3819256908365428E-12</v>
      </c>
      <c r="K263" s="19">
        <f t="shared" si="21"/>
        <v>2.1187230840192961E-5</v>
      </c>
      <c r="L263" s="36">
        <f t="shared" si="22"/>
        <v>4.6029589222795547E-3</v>
      </c>
      <c r="M263" s="64">
        <f t="shared" si="23"/>
        <v>1.3270664511902172E-7</v>
      </c>
      <c r="N263" s="12"/>
    </row>
    <row r="264" spans="1:16" x14ac:dyDescent="0.25">
      <c r="A264" s="1">
        <v>44959</v>
      </c>
      <c r="B264" s="2">
        <f t="shared" si="26"/>
        <v>250</v>
      </c>
      <c r="C264" s="3">
        <f>+VLOOKUP(A264,Precios!$B:$H,1+$C$5,0)</f>
        <v>53.74</v>
      </c>
      <c r="D264" s="10">
        <f xml:space="preserve"> ( C264/C265 ) - 1</f>
        <v>-1.9164081036685432E-2</v>
      </c>
      <c r="E264" s="34">
        <f t="shared" si="24"/>
        <v>3.6726200198064621E-4</v>
      </c>
      <c r="F264" s="24">
        <f xml:space="preserve"> $C$7^( B264 - 1 )</f>
        <v>2.8390805662095022E-6</v>
      </c>
      <c r="G264" s="25">
        <f t="shared" si="25"/>
        <v>1.0426864125304485E-9</v>
      </c>
      <c r="K264" s="19">
        <f t="shared" si="21"/>
        <v>2.9727692012217174E-6</v>
      </c>
      <c r="L264" s="36">
        <f t="shared" si="22"/>
        <v>1.7241720335342751E-3</v>
      </c>
      <c r="M264" s="64">
        <f t="shared" si="23"/>
        <v>3.2157068728127083E-9</v>
      </c>
      <c r="N264" s="12"/>
    </row>
    <row r="265" spans="1:16" x14ac:dyDescent="0.25">
      <c r="A265" s="1">
        <v>44958</v>
      </c>
      <c r="B265" s="2">
        <f t="shared" si="26"/>
        <v>251</v>
      </c>
      <c r="C265" s="3">
        <f>+VLOOKUP(A265,Precios!$B:$H,1+$C$5,0)</f>
        <v>54.79</v>
      </c>
      <c r="D265" s="10">
        <f xml:space="preserve"> ( C265/C266 ) - 1</f>
        <v>7.5395365943360382E-3</v>
      </c>
      <c r="E265" s="34">
        <f t="shared" si="24"/>
        <v>5.6844612057332266E-5</v>
      </c>
      <c r="F265" s="24">
        <f xml:space="preserve"> $C$7^( B265 - 1 )</f>
        <v>2.6971265378990281E-6</v>
      </c>
      <c r="G265" s="25">
        <f t="shared" si="25"/>
        <v>1.5331711171640592E-10</v>
      </c>
      <c r="K265" s="19">
        <f t="shared" si="21"/>
        <v>1.3740905090010703E-7</v>
      </c>
      <c r="L265" s="36">
        <f t="shared" si="22"/>
        <v>3.7068726832750412E-4</v>
      </c>
      <c r="M265" s="64">
        <f t="shared" si="23"/>
        <v>7.5524989077072688E-12</v>
      </c>
      <c r="N265" s="12"/>
    </row>
    <row r="266" spans="1:16" x14ac:dyDescent="0.25">
      <c r="A266" s="1">
        <v>44957</v>
      </c>
      <c r="B266" s="2">
        <f t="shared" si="26"/>
        <v>252</v>
      </c>
      <c r="C266" s="3">
        <f>+VLOOKUP(A266,Precios!$B:$H,1+$C$5,0)</f>
        <v>54.38</v>
      </c>
      <c r="D266" s="10">
        <f xml:space="preserve"> ( C266/C267 ) - 1</f>
        <v>1.6577638607480072E-3</v>
      </c>
      <c r="E266" s="34">
        <f t="shared" si="24"/>
        <v>2.7481810180021381E-6</v>
      </c>
      <c r="F266" s="24">
        <f xml:space="preserve"> $C$7^( B266 - 1 )</f>
        <v>2.5622702110040764E-6</v>
      </c>
      <c r="G266" s="25">
        <f t="shared" si="25"/>
        <v>7.0415823568737357E-12</v>
      </c>
      <c r="K266" s="19"/>
      <c r="L266" s="36"/>
      <c r="M266" s="64"/>
      <c r="N266" s="12"/>
      <c r="O266" s="10"/>
      <c r="P266" s="10"/>
    </row>
    <row r="267" spans="1:16" x14ac:dyDescent="0.25">
      <c r="A267" s="1">
        <v>44956</v>
      </c>
      <c r="B267" s="2">
        <f t="shared" si="26"/>
        <v>253</v>
      </c>
      <c r="C267" s="3">
        <f>+VLOOKUP(A267,Precios!$B:$H,1+$C$5,0)</f>
        <v>54.29</v>
      </c>
      <c r="D267" s="10"/>
      <c r="E267" s="34"/>
      <c r="F267" s="24">
        <f xml:space="preserve"> $C$7^( B267 - 1 )</f>
        <v>2.434156700453872E-6</v>
      </c>
      <c r="G267" s="25">
        <f t="shared" si="25"/>
        <v>0</v>
      </c>
    </row>
    <row r="273" spans="1:12" x14ac:dyDescent="0.25">
      <c r="A273" s="1"/>
      <c r="B273" s="2"/>
      <c r="C273" s="3"/>
      <c r="D273" s="10"/>
      <c r="E273" s="9"/>
      <c r="K273" s="17"/>
      <c r="L273" s="17"/>
    </row>
  </sheetData>
  <mergeCells count="5">
    <mergeCell ref="F12:G12"/>
    <mergeCell ref="K12:L12"/>
    <mergeCell ref="E5:F5"/>
    <mergeCell ref="A1:C1"/>
    <mergeCell ref="E6:F6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2</xdr:col>
                    <xdr:colOff>57150</xdr:colOff>
                    <xdr:row>4</xdr:row>
                    <xdr:rowOff>19050</xdr:rowOff>
                  </from>
                  <to>
                    <xdr:col>3</xdr:col>
                    <xdr:colOff>762000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4:D10"/>
  <sheetViews>
    <sheetView zoomScale="179" zoomScaleNormal="179" workbookViewId="0">
      <selection activeCell="B7" sqref="B7"/>
    </sheetView>
  </sheetViews>
  <sheetFormatPr baseColWidth="10" defaultColWidth="11.42578125" defaultRowHeight="15" x14ac:dyDescent="0.25"/>
  <cols>
    <col min="1" max="1" width="4.42578125" customWidth="1"/>
  </cols>
  <sheetData>
    <row r="4" spans="2:4" x14ac:dyDescent="0.25">
      <c r="B4" s="32" t="s">
        <v>30</v>
      </c>
      <c r="C4" s="7" t="s">
        <v>31</v>
      </c>
      <c r="D4" s="7" t="s">
        <v>32</v>
      </c>
    </row>
    <row r="5" spans="2:4" x14ac:dyDescent="0.25">
      <c r="B5" s="39" t="s">
        <v>33</v>
      </c>
      <c r="C5" s="40"/>
      <c r="D5" s="40"/>
    </row>
    <row r="6" spans="2:4" x14ac:dyDescent="0.25">
      <c r="B6" s="41" t="s">
        <v>34</v>
      </c>
      <c r="C6" s="42"/>
      <c r="D6" s="42"/>
    </row>
    <row r="7" spans="2:4" x14ac:dyDescent="0.25">
      <c r="B7" s="41" t="s">
        <v>27</v>
      </c>
      <c r="C7" s="42"/>
      <c r="D7" s="42"/>
    </row>
    <row r="8" spans="2:4" x14ac:dyDescent="0.25">
      <c r="B8" s="41" t="s">
        <v>35</v>
      </c>
      <c r="C8" s="42"/>
      <c r="D8" s="42"/>
    </row>
    <row r="9" spans="2:4" x14ac:dyDescent="0.25">
      <c r="B9" s="41" t="s">
        <v>36</v>
      </c>
      <c r="C9" s="42"/>
      <c r="D9" s="42"/>
    </row>
    <row r="10" spans="2:4" x14ac:dyDescent="0.25">
      <c r="B10" s="43" t="s">
        <v>37</v>
      </c>
      <c r="C10" s="44"/>
      <c r="D10" s="44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Precios</vt:lpstr>
      <vt:lpstr>Histórica</vt:lpstr>
      <vt:lpstr>Dinámica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 del Angel</dc:creator>
  <cp:lastModifiedBy>DAVID MENDIETA LOPEZ</cp:lastModifiedBy>
  <cp:lastPrinted>2018-02-07T04:35:43Z</cp:lastPrinted>
  <dcterms:created xsi:type="dcterms:W3CDTF">2018-02-06T00:07:24Z</dcterms:created>
  <dcterms:modified xsi:type="dcterms:W3CDTF">2024-02-28T22:19:49Z</dcterms:modified>
</cp:coreProperties>
</file>