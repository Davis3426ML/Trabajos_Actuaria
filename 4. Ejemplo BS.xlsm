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"/>
    </mc:Choice>
  </mc:AlternateContent>
  <xr:revisionPtr revIDLastSave="0" documentId="13_ncr:1_{3469E161-0BFC-44FD-AF58-6E0E83B175F6}" xr6:coauthVersionLast="47" xr6:coauthVersionMax="47" xr10:uidLastSave="{00000000-0000-0000-0000-000000000000}"/>
  <bookViews>
    <workbookView xWindow="-120" yWindow="-120" windowWidth="20730" windowHeight="11040" activeTab="2" xr2:uid="{5C065CF6-8853-480F-ADDB-3E4C751FAFB4}"/>
  </bookViews>
  <sheets>
    <sheet name="Curvas" sheetId="4" r:id="rId1"/>
    <sheet name="Datos" sheetId="3" r:id="rId2"/>
    <sheet name="Equity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 a="1"/>
  <c r="F14" i="1" l="1"/>
  <c r="F25" i="1" a="1"/>
  <c r="F25" i="1" l="1"/>
  <c r="E34" i="1" l="1"/>
  <c r="B34" i="1"/>
  <c r="F15" i="1"/>
  <c r="C15" i="1"/>
  <c r="D20" i="4"/>
  <c r="D14" i="4"/>
  <c r="D17" i="4"/>
  <c r="D22" i="4"/>
  <c r="D28" i="4"/>
  <c r="C10" i="4"/>
  <c r="D10" i="4"/>
  <c r="C11" i="4"/>
  <c r="D11" i="4"/>
  <c r="C12" i="4"/>
  <c r="D12" i="4"/>
  <c r="C13" i="4"/>
  <c r="D13" i="4"/>
  <c r="C14" i="4"/>
  <c r="C15" i="4"/>
  <c r="D15" i="4"/>
  <c r="C16" i="4"/>
  <c r="D16" i="4"/>
  <c r="C17" i="4"/>
  <c r="C18" i="4"/>
  <c r="D18" i="4"/>
  <c r="C19" i="4"/>
  <c r="D19" i="4"/>
  <c r="C20" i="4"/>
  <c r="C21" i="4"/>
  <c r="D21" i="4"/>
  <c r="C22" i="4"/>
  <c r="C23" i="4"/>
  <c r="D23" i="4"/>
  <c r="C24" i="4"/>
  <c r="D24" i="4"/>
  <c r="C25" i="4"/>
  <c r="D25" i="4"/>
  <c r="C26" i="4"/>
  <c r="D26" i="4"/>
  <c r="C27" i="4"/>
  <c r="D27" i="4"/>
  <c r="C28" i="4"/>
  <c r="C29" i="4"/>
  <c r="D29" i="4"/>
  <c r="C30" i="4"/>
  <c r="D30" i="4"/>
  <c r="C31" i="4"/>
  <c r="D31" i="4"/>
  <c r="C14" i="1" a="1"/>
  <c r="F10" i="1" a="1"/>
  <c r="C10" i="1" a="1"/>
  <c r="C10" i="1" l="1"/>
  <c r="F10" i="1"/>
  <c r="C14" i="1"/>
  <c r="I34" i="4"/>
  <c r="F34" i="4"/>
  <c r="D34" i="4"/>
  <c r="C34" i="4"/>
  <c r="H34" i="4" s="1"/>
  <c r="I33" i="4"/>
  <c r="F33" i="4"/>
  <c r="D33" i="4"/>
  <c r="C33" i="4"/>
  <c r="H33" i="4" s="1"/>
  <c r="I32" i="4"/>
  <c r="F32" i="4"/>
  <c r="D32" i="4"/>
  <c r="C32" i="4"/>
  <c r="H32" i="4" s="1"/>
  <c r="I31" i="4"/>
  <c r="F31" i="4"/>
  <c r="H31" i="4"/>
  <c r="I30" i="4"/>
  <c r="F30" i="4"/>
  <c r="H30" i="4"/>
  <c r="I29" i="4"/>
  <c r="F29" i="4"/>
  <c r="H29" i="4"/>
  <c r="I28" i="4"/>
  <c r="F28" i="4"/>
  <c r="H28" i="4"/>
  <c r="I27" i="4"/>
  <c r="F27" i="4"/>
  <c r="H27" i="4"/>
  <c r="I26" i="4"/>
  <c r="F26" i="4"/>
  <c r="H26" i="4"/>
  <c r="I25" i="4"/>
  <c r="F25" i="4"/>
  <c r="H25" i="4"/>
  <c r="I24" i="4"/>
  <c r="F24" i="4"/>
  <c r="H24" i="4"/>
  <c r="I23" i="4"/>
  <c r="F23" i="4"/>
  <c r="H23" i="4"/>
  <c r="I22" i="4"/>
  <c r="F22" i="4"/>
  <c r="H22" i="4"/>
  <c r="I21" i="4"/>
  <c r="F21" i="4"/>
  <c r="H21" i="4"/>
  <c r="I20" i="4"/>
  <c r="F20" i="4"/>
  <c r="H20" i="4"/>
  <c r="I19" i="4"/>
  <c r="F19" i="4"/>
  <c r="H19" i="4"/>
  <c r="I18" i="4"/>
  <c r="F18" i="4"/>
  <c r="H18" i="4"/>
  <c r="I17" i="4"/>
  <c r="F17" i="4"/>
  <c r="H17" i="4"/>
  <c r="I16" i="4"/>
  <c r="F16" i="4"/>
  <c r="H16" i="4"/>
  <c r="I15" i="4"/>
  <c r="F15" i="4"/>
  <c r="H15" i="4"/>
  <c r="I14" i="4"/>
  <c r="F14" i="4"/>
  <c r="H14" i="4"/>
  <c r="I13" i="4"/>
  <c r="F13" i="4"/>
  <c r="H13" i="4"/>
  <c r="I12" i="4"/>
  <c r="F12" i="4"/>
  <c r="H12" i="4"/>
  <c r="I11" i="4"/>
  <c r="F11" i="4"/>
  <c r="H11" i="4"/>
  <c r="I10" i="4"/>
  <c r="F10" i="4"/>
  <c r="H10" i="4"/>
  <c r="C25" i="1" a="1"/>
  <c r="C25" i="1" l="1"/>
  <c r="C17" i="1"/>
  <c r="C20" i="1" s="1"/>
  <c r="C18" i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3" i="3"/>
  <c r="F17" i="1" l="1"/>
  <c r="F20" i="1" s="1"/>
  <c r="C21" i="1"/>
  <c r="C23" i="1" s="1"/>
  <c r="F18" i="1"/>
  <c r="F21" i="1" s="1"/>
  <c r="F23" i="1" s="1"/>
  <c r="C29" i="1" l="1"/>
  <c r="C34" i="1"/>
  <c r="F34" i="1"/>
  <c r="E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tc={93B4E83D-5599-41D2-95DA-02EFC602901F}</author>
    <author>tc={51FB45D6-A73A-4957-99F2-FCECE327623E}</author>
  </authors>
  <commentList>
    <comment ref="B1" authorId="0" shapeId="0" xr:uid="{93B4E83D-5599-41D2-95DA-02EFC602901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sacan  los ultimos 252 registros historicos de la accion en cuestion</t>
      </text>
    </comment>
    <comment ref="C1" authorId="1" shapeId="0" xr:uid="{51FB45D6-A73A-4957-99F2-FCECE327623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formula clasica del rendimiento generado en esa fecha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tc={41801F15-7BFB-41B3-B657-CD76935DCBE9}</author>
    <author>tc={545D84E1-C21A-4522-B036-8CDCA5354E9A}</author>
    <author>tc={97C226EA-BFDE-4058-A513-0FA85230EAB0}</author>
    <author>tc={0BE04D00-49F6-4D22-9CE3-436C543820EF}</author>
    <author>tc={D90E4621-AA15-46DE-B4A1-AF579173DCBF}</author>
    <author>tc={455D6074-FAE6-4350-BCE4-0715A92AC384}</author>
    <author>tc={1FA7580E-25B1-4616-A1D9-C195A214516E}</author>
    <author>tc={FB3E1591-9F43-49D2-9F25-89500B43D7E8}</author>
    <author>tc={6734F768-8762-40DD-870E-9CD8BA98F06B}</author>
    <author>tc={CC8B8234-41C3-4C28-B666-068A455D3774}</author>
  </authors>
  <commentList>
    <comment ref="B10" authorId="0" shapeId="0" xr:uid="{41801F15-7BFB-41B3-B657-CD76935DCB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Aqui aplicamos un interpolacion para determinar la tasa libre de riesgo para este periodo</t>
      </text>
    </comment>
    <comment ref="D11" authorId="1" shapeId="0" xr:uid="{545D84E1-C21A-4522-B036-8CDCA5354E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referimos a la tasa de dividendos</t>
      </text>
    </comment>
    <comment ref="E12" authorId="2" shapeId="0" xr:uid="{97C226EA-BFDE-4058-A513-0FA85230EAB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el spot, es decir; el precio del subyacente al inicio del contrato</t>
      </text>
    </comment>
    <comment ref="B13" authorId="3" shapeId="0" xr:uid="{0BE04D00-49F6-4D22-9CE3-436C543820E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el strike, es decir; el precio deseado que llegue el subyacente</t>
      </text>
    </comment>
    <comment ref="E14" authorId="4" shapeId="0" xr:uid="{D90E4621-AA15-46DE-B4A1-AF579173DC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Aqui aplicamos la volatibilidad dinamica sobre los rendimientos del subyacente (visto con anterioridad)</t>
      </text>
    </comment>
    <comment ref="B15" authorId="5" shapeId="0" xr:uid="{455D6074-FAE6-4350-BCE4-0715A92AC38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necesario ver el lapso de tiempo en proporcion del ano (que comtemplamos 360 dias habiles en finanzas)</t>
      </text>
    </comment>
    <comment ref="B33" authorId="6" shapeId="0" xr:uid="{1FA7580E-25B1-4616-A1D9-C195A214516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el valor que se estaria ganando en este momento por la opcion</t>
      </text>
    </comment>
    <comment ref="C33" authorId="7" shapeId="0" xr:uid="{FB3E1591-9F43-49D2-9F25-89500B43D7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las ganacias al final del periodo de la opcion</t>
      </text>
    </comment>
    <comment ref="E33" authorId="8" shapeId="0" xr:uid="{6734F768-8762-40DD-870E-9CD8BA98F06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el valor de la opcion respecto a la ganancia en ese momento</t>
      </text>
    </comment>
    <comment ref="F33" authorId="9" shapeId="0" xr:uid="{CC8B8234-41C3-4C28-B666-068A455D377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la ganancia de esta opcion al final de este periodo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<sst xmlns="http://schemas.openxmlformats.org/spreadsheetml/2006/main" count="57" uniqueCount="42">
  <si>
    <t>Enunciado:</t>
  </si>
  <si>
    <t>OPCIÓN CALL</t>
  </si>
  <si>
    <t xml:space="preserve">R = </t>
  </si>
  <si>
    <t xml:space="preserve">q = </t>
  </si>
  <si>
    <t>S =</t>
  </si>
  <si>
    <t>K =</t>
  </si>
  <si>
    <t>T =</t>
  </si>
  <si>
    <r>
      <t>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=</t>
    </r>
  </si>
  <si>
    <r>
      <t>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=</t>
    </r>
  </si>
  <si>
    <r>
      <t>N (d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) = </t>
    </r>
  </si>
  <si>
    <r>
      <t>N (d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) = </t>
    </r>
  </si>
  <si>
    <t>Prima del Call =</t>
  </si>
  <si>
    <t>OPCIÓN PUT</t>
  </si>
  <si>
    <r>
      <t>-d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=</t>
    </r>
  </si>
  <si>
    <r>
      <t>-d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=</t>
    </r>
  </si>
  <si>
    <r>
      <t>N (-d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) = </t>
    </r>
  </si>
  <si>
    <r>
      <t>N (-d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) = </t>
    </r>
  </si>
  <si>
    <t>Prima del Put =</t>
  </si>
  <si>
    <t>PARIDAD PUT - CALL</t>
  </si>
  <si>
    <t>=</t>
  </si>
  <si>
    <t>Prima del Call V.B. =</t>
  </si>
  <si>
    <t>Prima del Put V.B. =</t>
  </si>
  <si>
    <t>Fecha</t>
  </si>
  <si>
    <t>AMX</t>
  </si>
  <si>
    <t>PRECIOS</t>
  </si>
  <si>
    <t>RENDIMIENTOS</t>
  </si>
  <si>
    <t>Curva de Tasas en Pesos (MXN)</t>
  </si>
  <si>
    <t>Curva de Tasas en Dólares (USD)</t>
  </si>
  <si>
    <t>Plazo</t>
  </si>
  <si>
    <t>Inf</t>
  </si>
  <si>
    <t>Sup</t>
  </si>
  <si>
    <t xml:space="preserve">Días = </t>
  </si>
  <si>
    <t>COMPOSICIÓN DE LA PRIMA</t>
  </si>
  <si>
    <t>Valor Intrínseco</t>
  </si>
  <si>
    <t>Valor Tiempo</t>
  </si>
  <si>
    <t>Max(S - K, 0)</t>
  </si>
  <si>
    <t>C - Max(S - K, 0)</t>
  </si>
  <si>
    <t>Max(K - S, 0)</t>
  </si>
  <si>
    <t>P - Max(K - S, 0)</t>
  </si>
  <si>
    <r>
      <t xml:space="preserve">Considere como Subyacente la Acción de AMX, con precio en el mercado de $15.55 (Spot). Se requiere calcular la </t>
    </r>
    <r>
      <rPr>
        <b/>
        <sz val="11"/>
        <color theme="1"/>
        <rFont val="Calibri"/>
        <family val="2"/>
        <scheme val="minor"/>
      </rPr>
      <t>Prima de un Call y un Put</t>
    </r>
    <r>
      <rPr>
        <sz val="11"/>
        <color theme="1"/>
        <rFont val="Calibri"/>
        <family val="2"/>
        <scheme val="minor"/>
      </rPr>
      <t xml:space="preserve"> que vence en 3 meses (90 días), cuyo Strike (K) es de $16.20. Calcule la tasa libre de Riesgo con las Curvas (R) y la Volatilidad Dinámica para AMX, considere un Dividend Yield de 3%.</t>
    </r>
  </si>
  <si>
    <t>Dividend yield</t>
  </si>
  <si>
    <t>Volatilidad (σ)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</si>
</sst>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164" formatCode="0.0000"/>
    <numFmt numFmtId="165" formatCode="&quot;$&quot;#,##0.0000;\-&quot;$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rgb="FF00B0F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165" fontId="1" fillId="2" borderId="0" xfId="0" applyNumberFormat="1" applyFont="1" applyFill="1" applyAlignment="1">
      <alignment horizontal="center"/>
    </xf>
    <xf numFmtId="165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4" xfId="0" applyFont="1" applyBorder="1" applyAlignment="1">
      <alignment horizontal="center"/>
    </xf>
    <xf numFmtId="10" fontId="0" fillId="0" borderId="0" xfId="1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3" fontId="0" fillId="0" borderId="0" xfId="0" applyNumberFormat="1"/>
    <xf numFmtId="0" fontId="2" fillId="0" borderId="0" xfId="0" applyFont="1" applyAlignment="1">
      <alignment wrapText="1"/>
    </xf>
    <xf numFmtId="0" fontId="6" fillId="0" borderId="0" xfId="0" applyFont="1" applyAlignment="1">
      <alignment horizontal="left" vertical="top" indent="3"/>
    </xf>
    <xf numFmtId="0" fontId="1" fillId="0" borderId="5" xfId="0" applyFont="1" applyBorder="1" applyAlignment="1">
      <alignment horizontal="center"/>
    </xf>
    <xf numFmtId="0" fontId="0" fillId="0" borderId="0" xfId="0" applyAlignment="1">
      <alignment horizontal="right" indent="1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left" indent="7"/>
    </xf>
    <xf numFmtId="0" fontId="2" fillId="0" borderId="4" xfId="0" applyFont="1" applyBorder="1"/>
    <xf numFmtId="0" fontId="0" fillId="0" borderId="9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7" fontId="0" fillId="0" borderId="1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0" xfId="0" applyFill="1" applyAlignment="1">
      <alignment wrapText="1"/>
    </xf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1" fillId="0" borderId="4" xfId="0" quotePrefix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180975</xdr:rowOff>
    </xdr:from>
    <xdr:to>
      <xdr:col>6</xdr:col>
      <xdr:colOff>495300</xdr:colOff>
      <xdr:row>5</xdr:row>
      <xdr:rowOff>104775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0A95665-7A0B-73A4-0E7E-54B07E42C9C1}"/>
            </a:ext>
          </a:extLst>
        </xdr:cNvPr>
        <xdr:cNvSpPr txBox="1"/>
      </xdr:nvSpPr>
      <xdr:spPr>
        <a:xfrm>
          <a:off x="1704975" y="180975"/>
          <a:ext cx="3362325" cy="876300"/>
        </a:xfrm>
        <a:custGeom>
          <a:avLst/>
          <a:gdLst>
            <a:gd name="connsiteX0" fmla="*/ 0 w 3362325"/>
            <a:gd name="connsiteY0" fmla="*/ 0 h 876300"/>
            <a:gd name="connsiteX1" fmla="*/ 571595 w 3362325"/>
            <a:gd name="connsiteY1" fmla="*/ 0 h 876300"/>
            <a:gd name="connsiteX2" fmla="*/ 1143191 w 3362325"/>
            <a:gd name="connsiteY2" fmla="*/ 0 h 876300"/>
            <a:gd name="connsiteX3" fmla="*/ 1782032 w 3362325"/>
            <a:gd name="connsiteY3" fmla="*/ 0 h 876300"/>
            <a:gd name="connsiteX4" fmla="*/ 2488121 w 3362325"/>
            <a:gd name="connsiteY4" fmla="*/ 0 h 876300"/>
            <a:gd name="connsiteX5" fmla="*/ 3362325 w 3362325"/>
            <a:gd name="connsiteY5" fmla="*/ 0 h 876300"/>
            <a:gd name="connsiteX6" fmla="*/ 3362325 w 3362325"/>
            <a:gd name="connsiteY6" fmla="*/ 438150 h 876300"/>
            <a:gd name="connsiteX7" fmla="*/ 3362325 w 3362325"/>
            <a:gd name="connsiteY7" fmla="*/ 876300 h 876300"/>
            <a:gd name="connsiteX8" fmla="*/ 2689860 w 3362325"/>
            <a:gd name="connsiteY8" fmla="*/ 876300 h 876300"/>
            <a:gd name="connsiteX9" fmla="*/ 1983772 w 3362325"/>
            <a:gd name="connsiteY9" fmla="*/ 876300 h 876300"/>
            <a:gd name="connsiteX10" fmla="*/ 1412176 w 3362325"/>
            <a:gd name="connsiteY10" fmla="*/ 876300 h 876300"/>
            <a:gd name="connsiteX11" fmla="*/ 806958 w 3362325"/>
            <a:gd name="connsiteY11" fmla="*/ 876300 h 876300"/>
            <a:gd name="connsiteX12" fmla="*/ 0 w 3362325"/>
            <a:gd name="connsiteY12" fmla="*/ 876300 h 876300"/>
            <a:gd name="connsiteX13" fmla="*/ 0 w 3362325"/>
            <a:gd name="connsiteY13" fmla="*/ 446913 h 876300"/>
            <a:gd name="connsiteX14" fmla="*/ 0 w 3362325"/>
            <a:gd name="connsiteY14" fmla="*/ 0 h 876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3362325" h="876300" fill="none" extrusionOk="0">
              <a:moveTo>
                <a:pt x="0" y="0"/>
              </a:moveTo>
              <a:cubicBezTo>
                <a:pt x="171821" y="-18679"/>
                <a:pt x="336731" y="28397"/>
                <a:pt x="571595" y="0"/>
              </a:cubicBezTo>
              <a:cubicBezTo>
                <a:pt x="806459" y="-28397"/>
                <a:pt x="1024391" y="23946"/>
                <a:pt x="1143191" y="0"/>
              </a:cubicBezTo>
              <a:cubicBezTo>
                <a:pt x="1261991" y="-23946"/>
                <a:pt x="1557847" y="31763"/>
                <a:pt x="1782032" y="0"/>
              </a:cubicBezTo>
              <a:cubicBezTo>
                <a:pt x="2006217" y="-31763"/>
                <a:pt x="2148487" y="9288"/>
                <a:pt x="2488121" y="0"/>
              </a:cubicBezTo>
              <a:cubicBezTo>
                <a:pt x="2827755" y="-9288"/>
                <a:pt x="3186875" y="-1725"/>
                <a:pt x="3362325" y="0"/>
              </a:cubicBezTo>
              <a:cubicBezTo>
                <a:pt x="3345813" y="91611"/>
                <a:pt x="3378531" y="234109"/>
                <a:pt x="3362325" y="438150"/>
              </a:cubicBezTo>
              <a:cubicBezTo>
                <a:pt x="3346120" y="642191"/>
                <a:pt x="3374244" y="786497"/>
                <a:pt x="3362325" y="876300"/>
              </a:cubicBezTo>
              <a:cubicBezTo>
                <a:pt x="3163216" y="862839"/>
                <a:pt x="2877522" y="889737"/>
                <a:pt x="2689860" y="876300"/>
              </a:cubicBezTo>
              <a:cubicBezTo>
                <a:pt x="2502199" y="862863"/>
                <a:pt x="2320484" y="905730"/>
                <a:pt x="1983772" y="876300"/>
              </a:cubicBezTo>
              <a:cubicBezTo>
                <a:pt x="1647060" y="846870"/>
                <a:pt x="1620038" y="904789"/>
                <a:pt x="1412176" y="876300"/>
              </a:cubicBezTo>
              <a:cubicBezTo>
                <a:pt x="1204314" y="847811"/>
                <a:pt x="1012886" y="904676"/>
                <a:pt x="806958" y="876300"/>
              </a:cubicBezTo>
              <a:cubicBezTo>
                <a:pt x="601030" y="847924"/>
                <a:pt x="267961" y="859643"/>
                <a:pt x="0" y="876300"/>
              </a:cubicBezTo>
              <a:cubicBezTo>
                <a:pt x="-5334" y="776638"/>
                <a:pt x="4504" y="589347"/>
                <a:pt x="0" y="446913"/>
              </a:cubicBezTo>
              <a:cubicBezTo>
                <a:pt x="-4504" y="304479"/>
                <a:pt x="-15148" y="140822"/>
                <a:pt x="0" y="0"/>
              </a:cubicBezTo>
              <a:close/>
            </a:path>
            <a:path w="3362325" h="876300" stroke="0" extrusionOk="0">
              <a:moveTo>
                <a:pt x="0" y="0"/>
              </a:moveTo>
              <a:cubicBezTo>
                <a:pt x="301150" y="-22585"/>
                <a:pt x="380679" y="-28205"/>
                <a:pt x="672465" y="0"/>
              </a:cubicBezTo>
              <a:cubicBezTo>
                <a:pt x="964252" y="28205"/>
                <a:pt x="1177377" y="28553"/>
                <a:pt x="1344930" y="0"/>
              </a:cubicBezTo>
              <a:cubicBezTo>
                <a:pt x="1512483" y="-28553"/>
                <a:pt x="1688391" y="-28553"/>
                <a:pt x="2017395" y="0"/>
              </a:cubicBezTo>
              <a:cubicBezTo>
                <a:pt x="2346399" y="28553"/>
                <a:pt x="2494597" y="-23743"/>
                <a:pt x="2757107" y="0"/>
              </a:cubicBezTo>
              <a:cubicBezTo>
                <a:pt x="3019617" y="23743"/>
                <a:pt x="3093706" y="5507"/>
                <a:pt x="3362325" y="0"/>
              </a:cubicBezTo>
              <a:cubicBezTo>
                <a:pt x="3382136" y="178298"/>
                <a:pt x="3377197" y="278359"/>
                <a:pt x="3362325" y="446913"/>
              </a:cubicBezTo>
              <a:cubicBezTo>
                <a:pt x="3347453" y="615467"/>
                <a:pt x="3346931" y="704212"/>
                <a:pt x="3362325" y="876300"/>
              </a:cubicBezTo>
              <a:cubicBezTo>
                <a:pt x="3202056" y="863829"/>
                <a:pt x="2956401" y="856798"/>
                <a:pt x="2656237" y="876300"/>
              </a:cubicBezTo>
              <a:cubicBezTo>
                <a:pt x="2356073" y="895802"/>
                <a:pt x="2258362" y="865686"/>
                <a:pt x="1950148" y="876300"/>
              </a:cubicBezTo>
              <a:cubicBezTo>
                <a:pt x="1641934" y="886914"/>
                <a:pt x="1587671" y="857730"/>
                <a:pt x="1244060" y="876300"/>
              </a:cubicBezTo>
              <a:cubicBezTo>
                <a:pt x="900449" y="894870"/>
                <a:pt x="340472" y="891755"/>
                <a:pt x="0" y="876300"/>
              </a:cubicBezTo>
              <a:cubicBezTo>
                <a:pt x="-2094" y="682384"/>
                <a:pt x="-12862" y="569472"/>
                <a:pt x="0" y="455676"/>
              </a:cubicBezTo>
              <a:cubicBezTo>
                <a:pt x="12862" y="341880"/>
                <a:pt x="-3943" y="11433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chemeClr val="accent6">
              <a:lumMod val="75000"/>
            </a:schemeClr>
          </a:solidFill>
          <a:extLst>
            <a:ext uri="{C807C97D-BFC1-408E-A445-0C87EB9F89A2}">
              <ask:lineSketchStyleProps xmlns:ask="http://schemas.microsoft.com/office/drawing/2018/sketchyshapes" sd="1799507865">
                <a:prstGeom prst="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 curva de tasas</a:t>
          </a:r>
          <a:r>
            <a:rPr lang="es-MX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exhibe la relación que existe entre los rendimientos de títulos de renta fija y el plazo restante para el vencimiento.</a:t>
          </a:r>
          <a:endParaRPr lang="es-MX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2</xdr:row>
      <xdr:rowOff>133350</xdr:rowOff>
    </xdr:from>
    <xdr:to>
      <xdr:col>8</xdr:col>
      <xdr:colOff>352425</xdr:colOff>
      <xdr:row>7</xdr:row>
      <xdr:rowOff>57150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E4B7498-24B7-4657-A786-6EBA2F58FE5B}"/>
            </a:ext>
          </a:extLst>
        </xdr:cNvPr>
        <xdr:cNvSpPr txBox="1"/>
      </xdr:nvSpPr>
      <xdr:spPr>
        <a:xfrm>
          <a:off x="3543300" y="514350"/>
          <a:ext cx="3362325" cy="876300"/>
        </a:xfrm>
        <a:custGeom>
          <a:avLst/>
          <a:gdLst>
            <a:gd name="connsiteX0" fmla="*/ 0 w 3362325"/>
            <a:gd name="connsiteY0" fmla="*/ 0 h 876300"/>
            <a:gd name="connsiteX1" fmla="*/ 571595 w 3362325"/>
            <a:gd name="connsiteY1" fmla="*/ 0 h 876300"/>
            <a:gd name="connsiteX2" fmla="*/ 1143191 w 3362325"/>
            <a:gd name="connsiteY2" fmla="*/ 0 h 876300"/>
            <a:gd name="connsiteX3" fmla="*/ 1782032 w 3362325"/>
            <a:gd name="connsiteY3" fmla="*/ 0 h 876300"/>
            <a:gd name="connsiteX4" fmla="*/ 2488121 w 3362325"/>
            <a:gd name="connsiteY4" fmla="*/ 0 h 876300"/>
            <a:gd name="connsiteX5" fmla="*/ 3362325 w 3362325"/>
            <a:gd name="connsiteY5" fmla="*/ 0 h 876300"/>
            <a:gd name="connsiteX6" fmla="*/ 3362325 w 3362325"/>
            <a:gd name="connsiteY6" fmla="*/ 438150 h 876300"/>
            <a:gd name="connsiteX7" fmla="*/ 3362325 w 3362325"/>
            <a:gd name="connsiteY7" fmla="*/ 876300 h 876300"/>
            <a:gd name="connsiteX8" fmla="*/ 2689860 w 3362325"/>
            <a:gd name="connsiteY8" fmla="*/ 876300 h 876300"/>
            <a:gd name="connsiteX9" fmla="*/ 1983772 w 3362325"/>
            <a:gd name="connsiteY9" fmla="*/ 876300 h 876300"/>
            <a:gd name="connsiteX10" fmla="*/ 1412176 w 3362325"/>
            <a:gd name="connsiteY10" fmla="*/ 876300 h 876300"/>
            <a:gd name="connsiteX11" fmla="*/ 806958 w 3362325"/>
            <a:gd name="connsiteY11" fmla="*/ 876300 h 876300"/>
            <a:gd name="connsiteX12" fmla="*/ 0 w 3362325"/>
            <a:gd name="connsiteY12" fmla="*/ 876300 h 876300"/>
            <a:gd name="connsiteX13" fmla="*/ 0 w 3362325"/>
            <a:gd name="connsiteY13" fmla="*/ 446913 h 876300"/>
            <a:gd name="connsiteX14" fmla="*/ 0 w 3362325"/>
            <a:gd name="connsiteY14" fmla="*/ 0 h 876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3362325" h="876300" fill="none" extrusionOk="0">
              <a:moveTo>
                <a:pt x="0" y="0"/>
              </a:moveTo>
              <a:cubicBezTo>
                <a:pt x="171821" y="-18679"/>
                <a:pt x="336731" y="28397"/>
                <a:pt x="571595" y="0"/>
              </a:cubicBezTo>
              <a:cubicBezTo>
                <a:pt x="806459" y="-28397"/>
                <a:pt x="1024391" y="23946"/>
                <a:pt x="1143191" y="0"/>
              </a:cubicBezTo>
              <a:cubicBezTo>
                <a:pt x="1261991" y="-23946"/>
                <a:pt x="1557847" y="31763"/>
                <a:pt x="1782032" y="0"/>
              </a:cubicBezTo>
              <a:cubicBezTo>
                <a:pt x="2006217" y="-31763"/>
                <a:pt x="2148487" y="9288"/>
                <a:pt x="2488121" y="0"/>
              </a:cubicBezTo>
              <a:cubicBezTo>
                <a:pt x="2827755" y="-9288"/>
                <a:pt x="3186875" y="-1725"/>
                <a:pt x="3362325" y="0"/>
              </a:cubicBezTo>
              <a:cubicBezTo>
                <a:pt x="3345813" y="91611"/>
                <a:pt x="3378531" y="234109"/>
                <a:pt x="3362325" y="438150"/>
              </a:cubicBezTo>
              <a:cubicBezTo>
                <a:pt x="3346120" y="642191"/>
                <a:pt x="3374244" y="786497"/>
                <a:pt x="3362325" y="876300"/>
              </a:cubicBezTo>
              <a:cubicBezTo>
                <a:pt x="3163216" y="862839"/>
                <a:pt x="2877522" y="889737"/>
                <a:pt x="2689860" y="876300"/>
              </a:cubicBezTo>
              <a:cubicBezTo>
                <a:pt x="2502199" y="862863"/>
                <a:pt x="2320484" y="905730"/>
                <a:pt x="1983772" y="876300"/>
              </a:cubicBezTo>
              <a:cubicBezTo>
                <a:pt x="1647060" y="846870"/>
                <a:pt x="1620038" y="904789"/>
                <a:pt x="1412176" y="876300"/>
              </a:cubicBezTo>
              <a:cubicBezTo>
                <a:pt x="1204314" y="847811"/>
                <a:pt x="1012886" y="904676"/>
                <a:pt x="806958" y="876300"/>
              </a:cubicBezTo>
              <a:cubicBezTo>
                <a:pt x="601030" y="847924"/>
                <a:pt x="267961" y="859643"/>
                <a:pt x="0" y="876300"/>
              </a:cubicBezTo>
              <a:cubicBezTo>
                <a:pt x="-5334" y="776638"/>
                <a:pt x="4504" y="589347"/>
                <a:pt x="0" y="446913"/>
              </a:cubicBezTo>
              <a:cubicBezTo>
                <a:pt x="-4504" y="304479"/>
                <a:pt x="-15148" y="140822"/>
                <a:pt x="0" y="0"/>
              </a:cubicBezTo>
              <a:close/>
            </a:path>
            <a:path w="3362325" h="876300" stroke="0" extrusionOk="0">
              <a:moveTo>
                <a:pt x="0" y="0"/>
              </a:moveTo>
              <a:cubicBezTo>
                <a:pt x="301150" y="-22585"/>
                <a:pt x="380679" y="-28205"/>
                <a:pt x="672465" y="0"/>
              </a:cubicBezTo>
              <a:cubicBezTo>
                <a:pt x="964252" y="28205"/>
                <a:pt x="1177377" y="28553"/>
                <a:pt x="1344930" y="0"/>
              </a:cubicBezTo>
              <a:cubicBezTo>
                <a:pt x="1512483" y="-28553"/>
                <a:pt x="1688391" y="-28553"/>
                <a:pt x="2017395" y="0"/>
              </a:cubicBezTo>
              <a:cubicBezTo>
                <a:pt x="2346399" y="28553"/>
                <a:pt x="2494597" y="-23743"/>
                <a:pt x="2757107" y="0"/>
              </a:cubicBezTo>
              <a:cubicBezTo>
                <a:pt x="3019617" y="23743"/>
                <a:pt x="3093706" y="5507"/>
                <a:pt x="3362325" y="0"/>
              </a:cubicBezTo>
              <a:cubicBezTo>
                <a:pt x="3382136" y="178298"/>
                <a:pt x="3377197" y="278359"/>
                <a:pt x="3362325" y="446913"/>
              </a:cubicBezTo>
              <a:cubicBezTo>
                <a:pt x="3347453" y="615467"/>
                <a:pt x="3346931" y="704212"/>
                <a:pt x="3362325" y="876300"/>
              </a:cubicBezTo>
              <a:cubicBezTo>
                <a:pt x="3202056" y="863829"/>
                <a:pt x="2956401" y="856798"/>
                <a:pt x="2656237" y="876300"/>
              </a:cubicBezTo>
              <a:cubicBezTo>
                <a:pt x="2356073" y="895802"/>
                <a:pt x="2258362" y="865686"/>
                <a:pt x="1950148" y="876300"/>
              </a:cubicBezTo>
              <a:cubicBezTo>
                <a:pt x="1641934" y="886914"/>
                <a:pt x="1587671" y="857730"/>
                <a:pt x="1244060" y="876300"/>
              </a:cubicBezTo>
              <a:cubicBezTo>
                <a:pt x="900449" y="894870"/>
                <a:pt x="340472" y="891755"/>
                <a:pt x="0" y="876300"/>
              </a:cubicBezTo>
              <a:cubicBezTo>
                <a:pt x="-2094" y="682384"/>
                <a:pt x="-12862" y="569472"/>
                <a:pt x="0" y="455676"/>
              </a:cubicBezTo>
              <a:cubicBezTo>
                <a:pt x="12862" y="341880"/>
                <a:pt x="-3943" y="11433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chemeClr val="accent6">
              <a:lumMod val="75000"/>
            </a:schemeClr>
          </a:solidFill>
          <a:extLst>
            <a:ext uri="{C807C97D-BFC1-408E-A445-0C87EB9F89A2}">
              <ask:lineSketchStyleProps xmlns:ask="http://schemas.microsoft.com/office/drawing/2018/sketchyshapes" sd="1799507865">
                <a:prstGeom prst="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/>
            <a:t>En</a:t>
          </a:r>
          <a:r>
            <a:rPr lang="es-MX" sz="1200" baseline="0"/>
            <a:t> datos tenemos los rendimientos de una accion (subyacente) que nos ayudara al desarrollo de las opcion....</a:t>
          </a:r>
          <a:endParaRPr lang="es-MX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2</xdr:col>
      <xdr:colOff>1094014</xdr:colOff>
      <xdr:row>41</xdr:row>
      <xdr:rowOff>16329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FCAE9756-D68E-9E5A-DB63-458547964E1C}"/>
            </a:ext>
          </a:extLst>
        </xdr:cNvPr>
        <xdr:cNvCxnSpPr/>
      </xdr:nvCxnSpPr>
      <xdr:spPr>
        <a:xfrm>
          <a:off x="2035629" y="7620000"/>
          <a:ext cx="2334985" cy="1632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36</xdr:row>
      <xdr:rowOff>130624</xdr:rowOff>
    </xdr:from>
    <xdr:to>
      <xdr:col>1</xdr:col>
      <xdr:colOff>10885</xdr:colOff>
      <xdr:row>44</xdr:row>
      <xdr:rowOff>163281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4AF9F914-A164-45AA-99AF-5A10919A2EB7}"/>
            </a:ext>
          </a:extLst>
        </xdr:cNvPr>
        <xdr:cNvCxnSpPr/>
      </xdr:nvCxnSpPr>
      <xdr:spPr>
        <a:xfrm>
          <a:off x="2035629" y="6825338"/>
          <a:ext cx="10885" cy="151311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756556</xdr:colOff>
      <xdr:row>37</xdr:row>
      <xdr:rowOff>119743</xdr:rowOff>
    </xdr:from>
    <xdr:to>
      <xdr:col>2</xdr:col>
      <xdr:colOff>996042</xdr:colOff>
      <xdr:row>42</xdr:row>
      <xdr:rowOff>179614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A81B5A4A-3E18-89B5-285C-0C6E7AD04759}"/>
            </a:ext>
          </a:extLst>
        </xdr:cNvPr>
        <xdr:cNvCxnSpPr/>
      </xdr:nvCxnSpPr>
      <xdr:spPr>
        <a:xfrm flipV="1">
          <a:off x="2792185" y="6999514"/>
          <a:ext cx="1480457" cy="985157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1496785</xdr:colOff>
      <xdr:row>42</xdr:row>
      <xdr:rowOff>174172</xdr:rowOff>
    </xdr:from>
    <xdr:to>
      <xdr:col>1</xdr:col>
      <xdr:colOff>756557</xdr:colOff>
      <xdr:row>43</xdr:row>
      <xdr:rowOff>1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434A987F-A2E3-401A-B1C9-5718939A4CA8}"/>
            </a:ext>
          </a:extLst>
        </xdr:cNvPr>
        <xdr:cNvCxnSpPr/>
      </xdr:nvCxnSpPr>
      <xdr:spPr>
        <a:xfrm>
          <a:off x="1496785" y="7979229"/>
          <a:ext cx="1295401" cy="10886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238126</xdr:colOff>
      <xdr:row>1</xdr:row>
      <xdr:rowOff>83343</xdr:rowOff>
    </xdr:from>
    <xdr:to>
      <xdr:col>8</xdr:col>
      <xdr:colOff>559594</xdr:colOff>
      <xdr:row>5</xdr:row>
      <xdr:rowOff>83343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5D96060-EEBB-4188-BE3C-FE65AD1265FE}"/>
            </a:ext>
          </a:extLst>
        </xdr:cNvPr>
        <xdr:cNvSpPr txBox="1"/>
      </xdr:nvSpPr>
      <xdr:spPr>
        <a:xfrm>
          <a:off x="238126" y="273843"/>
          <a:ext cx="8774906" cy="762000"/>
        </a:xfrm>
        <a:custGeom>
          <a:avLst/>
          <a:gdLst>
            <a:gd name="connsiteX0" fmla="*/ 0 w 8774906"/>
            <a:gd name="connsiteY0" fmla="*/ 0 h 762000"/>
            <a:gd name="connsiteX1" fmla="*/ 850491 w 8774906"/>
            <a:gd name="connsiteY1" fmla="*/ 0 h 762000"/>
            <a:gd name="connsiteX2" fmla="*/ 1525484 w 8774906"/>
            <a:gd name="connsiteY2" fmla="*/ 0 h 762000"/>
            <a:gd name="connsiteX3" fmla="*/ 2200476 w 8774906"/>
            <a:gd name="connsiteY3" fmla="*/ 0 h 762000"/>
            <a:gd name="connsiteX4" fmla="*/ 2699971 w 8774906"/>
            <a:gd name="connsiteY4" fmla="*/ 0 h 762000"/>
            <a:gd name="connsiteX5" fmla="*/ 3199466 w 8774906"/>
            <a:gd name="connsiteY5" fmla="*/ 0 h 762000"/>
            <a:gd name="connsiteX6" fmla="*/ 3698960 w 8774906"/>
            <a:gd name="connsiteY6" fmla="*/ 0 h 762000"/>
            <a:gd name="connsiteX7" fmla="*/ 4286204 w 8774906"/>
            <a:gd name="connsiteY7" fmla="*/ 0 h 762000"/>
            <a:gd name="connsiteX8" fmla="*/ 4785699 w 8774906"/>
            <a:gd name="connsiteY8" fmla="*/ 0 h 762000"/>
            <a:gd name="connsiteX9" fmla="*/ 5285193 w 8774906"/>
            <a:gd name="connsiteY9" fmla="*/ 0 h 762000"/>
            <a:gd name="connsiteX10" fmla="*/ 6135684 w 8774906"/>
            <a:gd name="connsiteY10" fmla="*/ 0 h 762000"/>
            <a:gd name="connsiteX11" fmla="*/ 6810677 w 8774906"/>
            <a:gd name="connsiteY11" fmla="*/ 0 h 762000"/>
            <a:gd name="connsiteX12" fmla="*/ 7661168 w 8774906"/>
            <a:gd name="connsiteY12" fmla="*/ 0 h 762000"/>
            <a:gd name="connsiteX13" fmla="*/ 8072914 w 8774906"/>
            <a:gd name="connsiteY13" fmla="*/ 0 h 762000"/>
            <a:gd name="connsiteX14" fmla="*/ 8774906 w 8774906"/>
            <a:gd name="connsiteY14" fmla="*/ 0 h 762000"/>
            <a:gd name="connsiteX15" fmla="*/ 8774906 w 8774906"/>
            <a:gd name="connsiteY15" fmla="*/ 388620 h 762000"/>
            <a:gd name="connsiteX16" fmla="*/ 8774906 w 8774906"/>
            <a:gd name="connsiteY16" fmla="*/ 762000 h 762000"/>
            <a:gd name="connsiteX17" fmla="*/ 8012164 w 8774906"/>
            <a:gd name="connsiteY17" fmla="*/ 762000 h 762000"/>
            <a:gd name="connsiteX18" fmla="*/ 7249422 w 8774906"/>
            <a:gd name="connsiteY18" fmla="*/ 762000 h 762000"/>
            <a:gd name="connsiteX19" fmla="*/ 6837677 w 8774906"/>
            <a:gd name="connsiteY19" fmla="*/ 762000 h 762000"/>
            <a:gd name="connsiteX20" fmla="*/ 6425931 w 8774906"/>
            <a:gd name="connsiteY20" fmla="*/ 762000 h 762000"/>
            <a:gd name="connsiteX21" fmla="*/ 5575440 w 8774906"/>
            <a:gd name="connsiteY21" fmla="*/ 762000 h 762000"/>
            <a:gd name="connsiteX22" fmla="*/ 4900448 w 8774906"/>
            <a:gd name="connsiteY22" fmla="*/ 762000 h 762000"/>
            <a:gd name="connsiteX23" fmla="*/ 4313204 w 8774906"/>
            <a:gd name="connsiteY23" fmla="*/ 762000 h 762000"/>
            <a:gd name="connsiteX24" fmla="*/ 3462713 w 8774906"/>
            <a:gd name="connsiteY24" fmla="*/ 762000 h 762000"/>
            <a:gd name="connsiteX25" fmla="*/ 2787720 w 8774906"/>
            <a:gd name="connsiteY25" fmla="*/ 762000 h 762000"/>
            <a:gd name="connsiteX26" fmla="*/ 2112727 w 8774906"/>
            <a:gd name="connsiteY26" fmla="*/ 762000 h 762000"/>
            <a:gd name="connsiteX27" fmla="*/ 1700982 w 8774906"/>
            <a:gd name="connsiteY27" fmla="*/ 762000 h 762000"/>
            <a:gd name="connsiteX28" fmla="*/ 1025989 w 8774906"/>
            <a:gd name="connsiteY28" fmla="*/ 762000 h 762000"/>
            <a:gd name="connsiteX29" fmla="*/ 0 w 8774906"/>
            <a:gd name="connsiteY29" fmla="*/ 762000 h 762000"/>
            <a:gd name="connsiteX30" fmla="*/ 0 w 8774906"/>
            <a:gd name="connsiteY30" fmla="*/ 396240 h 762000"/>
            <a:gd name="connsiteX31" fmla="*/ 0 w 8774906"/>
            <a:gd name="connsiteY31" fmla="*/ 0 h 762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</a:cxnLst>
          <a:rect l="l" t="t" r="r" b="b"/>
          <a:pathLst>
            <a:path w="8774906" h="762000" fill="none" extrusionOk="0">
              <a:moveTo>
                <a:pt x="0" y="0"/>
              </a:moveTo>
              <a:cubicBezTo>
                <a:pt x="272251" y="-37139"/>
                <a:pt x="673961" y="25299"/>
                <a:pt x="850491" y="0"/>
              </a:cubicBezTo>
              <a:cubicBezTo>
                <a:pt x="1027021" y="-25299"/>
                <a:pt x="1226625" y="6941"/>
                <a:pt x="1525484" y="0"/>
              </a:cubicBezTo>
              <a:cubicBezTo>
                <a:pt x="1824343" y="-6941"/>
                <a:pt x="1962627" y="-29939"/>
                <a:pt x="2200476" y="0"/>
              </a:cubicBezTo>
              <a:cubicBezTo>
                <a:pt x="2438325" y="29939"/>
                <a:pt x="2485487" y="-12851"/>
                <a:pt x="2699971" y="0"/>
              </a:cubicBezTo>
              <a:cubicBezTo>
                <a:pt x="2914456" y="12851"/>
                <a:pt x="3002135" y="12954"/>
                <a:pt x="3199466" y="0"/>
              </a:cubicBezTo>
              <a:cubicBezTo>
                <a:pt x="3396797" y="-12954"/>
                <a:pt x="3544162" y="-17301"/>
                <a:pt x="3698960" y="0"/>
              </a:cubicBezTo>
              <a:cubicBezTo>
                <a:pt x="3853758" y="17301"/>
                <a:pt x="4018053" y="-21287"/>
                <a:pt x="4286204" y="0"/>
              </a:cubicBezTo>
              <a:cubicBezTo>
                <a:pt x="4554355" y="21287"/>
                <a:pt x="4542207" y="-22989"/>
                <a:pt x="4785699" y="0"/>
              </a:cubicBezTo>
              <a:cubicBezTo>
                <a:pt x="5029191" y="22989"/>
                <a:pt x="5123532" y="-6433"/>
                <a:pt x="5285193" y="0"/>
              </a:cubicBezTo>
              <a:cubicBezTo>
                <a:pt x="5446854" y="6433"/>
                <a:pt x="5931485" y="3915"/>
                <a:pt x="6135684" y="0"/>
              </a:cubicBezTo>
              <a:cubicBezTo>
                <a:pt x="6339883" y="-3915"/>
                <a:pt x="6539847" y="-1886"/>
                <a:pt x="6810677" y="0"/>
              </a:cubicBezTo>
              <a:cubicBezTo>
                <a:pt x="7081507" y="1886"/>
                <a:pt x="7305389" y="-32643"/>
                <a:pt x="7661168" y="0"/>
              </a:cubicBezTo>
              <a:cubicBezTo>
                <a:pt x="8016947" y="32643"/>
                <a:pt x="7874767" y="1321"/>
                <a:pt x="8072914" y="0"/>
              </a:cubicBezTo>
              <a:cubicBezTo>
                <a:pt x="8271061" y="-1321"/>
                <a:pt x="8560013" y="-8968"/>
                <a:pt x="8774906" y="0"/>
              </a:cubicBezTo>
              <a:cubicBezTo>
                <a:pt x="8772713" y="131527"/>
                <a:pt x="8777953" y="310127"/>
                <a:pt x="8774906" y="388620"/>
              </a:cubicBezTo>
              <a:cubicBezTo>
                <a:pt x="8771859" y="467113"/>
                <a:pt x="8776796" y="582725"/>
                <a:pt x="8774906" y="762000"/>
              </a:cubicBezTo>
              <a:cubicBezTo>
                <a:pt x="8604692" y="774836"/>
                <a:pt x="8328354" y="733325"/>
                <a:pt x="8012164" y="762000"/>
              </a:cubicBezTo>
              <a:cubicBezTo>
                <a:pt x="7695974" y="790675"/>
                <a:pt x="7619168" y="770343"/>
                <a:pt x="7249422" y="762000"/>
              </a:cubicBezTo>
              <a:cubicBezTo>
                <a:pt x="6879676" y="753657"/>
                <a:pt x="6925980" y="744049"/>
                <a:pt x="6837677" y="762000"/>
              </a:cubicBezTo>
              <a:cubicBezTo>
                <a:pt x="6749375" y="779951"/>
                <a:pt x="6573426" y="765004"/>
                <a:pt x="6425931" y="762000"/>
              </a:cubicBezTo>
              <a:cubicBezTo>
                <a:pt x="6278436" y="758996"/>
                <a:pt x="5795766" y="781898"/>
                <a:pt x="5575440" y="762000"/>
              </a:cubicBezTo>
              <a:cubicBezTo>
                <a:pt x="5355114" y="742102"/>
                <a:pt x="5129679" y="741696"/>
                <a:pt x="4900448" y="762000"/>
              </a:cubicBezTo>
              <a:cubicBezTo>
                <a:pt x="4671217" y="782304"/>
                <a:pt x="4451767" y="769002"/>
                <a:pt x="4313204" y="762000"/>
              </a:cubicBezTo>
              <a:cubicBezTo>
                <a:pt x="4174641" y="754998"/>
                <a:pt x="3661198" y="776856"/>
                <a:pt x="3462713" y="762000"/>
              </a:cubicBezTo>
              <a:cubicBezTo>
                <a:pt x="3264228" y="747144"/>
                <a:pt x="2927266" y="781708"/>
                <a:pt x="2787720" y="762000"/>
              </a:cubicBezTo>
              <a:cubicBezTo>
                <a:pt x="2648174" y="742292"/>
                <a:pt x="2253435" y="750300"/>
                <a:pt x="2112727" y="762000"/>
              </a:cubicBezTo>
              <a:cubicBezTo>
                <a:pt x="1972019" y="773700"/>
                <a:pt x="1840860" y="759760"/>
                <a:pt x="1700982" y="762000"/>
              </a:cubicBezTo>
              <a:cubicBezTo>
                <a:pt x="1561105" y="764240"/>
                <a:pt x="1179480" y="775520"/>
                <a:pt x="1025989" y="762000"/>
              </a:cubicBezTo>
              <a:cubicBezTo>
                <a:pt x="872498" y="748480"/>
                <a:pt x="406853" y="785650"/>
                <a:pt x="0" y="762000"/>
              </a:cubicBezTo>
              <a:cubicBezTo>
                <a:pt x="-9463" y="661965"/>
                <a:pt x="-109" y="543800"/>
                <a:pt x="0" y="396240"/>
              </a:cubicBezTo>
              <a:cubicBezTo>
                <a:pt x="109" y="248680"/>
                <a:pt x="-14332" y="111528"/>
                <a:pt x="0" y="0"/>
              </a:cubicBezTo>
              <a:close/>
            </a:path>
            <a:path w="8774906" h="762000" stroke="0" extrusionOk="0">
              <a:moveTo>
                <a:pt x="0" y="0"/>
              </a:moveTo>
              <a:cubicBezTo>
                <a:pt x="183692" y="-32519"/>
                <a:pt x="453281" y="7956"/>
                <a:pt x="674993" y="0"/>
              </a:cubicBezTo>
              <a:cubicBezTo>
                <a:pt x="896705" y="-7956"/>
                <a:pt x="1136606" y="-32728"/>
                <a:pt x="1349986" y="0"/>
              </a:cubicBezTo>
              <a:cubicBezTo>
                <a:pt x="1563366" y="32728"/>
                <a:pt x="1750657" y="14431"/>
                <a:pt x="2024978" y="0"/>
              </a:cubicBezTo>
              <a:cubicBezTo>
                <a:pt x="2299299" y="-14431"/>
                <a:pt x="2525031" y="27853"/>
                <a:pt x="2875469" y="0"/>
              </a:cubicBezTo>
              <a:cubicBezTo>
                <a:pt x="3225907" y="-27853"/>
                <a:pt x="3287803" y="6919"/>
                <a:pt x="3550462" y="0"/>
              </a:cubicBezTo>
              <a:cubicBezTo>
                <a:pt x="3813121" y="-6919"/>
                <a:pt x="3988948" y="-13273"/>
                <a:pt x="4313204" y="0"/>
              </a:cubicBezTo>
              <a:cubicBezTo>
                <a:pt x="4637460" y="13273"/>
                <a:pt x="4777993" y="4143"/>
                <a:pt x="5163695" y="0"/>
              </a:cubicBezTo>
              <a:cubicBezTo>
                <a:pt x="5549397" y="-4143"/>
                <a:pt x="5563061" y="-7765"/>
                <a:pt x="5663189" y="0"/>
              </a:cubicBezTo>
              <a:cubicBezTo>
                <a:pt x="5763317" y="7765"/>
                <a:pt x="6019295" y="-24200"/>
                <a:pt x="6162684" y="0"/>
              </a:cubicBezTo>
              <a:cubicBezTo>
                <a:pt x="6306074" y="24200"/>
                <a:pt x="6476233" y="10578"/>
                <a:pt x="6662179" y="0"/>
              </a:cubicBezTo>
              <a:cubicBezTo>
                <a:pt x="6848125" y="-10578"/>
                <a:pt x="7101046" y="-36096"/>
                <a:pt x="7424920" y="0"/>
              </a:cubicBezTo>
              <a:cubicBezTo>
                <a:pt x="7748794" y="36096"/>
                <a:pt x="8410114" y="-50428"/>
                <a:pt x="8774906" y="0"/>
              </a:cubicBezTo>
              <a:cubicBezTo>
                <a:pt x="8788014" y="125339"/>
                <a:pt x="8770015" y="216716"/>
                <a:pt x="8774906" y="388620"/>
              </a:cubicBezTo>
              <a:cubicBezTo>
                <a:pt x="8779797" y="560524"/>
                <a:pt x="8762838" y="638343"/>
                <a:pt x="8774906" y="762000"/>
              </a:cubicBezTo>
              <a:cubicBezTo>
                <a:pt x="8540237" y="776475"/>
                <a:pt x="8326216" y="769056"/>
                <a:pt x="8099913" y="762000"/>
              </a:cubicBezTo>
              <a:cubicBezTo>
                <a:pt x="7873610" y="754944"/>
                <a:pt x="7765220" y="751806"/>
                <a:pt x="7512670" y="762000"/>
              </a:cubicBezTo>
              <a:cubicBezTo>
                <a:pt x="7260120" y="772194"/>
                <a:pt x="6956318" y="795770"/>
                <a:pt x="6662179" y="762000"/>
              </a:cubicBezTo>
              <a:cubicBezTo>
                <a:pt x="6368040" y="728230"/>
                <a:pt x="6297817" y="744635"/>
                <a:pt x="6074935" y="762000"/>
              </a:cubicBezTo>
              <a:cubicBezTo>
                <a:pt x="5852053" y="779365"/>
                <a:pt x="5784762" y="764005"/>
                <a:pt x="5663189" y="762000"/>
              </a:cubicBezTo>
              <a:cubicBezTo>
                <a:pt x="5541616" y="759995"/>
                <a:pt x="5238256" y="730157"/>
                <a:pt x="4988197" y="762000"/>
              </a:cubicBezTo>
              <a:cubicBezTo>
                <a:pt x="4738138" y="793843"/>
                <a:pt x="4583880" y="776292"/>
                <a:pt x="4400953" y="762000"/>
              </a:cubicBezTo>
              <a:cubicBezTo>
                <a:pt x="4218026" y="747708"/>
                <a:pt x="4069006" y="745989"/>
                <a:pt x="3901458" y="762000"/>
              </a:cubicBezTo>
              <a:cubicBezTo>
                <a:pt x="3733910" y="778011"/>
                <a:pt x="3403500" y="781906"/>
                <a:pt x="3226465" y="762000"/>
              </a:cubicBezTo>
              <a:cubicBezTo>
                <a:pt x="3049430" y="742094"/>
                <a:pt x="2777141" y="768095"/>
                <a:pt x="2463724" y="762000"/>
              </a:cubicBezTo>
              <a:cubicBezTo>
                <a:pt x="2150307" y="755905"/>
                <a:pt x="2009199" y="731872"/>
                <a:pt x="1788731" y="762000"/>
              </a:cubicBezTo>
              <a:cubicBezTo>
                <a:pt x="1568263" y="792128"/>
                <a:pt x="1461592" y="767772"/>
                <a:pt x="1201487" y="762000"/>
              </a:cubicBezTo>
              <a:cubicBezTo>
                <a:pt x="941382" y="756228"/>
                <a:pt x="276047" y="794724"/>
                <a:pt x="0" y="762000"/>
              </a:cubicBezTo>
              <a:cubicBezTo>
                <a:pt x="15176" y="621391"/>
                <a:pt x="-11068" y="567191"/>
                <a:pt x="0" y="396240"/>
              </a:cubicBezTo>
              <a:cubicBezTo>
                <a:pt x="11068" y="225289"/>
                <a:pt x="2913" y="192901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chemeClr val="accent6">
              <a:lumMod val="75000"/>
            </a:schemeClr>
          </a:solidFill>
          <a:extLst>
            <a:ext uri="{C807C97D-BFC1-408E-A445-0C87EB9F89A2}">
              <ask:lineSketchStyleProps xmlns:ask="http://schemas.microsoft.com/office/drawing/2018/sketchyshapes" sd="1799507865">
                <a:prstGeom prst="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/>
            <a:t>Considere como Subyacente la Acción de </a:t>
          </a:r>
          <a:r>
            <a:rPr lang="es-MX" sz="1200" b="1"/>
            <a:t>AMX</a:t>
          </a:r>
          <a:r>
            <a:rPr lang="es-MX" sz="1200"/>
            <a:t>, con precio en el mercado de $15.55 </a:t>
          </a:r>
          <a:r>
            <a:rPr lang="es-MX" sz="1200" b="1" i="1"/>
            <a:t>(Spot)</a:t>
          </a:r>
          <a:r>
            <a:rPr lang="es-MX" sz="1200"/>
            <a:t>. Se requiere calcular </a:t>
          </a:r>
          <a:r>
            <a:rPr lang="es-MX" sz="1200" i="1"/>
            <a:t>"la Prima de un Call y un Put"</a:t>
          </a:r>
          <a:r>
            <a:rPr lang="es-MX" sz="1200"/>
            <a:t> que vence en 3 meses </a:t>
          </a:r>
          <a:r>
            <a:rPr lang="es-MX" sz="1200" b="1" i="1"/>
            <a:t>(90 días)</a:t>
          </a:r>
          <a:r>
            <a:rPr lang="es-MX" sz="1200"/>
            <a:t>, cuyo Strike </a:t>
          </a:r>
          <a:r>
            <a:rPr lang="es-MX" sz="1200" b="1" i="1"/>
            <a:t>(K) </a:t>
          </a:r>
          <a:r>
            <a:rPr lang="es-MX" sz="1200"/>
            <a:t>es de $16.20. Calcule la tasa libre de Riesgo con las Curvas </a:t>
          </a:r>
          <a:r>
            <a:rPr lang="es-MX" sz="1200" b="1" i="1"/>
            <a:t>(R)</a:t>
          </a:r>
          <a:r>
            <a:rPr lang="es-MX" sz="1200"/>
            <a:t> y la Volatilidad Dinámica para AMX </a:t>
          </a:r>
          <a:r>
            <a:rPr lang="es-MX" sz="1200" b="1" i="1"/>
            <a:t>(</a:t>
          </a:r>
          <a:r>
            <a:rPr lang="el-GR" sz="1200" b="1" i="1"/>
            <a:t>σ</a:t>
          </a:r>
          <a:r>
            <a:rPr lang="es-MX" sz="1200" b="1" i="1"/>
            <a:t>)</a:t>
          </a:r>
          <a:r>
            <a:rPr lang="es-MX" sz="1200"/>
            <a:t>, considere </a:t>
          </a:r>
          <a:r>
            <a:rPr lang="es-MX" sz="1200" b="1" i="1"/>
            <a:t>un Dividend Yield </a:t>
          </a:r>
          <a:r>
            <a:rPr lang="es-MX" sz="1200"/>
            <a:t>de 3%.</a:t>
          </a:r>
        </a:p>
      </xdr:txBody>
    </xdr:sp>
    <xdr:clientData/>
  </xdr:twoCellAnchor>
  <xdr:twoCellAnchor>
    <xdr:from>
      <xdr:col>7</xdr:col>
      <xdr:colOff>296334</xdr:colOff>
      <xdr:row>5</xdr:row>
      <xdr:rowOff>179917</xdr:rowOff>
    </xdr:from>
    <xdr:to>
      <xdr:col>12</xdr:col>
      <xdr:colOff>465667</xdr:colOff>
      <xdr:row>11</xdr:row>
      <xdr:rowOff>52916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FA12864-F58E-4360-81F2-61013493B25B}"/>
            </a:ext>
          </a:extLst>
        </xdr:cNvPr>
        <xdr:cNvSpPr txBox="1"/>
      </xdr:nvSpPr>
      <xdr:spPr>
        <a:xfrm>
          <a:off x="8561917" y="1132417"/>
          <a:ext cx="3979333" cy="1037166"/>
        </a:xfrm>
        <a:custGeom>
          <a:avLst/>
          <a:gdLst>
            <a:gd name="connsiteX0" fmla="*/ 0 w 3979333"/>
            <a:gd name="connsiteY0" fmla="*/ 0 h 1037166"/>
            <a:gd name="connsiteX1" fmla="*/ 583636 w 3979333"/>
            <a:gd name="connsiteY1" fmla="*/ 0 h 1037166"/>
            <a:gd name="connsiteX2" fmla="*/ 1326444 w 3979333"/>
            <a:gd name="connsiteY2" fmla="*/ 0 h 1037166"/>
            <a:gd name="connsiteX3" fmla="*/ 1989667 w 3979333"/>
            <a:gd name="connsiteY3" fmla="*/ 0 h 1037166"/>
            <a:gd name="connsiteX4" fmla="*/ 2533509 w 3979333"/>
            <a:gd name="connsiteY4" fmla="*/ 0 h 1037166"/>
            <a:gd name="connsiteX5" fmla="*/ 3156938 w 3979333"/>
            <a:gd name="connsiteY5" fmla="*/ 0 h 1037166"/>
            <a:gd name="connsiteX6" fmla="*/ 3979333 w 3979333"/>
            <a:gd name="connsiteY6" fmla="*/ 0 h 1037166"/>
            <a:gd name="connsiteX7" fmla="*/ 3979333 w 3979333"/>
            <a:gd name="connsiteY7" fmla="*/ 528955 h 1037166"/>
            <a:gd name="connsiteX8" fmla="*/ 3979333 w 3979333"/>
            <a:gd name="connsiteY8" fmla="*/ 1037166 h 1037166"/>
            <a:gd name="connsiteX9" fmla="*/ 3276318 w 3979333"/>
            <a:gd name="connsiteY9" fmla="*/ 1037166 h 1037166"/>
            <a:gd name="connsiteX10" fmla="*/ 2652889 w 3979333"/>
            <a:gd name="connsiteY10" fmla="*/ 1037166 h 1037166"/>
            <a:gd name="connsiteX11" fmla="*/ 1910080 w 3979333"/>
            <a:gd name="connsiteY11" fmla="*/ 1037166 h 1037166"/>
            <a:gd name="connsiteX12" fmla="*/ 1167271 w 3979333"/>
            <a:gd name="connsiteY12" fmla="*/ 1037166 h 1037166"/>
            <a:gd name="connsiteX13" fmla="*/ 0 w 3979333"/>
            <a:gd name="connsiteY13" fmla="*/ 1037166 h 1037166"/>
            <a:gd name="connsiteX14" fmla="*/ 0 w 3979333"/>
            <a:gd name="connsiteY14" fmla="*/ 528955 h 1037166"/>
            <a:gd name="connsiteX15" fmla="*/ 0 w 3979333"/>
            <a:gd name="connsiteY15" fmla="*/ 0 h 10371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3979333" h="1037166" fill="none" extrusionOk="0">
              <a:moveTo>
                <a:pt x="0" y="0"/>
              </a:moveTo>
              <a:cubicBezTo>
                <a:pt x="228908" y="10901"/>
                <a:pt x="341287" y="27349"/>
                <a:pt x="583636" y="0"/>
              </a:cubicBezTo>
              <a:cubicBezTo>
                <a:pt x="825985" y="-27349"/>
                <a:pt x="1053258" y="33223"/>
                <a:pt x="1326444" y="0"/>
              </a:cubicBezTo>
              <a:cubicBezTo>
                <a:pt x="1599630" y="-33223"/>
                <a:pt x="1850341" y="-32552"/>
                <a:pt x="1989667" y="0"/>
              </a:cubicBezTo>
              <a:cubicBezTo>
                <a:pt x="2128993" y="32552"/>
                <a:pt x="2391391" y="17286"/>
                <a:pt x="2533509" y="0"/>
              </a:cubicBezTo>
              <a:cubicBezTo>
                <a:pt x="2675627" y="-17286"/>
                <a:pt x="2904646" y="13089"/>
                <a:pt x="3156938" y="0"/>
              </a:cubicBezTo>
              <a:cubicBezTo>
                <a:pt x="3409230" y="-13089"/>
                <a:pt x="3725497" y="28319"/>
                <a:pt x="3979333" y="0"/>
              </a:cubicBezTo>
              <a:cubicBezTo>
                <a:pt x="3976089" y="210449"/>
                <a:pt x="4004078" y="332866"/>
                <a:pt x="3979333" y="528955"/>
              </a:cubicBezTo>
              <a:cubicBezTo>
                <a:pt x="3954588" y="725045"/>
                <a:pt x="3971826" y="933201"/>
                <a:pt x="3979333" y="1037166"/>
              </a:cubicBezTo>
              <a:cubicBezTo>
                <a:pt x="3663533" y="1067998"/>
                <a:pt x="3603727" y="1040288"/>
                <a:pt x="3276318" y="1037166"/>
              </a:cubicBezTo>
              <a:cubicBezTo>
                <a:pt x="2948909" y="1034044"/>
                <a:pt x="2803084" y="1066554"/>
                <a:pt x="2652889" y="1037166"/>
              </a:cubicBezTo>
              <a:cubicBezTo>
                <a:pt x="2502694" y="1007778"/>
                <a:pt x="2276632" y="1060680"/>
                <a:pt x="1910080" y="1037166"/>
              </a:cubicBezTo>
              <a:cubicBezTo>
                <a:pt x="1543528" y="1013652"/>
                <a:pt x="1483335" y="1030490"/>
                <a:pt x="1167271" y="1037166"/>
              </a:cubicBezTo>
              <a:cubicBezTo>
                <a:pt x="851207" y="1043842"/>
                <a:pt x="370609" y="1084542"/>
                <a:pt x="0" y="1037166"/>
              </a:cubicBezTo>
              <a:cubicBezTo>
                <a:pt x="-22319" y="881370"/>
                <a:pt x="8956" y="748814"/>
                <a:pt x="0" y="528955"/>
              </a:cubicBezTo>
              <a:cubicBezTo>
                <a:pt x="-8956" y="309096"/>
                <a:pt x="-26345" y="221736"/>
                <a:pt x="0" y="0"/>
              </a:cubicBezTo>
              <a:close/>
            </a:path>
            <a:path w="3979333" h="1037166" stroke="0" extrusionOk="0">
              <a:moveTo>
                <a:pt x="0" y="0"/>
              </a:moveTo>
              <a:cubicBezTo>
                <a:pt x="154604" y="-10518"/>
                <a:pt x="467226" y="-420"/>
                <a:pt x="663222" y="0"/>
              </a:cubicBezTo>
              <a:cubicBezTo>
                <a:pt x="859218" y="420"/>
                <a:pt x="1054704" y="-24283"/>
                <a:pt x="1326444" y="0"/>
              </a:cubicBezTo>
              <a:cubicBezTo>
                <a:pt x="1598184" y="24283"/>
                <a:pt x="1725698" y="20505"/>
                <a:pt x="1989667" y="0"/>
              </a:cubicBezTo>
              <a:cubicBezTo>
                <a:pt x="2253636" y="-20505"/>
                <a:pt x="2535682" y="-20156"/>
                <a:pt x="2732475" y="0"/>
              </a:cubicBezTo>
              <a:cubicBezTo>
                <a:pt x="2929268" y="20156"/>
                <a:pt x="3140411" y="6966"/>
                <a:pt x="3395697" y="0"/>
              </a:cubicBezTo>
              <a:cubicBezTo>
                <a:pt x="3650983" y="-6966"/>
                <a:pt x="3815579" y="15812"/>
                <a:pt x="3979333" y="0"/>
              </a:cubicBezTo>
              <a:cubicBezTo>
                <a:pt x="3969133" y="262557"/>
                <a:pt x="4002291" y="413760"/>
                <a:pt x="3979333" y="539326"/>
              </a:cubicBezTo>
              <a:cubicBezTo>
                <a:pt x="3956375" y="664892"/>
                <a:pt x="3966611" y="907657"/>
                <a:pt x="3979333" y="1037166"/>
              </a:cubicBezTo>
              <a:cubicBezTo>
                <a:pt x="3776081" y="1041925"/>
                <a:pt x="3542964" y="1057264"/>
                <a:pt x="3316111" y="1037166"/>
              </a:cubicBezTo>
              <a:cubicBezTo>
                <a:pt x="3089258" y="1017068"/>
                <a:pt x="2893452" y="1041983"/>
                <a:pt x="2613095" y="1037166"/>
              </a:cubicBezTo>
              <a:cubicBezTo>
                <a:pt x="2332738" y="1032349"/>
                <a:pt x="2035682" y="1069361"/>
                <a:pt x="1870287" y="1037166"/>
              </a:cubicBezTo>
              <a:cubicBezTo>
                <a:pt x="1704892" y="1004971"/>
                <a:pt x="1441393" y="1034042"/>
                <a:pt x="1286651" y="1037166"/>
              </a:cubicBezTo>
              <a:cubicBezTo>
                <a:pt x="1131909" y="1040290"/>
                <a:pt x="886634" y="1048976"/>
                <a:pt x="583636" y="1037166"/>
              </a:cubicBezTo>
              <a:cubicBezTo>
                <a:pt x="280638" y="1025356"/>
                <a:pt x="279932" y="1064811"/>
                <a:pt x="0" y="1037166"/>
              </a:cubicBezTo>
              <a:cubicBezTo>
                <a:pt x="6074" y="882358"/>
                <a:pt x="-2296" y="638666"/>
                <a:pt x="0" y="528955"/>
              </a:cubicBezTo>
              <a:cubicBezTo>
                <a:pt x="2296" y="419244"/>
                <a:pt x="-3301" y="22832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chemeClr val="accent6">
              <a:lumMod val="75000"/>
            </a:schemeClr>
          </a:solidFill>
          <a:extLst>
            <a:ext uri="{C807C97D-BFC1-408E-A445-0C87EB9F89A2}">
              <ask:lineSketchStyleProps xmlns:ask="http://schemas.microsoft.com/office/drawing/2018/sketchyshapes" sd="1799507865">
                <a:prstGeom prst="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/>
            <a:t>Dado</a:t>
          </a:r>
          <a:r>
            <a:rPr lang="es-MX" sz="1200" baseline="0"/>
            <a:t> a que es una opcion con un subyacente que recibe dividendos; por </a:t>
          </a:r>
          <a:r>
            <a:rPr lang="es-MX" sz="1200" b="1" i="1" baseline="0"/>
            <a:t>"las formulas de Black-Scholes"</a:t>
          </a:r>
          <a:r>
            <a:rPr lang="es-MX" sz="1200" baseline="0"/>
            <a:t> ocuparemos las siguientes formulas </a:t>
          </a:r>
          <a:r>
            <a:rPr lang="es-MX" sz="1200" i="1" baseline="0"/>
            <a:t>(Las T-t es solo T)</a:t>
          </a:r>
          <a:r>
            <a:rPr lang="es-MX" sz="1200" baseline="0"/>
            <a:t>:</a:t>
          </a:r>
          <a:endParaRPr lang="es-MX" sz="1200"/>
        </a:p>
      </xdr:txBody>
    </xdr:sp>
    <xdr:clientData/>
  </xdr:twoCellAnchor>
  <xdr:twoCellAnchor editAs="oneCell">
    <xdr:from>
      <xdr:col>6</xdr:col>
      <xdr:colOff>433917</xdr:colOff>
      <xdr:row>12</xdr:row>
      <xdr:rowOff>0</xdr:rowOff>
    </xdr:from>
    <xdr:to>
      <xdr:col>10</xdr:col>
      <xdr:colOff>84667</xdr:colOff>
      <xdr:row>20</xdr:row>
      <xdr:rowOff>26034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8EC8A7C-2D48-C22A-0630-48D4B9008A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616"/>
        <a:stretch/>
      </xdr:blipFill>
      <xdr:spPr bwMode="auto">
        <a:xfrm>
          <a:off x="7937500" y="2307167"/>
          <a:ext cx="2698750" cy="1550034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370418</xdr:colOff>
      <xdr:row>12</xdr:row>
      <xdr:rowOff>95250</xdr:rowOff>
    </xdr:from>
    <xdr:to>
      <xdr:col>15</xdr:col>
      <xdr:colOff>402168</xdr:colOff>
      <xdr:row>15</xdr:row>
      <xdr:rowOff>104213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3C7FAF1-56BF-0AAA-B57B-A027486DC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2001" y="2402417"/>
          <a:ext cx="3841750" cy="580463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402167</xdr:colOff>
      <xdr:row>16</xdr:row>
      <xdr:rowOff>127001</xdr:rowOff>
    </xdr:from>
    <xdr:to>
      <xdr:col>15</xdr:col>
      <xdr:colOff>402167</xdr:colOff>
      <xdr:row>19</xdr:row>
      <xdr:rowOff>21798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29E9FE7-A2C5-F6DE-1F2D-4F2DC96E0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0" y="3196168"/>
          <a:ext cx="3810000" cy="466297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143983</xdr:colOff>
      <xdr:row>29</xdr:row>
      <xdr:rowOff>132907</xdr:rowOff>
    </xdr:from>
    <xdr:to>
      <xdr:col>11</xdr:col>
      <xdr:colOff>363408</xdr:colOff>
      <xdr:row>31</xdr:row>
      <xdr:rowOff>79001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1DA94CB6-69E2-483A-8995-75C6F3AED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70582" y="5061541"/>
          <a:ext cx="2512070" cy="34481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590206</xdr:colOff>
      <xdr:row>24</xdr:row>
      <xdr:rowOff>143981</xdr:rowOff>
    </xdr:from>
    <xdr:to>
      <xdr:col>12</xdr:col>
      <xdr:colOff>675611</xdr:colOff>
      <xdr:row>28</xdr:row>
      <xdr:rowOff>110755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B2826B2E-5C36-4A45-A69F-7172D3B2C58E}"/>
            </a:ext>
          </a:extLst>
        </xdr:cNvPr>
        <xdr:cNvSpPr txBox="1"/>
      </xdr:nvSpPr>
      <xdr:spPr>
        <a:xfrm>
          <a:off x="8088375" y="4120115"/>
          <a:ext cx="4670695" cy="719913"/>
        </a:xfrm>
        <a:custGeom>
          <a:avLst/>
          <a:gdLst>
            <a:gd name="connsiteX0" fmla="*/ 0 w 4670695"/>
            <a:gd name="connsiteY0" fmla="*/ 0 h 719913"/>
            <a:gd name="connsiteX1" fmla="*/ 573828 w 4670695"/>
            <a:gd name="connsiteY1" fmla="*/ 0 h 719913"/>
            <a:gd name="connsiteX2" fmla="*/ 1334484 w 4670695"/>
            <a:gd name="connsiteY2" fmla="*/ 0 h 719913"/>
            <a:gd name="connsiteX3" fmla="*/ 2001726 w 4670695"/>
            <a:gd name="connsiteY3" fmla="*/ 0 h 719913"/>
            <a:gd name="connsiteX4" fmla="*/ 2528848 w 4670695"/>
            <a:gd name="connsiteY4" fmla="*/ 0 h 719913"/>
            <a:gd name="connsiteX5" fmla="*/ 3149383 w 4670695"/>
            <a:gd name="connsiteY5" fmla="*/ 0 h 719913"/>
            <a:gd name="connsiteX6" fmla="*/ 3863332 w 4670695"/>
            <a:gd name="connsiteY6" fmla="*/ 0 h 719913"/>
            <a:gd name="connsiteX7" fmla="*/ 4670695 w 4670695"/>
            <a:gd name="connsiteY7" fmla="*/ 0 h 719913"/>
            <a:gd name="connsiteX8" fmla="*/ 4670695 w 4670695"/>
            <a:gd name="connsiteY8" fmla="*/ 352757 h 719913"/>
            <a:gd name="connsiteX9" fmla="*/ 4670695 w 4670695"/>
            <a:gd name="connsiteY9" fmla="*/ 719913 h 719913"/>
            <a:gd name="connsiteX10" fmla="*/ 4096867 w 4670695"/>
            <a:gd name="connsiteY10" fmla="*/ 719913 h 719913"/>
            <a:gd name="connsiteX11" fmla="*/ 3336211 w 4670695"/>
            <a:gd name="connsiteY11" fmla="*/ 719913 h 719913"/>
            <a:gd name="connsiteX12" fmla="*/ 2575555 w 4670695"/>
            <a:gd name="connsiteY12" fmla="*/ 719913 h 719913"/>
            <a:gd name="connsiteX13" fmla="*/ 1861606 w 4670695"/>
            <a:gd name="connsiteY13" fmla="*/ 719913 h 719913"/>
            <a:gd name="connsiteX14" fmla="*/ 1241070 w 4670695"/>
            <a:gd name="connsiteY14" fmla="*/ 719913 h 719913"/>
            <a:gd name="connsiteX15" fmla="*/ 713949 w 4670695"/>
            <a:gd name="connsiteY15" fmla="*/ 719913 h 719913"/>
            <a:gd name="connsiteX16" fmla="*/ 0 w 4670695"/>
            <a:gd name="connsiteY16" fmla="*/ 719913 h 719913"/>
            <a:gd name="connsiteX17" fmla="*/ 0 w 4670695"/>
            <a:gd name="connsiteY17" fmla="*/ 367156 h 719913"/>
            <a:gd name="connsiteX18" fmla="*/ 0 w 4670695"/>
            <a:gd name="connsiteY18" fmla="*/ 0 h 7199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4670695" h="719913" fill="none" extrusionOk="0">
              <a:moveTo>
                <a:pt x="0" y="0"/>
              </a:moveTo>
              <a:cubicBezTo>
                <a:pt x="217110" y="-27178"/>
                <a:pt x="308368" y="-2471"/>
                <a:pt x="573828" y="0"/>
              </a:cubicBezTo>
              <a:cubicBezTo>
                <a:pt x="839288" y="2471"/>
                <a:pt x="1112134" y="-31204"/>
                <a:pt x="1334484" y="0"/>
              </a:cubicBezTo>
              <a:cubicBezTo>
                <a:pt x="1556834" y="31204"/>
                <a:pt x="1748945" y="22031"/>
                <a:pt x="2001726" y="0"/>
              </a:cubicBezTo>
              <a:cubicBezTo>
                <a:pt x="2254507" y="-22031"/>
                <a:pt x="2301249" y="8249"/>
                <a:pt x="2528848" y="0"/>
              </a:cubicBezTo>
              <a:cubicBezTo>
                <a:pt x="2756447" y="-8249"/>
                <a:pt x="3020598" y="-21245"/>
                <a:pt x="3149383" y="0"/>
              </a:cubicBezTo>
              <a:cubicBezTo>
                <a:pt x="3278168" y="21245"/>
                <a:pt x="3578426" y="-34711"/>
                <a:pt x="3863332" y="0"/>
              </a:cubicBezTo>
              <a:cubicBezTo>
                <a:pt x="4148238" y="34711"/>
                <a:pt x="4422919" y="-5209"/>
                <a:pt x="4670695" y="0"/>
              </a:cubicBezTo>
              <a:cubicBezTo>
                <a:pt x="4671574" y="174831"/>
                <a:pt x="4683583" y="259102"/>
                <a:pt x="4670695" y="352757"/>
              </a:cubicBezTo>
              <a:cubicBezTo>
                <a:pt x="4657807" y="446412"/>
                <a:pt x="4655118" y="552947"/>
                <a:pt x="4670695" y="719913"/>
              </a:cubicBezTo>
              <a:cubicBezTo>
                <a:pt x="4422587" y="703908"/>
                <a:pt x="4376850" y="718180"/>
                <a:pt x="4096867" y="719913"/>
              </a:cubicBezTo>
              <a:cubicBezTo>
                <a:pt x="3816884" y="721646"/>
                <a:pt x="3688259" y="705082"/>
                <a:pt x="3336211" y="719913"/>
              </a:cubicBezTo>
              <a:cubicBezTo>
                <a:pt x="2984163" y="734744"/>
                <a:pt x="2793792" y="735977"/>
                <a:pt x="2575555" y="719913"/>
              </a:cubicBezTo>
              <a:cubicBezTo>
                <a:pt x="2357318" y="703849"/>
                <a:pt x="2156422" y="717324"/>
                <a:pt x="1861606" y="719913"/>
              </a:cubicBezTo>
              <a:cubicBezTo>
                <a:pt x="1566790" y="722502"/>
                <a:pt x="1500750" y="727933"/>
                <a:pt x="1241070" y="719913"/>
              </a:cubicBezTo>
              <a:cubicBezTo>
                <a:pt x="981390" y="711893"/>
                <a:pt x="897840" y="741900"/>
                <a:pt x="713949" y="719913"/>
              </a:cubicBezTo>
              <a:cubicBezTo>
                <a:pt x="530058" y="697926"/>
                <a:pt x="298280" y="706662"/>
                <a:pt x="0" y="719913"/>
              </a:cubicBezTo>
              <a:cubicBezTo>
                <a:pt x="-4680" y="552914"/>
                <a:pt x="15119" y="531169"/>
                <a:pt x="0" y="367156"/>
              </a:cubicBezTo>
              <a:cubicBezTo>
                <a:pt x="-15119" y="203143"/>
                <a:pt x="-12494" y="94329"/>
                <a:pt x="0" y="0"/>
              </a:cubicBezTo>
              <a:close/>
            </a:path>
            <a:path w="4670695" h="719913" stroke="0" extrusionOk="0">
              <a:moveTo>
                <a:pt x="0" y="0"/>
              </a:moveTo>
              <a:cubicBezTo>
                <a:pt x="170187" y="-21955"/>
                <a:pt x="374899" y="-16516"/>
                <a:pt x="667242" y="0"/>
              </a:cubicBezTo>
              <a:cubicBezTo>
                <a:pt x="959585" y="16516"/>
                <a:pt x="1001748" y="-5655"/>
                <a:pt x="1334484" y="0"/>
              </a:cubicBezTo>
              <a:cubicBezTo>
                <a:pt x="1667220" y="5655"/>
                <a:pt x="1850563" y="-14359"/>
                <a:pt x="2001726" y="0"/>
              </a:cubicBezTo>
              <a:cubicBezTo>
                <a:pt x="2152889" y="14359"/>
                <a:pt x="2583893" y="-27948"/>
                <a:pt x="2762382" y="0"/>
              </a:cubicBezTo>
              <a:cubicBezTo>
                <a:pt x="2940871" y="27948"/>
                <a:pt x="3161160" y="-1926"/>
                <a:pt x="3429625" y="0"/>
              </a:cubicBezTo>
              <a:cubicBezTo>
                <a:pt x="3698090" y="1926"/>
                <a:pt x="4212642" y="11111"/>
                <a:pt x="4670695" y="0"/>
              </a:cubicBezTo>
              <a:cubicBezTo>
                <a:pt x="4662927" y="111373"/>
                <a:pt x="4662830" y="197628"/>
                <a:pt x="4670695" y="374355"/>
              </a:cubicBezTo>
              <a:cubicBezTo>
                <a:pt x="4678560" y="551083"/>
                <a:pt x="4678481" y="602538"/>
                <a:pt x="4670695" y="719913"/>
              </a:cubicBezTo>
              <a:cubicBezTo>
                <a:pt x="4428611" y="733364"/>
                <a:pt x="4163174" y="697227"/>
                <a:pt x="4003453" y="719913"/>
              </a:cubicBezTo>
              <a:cubicBezTo>
                <a:pt x="3843732" y="742599"/>
                <a:pt x="3618777" y="745753"/>
                <a:pt x="3289504" y="719913"/>
              </a:cubicBezTo>
              <a:cubicBezTo>
                <a:pt x="2960231" y="694073"/>
                <a:pt x="2687708" y="687643"/>
                <a:pt x="2528848" y="719913"/>
              </a:cubicBezTo>
              <a:cubicBezTo>
                <a:pt x="2369988" y="752183"/>
                <a:pt x="2079932" y="717517"/>
                <a:pt x="1955019" y="719913"/>
              </a:cubicBezTo>
              <a:cubicBezTo>
                <a:pt x="1830106" y="722309"/>
                <a:pt x="1468538" y="740328"/>
                <a:pt x="1241070" y="719913"/>
              </a:cubicBezTo>
              <a:cubicBezTo>
                <a:pt x="1013602" y="699498"/>
                <a:pt x="578914" y="747494"/>
                <a:pt x="0" y="719913"/>
              </a:cubicBezTo>
              <a:cubicBezTo>
                <a:pt x="17022" y="583679"/>
                <a:pt x="-9113" y="452502"/>
                <a:pt x="0" y="367156"/>
              </a:cubicBezTo>
              <a:cubicBezTo>
                <a:pt x="9113" y="281810"/>
                <a:pt x="-1006" y="136343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chemeClr val="accent6">
              <a:lumMod val="75000"/>
            </a:schemeClr>
          </a:solidFill>
          <a:extLst>
            <a:ext uri="{C807C97D-BFC1-408E-A445-0C87EB9F89A2}">
              <ask:lineSketchStyleProps xmlns:ask="http://schemas.microsoft.com/office/drawing/2018/sketchyshapes" sd="1799507865">
                <a:prstGeom prst="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/>
            <a:t>La </a:t>
          </a:r>
          <a:r>
            <a:rPr lang="es-MX" sz="1200" b="1" i="1"/>
            <a:t>paridad put-call </a:t>
          </a:r>
          <a:r>
            <a:rPr lang="es-MX" sz="1200"/>
            <a:t>es un teorema de inversión en precios de opciones que identifica un precio justo para una opción put o una opción call. 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224CA160-6BC0-40E0-B165-5F48919D86E3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4-02-28T18:12:01.14" personId="{224CA160-6BC0-40E0-B165-5F48919D86E3}" id="{93B4E83D-5599-41D2-95DA-02EFC602901F}">
    <text>Se sacan  los ultimos 252 registros historicos de la accion en cuestion</text>
  </threadedComment>
  <threadedComment ref="C1" dT="2024-02-28T18:14:09.49" personId="{224CA160-6BC0-40E0-B165-5F48919D86E3}" id="{51FB45D6-A73A-4957-99F2-FCECE327623E}">
    <text>La formula clasica del rendimiento generado en esa fecha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0" dT="2024-02-28T18:30:39.75" personId="{224CA160-6BC0-40E0-B165-5F48919D86E3}" id="{41801F15-7BFB-41B3-B657-CD76935DCBE9}">
    <text>Aqui aplicamos un interpolacion para determinar la tasa libre de riesgo para este periodo</text>
  </threadedComment>
  <threadedComment ref="D11" dT="2024-02-28T18:43:08.22" personId="{224CA160-6BC0-40E0-B165-5F48919D86E3}" id="{545D84E1-C21A-4522-B036-8CDCA5354E9A}">
    <text>Nos referimos a la tasa de dividendos</text>
  </threadedComment>
  <threadedComment ref="E12" dT="2024-02-28T18:37:51.85" personId="{224CA160-6BC0-40E0-B165-5F48919D86E3}" id="{97C226EA-BFDE-4058-A513-0FA85230EAB0}">
    <text>Este el spot, es decir; el precio del subyacente al inicio del contrato</text>
  </threadedComment>
  <threadedComment ref="B13" dT="2024-02-28T18:38:42.81" personId="{224CA160-6BC0-40E0-B165-5F48919D86E3}" id="{0BE04D00-49F6-4D22-9CE3-436C543820EF}">
    <text>Este el strike, es decir; el precio deseado que llegue el subyacente</text>
  </threadedComment>
  <threadedComment ref="E14" dT="2024-02-28T18:40:27.55" personId="{224CA160-6BC0-40E0-B165-5F48919D86E3}" id="{D90E4621-AA15-46DE-B4A1-AF579173DCBF}">
    <text>Aqui aplicamos la volatibilidad dinamica sobre los rendimientos del subyacente (visto con anterioridad)</text>
  </threadedComment>
  <threadedComment ref="B15" dT="2024-02-28T18:49:45.41" personId="{224CA160-6BC0-40E0-B165-5F48919D86E3}" id="{455D6074-FAE6-4350-BCE4-0715A92AC384}">
    <text>Es necesario ver el lapso de tiempo en proporcion del ano (que comtemplamos 360 dias habiles en finanzas)</text>
  </threadedComment>
  <threadedComment ref="B33" dT="2024-02-28T01:29:13.90" personId="{224CA160-6BC0-40E0-B165-5F48919D86E3}" id="{1FA7580E-25B1-4616-A1D9-C195A214516E}">
    <text>Nos indica el valor que se estaria ganando en este momento por la opcion</text>
  </threadedComment>
  <threadedComment ref="C33" dT="2024-02-28T01:30:30.84" personId="{224CA160-6BC0-40E0-B165-5F48919D86E3}" id="{FB3E1591-9F43-49D2-9F25-89500B43D7E8}">
    <text>Nos indica las ganacias al final del periodo de la opcion</text>
  </threadedComment>
  <threadedComment ref="E33" dT="2024-02-28T01:31:55.75" personId="{224CA160-6BC0-40E0-B165-5F48919D86E3}" id="{6734F768-8762-40DD-870E-9CD8BA98F06B}">
    <text>Nos indica el valor de la opcion respecto a la ganancia en ese momento</text>
  </threadedComment>
  <threadedComment ref="F33" dT="2024-02-28T01:33:16.63" personId="{224CA160-6BC0-40E0-B165-5F48919D86E3}" id="{CC8B8234-41C3-4C28-B666-068A455D3774}">
    <text>Nos indica la ganancia de esta opcion al final de este periodo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108B-31B8-49E2-81BB-38931882A7B8}">
  <sheetPr codeName="Hoja3"/>
  <dimension ref="A3:O34"/>
  <sheetViews>
    <sheetView zoomScale="115" zoomScaleNormal="115" workbookViewId="0">
      <selection activeCell="K8" sqref="K8"/>
    </sheetView>
  </sheetViews>
  <sheetFormatPr baseColWidth="10" defaultRowHeight="15" x14ac:dyDescent="0.25"/>
  <sheetData>
    <row r="3" spans="1:15" x14ac:dyDescent="0.25">
      <c r="L3" s="1"/>
      <c r="M3" s="8"/>
      <c r="N3" s="1"/>
      <c r="O3" s="8"/>
    </row>
    <row r="4" spans="1:15" x14ac:dyDescent="0.25">
      <c r="M4" s="7"/>
      <c r="O4" s="7"/>
    </row>
    <row r="5" spans="1:15" x14ac:dyDescent="0.25">
      <c r="M5" s="7"/>
      <c r="O5" s="7"/>
    </row>
    <row r="6" spans="1:15" x14ac:dyDescent="0.25">
      <c r="M6" s="7"/>
      <c r="O6" s="7"/>
    </row>
    <row r="7" spans="1:15" x14ac:dyDescent="0.25">
      <c r="M7" s="7"/>
      <c r="O7" s="7"/>
    </row>
    <row r="8" spans="1:15" ht="15.75" thickBot="1" x14ac:dyDescent="0.3">
      <c r="A8" s="28" t="s">
        <v>26</v>
      </c>
      <c r="B8" s="29"/>
      <c r="C8" s="29"/>
      <c r="D8" s="30"/>
      <c r="F8" s="28" t="s">
        <v>27</v>
      </c>
      <c r="G8" s="29"/>
      <c r="H8" s="29"/>
      <c r="I8" s="30"/>
      <c r="M8" s="7"/>
      <c r="O8" s="7"/>
    </row>
    <row r="9" spans="1:15" ht="15.75" thickTop="1" x14ac:dyDescent="0.25">
      <c r="A9" s="1" t="s">
        <v>28</v>
      </c>
      <c r="B9" s="8" t="s">
        <v>29</v>
      </c>
      <c r="C9" s="1" t="s">
        <v>28</v>
      </c>
      <c r="D9" s="8" t="s">
        <v>30</v>
      </c>
      <c r="F9" s="1" t="s">
        <v>28</v>
      </c>
      <c r="G9" s="8" t="s">
        <v>29</v>
      </c>
      <c r="H9" s="1" t="s">
        <v>28</v>
      </c>
      <c r="I9" s="8" t="s">
        <v>30</v>
      </c>
      <c r="M9" s="7"/>
      <c r="O9" s="7"/>
    </row>
    <row r="10" spans="1:15" x14ac:dyDescent="0.25">
      <c r="A10">
        <v>1</v>
      </c>
      <c r="B10" s="7">
        <v>0.1125</v>
      </c>
      <c r="C10">
        <f>+A11</f>
        <v>7</v>
      </c>
      <c r="D10" s="7">
        <f>+B11</f>
        <v>0.11260000000000001</v>
      </c>
      <c r="F10">
        <f>+A10</f>
        <v>1</v>
      </c>
      <c r="G10" s="7">
        <v>5.28E-2</v>
      </c>
      <c r="H10">
        <f>+C10</f>
        <v>7</v>
      </c>
      <c r="I10" s="7">
        <f>+G11</f>
        <v>5.33E-2</v>
      </c>
      <c r="M10" s="7"/>
      <c r="O10" s="7"/>
    </row>
    <row r="11" spans="1:15" x14ac:dyDescent="0.25">
      <c r="A11">
        <v>7</v>
      </c>
      <c r="B11" s="7">
        <v>0.11260000000000001</v>
      </c>
      <c r="C11">
        <f t="shared" ref="C11:D33" si="0">+A12</f>
        <v>14</v>
      </c>
      <c r="D11" s="7">
        <f t="shared" si="0"/>
        <v>0.1129</v>
      </c>
      <c r="F11">
        <f t="shared" ref="F11:F34" si="1">+A11</f>
        <v>7</v>
      </c>
      <c r="G11" s="7">
        <v>5.33E-2</v>
      </c>
      <c r="H11">
        <f t="shared" ref="H11:H34" si="2">+C11</f>
        <v>14</v>
      </c>
      <c r="I11" s="7">
        <f t="shared" ref="I11:I33" si="3">+G12</f>
        <v>5.3499999999999999E-2</v>
      </c>
      <c r="M11" s="7"/>
      <c r="O11" s="7"/>
    </row>
    <row r="12" spans="1:15" x14ac:dyDescent="0.25">
      <c r="A12">
        <v>14</v>
      </c>
      <c r="B12" s="7">
        <v>0.1129</v>
      </c>
      <c r="C12">
        <f t="shared" si="0"/>
        <v>28</v>
      </c>
      <c r="D12" s="7">
        <f t="shared" si="0"/>
        <v>0.1124</v>
      </c>
      <c r="F12">
        <f t="shared" si="1"/>
        <v>14</v>
      </c>
      <c r="G12" s="7">
        <v>5.3499999999999999E-2</v>
      </c>
      <c r="H12">
        <f t="shared" si="2"/>
        <v>28</v>
      </c>
      <c r="I12" s="7">
        <f t="shared" si="3"/>
        <v>5.3960000000000001E-2</v>
      </c>
      <c r="M12" s="7"/>
      <c r="O12" s="7"/>
    </row>
    <row r="13" spans="1:15" x14ac:dyDescent="0.25">
      <c r="A13">
        <v>28</v>
      </c>
      <c r="B13" s="7">
        <v>0.1124</v>
      </c>
      <c r="C13">
        <f t="shared" si="0"/>
        <v>56</v>
      </c>
      <c r="D13" s="7">
        <f t="shared" si="0"/>
        <v>0.11269999999999999</v>
      </c>
      <c r="F13">
        <f t="shared" si="1"/>
        <v>28</v>
      </c>
      <c r="G13" s="7">
        <v>5.3960000000000001E-2</v>
      </c>
      <c r="H13">
        <f t="shared" si="2"/>
        <v>56</v>
      </c>
      <c r="I13" s="7">
        <f t="shared" si="3"/>
        <v>5.4130000000000005E-2</v>
      </c>
      <c r="M13" s="7"/>
      <c r="O13" s="7"/>
    </row>
    <row r="14" spans="1:15" x14ac:dyDescent="0.25">
      <c r="A14">
        <v>56</v>
      </c>
      <c r="B14" s="7">
        <v>0.11269999999999999</v>
      </c>
      <c r="C14">
        <f t="shared" si="0"/>
        <v>91</v>
      </c>
      <c r="D14" s="7">
        <f t="shared" si="0"/>
        <v>0.113</v>
      </c>
      <c r="F14">
        <f t="shared" si="1"/>
        <v>56</v>
      </c>
      <c r="G14" s="7">
        <v>5.4130000000000005E-2</v>
      </c>
      <c r="H14">
        <f t="shared" si="2"/>
        <v>91</v>
      </c>
      <c r="I14" s="7">
        <f t="shared" si="3"/>
        <v>5.3929999999999999E-2</v>
      </c>
      <c r="M14" s="7"/>
      <c r="O14" s="7"/>
    </row>
    <row r="15" spans="1:15" x14ac:dyDescent="0.25">
      <c r="A15">
        <v>91</v>
      </c>
      <c r="B15" s="7">
        <v>0.113</v>
      </c>
      <c r="C15">
        <f t="shared" si="0"/>
        <v>182</v>
      </c>
      <c r="D15" s="7">
        <f t="shared" si="0"/>
        <v>0.1128</v>
      </c>
      <c r="F15">
        <f t="shared" si="1"/>
        <v>91</v>
      </c>
      <c r="G15" s="7">
        <v>5.3929999999999999E-2</v>
      </c>
      <c r="H15">
        <f t="shared" si="2"/>
        <v>182</v>
      </c>
      <c r="I15" s="7">
        <f t="shared" si="3"/>
        <v>5.391E-2</v>
      </c>
      <c r="M15" s="7"/>
      <c r="O15" s="7"/>
    </row>
    <row r="16" spans="1:15" x14ac:dyDescent="0.25">
      <c r="A16">
        <v>182</v>
      </c>
      <c r="B16" s="7">
        <v>0.1128</v>
      </c>
      <c r="C16">
        <f t="shared" si="0"/>
        <v>273</v>
      </c>
      <c r="D16" s="7">
        <f t="shared" si="0"/>
        <v>0.11230000000000001</v>
      </c>
      <c r="F16">
        <f t="shared" si="1"/>
        <v>182</v>
      </c>
      <c r="G16" s="7">
        <v>5.391E-2</v>
      </c>
      <c r="H16">
        <f t="shared" si="2"/>
        <v>273</v>
      </c>
      <c r="I16" s="7">
        <f t="shared" si="3"/>
        <v>5.2650000000000002E-2</v>
      </c>
      <c r="L16" s="9"/>
      <c r="M16" s="7"/>
      <c r="O16" s="7"/>
    </row>
    <row r="17" spans="1:15" x14ac:dyDescent="0.25">
      <c r="A17">
        <v>273</v>
      </c>
      <c r="B17" s="7">
        <v>0.11230000000000001</v>
      </c>
      <c r="C17">
        <f t="shared" si="0"/>
        <v>364</v>
      </c>
      <c r="D17" s="7">
        <f t="shared" si="0"/>
        <v>0.1109</v>
      </c>
      <c r="F17">
        <f t="shared" si="1"/>
        <v>273</v>
      </c>
      <c r="G17" s="7">
        <v>5.2650000000000002E-2</v>
      </c>
      <c r="H17">
        <f t="shared" si="2"/>
        <v>364</v>
      </c>
      <c r="I17" s="7">
        <f t="shared" si="3"/>
        <v>5.1390000000000005E-2</v>
      </c>
      <c r="L17" s="9"/>
      <c r="M17" s="7"/>
      <c r="O17" s="7"/>
    </row>
    <row r="18" spans="1:15" x14ac:dyDescent="0.25">
      <c r="A18">
        <v>364</v>
      </c>
      <c r="B18" s="7">
        <v>0.1109</v>
      </c>
      <c r="C18">
        <f t="shared" si="0"/>
        <v>580</v>
      </c>
      <c r="D18" s="7">
        <f t="shared" si="0"/>
        <v>0.10761</v>
      </c>
      <c r="F18">
        <f t="shared" si="1"/>
        <v>364</v>
      </c>
      <c r="G18" s="7">
        <v>5.1390000000000005E-2</v>
      </c>
      <c r="H18">
        <f t="shared" si="2"/>
        <v>580</v>
      </c>
      <c r="I18" s="7">
        <f t="shared" si="3"/>
        <v>4.9310000000000007E-2</v>
      </c>
      <c r="L18" s="9"/>
      <c r="M18" s="7"/>
      <c r="O18" s="7"/>
    </row>
    <row r="19" spans="1:15" x14ac:dyDescent="0.25">
      <c r="A19">
        <v>580</v>
      </c>
      <c r="B19" s="7">
        <v>0.10761</v>
      </c>
      <c r="C19">
        <f t="shared" si="0"/>
        <v>728</v>
      </c>
      <c r="D19" s="7">
        <f t="shared" si="0"/>
        <v>0.10432</v>
      </c>
      <c r="F19">
        <f t="shared" si="1"/>
        <v>580</v>
      </c>
      <c r="G19" s="7">
        <v>4.9310000000000007E-2</v>
      </c>
      <c r="H19">
        <f t="shared" si="2"/>
        <v>728</v>
      </c>
      <c r="I19" s="7">
        <f t="shared" si="3"/>
        <v>4.7230000000000001E-2</v>
      </c>
      <c r="L19" s="9"/>
      <c r="M19" s="7"/>
      <c r="O19" s="7"/>
    </row>
    <row r="20" spans="1:15" x14ac:dyDescent="0.25">
      <c r="A20">
        <v>728</v>
      </c>
      <c r="B20" s="7">
        <v>0.10432</v>
      </c>
      <c r="C20">
        <f t="shared" si="0"/>
        <v>900</v>
      </c>
      <c r="D20" s="7">
        <f t="shared" si="0"/>
        <v>0.10102999999999999</v>
      </c>
      <c r="F20">
        <f t="shared" si="1"/>
        <v>728</v>
      </c>
      <c r="G20" s="7">
        <v>4.7230000000000001E-2</v>
      </c>
      <c r="H20">
        <f t="shared" si="2"/>
        <v>900</v>
      </c>
      <c r="I20" s="7">
        <f t="shared" si="3"/>
        <v>4.5914999999999997E-2</v>
      </c>
      <c r="L20" s="9"/>
      <c r="M20" s="7"/>
      <c r="O20" s="7"/>
    </row>
    <row r="21" spans="1:15" x14ac:dyDescent="0.25">
      <c r="A21">
        <v>900</v>
      </c>
      <c r="B21" s="7">
        <v>0.10102999999999999</v>
      </c>
      <c r="C21">
        <f t="shared" si="0"/>
        <v>1092</v>
      </c>
      <c r="D21" s="7">
        <f t="shared" si="0"/>
        <v>9.7739999999999994E-2</v>
      </c>
      <c r="F21">
        <f t="shared" si="1"/>
        <v>900</v>
      </c>
      <c r="G21" s="7">
        <v>4.5914999999999997E-2</v>
      </c>
      <c r="H21">
        <f t="shared" si="2"/>
        <v>1092</v>
      </c>
      <c r="I21" s="7">
        <f t="shared" si="3"/>
        <v>4.4600000000000001E-2</v>
      </c>
      <c r="L21" s="9"/>
      <c r="M21" s="7"/>
      <c r="O21" s="7"/>
    </row>
    <row r="22" spans="1:15" x14ac:dyDescent="0.25">
      <c r="A22" s="9">
        <v>1092</v>
      </c>
      <c r="B22" s="7">
        <v>9.7739999999999994E-2</v>
      </c>
      <c r="C22">
        <f t="shared" si="0"/>
        <v>1260</v>
      </c>
      <c r="D22" s="7">
        <f t="shared" si="0"/>
        <v>9.7189999999999999E-2</v>
      </c>
      <c r="F22">
        <f t="shared" si="1"/>
        <v>1092</v>
      </c>
      <c r="G22" s="7">
        <v>4.4600000000000001E-2</v>
      </c>
      <c r="H22">
        <f t="shared" si="2"/>
        <v>1260</v>
      </c>
      <c r="I22" s="7">
        <f t="shared" si="3"/>
        <v>4.4057499999999999E-2</v>
      </c>
      <c r="L22" s="9"/>
      <c r="M22" s="7"/>
      <c r="O22" s="7"/>
    </row>
    <row r="23" spans="1:15" x14ac:dyDescent="0.25">
      <c r="A23" s="9">
        <v>1260</v>
      </c>
      <c r="B23" s="7">
        <v>9.7189999999999999E-2</v>
      </c>
      <c r="C23">
        <f t="shared" si="0"/>
        <v>1440</v>
      </c>
      <c r="D23" s="7">
        <f t="shared" si="0"/>
        <v>9.6640000000000004E-2</v>
      </c>
      <c r="F23">
        <f t="shared" si="1"/>
        <v>1260</v>
      </c>
      <c r="G23" s="7">
        <v>4.4057499999999999E-2</v>
      </c>
      <c r="H23">
        <f t="shared" si="2"/>
        <v>1440</v>
      </c>
      <c r="I23" s="7">
        <f t="shared" si="3"/>
        <v>4.3514999999999998E-2</v>
      </c>
      <c r="L23" s="9"/>
      <c r="M23" s="7"/>
      <c r="O23" s="7"/>
    </row>
    <row r="24" spans="1:15" x14ac:dyDescent="0.25">
      <c r="A24" s="9">
        <v>1440</v>
      </c>
      <c r="B24" s="7">
        <v>9.6640000000000004E-2</v>
      </c>
      <c r="C24">
        <f t="shared" si="0"/>
        <v>1800</v>
      </c>
      <c r="D24" s="7">
        <f t="shared" si="0"/>
        <v>9.554E-2</v>
      </c>
      <c r="F24">
        <f t="shared" si="1"/>
        <v>1440</v>
      </c>
      <c r="G24" s="7">
        <v>4.3514999999999998E-2</v>
      </c>
      <c r="H24">
        <f t="shared" si="2"/>
        <v>1800</v>
      </c>
      <c r="I24" s="7">
        <f t="shared" si="3"/>
        <v>4.2430000000000002E-2</v>
      </c>
      <c r="L24" s="9"/>
      <c r="M24" s="7"/>
      <c r="O24" s="7"/>
    </row>
    <row r="25" spans="1:15" x14ac:dyDescent="0.25">
      <c r="A25" s="9">
        <v>1800</v>
      </c>
      <c r="B25" s="7">
        <v>9.554E-2</v>
      </c>
      <c r="C25">
        <f t="shared" si="0"/>
        <v>2160</v>
      </c>
      <c r="D25" s="7">
        <f t="shared" si="0"/>
        <v>9.3939999999999996E-2</v>
      </c>
      <c r="F25">
        <f t="shared" si="1"/>
        <v>1800</v>
      </c>
      <c r="G25" s="7">
        <v>4.2430000000000002E-2</v>
      </c>
      <c r="H25">
        <f t="shared" si="2"/>
        <v>2160</v>
      </c>
      <c r="I25" s="7">
        <f t="shared" si="3"/>
        <v>4.2575000000000002E-2</v>
      </c>
      <c r="L25" s="9"/>
      <c r="M25" s="7"/>
      <c r="O25" s="7"/>
    </row>
    <row r="26" spans="1:15" x14ac:dyDescent="0.25">
      <c r="A26" s="9">
        <v>2160</v>
      </c>
      <c r="B26" s="7">
        <v>9.3939999999999996E-2</v>
      </c>
      <c r="C26">
        <f t="shared" si="0"/>
        <v>2520</v>
      </c>
      <c r="D26" s="7">
        <f t="shared" si="0"/>
        <v>9.2340000000000005E-2</v>
      </c>
      <c r="F26">
        <f t="shared" si="1"/>
        <v>2160</v>
      </c>
      <c r="G26" s="7">
        <v>4.2575000000000002E-2</v>
      </c>
      <c r="H26">
        <f t="shared" si="2"/>
        <v>2520</v>
      </c>
      <c r="I26" s="7">
        <f t="shared" si="3"/>
        <v>4.2720000000000001E-2</v>
      </c>
      <c r="L26" s="9"/>
      <c r="M26" s="7"/>
      <c r="O26" s="7"/>
    </row>
    <row r="27" spans="1:15" x14ac:dyDescent="0.25">
      <c r="A27" s="9">
        <v>2520</v>
      </c>
      <c r="B27" s="7">
        <v>9.2340000000000005E-2</v>
      </c>
      <c r="C27">
        <f t="shared" si="0"/>
        <v>2880</v>
      </c>
      <c r="D27" s="7">
        <f t="shared" si="0"/>
        <v>9.2369999999999994E-2</v>
      </c>
      <c r="F27">
        <f t="shared" si="1"/>
        <v>2520</v>
      </c>
      <c r="G27" s="7">
        <v>4.2720000000000001E-2</v>
      </c>
      <c r="H27">
        <f t="shared" si="2"/>
        <v>2880</v>
      </c>
      <c r="I27" s="7">
        <f t="shared" si="3"/>
        <v>4.2549999999999998E-2</v>
      </c>
      <c r="L27" s="9"/>
      <c r="M27" s="7"/>
      <c r="O27" s="7"/>
    </row>
    <row r="28" spans="1:15" x14ac:dyDescent="0.25">
      <c r="A28" s="9">
        <v>2880</v>
      </c>
      <c r="B28" s="7">
        <v>9.2369999999999994E-2</v>
      </c>
      <c r="C28">
        <f t="shared" si="0"/>
        <v>3240</v>
      </c>
      <c r="D28" s="7">
        <f t="shared" si="0"/>
        <v>9.2420000000000002E-2</v>
      </c>
      <c r="F28">
        <f t="shared" si="1"/>
        <v>2880</v>
      </c>
      <c r="G28" s="7">
        <v>4.2549999999999998E-2</v>
      </c>
      <c r="H28">
        <f t="shared" si="2"/>
        <v>3240</v>
      </c>
      <c r="I28" s="7">
        <f t="shared" si="3"/>
        <v>4.2439999999999999E-2</v>
      </c>
      <c r="L28" s="9"/>
      <c r="M28" s="7"/>
      <c r="O28" s="7"/>
    </row>
    <row r="29" spans="1:15" x14ac:dyDescent="0.25">
      <c r="A29" s="9">
        <v>3240</v>
      </c>
      <c r="B29" s="7">
        <v>9.2420000000000002E-2</v>
      </c>
      <c r="C29">
        <f t="shared" si="0"/>
        <v>3600</v>
      </c>
      <c r="D29" s="7">
        <f t="shared" si="0"/>
        <v>9.2439999999999994E-2</v>
      </c>
      <c r="F29">
        <f t="shared" si="1"/>
        <v>3240</v>
      </c>
      <c r="G29" s="7">
        <v>4.2439999999999999E-2</v>
      </c>
      <c r="H29">
        <f t="shared" si="2"/>
        <v>3600</v>
      </c>
      <c r="I29" s="7">
        <f t="shared" si="3"/>
        <v>4.2290000000000001E-2</v>
      </c>
    </row>
    <row r="30" spans="1:15" x14ac:dyDescent="0.25">
      <c r="A30" s="9">
        <v>3600</v>
      </c>
      <c r="B30" s="7">
        <v>9.2439999999999994E-2</v>
      </c>
      <c r="C30">
        <f t="shared" si="0"/>
        <v>5400</v>
      </c>
      <c r="D30" s="7">
        <f t="shared" si="0"/>
        <v>9.264E-2</v>
      </c>
      <c r="F30">
        <f t="shared" si="1"/>
        <v>3600</v>
      </c>
      <c r="G30" s="7">
        <v>4.2290000000000001E-2</v>
      </c>
      <c r="H30">
        <f t="shared" si="2"/>
        <v>5400</v>
      </c>
      <c r="I30" s="7">
        <f t="shared" si="3"/>
        <v>4.3590000000000004E-2</v>
      </c>
    </row>
    <row r="31" spans="1:15" x14ac:dyDescent="0.25">
      <c r="A31" s="9">
        <v>5400</v>
      </c>
      <c r="B31" s="7">
        <v>9.264E-2</v>
      </c>
      <c r="C31">
        <f t="shared" si="0"/>
        <v>7200</v>
      </c>
      <c r="D31" s="7">
        <f t="shared" si="0"/>
        <v>9.2739999999999989E-2</v>
      </c>
      <c r="F31">
        <f t="shared" si="1"/>
        <v>5400</v>
      </c>
      <c r="G31" s="7">
        <v>4.3590000000000004E-2</v>
      </c>
      <c r="H31">
        <f t="shared" si="2"/>
        <v>7200</v>
      </c>
      <c r="I31" s="7">
        <f t="shared" si="3"/>
        <v>4.4889999999999999E-2</v>
      </c>
    </row>
    <row r="32" spans="1:15" x14ac:dyDescent="0.25">
      <c r="A32" s="9">
        <v>7200</v>
      </c>
      <c r="B32" s="7">
        <v>9.2739999999999989E-2</v>
      </c>
      <c r="C32">
        <f t="shared" si="0"/>
        <v>9000</v>
      </c>
      <c r="D32" s="7">
        <f t="shared" si="0"/>
        <v>9.289E-2</v>
      </c>
      <c r="F32">
        <f t="shared" si="1"/>
        <v>7200</v>
      </c>
      <c r="G32" s="7">
        <v>4.4889999999999999E-2</v>
      </c>
      <c r="H32">
        <f t="shared" si="2"/>
        <v>9000</v>
      </c>
      <c r="I32" s="7">
        <f t="shared" si="3"/>
        <v>4.3984999999999996E-2</v>
      </c>
    </row>
    <row r="33" spans="1:9" x14ac:dyDescent="0.25">
      <c r="A33" s="9">
        <v>9000</v>
      </c>
      <c r="B33" s="7">
        <v>9.289E-2</v>
      </c>
      <c r="C33">
        <f t="shared" si="0"/>
        <v>10800</v>
      </c>
      <c r="D33" s="7">
        <f t="shared" si="0"/>
        <v>9.3039999999999998E-2</v>
      </c>
      <c r="F33">
        <f t="shared" si="1"/>
        <v>9000</v>
      </c>
      <c r="G33" s="7">
        <v>4.3984999999999996E-2</v>
      </c>
      <c r="H33">
        <f t="shared" si="2"/>
        <v>10800</v>
      </c>
      <c r="I33" s="7">
        <f t="shared" si="3"/>
        <v>4.308E-2</v>
      </c>
    </row>
    <row r="34" spans="1:9" x14ac:dyDescent="0.25">
      <c r="A34" s="9">
        <v>10800</v>
      </c>
      <c r="B34" s="7">
        <v>9.3039999999999998E-2</v>
      </c>
      <c r="C34" s="9">
        <f>+A34</f>
        <v>10800</v>
      </c>
      <c r="D34" s="7">
        <f>+B34</f>
        <v>9.3039999999999998E-2</v>
      </c>
      <c r="F34">
        <f t="shared" si="1"/>
        <v>10800</v>
      </c>
      <c r="G34" s="7">
        <v>4.308E-2</v>
      </c>
      <c r="H34">
        <f t="shared" si="2"/>
        <v>10800</v>
      </c>
      <c r="I34" s="7">
        <f>+G34</f>
        <v>4.308E-2</v>
      </c>
    </row>
  </sheetData>
  <mergeCells count="2">
    <mergeCell ref="F8:I8"/>
    <mergeCell ref="A8:D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32FF-7420-4055-89EB-92DD1CE56DDD}">
  <sheetPr codeName="Hoja4"/>
  <dimension ref="A1:C75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14" sqref="G14"/>
    </sheetView>
  </sheetViews>
  <sheetFormatPr baseColWidth="10" defaultRowHeight="15" x14ac:dyDescent="0.25"/>
  <cols>
    <col min="2" max="3" width="14.85546875" customWidth="1"/>
  </cols>
  <sheetData>
    <row r="1" spans="1:3" x14ac:dyDescent="0.25">
      <c r="B1" s="12" t="s">
        <v>24</v>
      </c>
      <c r="C1" s="12" t="s">
        <v>25</v>
      </c>
    </row>
    <row r="2" spans="1:3" x14ac:dyDescent="0.25">
      <c r="A2" s="6" t="s">
        <v>22</v>
      </c>
      <c r="B2" s="6" t="s">
        <v>23</v>
      </c>
      <c r="C2" s="6" t="s">
        <v>23</v>
      </c>
    </row>
    <row r="3" spans="1:3" x14ac:dyDescent="0.25">
      <c r="A3" s="5">
        <v>45322</v>
      </c>
      <c r="B3">
        <v>15.55</v>
      </c>
      <c r="C3" s="7">
        <f t="shared" ref="C3:C66" si="0">+B3/B4-1</f>
        <v>-1.2845215157353262E-3</v>
      </c>
    </row>
    <row r="4" spans="1:3" x14ac:dyDescent="0.25">
      <c r="A4" s="5">
        <v>45321</v>
      </c>
      <c r="B4">
        <v>15.57</v>
      </c>
      <c r="C4" s="7">
        <f t="shared" si="0"/>
        <v>5.1646223369916644E-3</v>
      </c>
    </row>
    <row r="5" spans="1:3" x14ac:dyDescent="0.25">
      <c r="A5" s="5">
        <v>45320</v>
      </c>
      <c r="B5">
        <v>15.49</v>
      </c>
      <c r="C5" s="7">
        <f t="shared" si="0"/>
        <v>1.2928248222365823E-3</v>
      </c>
    </row>
    <row r="6" spans="1:3" x14ac:dyDescent="0.25">
      <c r="A6" s="5">
        <v>45317</v>
      </c>
      <c r="B6">
        <v>15.47</v>
      </c>
      <c r="C6" s="7">
        <f t="shared" si="0"/>
        <v>1.0450685826257411E-2</v>
      </c>
    </row>
    <row r="7" spans="1:3" x14ac:dyDescent="0.25">
      <c r="A7" s="5">
        <v>45316</v>
      </c>
      <c r="B7">
        <v>15.31</v>
      </c>
      <c r="C7" s="7">
        <f t="shared" si="0"/>
        <v>-1.1620400258231078E-2</v>
      </c>
    </row>
    <row r="8" spans="1:3" x14ac:dyDescent="0.25">
      <c r="A8" s="5">
        <v>45315</v>
      </c>
      <c r="B8">
        <v>15.49</v>
      </c>
      <c r="C8" s="7">
        <f t="shared" si="0"/>
        <v>-2.6398491514770583E-2</v>
      </c>
    </row>
    <row r="9" spans="1:3" x14ac:dyDescent="0.25">
      <c r="A9" s="5">
        <v>45314</v>
      </c>
      <c r="B9">
        <v>15.91</v>
      </c>
      <c r="C9" s="7">
        <f t="shared" si="0"/>
        <v>1.3375796178344057E-2</v>
      </c>
    </row>
    <row r="10" spans="1:3" x14ac:dyDescent="0.25">
      <c r="A10" s="5">
        <v>45313</v>
      </c>
      <c r="B10">
        <v>15.7</v>
      </c>
      <c r="C10" s="7">
        <f t="shared" si="0"/>
        <v>-5.069708491761693E-3</v>
      </c>
    </row>
    <row r="11" spans="1:3" x14ac:dyDescent="0.25">
      <c r="A11" s="5">
        <v>45310</v>
      </c>
      <c r="B11">
        <v>15.78</v>
      </c>
      <c r="C11" s="7">
        <f t="shared" si="0"/>
        <v>2.2020725388601115E-2</v>
      </c>
    </row>
    <row r="12" spans="1:3" x14ac:dyDescent="0.25">
      <c r="A12" s="5">
        <v>45309</v>
      </c>
      <c r="B12">
        <v>15.44</v>
      </c>
      <c r="C12" s="7">
        <f t="shared" si="0"/>
        <v>3.2488628979856493E-3</v>
      </c>
    </row>
    <row r="13" spans="1:3" x14ac:dyDescent="0.25">
      <c r="A13" s="5">
        <v>45308</v>
      </c>
      <c r="B13">
        <v>15.39</v>
      </c>
      <c r="C13" s="7">
        <f t="shared" si="0"/>
        <v>-1.9120458891013326E-2</v>
      </c>
    </row>
    <row r="14" spans="1:3" x14ac:dyDescent="0.25">
      <c r="A14" s="5">
        <v>45307</v>
      </c>
      <c r="B14">
        <v>15.69</v>
      </c>
      <c r="C14" s="7">
        <f t="shared" si="0"/>
        <v>-1.3827781269641792E-2</v>
      </c>
    </row>
    <row r="15" spans="1:3" x14ac:dyDescent="0.25">
      <c r="A15" s="5">
        <v>45306</v>
      </c>
      <c r="B15">
        <v>15.91</v>
      </c>
      <c r="C15" s="7">
        <f t="shared" si="0"/>
        <v>9.5177664974619436E-3</v>
      </c>
    </row>
    <row r="16" spans="1:3" x14ac:dyDescent="0.25">
      <c r="A16" s="5">
        <v>45303</v>
      </c>
      <c r="B16">
        <v>15.76</v>
      </c>
      <c r="C16" s="7">
        <f t="shared" si="0"/>
        <v>1.2202954399486154E-2</v>
      </c>
    </row>
    <row r="17" spans="1:3" x14ac:dyDescent="0.25">
      <c r="A17" s="5">
        <v>45302</v>
      </c>
      <c r="B17">
        <v>15.57</v>
      </c>
      <c r="C17" s="7">
        <f t="shared" si="0"/>
        <v>1.8312622629169439E-2</v>
      </c>
    </row>
    <row r="18" spans="1:3" x14ac:dyDescent="0.25">
      <c r="A18" s="5">
        <v>45301</v>
      </c>
      <c r="B18">
        <v>15.29</v>
      </c>
      <c r="C18" s="7">
        <f t="shared" si="0"/>
        <v>2.6229508196720097E-3</v>
      </c>
    </row>
    <row r="19" spans="1:3" x14ac:dyDescent="0.25">
      <c r="A19" s="5">
        <v>45300</v>
      </c>
      <c r="B19">
        <v>15.25</v>
      </c>
      <c r="C19" s="7">
        <f t="shared" si="0"/>
        <v>-9.7402597402597157E-3</v>
      </c>
    </row>
    <row r="20" spans="1:3" x14ac:dyDescent="0.25">
      <c r="A20" s="5">
        <v>45299</v>
      </c>
      <c r="B20">
        <v>15.4</v>
      </c>
      <c r="C20" s="7">
        <f t="shared" si="0"/>
        <v>-6.489292667098967E-4</v>
      </c>
    </row>
    <row r="21" spans="1:3" x14ac:dyDescent="0.25">
      <c r="A21" s="5">
        <v>45296</v>
      </c>
      <c r="B21">
        <v>15.41</v>
      </c>
      <c r="C21" s="7">
        <f t="shared" si="0"/>
        <v>-3.878474466709747E-3</v>
      </c>
    </row>
    <row r="22" spans="1:3" x14ac:dyDescent="0.25">
      <c r="A22" s="5">
        <v>45295</v>
      </c>
      <c r="B22">
        <v>15.47</v>
      </c>
      <c r="C22" s="7">
        <f t="shared" si="0"/>
        <v>-2.5789813023855412E-3</v>
      </c>
    </row>
    <row r="23" spans="1:3" x14ac:dyDescent="0.25">
      <c r="A23" s="5">
        <v>45294</v>
      </c>
      <c r="B23">
        <v>15.51</v>
      </c>
      <c r="C23" s="7">
        <f t="shared" si="0"/>
        <v>-1.5238095238095273E-2</v>
      </c>
    </row>
    <row r="24" spans="1:3" x14ac:dyDescent="0.25">
      <c r="A24" s="5">
        <v>45293</v>
      </c>
      <c r="B24">
        <v>15.75</v>
      </c>
      <c r="C24" s="7">
        <f t="shared" si="0"/>
        <v>6.3532401524768467E-4</v>
      </c>
    </row>
    <row r="25" spans="1:3" x14ac:dyDescent="0.25">
      <c r="A25" s="5">
        <v>45289</v>
      </c>
      <c r="B25">
        <v>15.74</v>
      </c>
      <c r="C25" s="7">
        <f t="shared" si="0"/>
        <v>8.3279948750800692E-3</v>
      </c>
    </row>
    <row r="26" spans="1:3" x14ac:dyDescent="0.25">
      <c r="A26" s="5">
        <v>45288</v>
      </c>
      <c r="B26">
        <v>15.61</v>
      </c>
      <c r="C26" s="7">
        <f t="shared" si="0"/>
        <v>-2.5559105431310902E-3</v>
      </c>
    </row>
    <row r="27" spans="1:3" x14ac:dyDescent="0.25">
      <c r="A27" s="5">
        <v>45287</v>
      </c>
      <c r="B27">
        <v>15.65</v>
      </c>
      <c r="C27" s="7">
        <f t="shared" si="0"/>
        <v>-8.8663711209625573E-3</v>
      </c>
    </row>
    <row r="28" spans="1:3" x14ac:dyDescent="0.25">
      <c r="A28" s="5">
        <v>45286</v>
      </c>
      <c r="B28">
        <v>15.79</v>
      </c>
      <c r="C28" s="7">
        <f t="shared" si="0"/>
        <v>6.3734862970044048E-3</v>
      </c>
    </row>
    <row r="29" spans="1:3" x14ac:dyDescent="0.25">
      <c r="A29" s="5">
        <v>45282</v>
      </c>
      <c r="B29">
        <v>15.69</v>
      </c>
      <c r="C29" s="7">
        <f t="shared" si="0"/>
        <v>-1.2586532410321039E-2</v>
      </c>
    </row>
    <row r="30" spans="1:3" x14ac:dyDescent="0.25">
      <c r="A30" s="5">
        <v>45281</v>
      </c>
      <c r="B30">
        <v>15.89</v>
      </c>
      <c r="C30" s="7">
        <f t="shared" si="0"/>
        <v>1.1457670273711029E-2</v>
      </c>
    </row>
    <row r="31" spans="1:3" x14ac:dyDescent="0.25">
      <c r="A31" s="5">
        <v>45280</v>
      </c>
      <c r="B31">
        <v>15.71</v>
      </c>
      <c r="C31" s="7">
        <f t="shared" si="0"/>
        <v>-1.2570710245128791E-2</v>
      </c>
    </row>
    <row r="32" spans="1:3" x14ac:dyDescent="0.25">
      <c r="A32" s="5">
        <v>45279</v>
      </c>
      <c r="B32">
        <v>15.91</v>
      </c>
      <c r="C32" s="7">
        <f t="shared" si="0"/>
        <v>-2.2727272727272818E-2</v>
      </c>
    </row>
    <row r="33" spans="1:3" x14ac:dyDescent="0.25">
      <c r="A33" s="5">
        <v>45278</v>
      </c>
      <c r="B33">
        <v>16.28</v>
      </c>
      <c r="C33" s="7">
        <f t="shared" si="0"/>
        <v>9.9255583126551805E-3</v>
      </c>
    </row>
    <row r="34" spans="1:3" x14ac:dyDescent="0.25">
      <c r="A34" s="5">
        <v>45275</v>
      </c>
      <c r="B34">
        <v>16.12</v>
      </c>
      <c r="C34" s="7">
        <f t="shared" si="0"/>
        <v>-6.1652281134401132E-3</v>
      </c>
    </row>
    <row r="35" spans="1:3" x14ac:dyDescent="0.25">
      <c r="A35" s="5">
        <v>45274</v>
      </c>
      <c r="B35">
        <v>16.22</v>
      </c>
      <c r="C35" s="7">
        <f t="shared" si="0"/>
        <v>2.7883396704689423E-2</v>
      </c>
    </row>
    <row r="36" spans="1:3" x14ac:dyDescent="0.25">
      <c r="A36" s="5">
        <v>45273</v>
      </c>
      <c r="B36">
        <v>15.78</v>
      </c>
      <c r="C36" s="7">
        <f t="shared" si="0"/>
        <v>-7.5471698113208641E-3</v>
      </c>
    </row>
    <row r="37" spans="1:3" x14ac:dyDescent="0.25">
      <c r="A37" s="5">
        <v>45271</v>
      </c>
      <c r="B37">
        <v>15.9</v>
      </c>
      <c r="C37" s="7">
        <f t="shared" si="0"/>
        <v>6.2932662051595756E-4</v>
      </c>
    </row>
    <row r="38" spans="1:3" x14ac:dyDescent="0.25">
      <c r="A38" s="5">
        <v>45268</v>
      </c>
      <c r="B38">
        <v>15.89</v>
      </c>
      <c r="C38" s="7">
        <f t="shared" si="0"/>
        <v>-8.733624454148492E-3</v>
      </c>
    </row>
    <row r="39" spans="1:3" x14ac:dyDescent="0.25">
      <c r="A39" s="5">
        <v>45267</v>
      </c>
      <c r="B39">
        <v>16.03</v>
      </c>
      <c r="C39" s="7">
        <f t="shared" si="0"/>
        <v>0</v>
      </c>
    </row>
    <row r="40" spans="1:3" x14ac:dyDescent="0.25">
      <c r="A40" s="5">
        <v>45266</v>
      </c>
      <c r="B40">
        <v>16.03</v>
      </c>
      <c r="C40" s="7">
        <f t="shared" si="0"/>
        <v>3.7570444583594487E-3</v>
      </c>
    </row>
    <row r="41" spans="1:3" x14ac:dyDescent="0.25">
      <c r="A41" s="5">
        <v>45265</v>
      </c>
      <c r="B41">
        <v>15.97</v>
      </c>
      <c r="C41" s="7">
        <f t="shared" si="0"/>
        <v>-6.2578222778475467E-4</v>
      </c>
    </row>
    <row r="42" spans="1:3" x14ac:dyDescent="0.25">
      <c r="A42" s="5">
        <v>45264</v>
      </c>
      <c r="B42">
        <v>15.98</v>
      </c>
      <c r="C42" s="7">
        <f t="shared" si="0"/>
        <v>-6.2539086929325194E-4</v>
      </c>
    </row>
    <row r="43" spans="1:3" x14ac:dyDescent="0.25">
      <c r="A43" s="5">
        <v>45261</v>
      </c>
      <c r="B43">
        <v>15.99</v>
      </c>
      <c r="C43" s="7">
        <f t="shared" si="0"/>
        <v>1.7823042647994836E-2</v>
      </c>
    </row>
    <row r="44" spans="1:3" x14ac:dyDescent="0.25">
      <c r="A44" s="5">
        <v>45260</v>
      </c>
      <c r="B44">
        <v>15.71</v>
      </c>
      <c r="C44" s="7">
        <f t="shared" si="0"/>
        <v>1.6170763260025867E-2</v>
      </c>
    </row>
    <row r="45" spans="1:3" x14ac:dyDescent="0.25">
      <c r="A45" s="5">
        <v>45259</v>
      </c>
      <c r="B45">
        <v>15.46</v>
      </c>
      <c r="C45" s="7">
        <f t="shared" si="0"/>
        <v>1.5101772816809023E-2</v>
      </c>
    </row>
    <row r="46" spans="1:3" x14ac:dyDescent="0.25">
      <c r="A46" s="5">
        <v>45258</v>
      </c>
      <c r="B46">
        <v>15.23</v>
      </c>
      <c r="C46" s="7">
        <f t="shared" si="0"/>
        <v>2.6333113890717463E-3</v>
      </c>
    </row>
    <row r="47" spans="1:3" x14ac:dyDescent="0.25">
      <c r="A47" s="5">
        <v>45257</v>
      </c>
      <c r="B47">
        <v>15.19</v>
      </c>
      <c r="C47" s="7">
        <f t="shared" si="0"/>
        <v>-8.4856396866841433E-3</v>
      </c>
    </row>
    <row r="48" spans="1:3" x14ac:dyDescent="0.25">
      <c r="A48" s="5">
        <v>45254</v>
      </c>
      <c r="B48">
        <v>15.32</v>
      </c>
      <c r="C48" s="7">
        <f t="shared" si="0"/>
        <v>4.5901639344263501E-3</v>
      </c>
    </row>
    <row r="49" spans="1:3" x14ac:dyDescent="0.25">
      <c r="A49" s="5">
        <v>45253</v>
      </c>
      <c r="B49">
        <v>15.25</v>
      </c>
      <c r="C49" s="7">
        <f t="shared" si="0"/>
        <v>7.931262392597338E-3</v>
      </c>
    </row>
    <row r="50" spans="1:3" x14ac:dyDescent="0.25">
      <c r="A50" s="5">
        <v>45252</v>
      </c>
      <c r="B50">
        <v>15.13</v>
      </c>
      <c r="C50" s="7">
        <f t="shared" si="0"/>
        <v>-3.2938076416336726E-3</v>
      </c>
    </row>
    <row r="51" spans="1:3" x14ac:dyDescent="0.25">
      <c r="A51" s="5">
        <v>45251</v>
      </c>
      <c r="B51">
        <v>15.18</v>
      </c>
      <c r="C51" s="7">
        <f t="shared" si="0"/>
        <v>-3.2829940906107247E-3</v>
      </c>
    </row>
    <row r="52" spans="1:3" x14ac:dyDescent="0.25">
      <c r="A52" s="5">
        <v>45247</v>
      </c>
      <c r="B52">
        <v>15.23</v>
      </c>
      <c r="C52" s="7">
        <f t="shared" si="0"/>
        <v>-3.2722513089004091E-3</v>
      </c>
    </row>
    <row r="53" spans="1:3" x14ac:dyDescent="0.25">
      <c r="A53" s="5">
        <v>45246</v>
      </c>
      <c r="B53">
        <v>15.28</v>
      </c>
      <c r="C53" s="7">
        <f t="shared" si="0"/>
        <v>-1.9595035924233617E-3</v>
      </c>
    </row>
    <row r="54" spans="1:3" x14ac:dyDescent="0.25">
      <c r="A54" s="5">
        <v>45245</v>
      </c>
      <c r="B54">
        <v>15.31</v>
      </c>
      <c r="C54" s="7">
        <f t="shared" si="0"/>
        <v>-1.1620400258231078E-2</v>
      </c>
    </row>
    <row r="55" spans="1:3" x14ac:dyDescent="0.25">
      <c r="A55" s="5">
        <v>45244</v>
      </c>
      <c r="B55">
        <v>15.49</v>
      </c>
      <c r="C55" s="7">
        <f t="shared" si="0"/>
        <v>1.6404199475065662E-2</v>
      </c>
    </row>
    <row r="56" spans="1:3" x14ac:dyDescent="0.25">
      <c r="A56" s="5">
        <v>45243</v>
      </c>
      <c r="B56">
        <v>15.24</v>
      </c>
      <c r="C56" s="7">
        <f t="shared" si="0"/>
        <v>6.5659881812218934E-4</v>
      </c>
    </row>
    <row r="57" spans="1:3" x14ac:dyDescent="0.25">
      <c r="A57" s="5">
        <v>45240</v>
      </c>
      <c r="B57">
        <v>15.23</v>
      </c>
      <c r="C57" s="7">
        <f t="shared" si="0"/>
        <v>6.6093853271644853E-3</v>
      </c>
    </row>
    <row r="58" spans="1:3" x14ac:dyDescent="0.25">
      <c r="A58" s="5">
        <v>45239</v>
      </c>
      <c r="B58">
        <v>15.13</v>
      </c>
      <c r="C58" s="7">
        <f t="shared" si="0"/>
        <v>1.0688042752170945E-2</v>
      </c>
    </row>
    <row r="59" spans="1:3" x14ac:dyDescent="0.25">
      <c r="A59" s="5">
        <v>45238</v>
      </c>
      <c r="B59">
        <v>14.97</v>
      </c>
      <c r="C59" s="7">
        <f t="shared" si="0"/>
        <v>-1.3342228152101177E-3</v>
      </c>
    </row>
    <row r="60" spans="1:3" x14ac:dyDescent="0.25">
      <c r="A60" s="5">
        <v>45237</v>
      </c>
      <c r="B60">
        <v>14.99</v>
      </c>
      <c r="C60" s="7">
        <f t="shared" si="0"/>
        <v>-1.8979057591622994E-2</v>
      </c>
    </row>
    <row r="61" spans="1:3" x14ac:dyDescent="0.25">
      <c r="A61" s="5">
        <v>45236</v>
      </c>
      <c r="B61">
        <v>15.28</v>
      </c>
      <c r="C61" s="7">
        <f t="shared" si="0"/>
        <v>1.0582010582010692E-2</v>
      </c>
    </row>
    <row r="62" spans="1:3" x14ac:dyDescent="0.25">
      <c r="A62" s="5">
        <v>45233</v>
      </c>
      <c r="B62">
        <v>15.12</v>
      </c>
      <c r="C62" s="7">
        <f t="shared" si="0"/>
        <v>2.1621621621621623E-2</v>
      </c>
    </row>
    <row r="63" spans="1:3" x14ac:dyDescent="0.25">
      <c r="A63" s="5">
        <v>45231</v>
      </c>
      <c r="B63">
        <v>14.8</v>
      </c>
      <c r="C63" s="7">
        <f t="shared" si="0"/>
        <v>-6.0443250503693369E-3</v>
      </c>
    </row>
    <row r="64" spans="1:3" x14ac:dyDescent="0.25">
      <c r="A64" s="5">
        <v>45230</v>
      </c>
      <c r="B64">
        <v>14.89</v>
      </c>
      <c r="C64" s="7">
        <f t="shared" si="0"/>
        <v>-9.3147039254822817E-3</v>
      </c>
    </row>
    <row r="65" spans="1:3" x14ac:dyDescent="0.25">
      <c r="A65" s="5">
        <v>45229</v>
      </c>
      <c r="B65">
        <v>15.03</v>
      </c>
      <c r="C65" s="7">
        <f t="shared" si="0"/>
        <v>-7.2655217965654773E-3</v>
      </c>
    </row>
    <row r="66" spans="1:3" x14ac:dyDescent="0.25">
      <c r="A66" s="5">
        <v>45226</v>
      </c>
      <c r="B66">
        <v>15.14</v>
      </c>
      <c r="C66" s="7">
        <f t="shared" si="0"/>
        <v>-6.5616797900261981E-3</v>
      </c>
    </row>
    <row r="67" spans="1:3" x14ac:dyDescent="0.25">
      <c r="A67" s="5">
        <v>45225</v>
      </c>
      <c r="B67">
        <v>15.24</v>
      </c>
      <c r="C67" s="7">
        <f t="shared" ref="C67:C130" si="1">+B67/B68-1</f>
        <v>1.9723865877712132E-3</v>
      </c>
    </row>
    <row r="68" spans="1:3" x14ac:dyDescent="0.25">
      <c r="A68" s="5">
        <v>45224</v>
      </c>
      <c r="B68">
        <v>15.21</v>
      </c>
      <c r="C68" s="7">
        <f t="shared" si="1"/>
        <v>-1.0409889394925043E-2</v>
      </c>
    </row>
    <row r="69" spans="1:3" x14ac:dyDescent="0.25">
      <c r="A69" s="5">
        <v>45223</v>
      </c>
      <c r="B69">
        <v>15.37</v>
      </c>
      <c r="C69" s="7">
        <f t="shared" si="1"/>
        <v>1.051939513477973E-2</v>
      </c>
    </row>
    <row r="70" spans="1:3" x14ac:dyDescent="0.25">
      <c r="A70" s="5">
        <v>45222</v>
      </c>
      <c r="B70">
        <v>15.21</v>
      </c>
      <c r="C70" s="7">
        <f t="shared" si="1"/>
        <v>-7.8277886497064575E-3</v>
      </c>
    </row>
    <row r="71" spans="1:3" x14ac:dyDescent="0.25">
      <c r="A71" s="5">
        <v>45219</v>
      </c>
      <c r="B71">
        <v>15.33</v>
      </c>
      <c r="C71" s="7">
        <f t="shared" si="1"/>
        <v>1.725282017252816E-2</v>
      </c>
    </row>
    <row r="72" spans="1:3" x14ac:dyDescent="0.25">
      <c r="A72" s="5">
        <v>45218</v>
      </c>
      <c r="B72">
        <v>15.07</v>
      </c>
      <c r="C72" s="7">
        <f t="shared" si="1"/>
        <v>1.0053619302949013E-2</v>
      </c>
    </row>
    <row r="73" spans="1:3" x14ac:dyDescent="0.25">
      <c r="A73" s="5">
        <v>45217</v>
      </c>
      <c r="B73">
        <v>14.92</v>
      </c>
      <c r="C73" s="7">
        <f t="shared" si="1"/>
        <v>-2.8013029315960947E-2</v>
      </c>
    </row>
    <row r="74" spans="1:3" x14ac:dyDescent="0.25">
      <c r="A74" s="5">
        <v>45216</v>
      </c>
      <c r="B74">
        <v>15.35</v>
      </c>
      <c r="C74" s="7">
        <f t="shared" si="1"/>
        <v>5.2390307793057644E-3</v>
      </c>
    </row>
    <row r="75" spans="1:3" x14ac:dyDescent="0.25">
      <c r="A75" s="5">
        <v>45215</v>
      </c>
      <c r="B75">
        <v>15.27</v>
      </c>
      <c r="C75" s="7">
        <f t="shared" si="1"/>
        <v>7.9207920792079278E-3</v>
      </c>
    </row>
    <row r="76" spans="1:3" x14ac:dyDescent="0.25">
      <c r="A76" s="5">
        <v>45212</v>
      </c>
      <c r="B76">
        <v>15.15</v>
      </c>
      <c r="C76" s="7">
        <f t="shared" si="1"/>
        <v>6.6050198150602313E-4</v>
      </c>
    </row>
    <row r="77" spans="1:3" x14ac:dyDescent="0.25">
      <c r="A77" s="5">
        <v>45211</v>
      </c>
      <c r="B77">
        <v>15.14</v>
      </c>
      <c r="C77" s="7">
        <f t="shared" si="1"/>
        <v>-2.6350461133068936E-3</v>
      </c>
    </row>
    <row r="78" spans="1:3" x14ac:dyDescent="0.25">
      <c r="A78" s="5">
        <v>45210</v>
      </c>
      <c r="B78">
        <v>15.18</v>
      </c>
      <c r="C78" s="7">
        <f t="shared" si="1"/>
        <v>-1.9723865877713243E-3</v>
      </c>
    </row>
    <row r="79" spans="1:3" x14ac:dyDescent="0.25">
      <c r="A79" s="5">
        <v>45209</v>
      </c>
      <c r="B79">
        <v>15.21</v>
      </c>
      <c r="C79" s="7">
        <f t="shared" si="1"/>
        <v>1.9762845849802257E-3</v>
      </c>
    </row>
    <row r="80" spans="1:3" x14ac:dyDescent="0.25">
      <c r="A80" s="5">
        <v>45208</v>
      </c>
      <c r="B80">
        <v>15.18</v>
      </c>
      <c r="C80" s="7">
        <f t="shared" si="1"/>
        <v>7.9681274900398336E-3</v>
      </c>
    </row>
    <row r="81" spans="1:3" x14ac:dyDescent="0.25">
      <c r="A81" s="5">
        <v>45205</v>
      </c>
      <c r="B81">
        <v>15.06</v>
      </c>
      <c r="C81" s="7">
        <f t="shared" si="1"/>
        <v>-1.5686274509803977E-2</v>
      </c>
    </row>
    <row r="82" spans="1:3" x14ac:dyDescent="0.25">
      <c r="A82" s="5">
        <v>45204</v>
      </c>
      <c r="B82">
        <v>15.3</v>
      </c>
      <c r="C82" s="7">
        <f t="shared" si="1"/>
        <v>7.2416063199474134E-3</v>
      </c>
    </row>
    <row r="83" spans="1:3" x14ac:dyDescent="0.25">
      <c r="A83" s="5">
        <v>45203</v>
      </c>
      <c r="B83">
        <v>15.19</v>
      </c>
      <c r="C83" s="7">
        <f t="shared" si="1"/>
        <v>3.1228784792939557E-2</v>
      </c>
    </row>
    <row r="84" spans="1:3" x14ac:dyDescent="0.25">
      <c r="A84" s="5">
        <v>45202</v>
      </c>
      <c r="B84">
        <v>14.73</v>
      </c>
      <c r="C84" s="7">
        <f t="shared" si="1"/>
        <v>-2.1912350597609542E-2</v>
      </c>
    </row>
    <row r="85" spans="1:3" x14ac:dyDescent="0.25">
      <c r="A85" s="5">
        <v>45201</v>
      </c>
      <c r="B85">
        <v>15.06</v>
      </c>
      <c r="C85" s="7">
        <f t="shared" si="1"/>
        <v>-1.9880715705764551E-3</v>
      </c>
    </row>
    <row r="86" spans="1:3" x14ac:dyDescent="0.25">
      <c r="A86" s="5">
        <v>45198</v>
      </c>
      <c r="B86">
        <v>15.09</v>
      </c>
      <c r="C86" s="7">
        <f t="shared" si="1"/>
        <v>-6.6225165562916466E-4</v>
      </c>
    </row>
    <row r="87" spans="1:3" x14ac:dyDescent="0.25">
      <c r="A87" s="5">
        <v>45197</v>
      </c>
      <c r="B87">
        <v>15.1</v>
      </c>
      <c r="C87" s="7">
        <f t="shared" si="1"/>
        <v>1.6835016835016869E-2</v>
      </c>
    </row>
    <row r="88" spans="1:3" x14ac:dyDescent="0.25">
      <c r="A88" s="5">
        <v>45196</v>
      </c>
      <c r="B88">
        <v>14.85</v>
      </c>
      <c r="C88" s="7">
        <f t="shared" si="1"/>
        <v>9.517335146159045E-3</v>
      </c>
    </row>
    <row r="89" spans="1:3" x14ac:dyDescent="0.25">
      <c r="A89" s="5">
        <v>45195</v>
      </c>
      <c r="B89">
        <v>14.71</v>
      </c>
      <c r="C89" s="7">
        <f t="shared" si="1"/>
        <v>-1.0094212651413081E-2</v>
      </c>
    </row>
    <row r="90" spans="1:3" x14ac:dyDescent="0.25">
      <c r="A90" s="5">
        <v>45194</v>
      </c>
      <c r="B90">
        <v>14.86</v>
      </c>
      <c r="C90" s="7">
        <f t="shared" si="1"/>
        <v>-1.9788918205804751E-2</v>
      </c>
    </row>
    <row r="91" spans="1:3" x14ac:dyDescent="0.25">
      <c r="A91" s="5">
        <v>45191</v>
      </c>
      <c r="B91">
        <v>15.16</v>
      </c>
      <c r="C91" s="7">
        <f t="shared" si="1"/>
        <v>-5.9016393442622439E-3</v>
      </c>
    </row>
    <row r="92" spans="1:3" x14ac:dyDescent="0.25">
      <c r="A92" s="5">
        <v>45190</v>
      </c>
      <c r="B92">
        <v>15.25</v>
      </c>
      <c r="C92" s="7">
        <f t="shared" si="1"/>
        <v>-2.1808851828094888E-2</v>
      </c>
    </row>
    <row r="93" spans="1:3" x14ac:dyDescent="0.25">
      <c r="A93" s="5">
        <v>45189</v>
      </c>
      <c r="B93">
        <v>15.59</v>
      </c>
      <c r="C93" s="7">
        <f t="shared" si="1"/>
        <v>-5.7397959183673741E-3</v>
      </c>
    </row>
    <row r="94" spans="1:3" x14ac:dyDescent="0.25">
      <c r="A94" s="5">
        <v>45188</v>
      </c>
      <c r="B94">
        <v>15.68</v>
      </c>
      <c r="C94" s="7">
        <f t="shared" si="1"/>
        <v>1.2771392081736277E-3</v>
      </c>
    </row>
    <row r="95" spans="1:3" x14ac:dyDescent="0.25">
      <c r="A95" s="5">
        <v>45187</v>
      </c>
      <c r="B95">
        <v>15.66</v>
      </c>
      <c r="C95" s="7">
        <f t="shared" si="1"/>
        <v>1.7543859649122862E-2</v>
      </c>
    </row>
    <row r="96" spans="1:3" x14ac:dyDescent="0.25">
      <c r="A96" s="5">
        <v>45184</v>
      </c>
      <c r="B96">
        <v>15.39</v>
      </c>
      <c r="C96" s="7">
        <f t="shared" si="1"/>
        <v>-1.5355086372360827E-2</v>
      </c>
    </row>
    <row r="97" spans="1:3" x14ac:dyDescent="0.25">
      <c r="A97" s="5">
        <v>45183</v>
      </c>
      <c r="B97">
        <v>15.63</v>
      </c>
      <c r="C97" s="7">
        <f t="shared" si="1"/>
        <v>2.5657472738935816E-3</v>
      </c>
    </row>
    <row r="98" spans="1:3" x14ac:dyDescent="0.25">
      <c r="A98" s="5">
        <v>45182</v>
      </c>
      <c r="B98">
        <v>15.59</v>
      </c>
      <c r="C98" s="7">
        <f t="shared" si="1"/>
        <v>-1.3915243516761544E-2</v>
      </c>
    </row>
    <row r="99" spans="1:3" x14ac:dyDescent="0.25">
      <c r="A99" s="5">
        <v>45181</v>
      </c>
      <c r="B99">
        <v>15.81</v>
      </c>
      <c r="C99" s="7">
        <f t="shared" si="1"/>
        <v>1.1516314779270509E-2</v>
      </c>
    </row>
    <row r="100" spans="1:3" x14ac:dyDescent="0.25">
      <c r="A100" s="5">
        <v>45180</v>
      </c>
      <c r="B100">
        <v>15.63</v>
      </c>
      <c r="C100" s="7">
        <f t="shared" si="1"/>
        <v>-1.4501891551071844E-2</v>
      </c>
    </row>
    <row r="101" spans="1:3" x14ac:dyDescent="0.25">
      <c r="A101" s="5">
        <v>45177</v>
      </c>
      <c r="B101">
        <v>15.86</v>
      </c>
      <c r="C101" s="7">
        <f t="shared" si="1"/>
        <v>3.7974683544304E-3</v>
      </c>
    </row>
    <row r="102" spans="1:3" x14ac:dyDescent="0.25">
      <c r="A102" s="5">
        <v>45176</v>
      </c>
      <c r="B102">
        <v>15.8</v>
      </c>
      <c r="C102" s="7">
        <f t="shared" si="1"/>
        <v>-1.4962593516209433E-2</v>
      </c>
    </row>
    <row r="103" spans="1:3" x14ac:dyDescent="0.25">
      <c r="A103" s="5">
        <v>45175</v>
      </c>
      <c r="B103">
        <v>16.04</v>
      </c>
      <c r="C103" s="7">
        <f t="shared" si="1"/>
        <v>4.3832185347525421E-3</v>
      </c>
    </row>
    <row r="104" spans="1:3" x14ac:dyDescent="0.25">
      <c r="A104" s="5">
        <v>45174</v>
      </c>
      <c r="B104">
        <v>15.97</v>
      </c>
      <c r="C104" s="7">
        <f t="shared" si="1"/>
        <v>1.8820577164366803E-3</v>
      </c>
    </row>
    <row r="105" spans="1:3" x14ac:dyDescent="0.25">
      <c r="A105" s="5">
        <v>45173</v>
      </c>
      <c r="B105">
        <v>15.94</v>
      </c>
      <c r="C105" s="7">
        <f t="shared" si="1"/>
        <v>-4.993757802746579E-3</v>
      </c>
    </row>
    <row r="106" spans="1:3" x14ac:dyDescent="0.25">
      <c r="A106" s="5">
        <v>45170</v>
      </c>
      <c r="B106">
        <v>16.02</v>
      </c>
      <c r="C106" s="7">
        <f t="shared" si="1"/>
        <v>-1.8691588785046953E-3</v>
      </c>
    </row>
    <row r="107" spans="1:3" x14ac:dyDescent="0.25">
      <c r="A107" s="5">
        <v>45169</v>
      </c>
      <c r="B107">
        <v>16.05</v>
      </c>
      <c r="C107" s="7">
        <f t="shared" si="1"/>
        <v>-1.5941140404659548E-2</v>
      </c>
    </row>
    <row r="108" spans="1:3" x14ac:dyDescent="0.25">
      <c r="A108" s="5">
        <v>45168</v>
      </c>
      <c r="B108">
        <v>16.309999999999999</v>
      </c>
      <c r="C108" s="7">
        <f t="shared" si="1"/>
        <v>2.1289918597369839E-2</v>
      </c>
    </row>
    <row r="109" spans="1:3" x14ac:dyDescent="0.25">
      <c r="A109" s="5">
        <v>45167</v>
      </c>
      <c r="B109">
        <v>15.97</v>
      </c>
      <c r="C109" s="7">
        <f t="shared" si="1"/>
        <v>1.0120177103099204E-2</v>
      </c>
    </row>
    <row r="110" spans="1:3" x14ac:dyDescent="0.25">
      <c r="A110" s="5">
        <v>45166</v>
      </c>
      <c r="B110">
        <v>15.81</v>
      </c>
      <c r="C110" s="7">
        <f t="shared" si="1"/>
        <v>-4.4080604534004753E-3</v>
      </c>
    </row>
    <row r="111" spans="1:3" x14ac:dyDescent="0.25">
      <c r="A111" s="5">
        <v>45163</v>
      </c>
      <c r="B111">
        <v>15.88</v>
      </c>
      <c r="C111" s="7">
        <f t="shared" si="1"/>
        <v>-1.488833746898266E-2</v>
      </c>
    </row>
    <row r="112" spans="1:3" x14ac:dyDescent="0.25">
      <c r="A112" s="5">
        <v>45162</v>
      </c>
      <c r="B112">
        <v>16.12</v>
      </c>
      <c r="C112" s="7">
        <f t="shared" si="1"/>
        <v>-3.0921459492888603E-3</v>
      </c>
    </row>
    <row r="113" spans="1:3" x14ac:dyDescent="0.25">
      <c r="A113" s="5">
        <v>45161</v>
      </c>
      <c r="B113">
        <v>16.170000000000002</v>
      </c>
      <c r="C113" s="7">
        <f t="shared" si="1"/>
        <v>1.8587360594797264E-3</v>
      </c>
    </row>
    <row r="114" spans="1:3" x14ac:dyDescent="0.25">
      <c r="A114" s="5">
        <v>45160</v>
      </c>
      <c r="B114">
        <v>16.14</v>
      </c>
      <c r="C114" s="7">
        <f t="shared" si="1"/>
        <v>-1.1635027556644029E-2</v>
      </c>
    </row>
    <row r="115" spans="1:3" x14ac:dyDescent="0.25">
      <c r="A115" s="5">
        <v>45159</v>
      </c>
      <c r="B115">
        <v>16.329999999999998</v>
      </c>
      <c r="C115" s="7">
        <f t="shared" si="1"/>
        <v>-1.685731487055997E-2</v>
      </c>
    </row>
    <row r="116" spans="1:3" x14ac:dyDescent="0.25">
      <c r="A116" s="5">
        <v>45156</v>
      </c>
      <c r="B116">
        <v>16.61</v>
      </c>
      <c r="C116" s="7">
        <f t="shared" si="1"/>
        <v>-2.4024024024023038E-3</v>
      </c>
    </row>
    <row r="117" spans="1:3" x14ac:dyDescent="0.25">
      <c r="A117" s="5">
        <v>45155</v>
      </c>
      <c r="B117">
        <v>16.649999999999999</v>
      </c>
      <c r="C117" s="7">
        <f t="shared" si="1"/>
        <v>4.848866498740545E-2</v>
      </c>
    </row>
    <row r="118" spans="1:3" x14ac:dyDescent="0.25">
      <c r="A118" s="5">
        <v>45154</v>
      </c>
      <c r="B118">
        <v>15.88</v>
      </c>
      <c r="C118" s="7">
        <f t="shared" si="1"/>
        <v>-8.7390761548064022E-3</v>
      </c>
    </row>
    <row r="119" spans="1:3" x14ac:dyDescent="0.25">
      <c r="A119" s="5">
        <v>45153</v>
      </c>
      <c r="B119">
        <v>16.02</v>
      </c>
      <c r="C119" s="7">
        <f t="shared" si="1"/>
        <v>-1.1111111111111072E-2</v>
      </c>
    </row>
    <row r="120" spans="1:3" x14ac:dyDescent="0.25">
      <c r="A120" s="5">
        <v>45152</v>
      </c>
      <c r="B120">
        <v>16.2</v>
      </c>
      <c r="C120" s="7">
        <f t="shared" si="1"/>
        <v>-1.5795868772782606E-2</v>
      </c>
    </row>
    <row r="121" spans="1:3" x14ac:dyDescent="0.25">
      <c r="A121" s="5">
        <v>45149</v>
      </c>
      <c r="B121">
        <v>16.46</v>
      </c>
      <c r="C121" s="7">
        <f t="shared" si="1"/>
        <v>-4.3579314352120813E-2</v>
      </c>
    </row>
    <row r="122" spans="1:3" x14ac:dyDescent="0.25">
      <c r="A122" s="5">
        <v>45148</v>
      </c>
      <c r="B122">
        <v>17.21</v>
      </c>
      <c r="C122" s="7">
        <f t="shared" si="1"/>
        <v>-1.993166287015935E-2</v>
      </c>
    </row>
    <row r="123" spans="1:3" x14ac:dyDescent="0.25">
      <c r="A123" s="5">
        <v>45147</v>
      </c>
      <c r="B123">
        <v>17.559999999999999</v>
      </c>
      <c r="C123" s="7">
        <f t="shared" si="1"/>
        <v>2.5102159953298342E-2</v>
      </c>
    </row>
    <row r="124" spans="1:3" x14ac:dyDescent="0.25">
      <c r="A124" s="5">
        <v>45146</v>
      </c>
      <c r="B124">
        <v>17.13</v>
      </c>
      <c r="C124" s="7">
        <f t="shared" si="1"/>
        <v>-5.8343057176202251E-4</v>
      </c>
    </row>
    <row r="125" spans="1:3" x14ac:dyDescent="0.25">
      <c r="A125" s="5">
        <v>45145</v>
      </c>
      <c r="B125">
        <v>17.14</v>
      </c>
      <c r="C125" s="7">
        <f t="shared" si="1"/>
        <v>7.6425631981187347E-3</v>
      </c>
    </row>
    <row r="126" spans="1:3" x14ac:dyDescent="0.25">
      <c r="A126" s="5">
        <v>45142</v>
      </c>
      <c r="B126">
        <v>17.010000000000002</v>
      </c>
      <c r="C126" s="7">
        <f t="shared" si="1"/>
        <v>1.1771630370809305E-3</v>
      </c>
    </row>
    <row r="127" spans="1:3" x14ac:dyDescent="0.25">
      <c r="A127" s="5">
        <v>45141</v>
      </c>
      <c r="B127">
        <v>16.989999999999998</v>
      </c>
      <c r="C127" s="7">
        <f t="shared" si="1"/>
        <v>2.9515938606845538E-3</v>
      </c>
    </row>
    <row r="128" spans="1:3" x14ac:dyDescent="0.25">
      <c r="A128" s="5">
        <v>45140</v>
      </c>
      <c r="B128">
        <v>16.940000000000001</v>
      </c>
      <c r="C128" s="7">
        <f t="shared" si="1"/>
        <v>-1.7401392111368708E-2</v>
      </c>
    </row>
    <row r="129" spans="1:3" x14ac:dyDescent="0.25">
      <c r="A129" s="5">
        <v>45139</v>
      </c>
      <c r="B129">
        <v>17.239999999999998</v>
      </c>
      <c r="C129" s="7">
        <f t="shared" si="1"/>
        <v>-1.7663817663817749E-2</v>
      </c>
    </row>
    <row r="130" spans="1:3" x14ac:dyDescent="0.25">
      <c r="A130" s="5">
        <v>45138</v>
      </c>
      <c r="B130">
        <v>17.55</v>
      </c>
      <c r="C130" s="7">
        <f t="shared" si="1"/>
        <v>-2.010050251256279E-2</v>
      </c>
    </row>
    <row r="131" spans="1:3" x14ac:dyDescent="0.25">
      <c r="A131" s="5">
        <v>45135</v>
      </c>
      <c r="B131">
        <v>17.91</v>
      </c>
      <c r="C131" s="7">
        <f t="shared" ref="C131:C194" si="2">+B131/B132-1</f>
        <v>3.9237668161435924E-3</v>
      </c>
    </row>
    <row r="132" spans="1:3" x14ac:dyDescent="0.25">
      <c r="A132" s="5">
        <v>45134</v>
      </c>
      <c r="B132">
        <v>17.84</v>
      </c>
      <c r="C132" s="7">
        <f t="shared" si="2"/>
        <v>9.6208262591963578E-3</v>
      </c>
    </row>
    <row r="133" spans="1:3" x14ac:dyDescent="0.25">
      <c r="A133" s="5">
        <v>45133</v>
      </c>
      <c r="B133">
        <v>17.670000000000002</v>
      </c>
      <c r="C133" s="7">
        <f t="shared" si="2"/>
        <v>-2.2586109542630517E-3</v>
      </c>
    </row>
    <row r="134" spans="1:3" x14ac:dyDescent="0.25">
      <c r="A134" s="5">
        <v>45132</v>
      </c>
      <c r="B134">
        <v>17.71</v>
      </c>
      <c r="C134" s="7">
        <f t="shared" si="2"/>
        <v>2.2637238256932868E-3</v>
      </c>
    </row>
    <row r="135" spans="1:3" x14ac:dyDescent="0.25">
      <c r="A135" s="5">
        <v>45131</v>
      </c>
      <c r="B135">
        <v>17.670000000000002</v>
      </c>
      <c r="C135" s="7">
        <f t="shared" si="2"/>
        <v>7.98630918425558E-3</v>
      </c>
    </row>
    <row r="136" spans="1:3" x14ac:dyDescent="0.25">
      <c r="A136" s="5">
        <v>45128</v>
      </c>
      <c r="B136">
        <v>17.53</v>
      </c>
      <c r="C136" s="7">
        <f t="shared" si="2"/>
        <v>2.2870211549459452E-3</v>
      </c>
    </row>
    <row r="137" spans="1:3" x14ac:dyDescent="0.25">
      <c r="A137" s="5">
        <v>45127</v>
      </c>
      <c r="B137">
        <v>17.489999999999998</v>
      </c>
      <c r="C137" s="7">
        <f t="shared" si="2"/>
        <v>-5.6850483229108351E-3</v>
      </c>
    </row>
    <row r="138" spans="1:3" x14ac:dyDescent="0.25">
      <c r="A138" s="5">
        <v>45126</v>
      </c>
      <c r="B138">
        <v>17.59</v>
      </c>
      <c r="C138" s="7">
        <f t="shared" si="2"/>
        <v>-1.068616422947144E-2</v>
      </c>
    </row>
    <row r="139" spans="1:3" x14ac:dyDescent="0.25">
      <c r="A139" s="5">
        <v>45125</v>
      </c>
      <c r="B139">
        <v>17.78</v>
      </c>
      <c r="C139" s="7">
        <f t="shared" si="2"/>
        <v>-2.8042624789679227E-3</v>
      </c>
    </row>
    <row r="140" spans="1:3" x14ac:dyDescent="0.25">
      <c r="A140" s="5">
        <v>45124</v>
      </c>
      <c r="B140">
        <v>17.829999999999998</v>
      </c>
      <c r="C140" s="7">
        <f t="shared" si="2"/>
        <v>-7.2383073496660177E-3</v>
      </c>
    </row>
    <row r="141" spans="1:3" x14ac:dyDescent="0.25">
      <c r="A141" s="5">
        <v>45121</v>
      </c>
      <c r="B141">
        <v>17.96</v>
      </c>
      <c r="C141" s="7">
        <f t="shared" si="2"/>
        <v>-1.8042646254783912E-2</v>
      </c>
    </row>
    <row r="142" spans="1:3" x14ac:dyDescent="0.25">
      <c r="A142" s="5">
        <v>45120</v>
      </c>
      <c r="B142">
        <v>18.29</v>
      </c>
      <c r="C142" s="7">
        <f t="shared" si="2"/>
        <v>-9.2091007583966489E-3</v>
      </c>
    </row>
    <row r="143" spans="1:3" x14ac:dyDescent="0.25">
      <c r="A143" s="5">
        <v>45119</v>
      </c>
      <c r="B143">
        <v>18.46</v>
      </c>
      <c r="C143" s="7">
        <f t="shared" si="2"/>
        <v>-1.8607123870281628E-2</v>
      </c>
    </row>
    <row r="144" spans="1:3" x14ac:dyDescent="0.25">
      <c r="A144" s="5">
        <v>45118</v>
      </c>
      <c r="B144">
        <v>18.809999999999999</v>
      </c>
      <c r="C144" s="7">
        <f t="shared" si="2"/>
        <v>2.9556650246305383E-2</v>
      </c>
    </row>
    <row r="145" spans="1:3" x14ac:dyDescent="0.25">
      <c r="A145" s="5">
        <v>45117</v>
      </c>
      <c r="B145">
        <v>18.27</v>
      </c>
      <c r="C145" s="7">
        <f t="shared" si="2"/>
        <v>-1.5625E-2</v>
      </c>
    </row>
    <row r="146" spans="1:3" x14ac:dyDescent="0.25">
      <c r="A146" s="5">
        <v>45114</v>
      </c>
      <c r="B146">
        <v>18.559999999999999</v>
      </c>
      <c r="C146" s="7">
        <f t="shared" si="2"/>
        <v>2.1598272138227959E-3</v>
      </c>
    </row>
    <row r="147" spans="1:3" x14ac:dyDescent="0.25">
      <c r="A147" s="5">
        <v>45113</v>
      </c>
      <c r="B147">
        <v>18.52</v>
      </c>
      <c r="C147" s="7">
        <f t="shared" si="2"/>
        <v>-1.6172506738545422E-3</v>
      </c>
    </row>
    <row r="148" spans="1:3" x14ac:dyDescent="0.25">
      <c r="A148" s="5">
        <v>45112</v>
      </c>
      <c r="B148">
        <v>18.55</v>
      </c>
      <c r="C148" s="7">
        <f t="shared" si="2"/>
        <v>-3.2240730789897531E-3</v>
      </c>
    </row>
    <row r="149" spans="1:3" x14ac:dyDescent="0.25">
      <c r="A149" s="5">
        <v>45111</v>
      </c>
      <c r="B149">
        <v>18.61</v>
      </c>
      <c r="C149" s="7">
        <f t="shared" si="2"/>
        <v>-1.6094420600859527E-3</v>
      </c>
    </row>
    <row r="150" spans="1:3" x14ac:dyDescent="0.25">
      <c r="A150" s="5">
        <v>45110</v>
      </c>
      <c r="B150">
        <v>18.64</v>
      </c>
      <c r="C150" s="7">
        <f t="shared" si="2"/>
        <v>2.1505376344086446E-3</v>
      </c>
    </row>
    <row r="151" spans="1:3" x14ac:dyDescent="0.25">
      <c r="A151" s="5">
        <v>45107</v>
      </c>
      <c r="B151">
        <v>18.600000000000001</v>
      </c>
      <c r="C151" s="7">
        <f t="shared" si="2"/>
        <v>-1.0638297872340385E-2</v>
      </c>
    </row>
    <row r="152" spans="1:3" x14ac:dyDescent="0.25">
      <c r="A152" s="5">
        <v>45106</v>
      </c>
      <c r="B152">
        <v>18.8</v>
      </c>
      <c r="C152" s="7">
        <f t="shared" si="2"/>
        <v>3.7373198077950143E-3</v>
      </c>
    </row>
    <row r="153" spans="1:3" x14ac:dyDescent="0.25">
      <c r="A153" s="5">
        <v>45105</v>
      </c>
      <c r="B153">
        <v>18.73</v>
      </c>
      <c r="C153" s="7">
        <f t="shared" si="2"/>
        <v>-5.3106744556558061E-3</v>
      </c>
    </row>
    <row r="154" spans="1:3" x14ac:dyDescent="0.25">
      <c r="A154" s="5">
        <v>45104</v>
      </c>
      <c r="B154">
        <v>18.829999999999998</v>
      </c>
      <c r="C154" s="7">
        <f t="shared" si="2"/>
        <v>1.8939393939393812E-2</v>
      </c>
    </row>
    <row r="155" spans="1:3" x14ac:dyDescent="0.25">
      <c r="A155" s="5">
        <v>45103</v>
      </c>
      <c r="B155">
        <v>18.48</v>
      </c>
      <c r="C155" s="7">
        <f t="shared" si="2"/>
        <v>-3.2362459546925182E-3</v>
      </c>
    </row>
    <row r="156" spans="1:3" x14ac:dyDescent="0.25">
      <c r="A156" s="5">
        <v>45100</v>
      </c>
      <c r="B156">
        <v>18.54</v>
      </c>
      <c r="C156" s="7">
        <f t="shared" si="2"/>
        <v>2.1621621621621401E-3</v>
      </c>
    </row>
    <row r="157" spans="1:3" x14ac:dyDescent="0.25">
      <c r="A157" s="5">
        <v>45099</v>
      </c>
      <c r="B157">
        <v>18.5</v>
      </c>
      <c r="C157" s="7">
        <f t="shared" si="2"/>
        <v>-1.2279765082754968E-2</v>
      </c>
    </row>
    <row r="158" spans="1:3" x14ac:dyDescent="0.25">
      <c r="A158" s="5">
        <v>45098</v>
      </c>
      <c r="B158">
        <v>18.73</v>
      </c>
      <c r="C158" s="7">
        <f t="shared" si="2"/>
        <v>-7.4191838897721407E-3</v>
      </c>
    </row>
    <row r="159" spans="1:3" x14ac:dyDescent="0.25">
      <c r="A159" s="5">
        <v>45097</v>
      </c>
      <c r="B159">
        <v>18.87</v>
      </c>
      <c r="C159" s="7">
        <f t="shared" si="2"/>
        <v>-1.5873015873014706E-3</v>
      </c>
    </row>
    <row r="160" spans="1:3" x14ac:dyDescent="0.25">
      <c r="A160" s="5">
        <v>45096</v>
      </c>
      <c r="B160">
        <v>18.899999999999999</v>
      </c>
      <c r="C160" s="7">
        <f t="shared" si="2"/>
        <v>9.0763481046447492E-3</v>
      </c>
    </row>
    <row r="161" spans="1:3" x14ac:dyDescent="0.25">
      <c r="A161" s="5">
        <v>45093</v>
      </c>
      <c r="B161">
        <v>18.73</v>
      </c>
      <c r="C161" s="7">
        <f t="shared" si="2"/>
        <v>-1.576458223857069E-2</v>
      </c>
    </row>
    <row r="162" spans="1:3" x14ac:dyDescent="0.25">
      <c r="A162" s="5">
        <v>45092</v>
      </c>
      <c r="B162">
        <v>19.03</v>
      </c>
      <c r="C162" s="7">
        <f t="shared" si="2"/>
        <v>-1.0914760914760735E-2</v>
      </c>
    </row>
    <row r="163" spans="1:3" x14ac:dyDescent="0.25">
      <c r="A163" s="5">
        <v>45091</v>
      </c>
      <c r="B163">
        <v>19.239999999999998</v>
      </c>
      <c r="C163" s="7">
        <f t="shared" si="2"/>
        <v>7.8575170246202308E-3</v>
      </c>
    </row>
    <row r="164" spans="1:3" x14ac:dyDescent="0.25">
      <c r="A164" s="5">
        <v>45090</v>
      </c>
      <c r="B164">
        <v>19.09</v>
      </c>
      <c r="C164" s="7">
        <f t="shared" si="2"/>
        <v>-2.6123301985371272E-3</v>
      </c>
    </row>
    <row r="165" spans="1:3" x14ac:dyDescent="0.25">
      <c r="A165" s="5">
        <v>45089</v>
      </c>
      <c r="B165">
        <v>19.14</v>
      </c>
      <c r="C165" s="7">
        <f t="shared" si="2"/>
        <v>-1.1874032008260205E-2</v>
      </c>
    </row>
    <row r="166" spans="1:3" x14ac:dyDescent="0.25">
      <c r="A166" s="5">
        <v>45086</v>
      </c>
      <c r="B166">
        <v>19.37</v>
      </c>
      <c r="C166" s="7">
        <f t="shared" si="2"/>
        <v>-1.1734693877550995E-2</v>
      </c>
    </row>
    <row r="167" spans="1:3" x14ac:dyDescent="0.25">
      <c r="A167" s="5">
        <v>45085</v>
      </c>
      <c r="B167">
        <v>19.600000000000001</v>
      </c>
      <c r="C167" s="7">
        <f t="shared" si="2"/>
        <v>1.5018125323666531E-2</v>
      </c>
    </row>
    <row r="168" spans="1:3" x14ac:dyDescent="0.25">
      <c r="A168" s="5">
        <v>45084</v>
      </c>
      <c r="B168">
        <v>19.309999999999999</v>
      </c>
      <c r="C168" s="7">
        <f t="shared" si="2"/>
        <v>-9.2355053873781623E-3</v>
      </c>
    </row>
    <row r="169" spans="1:3" x14ac:dyDescent="0.25">
      <c r="A169" s="5">
        <v>45083</v>
      </c>
      <c r="B169">
        <v>19.489999999999998</v>
      </c>
      <c r="C169" s="7">
        <f t="shared" si="2"/>
        <v>2.0953378732320616E-2</v>
      </c>
    </row>
    <row r="170" spans="1:3" x14ac:dyDescent="0.25">
      <c r="A170" s="5">
        <v>45082</v>
      </c>
      <c r="B170">
        <v>19.09</v>
      </c>
      <c r="C170" s="7">
        <f t="shared" si="2"/>
        <v>-1.0465724751438366E-3</v>
      </c>
    </row>
    <row r="171" spans="1:3" x14ac:dyDescent="0.25">
      <c r="A171" s="5">
        <v>45079</v>
      </c>
      <c r="B171">
        <v>19.11</v>
      </c>
      <c r="C171" s="7">
        <f t="shared" si="2"/>
        <v>6.3191153238546516E-3</v>
      </c>
    </row>
    <row r="172" spans="1:3" x14ac:dyDescent="0.25">
      <c r="A172" s="5">
        <v>45078</v>
      </c>
      <c r="B172">
        <v>18.989999999999998</v>
      </c>
      <c r="C172" s="7">
        <f t="shared" si="2"/>
        <v>5.8262711864407457E-3</v>
      </c>
    </row>
    <row r="173" spans="1:3" x14ac:dyDescent="0.25">
      <c r="A173" s="5">
        <v>45077</v>
      </c>
      <c r="B173">
        <v>18.88</v>
      </c>
      <c r="C173" s="7">
        <f t="shared" si="2"/>
        <v>-2.6804123711340222E-2</v>
      </c>
    </row>
    <row r="174" spans="1:3" x14ac:dyDescent="0.25">
      <c r="A174" s="5">
        <v>45076</v>
      </c>
      <c r="B174">
        <v>19.399999999999999</v>
      </c>
      <c r="C174" s="7">
        <f t="shared" si="2"/>
        <v>-3.7220843672456594E-2</v>
      </c>
    </row>
    <row r="175" spans="1:3" x14ac:dyDescent="0.25">
      <c r="A175" s="5">
        <v>45075</v>
      </c>
      <c r="B175">
        <v>20.149999999999999</v>
      </c>
      <c r="C175" s="7">
        <f t="shared" si="2"/>
        <v>1.9736842105263053E-2</v>
      </c>
    </row>
    <row r="176" spans="1:3" x14ac:dyDescent="0.25">
      <c r="A176" s="5">
        <v>45072</v>
      </c>
      <c r="B176">
        <v>19.760000000000002</v>
      </c>
      <c r="C176" s="7">
        <f t="shared" si="2"/>
        <v>8.6778968861664918E-3</v>
      </c>
    </row>
    <row r="177" spans="1:3" x14ac:dyDescent="0.25">
      <c r="A177" s="5">
        <v>45071</v>
      </c>
      <c r="B177">
        <v>19.59</v>
      </c>
      <c r="C177" s="7">
        <f t="shared" si="2"/>
        <v>2.9968454258675115E-2</v>
      </c>
    </row>
    <row r="178" spans="1:3" x14ac:dyDescent="0.25">
      <c r="A178" s="5">
        <v>45070</v>
      </c>
      <c r="B178">
        <v>19.02</v>
      </c>
      <c r="C178" s="7">
        <f t="shared" si="2"/>
        <v>-7.3068893528184242E-3</v>
      </c>
    </row>
    <row r="179" spans="1:3" x14ac:dyDescent="0.25">
      <c r="A179" s="5">
        <v>45069</v>
      </c>
      <c r="B179">
        <v>19.16</v>
      </c>
      <c r="C179" s="7">
        <f t="shared" si="2"/>
        <v>6.302521008403339E-3</v>
      </c>
    </row>
    <row r="180" spans="1:3" x14ac:dyDescent="0.25">
      <c r="A180" s="5">
        <v>45068</v>
      </c>
      <c r="B180">
        <v>19.04</v>
      </c>
      <c r="C180" s="7">
        <f t="shared" si="2"/>
        <v>-1.0909090909090979E-2</v>
      </c>
    </row>
    <row r="181" spans="1:3" x14ac:dyDescent="0.25">
      <c r="A181" s="5">
        <v>45065</v>
      </c>
      <c r="B181">
        <v>19.25</v>
      </c>
      <c r="C181" s="7">
        <f t="shared" si="2"/>
        <v>-3.2176973353443938E-2</v>
      </c>
    </row>
    <row r="182" spans="1:3" x14ac:dyDescent="0.25">
      <c r="A182" s="5">
        <v>45064</v>
      </c>
      <c r="B182">
        <v>19.89</v>
      </c>
      <c r="C182" s="7">
        <f t="shared" si="2"/>
        <v>-8.4745762711863071E-3</v>
      </c>
    </row>
    <row r="183" spans="1:3" x14ac:dyDescent="0.25">
      <c r="A183" s="5">
        <v>45063</v>
      </c>
      <c r="B183">
        <v>20.059999999999999</v>
      </c>
      <c r="C183" s="7">
        <f t="shared" si="2"/>
        <v>-4.9825610363729567E-4</v>
      </c>
    </row>
    <row r="184" spans="1:3" x14ac:dyDescent="0.25">
      <c r="A184" s="5">
        <v>45062</v>
      </c>
      <c r="B184">
        <v>20.07</v>
      </c>
      <c r="C184" s="7">
        <f t="shared" si="2"/>
        <v>9.0497737556560764E-3</v>
      </c>
    </row>
    <row r="185" spans="1:3" x14ac:dyDescent="0.25">
      <c r="A185" s="5">
        <v>45061</v>
      </c>
      <c r="B185">
        <v>19.89</v>
      </c>
      <c r="C185" s="7">
        <f t="shared" si="2"/>
        <v>2.2622107969151761E-2</v>
      </c>
    </row>
    <row r="186" spans="1:3" x14ac:dyDescent="0.25">
      <c r="A186" s="5">
        <v>45058</v>
      </c>
      <c r="B186">
        <v>19.45</v>
      </c>
      <c r="C186" s="7">
        <f t="shared" si="2"/>
        <v>-4.0962621607784078E-3</v>
      </c>
    </row>
    <row r="187" spans="1:3" x14ac:dyDescent="0.25">
      <c r="A187" s="5">
        <v>45057</v>
      </c>
      <c r="B187">
        <v>19.53</v>
      </c>
      <c r="C187" s="7">
        <f t="shared" si="2"/>
        <v>1.5600624024961096E-2</v>
      </c>
    </row>
    <row r="188" spans="1:3" x14ac:dyDescent="0.25">
      <c r="A188" s="5">
        <v>45056</v>
      </c>
      <c r="B188">
        <v>19.23</v>
      </c>
      <c r="C188" s="7">
        <f t="shared" si="2"/>
        <v>3.2760472610096736E-2</v>
      </c>
    </row>
    <row r="189" spans="1:3" x14ac:dyDescent="0.25">
      <c r="A189" s="5">
        <v>45055</v>
      </c>
      <c r="B189">
        <v>18.62</v>
      </c>
      <c r="C189" s="7">
        <f t="shared" si="2"/>
        <v>-4.8102618920363716E-3</v>
      </c>
    </row>
    <row r="190" spans="1:3" x14ac:dyDescent="0.25">
      <c r="A190" s="5">
        <v>45054</v>
      </c>
      <c r="B190">
        <v>18.71</v>
      </c>
      <c r="C190" s="7">
        <f t="shared" si="2"/>
        <v>-6.900212314224996E-3</v>
      </c>
    </row>
    <row r="191" spans="1:3" x14ac:dyDescent="0.25">
      <c r="A191" s="5">
        <v>45051</v>
      </c>
      <c r="B191">
        <v>18.84</v>
      </c>
      <c r="C191" s="7">
        <f t="shared" si="2"/>
        <v>-1.2060828526481382E-2</v>
      </c>
    </row>
    <row r="192" spans="1:3" x14ac:dyDescent="0.25">
      <c r="A192" s="5">
        <v>45050</v>
      </c>
      <c r="B192">
        <v>19.07</v>
      </c>
      <c r="C192" s="7">
        <f t="shared" si="2"/>
        <v>-6.2532569046378494E-3</v>
      </c>
    </row>
    <row r="193" spans="1:3" x14ac:dyDescent="0.25">
      <c r="A193" s="5">
        <v>45049</v>
      </c>
      <c r="B193">
        <v>19.190000000000001</v>
      </c>
      <c r="C193" s="7">
        <f t="shared" si="2"/>
        <v>-2.5987525987524185E-3</v>
      </c>
    </row>
    <row r="194" spans="1:3" x14ac:dyDescent="0.25">
      <c r="A194" s="5">
        <v>45048</v>
      </c>
      <c r="B194">
        <v>19.239999999999998</v>
      </c>
      <c r="C194" s="7">
        <f t="shared" si="2"/>
        <v>-7.7359463641053505E-3</v>
      </c>
    </row>
    <row r="195" spans="1:3" x14ac:dyDescent="0.25">
      <c r="A195" s="5">
        <v>45044</v>
      </c>
      <c r="B195">
        <v>19.39</v>
      </c>
      <c r="C195" s="7">
        <f t="shared" ref="C195:C254" si="3">+B195/B196-1</f>
        <v>1.3061650992685525E-2</v>
      </c>
    </row>
    <row r="196" spans="1:3" x14ac:dyDescent="0.25">
      <c r="A196" s="5">
        <v>45043</v>
      </c>
      <c r="B196">
        <v>19.14</v>
      </c>
      <c r="C196" s="7">
        <f t="shared" si="3"/>
        <v>4.1972717733473885E-3</v>
      </c>
    </row>
    <row r="197" spans="1:3" x14ac:dyDescent="0.25">
      <c r="A197" s="5">
        <v>45042</v>
      </c>
      <c r="B197">
        <v>19.059999999999999</v>
      </c>
      <c r="C197" s="7">
        <f t="shared" si="3"/>
        <v>5.2493438320189156E-4</v>
      </c>
    </row>
    <row r="198" spans="1:3" x14ac:dyDescent="0.25">
      <c r="A198" s="5">
        <v>45041</v>
      </c>
      <c r="B198">
        <v>19.05</v>
      </c>
      <c r="C198" s="7">
        <f t="shared" si="3"/>
        <v>-1.3464526152252576E-2</v>
      </c>
    </row>
    <row r="199" spans="1:3" x14ac:dyDescent="0.25">
      <c r="A199" s="5">
        <v>45040</v>
      </c>
      <c r="B199">
        <v>19.309999999999999</v>
      </c>
      <c r="C199" s="7">
        <f t="shared" si="3"/>
        <v>-2.0671834625324292E-3</v>
      </c>
    </row>
    <row r="200" spans="1:3" x14ac:dyDescent="0.25">
      <c r="A200" s="5">
        <v>45037</v>
      </c>
      <c r="B200">
        <v>19.350000000000001</v>
      </c>
      <c r="C200" s="7">
        <f t="shared" si="3"/>
        <v>6.7637877211239594E-3</v>
      </c>
    </row>
    <row r="201" spans="1:3" x14ac:dyDescent="0.25">
      <c r="A201" s="5">
        <v>45036</v>
      </c>
      <c r="B201">
        <v>19.22</v>
      </c>
      <c r="C201" s="7">
        <f t="shared" si="3"/>
        <v>9.984235417761278E-3</v>
      </c>
    </row>
    <row r="202" spans="1:3" x14ac:dyDescent="0.25">
      <c r="A202" s="5">
        <v>45035</v>
      </c>
      <c r="B202">
        <v>19.03</v>
      </c>
      <c r="C202" s="7">
        <f t="shared" si="3"/>
        <v>-2.7593254982115401E-2</v>
      </c>
    </row>
    <row r="203" spans="1:3" x14ac:dyDescent="0.25">
      <c r="A203" s="5">
        <v>45034</v>
      </c>
      <c r="B203">
        <v>19.57</v>
      </c>
      <c r="C203" s="7">
        <f t="shared" si="3"/>
        <v>-3.5641547861506861E-3</v>
      </c>
    </row>
    <row r="204" spans="1:3" x14ac:dyDescent="0.25">
      <c r="A204" s="5">
        <v>45033</v>
      </c>
      <c r="B204">
        <v>19.64</v>
      </c>
      <c r="C204" s="7">
        <f t="shared" si="3"/>
        <v>1.1849562081401421E-2</v>
      </c>
    </row>
    <row r="205" spans="1:3" x14ac:dyDescent="0.25">
      <c r="A205" s="5">
        <v>45030</v>
      </c>
      <c r="B205">
        <v>19.41</v>
      </c>
      <c r="C205" s="7">
        <f t="shared" si="3"/>
        <v>-4.6153846153845768E-3</v>
      </c>
    </row>
    <row r="206" spans="1:3" x14ac:dyDescent="0.25">
      <c r="A206" s="5">
        <v>45029</v>
      </c>
      <c r="B206">
        <v>19.5</v>
      </c>
      <c r="C206" s="7">
        <f t="shared" si="3"/>
        <v>3.6026762738035067E-3</v>
      </c>
    </row>
    <row r="207" spans="1:3" x14ac:dyDescent="0.25">
      <c r="A207" s="5">
        <v>45028</v>
      </c>
      <c r="B207">
        <v>19.43</v>
      </c>
      <c r="C207" s="7">
        <f t="shared" si="3"/>
        <v>4.1343669250644144E-3</v>
      </c>
    </row>
    <row r="208" spans="1:3" x14ac:dyDescent="0.25">
      <c r="A208" s="5">
        <v>45027</v>
      </c>
      <c r="B208">
        <v>19.350000000000001</v>
      </c>
      <c r="C208" s="7">
        <f t="shared" si="3"/>
        <v>-3.6045314109165449E-3</v>
      </c>
    </row>
    <row r="209" spans="1:3" x14ac:dyDescent="0.25">
      <c r="A209" s="5">
        <v>45026</v>
      </c>
      <c r="B209">
        <v>19.420000000000002</v>
      </c>
      <c r="C209" s="7">
        <f t="shared" si="3"/>
        <v>1.0931806350858997E-2</v>
      </c>
    </row>
    <row r="210" spans="1:3" x14ac:dyDescent="0.25">
      <c r="A210" s="5">
        <v>45021</v>
      </c>
      <c r="B210">
        <v>19.21</v>
      </c>
      <c r="C210" s="7">
        <f t="shared" si="3"/>
        <v>-3.1136481577580533E-3</v>
      </c>
    </row>
    <row r="211" spans="1:3" x14ac:dyDescent="0.25">
      <c r="A211" s="5">
        <v>45020</v>
      </c>
      <c r="B211">
        <v>19.27</v>
      </c>
      <c r="C211" s="7">
        <f t="shared" si="3"/>
        <v>1.5814443858724436E-2</v>
      </c>
    </row>
    <row r="212" spans="1:3" x14ac:dyDescent="0.25">
      <c r="A212" s="5">
        <v>45019</v>
      </c>
      <c r="B212">
        <v>18.97</v>
      </c>
      <c r="C212" s="7">
        <f t="shared" si="3"/>
        <v>2.1130480718436484E-3</v>
      </c>
    </row>
    <row r="213" spans="1:3" x14ac:dyDescent="0.25">
      <c r="A213" s="5">
        <v>45016</v>
      </c>
      <c r="B213">
        <v>18.93</v>
      </c>
      <c r="C213" s="7">
        <f t="shared" si="3"/>
        <v>-2.0186335403726718E-2</v>
      </c>
    </row>
    <row r="214" spans="1:3" x14ac:dyDescent="0.25">
      <c r="A214" s="5">
        <v>45015</v>
      </c>
      <c r="B214">
        <v>19.32</v>
      </c>
      <c r="C214" s="7">
        <f t="shared" si="3"/>
        <v>-1.0341261633919352E-3</v>
      </c>
    </row>
    <row r="215" spans="1:3" x14ac:dyDescent="0.25">
      <c r="A215" s="5">
        <v>45014</v>
      </c>
      <c r="B215">
        <v>19.34</v>
      </c>
      <c r="C215" s="7">
        <f t="shared" si="3"/>
        <v>-2.0639834881320818E-3</v>
      </c>
    </row>
    <row r="216" spans="1:3" x14ac:dyDescent="0.25">
      <c r="A216" s="5">
        <v>45013</v>
      </c>
      <c r="B216">
        <v>19.38</v>
      </c>
      <c r="C216" s="7">
        <f t="shared" si="3"/>
        <v>9.9009900990096877E-3</v>
      </c>
    </row>
    <row r="217" spans="1:3" x14ac:dyDescent="0.25">
      <c r="A217" s="5">
        <v>45012</v>
      </c>
      <c r="B217">
        <v>19.190000000000001</v>
      </c>
      <c r="C217" s="7">
        <f t="shared" si="3"/>
        <v>5.2137643378524778E-4</v>
      </c>
    </row>
    <row r="218" spans="1:3" x14ac:dyDescent="0.25">
      <c r="A218" s="5">
        <v>45009</v>
      </c>
      <c r="B218">
        <v>19.18</v>
      </c>
      <c r="C218" s="7">
        <f t="shared" si="3"/>
        <v>-5.2110474205324664E-4</v>
      </c>
    </row>
    <row r="219" spans="1:3" x14ac:dyDescent="0.25">
      <c r="A219" s="5">
        <v>45008</v>
      </c>
      <c r="B219">
        <v>19.190000000000001</v>
      </c>
      <c r="C219" s="7">
        <f t="shared" si="3"/>
        <v>1.5657620041753528E-3</v>
      </c>
    </row>
    <row r="220" spans="1:3" x14ac:dyDescent="0.25">
      <c r="A220" s="5">
        <v>45007</v>
      </c>
      <c r="B220">
        <v>19.16</v>
      </c>
      <c r="C220" s="7">
        <f t="shared" si="3"/>
        <v>-1.5633142261595179E-3</v>
      </c>
    </row>
    <row r="221" spans="1:3" x14ac:dyDescent="0.25">
      <c r="A221" s="5">
        <v>45006</v>
      </c>
      <c r="B221">
        <v>19.190000000000001</v>
      </c>
      <c r="C221" s="7">
        <f t="shared" si="3"/>
        <v>1.965993623804474E-2</v>
      </c>
    </row>
    <row r="222" spans="1:3" x14ac:dyDescent="0.25">
      <c r="A222" s="5">
        <v>45002</v>
      </c>
      <c r="B222">
        <v>18.82</v>
      </c>
      <c r="C222" s="7">
        <f t="shared" si="3"/>
        <v>-2.9396596183599799E-2</v>
      </c>
    </row>
    <row r="223" spans="1:3" x14ac:dyDescent="0.25">
      <c r="A223" s="5">
        <v>45001</v>
      </c>
      <c r="B223">
        <v>19.39</v>
      </c>
      <c r="C223" s="7">
        <f t="shared" si="3"/>
        <v>-1.0714285714285787E-2</v>
      </c>
    </row>
    <row r="224" spans="1:3" x14ac:dyDescent="0.25">
      <c r="A224" s="5">
        <v>45000</v>
      </c>
      <c r="B224">
        <v>19.600000000000001</v>
      </c>
      <c r="C224" s="7">
        <f t="shared" si="3"/>
        <v>6.676938880328942E-3</v>
      </c>
    </row>
    <row r="225" spans="1:3" x14ac:dyDescent="0.25">
      <c r="A225" s="5">
        <v>44999</v>
      </c>
      <c r="B225">
        <v>19.47</v>
      </c>
      <c r="C225" s="7">
        <f t="shared" si="3"/>
        <v>-7.6452599388380227E-3</v>
      </c>
    </row>
    <row r="226" spans="1:3" x14ac:dyDescent="0.25">
      <c r="A226" s="5">
        <v>44998</v>
      </c>
      <c r="B226">
        <v>19.62</v>
      </c>
      <c r="C226" s="7">
        <f t="shared" si="3"/>
        <v>5.1229508196721785E-3</v>
      </c>
    </row>
    <row r="227" spans="1:3" x14ac:dyDescent="0.25">
      <c r="A227" s="5">
        <v>44995</v>
      </c>
      <c r="B227">
        <v>19.52</v>
      </c>
      <c r="C227" s="7">
        <f t="shared" si="3"/>
        <v>-5.1203277009737036E-4</v>
      </c>
    </row>
    <row r="228" spans="1:3" x14ac:dyDescent="0.25">
      <c r="A228" s="5">
        <v>44994</v>
      </c>
      <c r="B228">
        <v>19.53</v>
      </c>
      <c r="C228" s="7">
        <f t="shared" si="3"/>
        <v>1.7717561229807277E-2</v>
      </c>
    </row>
    <row r="229" spans="1:3" x14ac:dyDescent="0.25">
      <c r="A229" s="5">
        <v>44993</v>
      </c>
      <c r="B229">
        <v>19.190000000000001</v>
      </c>
      <c r="C229" s="7">
        <f t="shared" si="3"/>
        <v>2.0744680851063846E-2</v>
      </c>
    </row>
    <row r="230" spans="1:3" x14ac:dyDescent="0.25">
      <c r="A230" s="5">
        <v>44992</v>
      </c>
      <c r="B230">
        <v>18.8</v>
      </c>
      <c r="C230" s="7">
        <f t="shared" si="3"/>
        <v>-1.0005265929436402E-2</v>
      </c>
    </row>
    <row r="231" spans="1:3" x14ac:dyDescent="0.25">
      <c r="A231" s="5">
        <v>44991</v>
      </c>
      <c r="B231">
        <v>18.989999999999998</v>
      </c>
      <c r="C231" s="7">
        <f t="shared" si="3"/>
        <v>1.5822784810124446E-3</v>
      </c>
    </row>
    <row r="232" spans="1:3" x14ac:dyDescent="0.25">
      <c r="A232" s="5">
        <v>44988</v>
      </c>
      <c r="B232">
        <v>18.96</v>
      </c>
      <c r="C232" s="7">
        <f t="shared" si="3"/>
        <v>2.6441036488631386E-3</v>
      </c>
    </row>
    <row r="233" spans="1:3" x14ac:dyDescent="0.25">
      <c r="A233" s="5">
        <v>44987</v>
      </c>
      <c r="B233">
        <v>18.91</v>
      </c>
      <c r="C233" s="7">
        <f t="shared" si="3"/>
        <v>-7.8698845750261315E-3</v>
      </c>
    </row>
    <row r="234" spans="1:3" x14ac:dyDescent="0.25">
      <c r="A234" s="5">
        <v>44986</v>
      </c>
      <c r="B234">
        <v>19.059999999999999</v>
      </c>
      <c r="C234" s="7">
        <f t="shared" si="3"/>
        <v>4.2149631190726566E-3</v>
      </c>
    </row>
    <row r="235" spans="1:3" x14ac:dyDescent="0.25">
      <c r="A235" s="5">
        <v>44985</v>
      </c>
      <c r="B235">
        <v>18.98</v>
      </c>
      <c r="C235" s="7">
        <f t="shared" si="3"/>
        <v>0</v>
      </c>
    </row>
    <row r="236" spans="1:3" x14ac:dyDescent="0.25">
      <c r="A236" s="5">
        <v>44984</v>
      </c>
      <c r="B236">
        <v>18.98</v>
      </c>
      <c r="C236" s="7">
        <f t="shared" si="3"/>
        <v>5.2966101694915668E-3</v>
      </c>
    </row>
    <row r="237" spans="1:3" x14ac:dyDescent="0.25">
      <c r="A237" s="5">
        <v>44981</v>
      </c>
      <c r="B237">
        <v>18.88</v>
      </c>
      <c r="C237" s="7">
        <f t="shared" si="3"/>
        <v>2.6553372278279586E-3</v>
      </c>
    </row>
    <row r="238" spans="1:3" x14ac:dyDescent="0.25">
      <c r="A238" s="5">
        <v>44980</v>
      </c>
      <c r="B238">
        <v>18.829999999999998</v>
      </c>
      <c r="C238" s="7">
        <f t="shared" si="3"/>
        <v>-1.6196447230930056E-2</v>
      </c>
    </row>
    <row r="239" spans="1:3" x14ac:dyDescent="0.25">
      <c r="A239" s="5">
        <v>44979</v>
      </c>
      <c r="B239">
        <v>19.14</v>
      </c>
      <c r="C239" s="7">
        <f t="shared" si="3"/>
        <v>9.493670886076E-3</v>
      </c>
    </row>
    <row r="240" spans="1:3" x14ac:dyDescent="0.25">
      <c r="A240" s="5">
        <v>44978</v>
      </c>
      <c r="B240">
        <v>18.96</v>
      </c>
      <c r="C240" s="7">
        <f t="shared" si="3"/>
        <v>-2.1166752710376824E-2</v>
      </c>
    </row>
    <row r="241" spans="1:3" x14ac:dyDescent="0.25">
      <c r="A241" s="5">
        <v>44977</v>
      </c>
      <c r="B241">
        <v>19.37</v>
      </c>
      <c r="C241" s="7">
        <f t="shared" si="3"/>
        <v>1.8937401367701279E-2</v>
      </c>
    </row>
    <row r="242" spans="1:3" x14ac:dyDescent="0.25">
      <c r="A242" s="5">
        <v>44974</v>
      </c>
      <c r="B242">
        <v>19.010000000000002</v>
      </c>
      <c r="C242" s="7">
        <f t="shared" si="3"/>
        <v>0</v>
      </c>
    </row>
    <row r="243" spans="1:3" x14ac:dyDescent="0.25">
      <c r="A243" s="5">
        <v>44973</v>
      </c>
      <c r="B243">
        <v>19.010000000000002</v>
      </c>
      <c r="C243" s="7">
        <f t="shared" si="3"/>
        <v>2.4797843665768315E-2</v>
      </c>
    </row>
    <row r="244" spans="1:3" x14ac:dyDescent="0.25">
      <c r="A244" s="5">
        <v>44972</v>
      </c>
      <c r="B244">
        <v>18.55</v>
      </c>
      <c r="C244" s="7">
        <f t="shared" si="3"/>
        <v>0</v>
      </c>
    </row>
    <row r="245" spans="1:3" x14ac:dyDescent="0.25">
      <c r="A245" s="5">
        <v>44971</v>
      </c>
      <c r="B245">
        <v>18.55</v>
      </c>
      <c r="C245" s="7">
        <f t="shared" si="3"/>
        <v>-9.6102509343299891E-3</v>
      </c>
    </row>
    <row r="246" spans="1:3" x14ac:dyDescent="0.25">
      <c r="A246" s="5">
        <v>44970</v>
      </c>
      <c r="B246">
        <v>18.73</v>
      </c>
      <c r="C246" s="7">
        <f t="shared" si="3"/>
        <v>1.6829533116178075E-2</v>
      </c>
    </row>
    <row r="247" spans="1:3" x14ac:dyDescent="0.25">
      <c r="A247" s="5">
        <v>44967</v>
      </c>
      <c r="B247">
        <v>18.420000000000002</v>
      </c>
      <c r="C247" s="7">
        <f t="shared" si="3"/>
        <v>7.6586433260394937E-3</v>
      </c>
    </row>
    <row r="248" spans="1:3" x14ac:dyDescent="0.25">
      <c r="A248" s="5">
        <v>44966</v>
      </c>
      <c r="B248">
        <v>18.28</v>
      </c>
      <c r="C248" s="7">
        <f t="shared" si="3"/>
        <v>-1.295896328293733E-2</v>
      </c>
    </row>
    <row r="249" spans="1:3" x14ac:dyDescent="0.25">
      <c r="A249" s="5">
        <v>44965</v>
      </c>
      <c r="B249">
        <v>18.52</v>
      </c>
      <c r="C249" s="7">
        <f t="shared" si="3"/>
        <v>1.1469142545057487E-2</v>
      </c>
    </row>
    <row r="250" spans="1:3" x14ac:dyDescent="0.25">
      <c r="A250" s="5">
        <v>44964</v>
      </c>
      <c r="B250">
        <v>18.309999999999999</v>
      </c>
      <c r="C250" s="7">
        <f t="shared" si="3"/>
        <v>-3.2241014799154533E-2</v>
      </c>
    </row>
    <row r="251" spans="1:3" x14ac:dyDescent="0.25">
      <c r="A251" s="5">
        <v>44960</v>
      </c>
      <c r="B251">
        <v>18.920000000000002</v>
      </c>
      <c r="C251" s="7">
        <f t="shared" si="3"/>
        <v>-8.3857442348006517E-3</v>
      </c>
    </row>
    <row r="252" spans="1:3" x14ac:dyDescent="0.25">
      <c r="A252" s="5">
        <v>44959</v>
      </c>
      <c r="B252">
        <v>19.079999999999998</v>
      </c>
      <c r="C252" s="7">
        <f t="shared" si="3"/>
        <v>-2.6033690658499364E-2</v>
      </c>
    </row>
    <row r="253" spans="1:3" x14ac:dyDescent="0.25">
      <c r="A253" s="5">
        <v>44958</v>
      </c>
      <c r="B253">
        <v>19.59</v>
      </c>
      <c r="C253" s="7">
        <f t="shared" si="3"/>
        <v>-4.5731707317072656E-3</v>
      </c>
    </row>
    <row r="254" spans="1:3" x14ac:dyDescent="0.25">
      <c r="A254" s="5">
        <v>44957</v>
      </c>
      <c r="B254">
        <v>19.68</v>
      </c>
      <c r="C254" s="7">
        <f t="shared" si="3"/>
        <v>-1.1551983927674536E-2</v>
      </c>
    </row>
    <row r="255" spans="1:3" x14ac:dyDescent="0.25">
      <c r="A255" s="5">
        <v>44956</v>
      </c>
      <c r="B255">
        <v>19.91</v>
      </c>
      <c r="C255" s="7"/>
    </row>
    <row r="256" spans="1:3" x14ac:dyDescent="0.25">
      <c r="A256" s="5"/>
    </row>
    <row r="257" spans="1:1" x14ac:dyDescent="0.25">
      <c r="A257" s="5"/>
    </row>
    <row r="258" spans="1:1" x14ac:dyDescent="0.25">
      <c r="A258" s="5"/>
    </row>
    <row r="259" spans="1:1" x14ac:dyDescent="0.25">
      <c r="A259" s="5"/>
    </row>
    <row r="260" spans="1:1" x14ac:dyDescent="0.25">
      <c r="A260" s="5"/>
    </row>
    <row r="261" spans="1:1" x14ac:dyDescent="0.25">
      <c r="A261" s="5"/>
    </row>
    <row r="262" spans="1:1" x14ac:dyDescent="0.25">
      <c r="A262" s="5"/>
    </row>
    <row r="263" spans="1:1" x14ac:dyDescent="0.25">
      <c r="A263" s="5"/>
    </row>
    <row r="264" spans="1:1" x14ac:dyDescent="0.25">
      <c r="A264" s="5"/>
    </row>
    <row r="265" spans="1:1" x14ac:dyDescent="0.25">
      <c r="A265" s="5"/>
    </row>
    <row r="266" spans="1:1" x14ac:dyDescent="0.25">
      <c r="A266" s="5"/>
    </row>
    <row r="267" spans="1:1" x14ac:dyDescent="0.25">
      <c r="A267" s="5"/>
    </row>
    <row r="268" spans="1:1" x14ac:dyDescent="0.25">
      <c r="A268" s="5"/>
    </row>
    <row r="269" spans="1:1" x14ac:dyDescent="0.25">
      <c r="A269" s="5"/>
    </row>
    <row r="270" spans="1:1" x14ac:dyDescent="0.25">
      <c r="A270" s="5"/>
    </row>
    <row r="271" spans="1:1" x14ac:dyDescent="0.25">
      <c r="A271" s="5"/>
    </row>
    <row r="272" spans="1:1" x14ac:dyDescent="0.25">
      <c r="A272" s="5"/>
    </row>
    <row r="273" spans="1:1" x14ac:dyDescent="0.25">
      <c r="A273" s="5"/>
    </row>
    <row r="274" spans="1:1" x14ac:dyDescent="0.25">
      <c r="A274" s="5"/>
    </row>
    <row r="275" spans="1:1" x14ac:dyDescent="0.25">
      <c r="A275" s="5"/>
    </row>
    <row r="276" spans="1:1" x14ac:dyDescent="0.25">
      <c r="A276" s="5"/>
    </row>
    <row r="277" spans="1:1" x14ac:dyDescent="0.25">
      <c r="A277" s="5"/>
    </row>
    <row r="278" spans="1:1" x14ac:dyDescent="0.25">
      <c r="A278" s="5"/>
    </row>
    <row r="279" spans="1:1" x14ac:dyDescent="0.25">
      <c r="A279" s="5"/>
    </row>
    <row r="280" spans="1:1" x14ac:dyDescent="0.25">
      <c r="A280" s="5"/>
    </row>
    <row r="281" spans="1:1" x14ac:dyDescent="0.25">
      <c r="A281" s="5"/>
    </row>
    <row r="282" spans="1:1" x14ac:dyDescent="0.25">
      <c r="A282" s="5"/>
    </row>
    <row r="283" spans="1:1" x14ac:dyDescent="0.25">
      <c r="A283" s="5"/>
    </row>
    <row r="284" spans="1:1" x14ac:dyDescent="0.25">
      <c r="A284" s="5"/>
    </row>
    <row r="285" spans="1:1" x14ac:dyDescent="0.25">
      <c r="A285" s="5"/>
    </row>
    <row r="286" spans="1:1" x14ac:dyDescent="0.25">
      <c r="A286" s="5"/>
    </row>
    <row r="287" spans="1:1" x14ac:dyDescent="0.25">
      <c r="A287" s="5"/>
    </row>
    <row r="288" spans="1:1" x14ac:dyDescent="0.25">
      <c r="A288" s="5"/>
    </row>
    <row r="289" spans="1:1" x14ac:dyDescent="0.25">
      <c r="A289" s="5"/>
    </row>
    <row r="290" spans="1:1" x14ac:dyDescent="0.25">
      <c r="A290" s="5"/>
    </row>
    <row r="291" spans="1:1" x14ac:dyDescent="0.25">
      <c r="A291" s="5"/>
    </row>
    <row r="292" spans="1:1" x14ac:dyDescent="0.25">
      <c r="A292" s="5"/>
    </row>
    <row r="293" spans="1:1" x14ac:dyDescent="0.25">
      <c r="A293" s="5"/>
    </row>
    <row r="294" spans="1:1" x14ac:dyDescent="0.25">
      <c r="A294" s="5"/>
    </row>
    <row r="295" spans="1:1" x14ac:dyDescent="0.25">
      <c r="A295" s="5"/>
    </row>
    <row r="296" spans="1:1" x14ac:dyDescent="0.25">
      <c r="A296" s="5"/>
    </row>
    <row r="297" spans="1:1" x14ac:dyDescent="0.25">
      <c r="A297" s="5"/>
    </row>
    <row r="298" spans="1:1" x14ac:dyDescent="0.25">
      <c r="A298" s="5"/>
    </row>
    <row r="299" spans="1:1" x14ac:dyDescent="0.25">
      <c r="A299" s="5"/>
    </row>
    <row r="300" spans="1:1" x14ac:dyDescent="0.25">
      <c r="A300" s="5"/>
    </row>
    <row r="301" spans="1:1" x14ac:dyDescent="0.25">
      <c r="A301" s="5"/>
    </row>
    <row r="302" spans="1:1" x14ac:dyDescent="0.25">
      <c r="A302" s="5"/>
    </row>
    <row r="303" spans="1:1" x14ac:dyDescent="0.25">
      <c r="A303" s="5"/>
    </row>
    <row r="304" spans="1:1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  <row r="636" spans="1:1" x14ac:dyDescent="0.25">
      <c r="A636" s="5"/>
    </row>
    <row r="637" spans="1:1" x14ac:dyDescent="0.25">
      <c r="A637" s="5"/>
    </row>
    <row r="638" spans="1:1" x14ac:dyDescent="0.25">
      <c r="A638" s="5"/>
    </row>
    <row r="639" spans="1:1" x14ac:dyDescent="0.25">
      <c r="A639" s="5"/>
    </row>
    <row r="640" spans="1:1" x14ac:dyDescent="0.25">
      <c r="A640" s="5"/>
    </row>
    <row r="641" spans="1:1" x14ac:dyDescent="0.25">
      <c r="A641" s="5"/>
    </row>
    <row r="642" spans="1:1" x14ac:dyDescent="0.25">
      <c r="A642" s="5"/>
    </row>
    <row r="643" spans="1:1" x14ac:dyDescent="0.25">
      <c r="A643" s="5"/>
    </row>
    <row r="644" spans="1:1" x14ac:dyDescent="0.25">
      <c r="A644" s="5"/>
    </row>
    <row r="645" spans="1:1" x14ac:dyDescent="0.25">
      <c r="A645" s="5"/>
    </row>
    <row r="646" spans="1:1" x14ac:dyDescent="0.25">
      <c r="A646" s="5"/>
    </row>
    <row r="647" spans="1:1" x14ac:dyDescent="0.25">
      <c r="A647" s="5"/>
    </row>
    <row r="648" spans="1:1" x14ac:dyDescent="0.25">
      <c r="A648" s="5"/>
    </row>
    <row r="649" spans="1:1" x14ac:dyDescent="0.25">
      <c r="A649" s="5"/>
    </row>
    <row r="650" spans="1:1" x14ac:dyDescent="0.25">
      <c r="A650" s="5"/>
    </row>
    <row r="651" spans="1:1" x14ac:dyDescent="0.25">
      <c r="A651" s="5"/>
    </row>
    <row r="652" spans="1:1" x14ac:dyDescent="0.25">
      <c r="A652" s="5"/>
    </row>
    <row r="653" spans="1:1" x14ac:dyDescent="0.25">
      <c r="A653" s="5"/>
    </row>
    <row r="654" spans="1:1" x14ac:dyDescent="0.25">
      <c r="A654" s="5"/>
    </row>
    <row r="655" spans="1:1" x14ac:dyDescent="0.25">
      <c r="A655" s="5"/>
    </row>
    <row r="656" spans="1:1" x14ac:dyDescent="0.25">
      <c r="A656" s="5"/>
    </row>
    <row r="657" spans="1:1" x14ac:dyDescent="0.25">
      <c r="A657" s="5"/>
    </row>
    <row r="658" spans="1:1" x14ac:dyDescent="0.25">
      <c r="A658" s="5"/>
    </row>
    <row r="659" spans="1:1" x14ac:dyDescent="0.25">
      <c r="A659" s="5"/>
    </row>
    <row r="660" spans="1:1" x14ac:dyDescent="0.25">
      <c r="A660" s="5"/>
    </row>
    <row r="661" spans="1:1" x14ac:dyDescent="0.25">
      <c r="A661" s="5"/>
    </row>
    <row r="662" spans="1:1" x14ac:dyDescent="0.25">
      <c r="A662" s="5"/>
    </row>
    <row r="663" spans="1:1" x14ac:dyDescent="0.25">
      <c r="A663" s="5"/>
    </row>
    <row r="664" spans="1:1" x14ac:dyDescent="0.25">
      <c r="A664" s="5"/>
    </row>
    <row r="665" spans="1:1" x14ac:dyDescent="0.25">
      <c r="A665" s="5"/>
    </row>
    <row r="666" spans="1:1" x14ac:dyDescent="0.25">
      <c r="A666" s="5"/>
    </row>
    <row r="667" spans="1:1" x14ac:dyDescent="0.25">
      <c r="A667" s="5"/>
    </row>
    <row r="668" spans="1:1" x14ac:dyDescent="0.25">
      <c r="A668" s="5"/>
    </row>
    <row r="669" spans="1:1" x14ac:dyDescent="0.25">
      <c r="A669" s="5"/>
    </row>
    <row r="670" spans="1:1" x14ac:dyDescent="0.25">
      <c r="A670" s="5"/>
    </row>
    <row r="671" spans="1:1" x14ac:dyDescent="0.25">
      <c r="A671" s="5"/>
    </row>
    <row r="672" spans="1:1" x14ac:dyDescent="0.25">
      <c r="A672" s="5"/>
    </row>
    <row r="673" spans="1:1" x14ac:dyDescent="0.25">
      <c r="A673" s="5"/>
    </row>
    <row r="674" spans="1:1" x14ac:dyDescent="0.25">
      <c r="A674" s="5"/>
    </row>
    <row r="675" spans="1:1" x14ac:dyDescent="0.25">
      <c r="A675" s="5"/>
    </row>
    <row r="676" spans="1:1" x14ac:dyDescent="0.25">
      <c r="A676" s="5"/>
    </row>
    <row r="677" spans="1:1" x14ac:dyDescent="0.25">
      <c r="A677" s="5"/>
    </row>
    <row r="678" spans="1:1" x14ac:dyDescent="0.25">
      <c r="A678" s="5"/>
    </row>
    <row r="679" spans="1:1" x14ac:dyDescent="0.25">
      <c r="A679" s="5"/>
    </row>
    <row r="680" spans="1:1" x14ac:dyDescent="0.25">
      <c r="A680" s="5"/>
    </row>
    <row r="681" spans="1:1" x14ac:dyDescent="0.25">
      <c r="A681" s="5"/>
    </row>
    <row r="682" spans="1:1" x14ac:dyDescent="0.25">
      <c r="A682" s="5"/>
    </row>
    <row r="683" spans="1:1" x14ac:dyDescent="0.25">
      <c r="A683" s="5"/>
    </row>
    <row r="684" spans="1:1" x14ac:dyDescent="0.25">
      <c r="A684" s="5"/>
    </row>
    <row r="685" spans="1:1" x14ac:dyDescent="0.25">
      <c r="A685" s="5"/>
    </row>
    <row r="686" spans="1:1" x14ac:dyDescent="0.25">
      <c r="A686" s="5"/>
    </row>
    <row r="687" spans="1:1" x14ac:dyDescent="0.25">
      <c r="A687" s="5"/>
    </row>
    <row r="688" spans="1:1" x14ac:dyDescent="0.25">
      <c r="A688" s="5"/>
    </row>
    <row r="689" spans="1:1" x14ac:dyDescent="0.25">
      <c r="A689" s="5"/>
    </row>
    <row r="690" spans="1:1" x14ac:dyDescent="0.25">
      <c r="A690" s="5"/>
    </row>
    <row r="691" spans="1:1" x14ac:dyDescent="0.25">
      <c r="A691" s="5"/>
    </row>
    <row r="692" spans="1:1" x14ac:dyDescent="0.25">
      <c r="A692" s="5"/>
    </row>
    <row r="693" spans="1:1" x14ac:dyDescent="0.25">
      <c r="A693" s="5"/>
    </row>
    <row r="694" spans="1:1" x14ac:dyDescent="0.25">
      <c r="A694" s="5"/>
    </row>
    <row r="695" spans="1:1" x14ac:dyDescent="0.25">
      <c r="A695" s="5"/>
    </row>
    <row r="696" spans="1:1" x14ac:dyDescent="0.25">
      <c r="A696" s="5"/>
    </row>
    <row r="697" spans="1:1" x14ac:dyDescent="0.25">
      <c r="A697" s="5"/>
    </row>
    <row r="698" spans="1:1" x14ac:dyDescent="0.25">
      <c r="A698" s="5"/>
    </row>
    <row r="699" spans="1:1" x14ac:dyDescent="0.25">
      <c r="A699" s="5"/>
    </row>
    <row r="700" spans="1:1" x14ac:dyDescent="0.25">
      <c r="A700" s="5"/>
    </row>
    <row r="701" spans="1:1" x14ac:dyDescent="0.25">
      <c r="A701" s="5"/>
    </row>
    <row r="702" spans="1:1" x14ac:dyDescent="0.25">
      <c r="A702" s="5"/>
    </row>
    <row r="703" spans="1:1" x14ac:dyDescent="0.25">
      <c r="A703" s="5"/>
    </row>
    <row r="704" spans="1:1" x14ac:dyDescent="0.25">
      <c r="A704" s="5"/>
    </row>
    <row r="705" spans="1:1" x14ac:dyDescent="0.25">
      <c r="A705" s="5"/>
    </row>
    <row r="706" spans="1:1" x14ac:dyDescent="0.25">
      <c r="A706" s="5"/>
    </row>
    <row r="707" spans="1:1" x14ac:dyDescent="0.25">
      <c r="A707" s="5"/>
    </row>
    <row r="708" spans="1:1" x14ac:dyDescent="0.25">
      <c r="A708" s="5"/>
    </row>
    <row r="709" spans="1:1" x14ac:dyDescent="0.25">
      <c r="A709" s="5"/>
    </row>
    <row r="710" spans="1:1" x14ac:dyDescent="0.25">
      <c r="A710" s="5"/>
    </row>
    <row r="711" spans="1:1" x14ac:dyDescent="0.25">
      <c r="A711" s="5"/>
    </row>
    <row r="712" spans="1:1" x14ac:dyDescent="0.25">
      <c r="A712" s="5"/>
    </row>
    <row r="713" spans="1:1" x14ac:dyDescent="0.25">
      <c r="A713" s="5"/>
    </row>
    <row r="714" spans="1:1" x14ac:dyDescent="0.25">
      <c r="A714" s="5"/>
    </row>
    <row r="715" spans="1:1" x14ac:dyDescent="0.25">
      <c r="A715" s="5"/>
    </row>
    <row r="716" spans="1:1" x14ac:dyDescent="0.25">
      <c r="A716" s="5"/>
    </row>
    <row r="717" spans="1:1" x14ac:dyDescent="0.25">
      <c r="A717" s="5"/>
    </row>
    <row r="718" spans="1:1" x14ac:dyDescent="0.25">
      <c r="A718" s="5"/>
    </row>
    <row r="719" spans="1:1" x14ac:dyDescent="0.25">
      <c r="A719" s="5"/>
    </row>
    <row r="720" spans="1:1" x14ac:dyDescent="0.25">
      <c r="A720" s="5"/>
    </row>
    <row r="721" spans="1:1" x14ac:dyDescent="0.25">
      <c r="A721" s="5"/>
    </row>
    <row r="722" spans="1:1" x14ac:dyDescent="0.25">
      <c r="A722" s="5"/>
    </row>
    <row r="723" spans="1:1" x14ac:dyDescent="0.25">
      <c r="A723" s="5"/>
    </row>
    <row r="724" spans="1:1" x14ac:dyDescent="0.25">
      <c r="A724" s="5"/>
    </row>
    <row r="725" spans="1:1" x14ac:dyDescent="0.25">
      <c r="A725" s="5"/>
    </row>
    <row r="726" spans="1:1" x14ac:dyDescent="0.25">
      <c r="A726" s="5"/>
    </row>
    <row r="727" spans="1:1" x14ac:dyDescent="0.25">
      <c r="A727" s="5"/>
    </row>
    <row r="728" spans="1:1" x14ac:dyDescent="0.25">
      <c r="A728" s="5"/>
    </row>
    <row r="729" spans="1:1" x14ac:dyDescent="0.25">
      <c r="A729" s="5"/>
    </row>
    <row r="730" spans="1:1" x14ac:dyDescent="0.25">
      <c r="A730" s="5"/>
    </row>
    <row r="731" spans="1:1" x14ac:dyDescent="0.25">
      <c r="A731" s="5"/>
    </row>
    <row r="732" spans="1:1" x14ac:dyDescent="0.25">
      <c r="A732" s="5"/>
    </row>
    <row r="733" spans="1:1" x14ac:dyDescent="0.25">
      <c r="A733" s="5"/>
    </row>
    <row r="734" spans="1:1" x14ac:dyDescent="0.25">
      <c r="A734" s="5"/>
    </row>
    <row r="735" spans="1:1" x14ac:dyDescent="0.25">
      <c r="A735" s="5"/>
    </row>
    <row r="736" spans="1:1" x14ac:dyDescent="0.25">
      <c r="A736" s="5"/>
    </row>
    <row r="737" spans="1:1" x14ac:dyDescent="0.25">
      <c r="A737" s="5"/>
    </row>
    <row r="738" spans="1:1" x14ac:dyDescent="0.25">
      <c r="A738" s="5"/>
    </row>
    <row r="739" spans="1:1" x14ac:dyDescent="0.25">
      <c r="A739" s="5"/>
    </row>
    <row r="740" spans="1:1" x14ac:dyDescent="0.25">
      <c r="A740" s="5"/>
    </row>
    <row r="741" spans="1:1" x14ac:dyDescent="0.25">
      <c r="A741" s="5"/>
    </row>
    <row r="742" spans="1:1" x14ac:dyDescent="0.25">
      <c r="A742" s="5"/>
    </row>
    <row r="743" spans="1:1" x14ac:dyDescent="0.25">
      <c r="A743" s="5"/>
    </row>
    <row r="744" spans="1:1" x14ac:dyDescent="0.25">
      <c r="A744" s="5"/>
    </row>
    <row r="745" spans="1:1" x14ac:dyDescent="0.25">
      <c r="A745" s="5"/>
    </row>
    <row r="746" spans="1:1" x14ac:dyDescent="0.25">
      <c r="A746" s="5"/>
    </row>
    <row r="747" spans="1:1" x14ac:dyDescent="0.25">
      <c r="A747" s="5"/>
    </row>
    <row r="748" spans="1:1" x14ac:dyDescent="0.25">
      <c r="A748" s="5"/>
    </row>
    <row r="749" spans="1:1" x14ac:dyDescent="0.25">
      <c r="A749" s="5"/>
    </row>
    <row r="750" spans="1:1" x14ac:dyDescent="0.25">
      <c r="A750" s="5"/>
    </row>
    <row r="751" spans="1:1" x14ac:dyDescent="0.25">
      <c r="A751" s="5"/>
    </row>
    <row r="752" spans="1:1" x14ac:dyDescent="0.25">
      <c r="A752" s="5"/>
    </row>
    <row r="753" spans="1:1" x14ac:dyDescent="0.25">
      <c r="A753" s="5"/>
    </row>
    <row r="754" spans="1:1" x14ac:dyDescent="0.25">
      <c r="A754" s="5"/>
    </row>
    <row r="755" spans="1:1" x14ac:dyDescent="0.25">
      <c r="A755" s="5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5E6F4-601D-4BEB-A4B0-64F44836A32B}">
  <sheetPr codeName="Hoja1"/>
  <dimension ref="A1:Y43"/>
  <sheetViews>
    <sheetView tabSelected="1" zoomScale="86" zoomScaleNormal="140" workbookViewId="0">
      <selection activeCell="A15" sqref="A15"/>
    </sheetView>
  </sheetViews>
  <sheetFormatPr baseColWidth="10" defaultRowHeight="15" x14ac:dyDescent="0.25"/>
  <cols>
    <col min="1" max="1" width="29.7109375" customWidth="1"/>
    <col min="2" max="2" width="18.140625" bestFit="1" customWidth="1"/>
    <col min="3" max="3" width="16.140625" customWidth="1"/>
    <col min="4" max="4" width="13.85546875" bestFit="1" customWidth="1"/>
    <col min="5" max="5" width="18.5703125" customWidth="1"/>
    <col min="6" max="6" width="16.140625" customWidth="1"/>
  </cols>
  <sheetData>
    <row r="1" spans="1:25" x14ac:dyDescent="0.25">
      <c r="B1" s="16" t="s">
        <v>0</v>
      </c>
    </row>
    <row r="2" spans="1:25" ht="15" customHeight="1" x14ac:dyDescent="0.25"/>
    <row r="6" spans="1:25" ht="15.75" thickBot="1" x14ac:dyDescent="0.3"/>
    <row r="7" spans="1:25" ht="15.75" thickBot="1" x14ac:dyDescent="0.3">
      <c r="B7" s="32" t="s">
        <v>1</v>
      </c>
      <c r="C7" s="33"/>
      <c r="E7" s="32" t="s">
        <v>12</v>
      </c>
      <c r="F7" s="33"/>
    </row>
    <row r="8" spans="1:25" x14ac:dyDescent="0.25">
      <c r="R8" s="31" t="s">
        <v>39</v>
      </c>
      <c r="S8" s="31"/>
      <c r="T8" s="31"/>
      <c r="U8" s="31"/>
      <c r="V8" s="31"/>
      <c r="W8" s="31"/>
      <c r="X8" s="31"/>
      <c r="Y8" s="31"/>
    </row>
    <row r="9" spans="1:25" x14ac:dyDescent="0.25">
      <c r="B9" s="6" t="s">
        <v>31</v>
      </c>
      <c r="C9" s="17">
        <v>90</v>
      </c>
      <c r="E9" s="6" t="s">
        <v>31</v>
      </c>
      <c r="F9" s="17">
        <v>90</v>
      </c>
      <c r="R9" s="31"/>
      <c r="S9" s="31"/>
      <c r="T9" s="31"/>
      <c r="U9" s="31"/>
      <c r="V9" s="31"/>
      <c r="W9" s="31"/>
      <c r="X9" s="31"/>
      <c r="Y9" s="31"/>
    </row>
    <row r="10" spans="1:25" x14ac:dyDescent="0.25">
      <c r="A10" s="13"/>
      <c r="B10" s="6" t="s">
        <v>2</v>
      </c>
      <c r="C10" s="18" cm="1">
        <f t="array" ref="C10" xml:space="preserve"> InterpolacionTasa(C9, Curvas!$A$10:$D$34)</f>
        <v>0.11299142857142858</v>
      </c>
      <c r="E10" s="6" t="s">
        <v>2</v>
      </c>
      <c r="F10" s="18" cm="1">
        <f t="array" ref="F10" xml:space="preserve"> InterpolacionTasa(F9, Curvas!$A$10:$D$34)</f>
        <v>0.11299142857142858</v>
      </c>
      <c r="R10" s="31"/>
      <c r="S10" s="31"/>
      <c r="T10" s="31"/>
      <c r="U10" s="31"/>
      <c r="V10" s="31"/>
      <c r="W10" s="31"/>
      <c r="X10" s="31"/>
      <c r="Y10" s="31"/>
    </row>
    <row r="11" spans="1:25" x14ac:dyDescent="0.25">
      <c r="B11" s="6" t="s">
        <v>3</v>
      </c>
      <c r="C11" s="18">
        <v>0.03</v>
      </c>
      <c r="D11" s="21" t="s">
        <v>40</v>
      </c>
      <c r="E11" s="6" t="s">
        <v>3</v>
      </c>
      <c r="F11" s="18">
        <v>0.03</v>
      </c>
    </row>
    <row r="12" spans="1:25" x14ac:dyDescent="0.25">
      <c r="B12" s="6" t="s">
        <v>4</v>
      </c>
      <c r="C12" s="19">
        <v>15.55</v>
      </c>
      <c r="E12" s="6" t="s">
        <v>4</v>
      </c>
      <c r="F12" s="19">
        <v>15.55</v>
      </c>
    </row>
    <row r="13" spans="1:25" x14ac:dyDescent="0.25">
      <c r="B13" s="6" t="s">
        <v>5</v>
      </c>
      <c r="C13" s="19">
        <v>16.2</v>
      </c>
      <c r="E13" s="6" t="s">
        <v>5</v>
      </c>
      <c r="F13" s="19">
        <v>16.2</v>
      </c>
    </row>
    <row r="14" spans="1:25" x14ac:dyDescent="0.25">
      <c r="B14" s="6" t="s">
        <v>41</v>
      </c>
      <c r="C14" s="18" cm="1">
        <f t="array" ref="C14" xml:space="preserve"> V_Dinamica(Datos!C3:C254)</f>
        <v>0.18911385558212188</v>
      </c>
      <c r="E14" s="6" t="s">
        <v>41</v>
      </c>
      <c r="F14" s="18" cm="1">
        <f t="array" ref="F14" xml:space="preserve"> V_Dinamica(Datos!C3:C254)</f>
        <v>0.18911385558212188</v>
      </c>
    </row>
    <row r="15" spans="1:25" x14ac:dyDescent="0.25">
      <c r="B15" s="6" t="s">
        <v>6</v>
      </c>
      <c r="C15" s="20">
        <f xml:space="preserve"> C9 / 360</f>
        <v>0.25</v>
      </c>
      <c r="E15" s="6" t="s">
        <v>6</v>
      </c>
      <c r="F15" s="20">
        <f xml:space="preserve"> F9 / 360</f>
        <v>0.25</v>
      </c>
    </row>
    <row r="17" spans="2:9" x14ac:dyDescent="0.25">
      <c r="B17" s="6" t="s">
        <v>7</v>
      </c>
      <c r="C17" s="22">
        <f xml:space="preserve"> ( LN(C12/C13) + ( (C10-C11)+C14^2/2 )*C15 ) / ( C14*SQRT(C15) )</f>
        <v>-0.16637850384013184</v>
      </c>
      <c r="E17" s="24" t="s">
        <v>13</v>
      </c>
      <c r="F17" s="22">
        <f xml:space="preserve"> - C17</f>
        <v>0.16637850384013184</v>
      </c>
    </row>
    <row r="18" spans="2:9" x14ac:dyDescent="0.25">
      <c r="B18" s="6" t="s">
        <v>8</v>
      </c>
      <c r="C18" s="25">
        <f xml:space="preserve"> ( LN(C12/C13) + ( (C10-C11)-C14^2/2 )*C15 ) / ( C14*SQRT(C15) )</f>
        <v>-0.26093543163119276</v>
      </c>
      <c r="E18" s="24" t="s">
        <v>14</v>
      </c>
      <c r="F18" s="23">
        <f xml:space="preserve"> - C18</f>
        <v>0.26093543163119276</v>
      </c>
    </row>
    <row r="20" spans="2:9" x14ac:dyDescent="0.25">
      <c r="B20" s="6" t="s">
        <v>9</v>
      </c>
      <c r="C20" s="22">
        <f xml:space="preserve"> _xlfn.NORM.S.DIST(C17, TRUE)</f>
        <v>0.43392954481076496</v>
      </c>
      <c r="E20" s="6" t="s">
        <v>15</v>
      </c>
      <c r="F20" s="22">
        <f xml:space="preserve"> _xlfn.NORM.S.DIST(F17, TRUE)</f>
        <v>0.56607045518923504</v>
      </c>
      <c r="I20" s="2"/>
    </row>
    <row r="21" spans="2:9" x14ac:dyDescent="0.25">
      <c r="B21" s="6" t="s">
        <v>10</v>
      </c>
      <c r="C21" s="23">
        <f xml:space="preserve"> _xlfn.NORM.S.DIST(C18, TRUE)</f>
        <v>0.39707115029722656</v>
      </c>
      <c r="E21" s="6" t="s">
        <v>16</v>
      </c>
      <c r="F21" s="23">
        <f xml:space="preserve"> _xlfn.NORM.S.DIST(F18, TRUE)</f>
        <v>0.60292884970277338</v>
      </c>
    </row>
    <row r="23" spans="2:9" x14ac:dyDescent="0.25">
      <c r="B23" s="6" t="s">
        <v>11</v>
      </c>
      <c r="C23" s="3">
        <f>C12*EXP(-C11*C15)*C20-C13*EXP(-C10*C15)*C21</f>
        <v>0.44379747981641238</v>
      </c>
      <c r="E23" s="6" t="s">
        <v>17</v>
      </c>
      <c r="F23" s="3">
        <f>F13*EXP(-F10*F15)*F21-F12*EXP(-F11*F15)*F20</f>
        <v>0.75877383626991346</v>
      </c>
    </row>
    <row r="25" spans="2:9" x14ac:dyDescent="0.25">
      <c r="B25" s="6" t="s">
        <v>20</v>
      </c>
      <c r="C25" s="3" cm="1">
        <f t="array" ref="C25" xml:space="preserve"> PrimaCall(C12,C13,C14,C9,C10,C11)</f>
        <v>0.44379747981641238</v>
      </c>
      <c r="E25" s="6" t="s">
        <v>21</v>
      </c>
      <c r="F25" s="3" cm="1">
        <f t="array" ref="F25" xml:space="preserve"> PrimaPut(F12,F13,F14,F9,F10,F11)</f>
        <v>0.75877383626991346</v>
      </c>
    </row>
    <row r="26" spans="2:9" ht="15.75" thickBot="1" x14ac:dyDescent="0.3"/>
    <row r="27" spans="2:9" ht="15.75" thickBot="1" x14ac:dyDescent="0.3">
      <c r="C27" s="34" t="s">
        <v>18</v>
      </c>
      <c r="D27" s="35"/>
      <c r="E27" s="36"/>
    </row>
    <row r="29" spans="2:9" x14ac:dyDescent="0.25">
      <c r="C29" s="4">
        <f xml:space="preserve"> C23 + C13*EXP(-C10*C15)</f>
        <v>16.192585088707517</v>
      </c>
      <c r="D29" s="1" t="s">
        <v>19</v>
      </c>
      <c r="E29" s="4">
        <f>F23+F12*EXP(-F11*F15)</f>
        <v>16.192585088707517</v>
      </c>
    </row>
    <row r="30" spans="2:9" ht="15.75" thickBot="1" x14ac:dyDescent="0.3"/>
    <row r="31" spans="2:9" ht="15.75" thickBot="1" x14ac:dyDescent="0.3">
      <c r="B31" s="10"/>
      <c r="C31" s="37" t="s">
        <v>32</v>
      </c>
      <c r="D31" s="35"/>
      <c r="E31" s="38"/>
    </row>
    <row r="33" spans="1:6" x14ac:dyDescent="0.25">
      <c r="B33" s="6" t="s">
        <v>33</v>
      </c>
      <c r="C33" s="6" t="s">
        <v>34</v>
      </c>
      <c r="E33" s="27" t="s">
        <v>33</v>
      </c>
      <c r="F33" s="27" t="s">
        <v>34</v>
      </c>
    </row>
    <row r="34" spans="1:6" x14ac:dyDescent="0.25">
      <c r="B34" s="4">
        <f xml:space="preserve"> MAX(C12 - C13, 0)</f>
        <v>0</v>
      </c>
      <c r="C34" s="4">
        <f xml:space="preserve"> C23 - B34</f>
        <v>0.44379747981641238</v>
      </c>
      <c r="E34" s="4">
        <f xml:space="preserve"> MAX(F13 -F12, 0)</f>
        <v>0.64999999999999858</v>
      </c>
      <c r="F34" s="4">
        <f xml:space="preserve"> F23 - E34</f>
        <v>0.10877383626991488</v>
      </c>
    </row>
    <row r="35" spans="1:6" x14ac:dyDescent="0.25">
      <c r="B35" s="6" t="s">
        <v>35</v>
      </c>
      <c r="C35" s="26" t="s">
        <v>36</v>
      </c>
      <c r="E35" s="6" t="s">
        <v>37</v>
      </c>
      <c r="F35" s="26" t="s">
        <v>38</v>
      </c>
    </row>
    <row r="41" spans="1:6" x14ac:dyDescent="0.25">
      <c r="B41" s="15"/>
    </row>
    <row r="42" spans="1:6" x14ac:dyDescent="0.25">
      <c r="B42" s="11"/>
    </row>
    <row r="43" spans="1:6" x14ac:dyDescent="0.25">
      <c r="A43" s="14"/>
    </row>
  </sheetData>
  <mergeCells count="5">
    <mergeCell ref="R8:Y10"/>
    <mergeCell ref="B7:C7"/>
    <mergeCell ref="E7:F7"/>
    <mergeCell ref="C27:E27"/>
    <mergeCell ref="C31:E31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Curvas</vt:lpstr>
      <vt:lpstr>Datos</vt:lpstr>
      <vt:lpstr>Equity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DAVID MENDIETA LOPEZ</cp:lastModifiedBy>
  <dcterms:created xsi:type="dcterms:W3CDTF">2023-04-21T00:17:49Z</dcterms:created>
  <dcterms:modified xsi:type="dcterms:W3CDTF">2024-03-20T21:15:46Z</dcterms:modified>
</cp:coreProperties>
</file>