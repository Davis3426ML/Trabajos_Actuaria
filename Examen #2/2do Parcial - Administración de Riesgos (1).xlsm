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Escritorio\Admon de Riesgos\Examen 2\"/>
    </mc:Choice>
  </mc:AlternateContent>
  <xr:revisionPtr revIDLastSave="0" documentId="13_ncr:1_{37BDA688-304C-47C8-9027-6C803E0C8941}" xr6:coauthVersionLast="47" xr6:coauthVersionMax="47" xr10:uidLastSave="{00000000-0000-0000-0000-000000000000}"/>
  <bookViews>
    <workbookView xWindow="-120" yWindow="-120" windowWidth="20730" windowHeight="11040" xr2:uid="{CF893460-09D3-4FE7-B9BA-EAA91C1C2B49}"/>
  </bookViews>
  <sheets>
    <sheet name="Integrantes" sheetId="13" r:id="rId1"/>
    <sheet name="Ejercicio 1" sheetId="11" r:id="rId2"/>
    <sheet name="1. Tabla de Amorticación" sheetId="10" r:id="rId3"/>
    <sheet name="1. Modelo de Supervivencia" sheetId="9" r:id="rId4"/>
    <sheet name="Ejercicio 2" sheetId="12" r:id="rId5"/>
    <sheet name="Información PI" sheetId="8" r:id="rId6"/>
    <sheet name="PI" sheetId="2" r:id="rId7"/>
    <sheet name="SP" sheetId="4" state="hidden" r:id="rId8"/>
    <sheet name="Reservas" sheetId="7" r:id="rId9"/>
  </sheets>
  <functionGroups builtInGroupCount="19"/>
  <definedNames>
    <definedName name="_xlnm._FilterDatabase" localSheetId="8" hidden="1">Reservas!$B$4:$W$21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1" i="7" l="1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F8" i="9" l="1"/>
  <c r="F9" i="9" s="1"/>
  <c r="F10" i="9" s="1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7" i="9"/>
  <c r="F6" i="9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M9" i="2"/>
  <c r="K9" i="2"/>
  <c r="I9" i="2"/>
  <c r="G9" i="2"/>
  <c r="E9" i="2"/>
  <c r="O19" i="7" a="1"/>
  <c r="O17" i="7" a="1"/>
  <c r="O13" i="7" a="1"/>
  <c r="O9" i="7" a="1"/>
  <c r="O12" i="7" a="1"/>
  <c r="O6" i="7" a="1"/>
  <c r="O21" i="7" a="1"/>
  <c r="O15" i="7" a="1"/>
  <c r="O11" i="7" a="1"/>
  <c r="O7" i="7" a="1"/>
  <c r="O8" i="7" a="1"/>
  <c r="O20" i="7" a="1"/>
  <c r="O18" i="7" a="1"/>
  <c r="O16" i="7" a="1"/>
  <c r="O14" i="7" a="1"/>
  <c r="O10" i="7" a="1"/>
  <c r="O5" i="7" a="1"/>
  <c r="O10" i="7" l="1"/>
  <c r="Q10" i="7" s="1"/>
  <c r="O14" i="7"/>
  <c r="Q14" i="7" s="1"/>
  <c r="O16" i="7"/>
  <c r="Q16" i="7" s="1"/>
  <c r="O18" i="7"/>
  <c r="Q18" i="7" s="1"/>
  <c r="O20" i="7"/>
  <c r="Q20" i="7" s="1"/>
  <c r="O8" i="7"/>
  <c r="Q8" i="7" s="1"/>
  <c r="O7" i="7"/>
  <c r="Q7" i="7" s="1"/>
  <c r="O11" i="7"/>
  <c r="Q11" i="7" s="1"/>
  <c r="O15" i="7"/>
  <c r="Q15" i="7" s="1"/>
  <c r="O21" i="7"/>
  <c r="Q21" i="7" s="1"/>
  <c r="O6" i="7"/>
  <c r="Q6" i="7" s="1"/>
  <c r="O12" i="7"/>
  <c r="Q12" i="7" s="1"/>
  <c r="O9" i="7"/>
  <c r="Q9" i="7" s="1"/>
  <c r="O13" i="7"/>
  <c r="Q13" i="7" s="1"/>
  <c r="O17" i="7"/>
  <c r="Q17" i="7" s="1"/>
  <c r="O19" i="7"/>
  <c r="Q19" i="7" s="1"/>
  <c r="O5" i="7"/>
  <c r="Q5" i="7" s="1"/>
  <c r="P2" i="10"/>
  <c r="R10" i="7" a="1"/>
  <c r="R20" i="7" a="1"/>
  <c r="R15" i="7" a="1"/>
  <c r="R9" i="7" a="1"/>
  <c r="R5" i="7" a="1"/>
  <c r="R14" i="7" a="1"/>
  <c r="R8" i="7" a="1"/>
  <c r="R21" i="7" a="1"/>
  <c r="R13" i="7" a="1"/>
  <c r="R16" i="7" a="1"/>
  <c r="R7" i="7" a="1"/>
  <c r="R6" i="7" a="1"/>
  <c r="R17" i="7" a="1"/>
  <c r="R18" i="7" a="1"/>
  <c r="R11" i="7" a="1"/>
  <c r="R12" i="7" a="1"/>
  <c r="R19" i="7" a="1"/>
  <c r="R19" i="7" l="1"/>
  <c r="R12" i="7"/>
  <c r="R11" i="7"/>
  <c r="R18" i="7"/>
  <c r="R17" i="7"/>
  <c r="R6" i="7"/>
  <c r="R7" i="7"/>
  <c r="R16" i="7"/>
  <c r="R13" i="7"/>
  <c r="R21" i="7"/>
  <c r="R8" i="7"/>
  <c r="R14" i="7"/>
  <c r="R5" i="7"/>
  <c r="R9" i="7"/>
  <c r="R15" i="7"/>
  <c r="R20" i="7"/>
  <c r="R10" i="7"/>
  <c r="S19" i="7"/>
  <c r="S12" i="7"/>
  <c r="S11" i="7"/>
  <c r="S18" i="7"/>
  <c r="S17" i="7"/>
  <c r="S6" i="7"/>
  <c r="S7" i="7"/>
  <c r="S16" i="7"/>
  <c r="S13" i="7"/>
  <c r="S21" i="7"/>
  <c r="S8" i="7"/>
  <c r="S14" i="7"/>
  <c r="S5" i="7"/>
  <c r="S9" i="7"/>
  <c r="S15" i="7"/>
  <c r="S20" i="7"/>
  <c r="S10" i="7"/>
  <c r="C6" i="9"/>
  <c r="V19" i="7" a="1"/>
  <c r="V17" i="7" a="1"/>
  <c r="V13" i="7" a="1"/>
  <c r="V5" i="7" a="1"/>
  <c r="V10" i="7" a="1"/>
  <c r="V12" i="7" a="1"/>
  <c r="V6" i="7" a="1"/>
  <c r="V21" i="7" a="1"/>
  <c r="V9" i="7" a="1"/>
  <c r="V11" i="7" a="1"/>
  <c r="V7" i="7" a="1"/>
  <c r="V8" i="7" a="1"/>
  <c r="V15" i="7" a="1"/>
  <c r="V18" i="7" a="1"/>
  <c r="V16" i="7" a="1"/>
  <c r="V14" i="7" a="1"/>
  <c r="V20" i="7" a="1"/>
  <c r="V20" i="7" l="1"/>
  <c r="W20" i="7" s="1"/>
  <c r="X20" i="7" s="1"/>
  <c r="V14" i="7"/>
  <c r="W14" i="7" s="1"/>
  <c r="X14" i="7" s="1"/>
  <c r="V16" i="7"/>
  <c r="W16" i="7" s="1"/>
  <c r="X16" i="7" s="1"/>
  <c r="V18" i="7"/>
  <c r="W18" i="7" s="1"/>
  <c r="X18" i="7" s="1"/>
  <c r="V15" i="7"/>
  <c r="W15" i="7" s="1"/>
  <c r="X15" i="7" s="1"/>
  <c r="V8" i="7"/>
  <c r="W8" i="7" s="1"/>
  <c r="X8" i="7" s="1"/>
  <c r="V7" i="7"/>
  <c r="W7" i="7" s="1"/>
  <c r="X7" i="7" s="1"/>
  <c r="V11" i="7"/>
  <c r="W11" i="7" s="1"/>
  <c r="X11" i="7" s="1"/>
  <c r="V9" i="7"/>
  <c r="W9" i="7" s="1"/>
  <c r="X9" i="7" s="1"/>
  <c r="V21" i="7"/>
  <c r="W21" i="7" s="1"/>
  <c r="X21" i="7" s="1"/>
  <c r="V6" i="7"/>
  <c r="W6" i="7" s="1"/>
  <c r="X6" i="7" s="1"/>
  <c r="V12" i="7"/>
  <c r="W12" i="7" s="1"/>
  <c r="X12" i="7" s="1"/>
  <c r="V10" i="7"/>
  <c r="W10" i="7" s="1"/>
  <c r="X10" i="7" s="1"/>
  <c r="V5" i="7"/>
  <c r="W5" i="7" s="1"/>
  <c r="X5" i="7" s="1"/>
  <c r="V13" i="7"/>
  <c r="W13" i="7" s="1"/>
  <c r="X13" i="7" s="1"/>
  <c r="V17" i="7"/>
  <c r="W17" i="7" s="1"/>
  <c r="X17" i="7" s="1"/>
  <c r="V19" i="7"/>
  <c r="W19" i="7" s="1"/>
  <c r="X19" i="7" s="1"/>
  <c r="F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I9" i="10"/>
  <c r="P6" i="10" l="1"/>
  <c r="P5" i="10"/>
  <c r="P4" i="10"/>
  <c r="P3" i="10"/>
  <c r="C10" i="10"/>
  <c r="P7" i="10"/>
  <c r="B7" i="10" s="1"/>
  <c r="E68" i="10"/>
  <c r="E56" i="10"/>
  <c r="E44" i="10"/>
  <c r="E32" i="10"/>
  <c r="E20" i="10"/>
  <c r="C9" i="10"/>
  <c r="B9" i="10"/>
  <c r="D68" i="10" l="1"/>
  <c r="J68" i="10" s="1"/>
  <c r="K68" i="10" s="1"/>
  <c r="D64" i="10"/>
  <c r="J64" i="10" s="1"/>
  <c r="K64" i="10" s="1"/>
  <c r="D60" i="10"/>
  <c r="J60" i="10" s="1"/>
  <c r="K60" i="10" s="1"/>
  <c r="D56" i="10"/>
  <c r="J56" i="10" s="1"/>
  <c r="K56" i="10" s="1"/>
  <c r="D52" i="10"/>
  <c r="J52" i="10" s="1"/>
  <c r="K52" i="10" s="1"/>
  <c r="D48" i="10"/>
  <c r="J48" i="10" s="1"/>
  <c r="K48" i="10" s="1"/>
  <c r="D44" i="10"/>
  <c r="J44" i="10" s="1"/>
  <c r="K44" i="10" s="1"/>
  <c r="D40" i="10"/>
  <c r="J40" i="10" s="1"/>
  <c r="K40" i="10" s="1"/>
  <c r="D36" i="10"/>
  <c r="J36" i="10" s="1"/>
  <c r="K36" i="10" s="1"/>
  <c r="D32" i="10"/>
  <c r="J32" i="10" s="1"/>
  <c r="K32" i="10" s="1"/>
  <c r="D28" i="10"/>
  <c r="J28" i="10" s="1"/>
  <c r="K28" i="10" s="1"/>
  <c r="D24" i="10"/>
  <c r="J24" i="10" s="1"/>
  <c r="K24" i="10" s="1"/>
  <c r="D20" i="10"/>
  <c r="J20" i="10" s="1"/>
  <c r="K20" i="10" s="1"/>
  <c r="D16" i="10"/>
  <c r="J16" i="10" s="1"/>
  <c r="K16" i="10" s="1"/>
  <c r="D12" i="10"/>
  <c r="J12" i="10" s="1"/>
  <c r="K12" i="10" s="1"/>
  <c r="D65" i="10"/>
  <c r="J65" i="10" s="1"/>
  <c r="K65" i="10" s="1"/>
  <c r="D61" i="10"/>
  <c r="J61" i="10" s="1"/>
  <c r="K61" i="10" s="1"/>
  <c r="D57" i="10"/>
  <c r="J57" i="10" s="1"/>
  <c r="K57" i="10" s="1"/>
  <c r="D53" i="10"/>
  <c r="J53" i="10" s="1"/>
  <c r="K53" i="10" s="1"/>
  <c r="D49" i="10"/>
  <c r="J49" i="10" s="1"/>
  <c r="K49" i="10" s="1"/>
  <c r="D45" i="10"/>
  <c r="J45" i="10" s="1"/>
  <c r="K45" i="10" s="1"/>
  <c r="D41" i="10"/>
  <c r="J41" i="10" s="1"/>
  <c r="K41" i="10" s="1"/>
  <c r="D37" i="10"/>
  <c r="J37" i="10" s="1"/>
  <c r="K37" i="10" s="1"/>
  <c r="D33" i="10"/>
  <c r="J33" i="10" s="1"/>
  <c r="K33" i="10" s="1"/>
  <c r="D29" i="10"/>
  <c r="J29" i="10" s="1"/>
  <c r="K29" i="10" s="1"/>
  <c r="D25" i="10"/>
  <c r="J25" i="10" s="1"/>
  <c r="K25" i="10" s="1"/>
  <c r="D17" i="10"/>
  <c r="J17" i="10" s="1"/>
  <c r="K17" i="10" s="1"/>
  <c r="D66" i="10"/>
  <c r="J66" i="10" s="1"/>
  <c r="K66" i="10" s="1"/>
  <c r="D62" i="10"/>
  <c r="J62" i="10" s="1"/>
  <c r="K62" i="10" s="1"/>
  <c r="D58" i="10"/>
  <c r="J58" i="10" s="1"/>
  <c r="K58" i="10" s="1"/>
  <c r="D54" i="10"/>
  <c r="J54" i="10" s="1"/>
  <c r="K54" i="10" s="1"/>
  <c r="D50" i="10"/>
  <c r="J50" i="10" s="1"/>
  <c r="K50" i="10" s="1"/>
  <c r="D46" i="10"/>
  <c r="J46" i="10" s="1"/>
  <c r="K46" i="10" s="1"/>
  <c r="D42" i="10"/>
  <c r="J42" i="10" s="1"/>
  <c r="K42" i="10" s="1"/>
  <c r="D38" i="10"/>
  <c r="J38" i="10" s="1"/>
  <c r="K38" i="10" s="1"/>
  <c r="D34" i="10"/>
  <c r="J34" i="10" s="1"/>
  <c r="K34" i="10" s="1"/>
  <c r="D30" i="10"/>
  <c r="J30" i="10" s="1"/>
  <c r="K30" i="10" s="1"/>
  <c r="D26" i="10"/>
  <c r="J26" i="10" s="1"/>
  <c r="K26" i="10" s="1"/>
  <c r="D22" i="10"/>
  <c r="J22" i="10" s="1"/>
  <c r="K22" i="10" s="1"/>
  <c r="D18" i="10"/>
  <c r="J18" i="10" s="1"/>
  <c r="K18" i="10" s="1"/>
  <c r="D14" i="10"/>
  <c r="J14" i="10" s="1"/>
  <c r="K14" i="10" s="1"/>
  <c r="D10" i="10"/>
  <c r="D67" i="10"/>
  <c r="J67" i="10" s="1"/>
  <c r="K67" i="10" s="1"/>
  <c r="D63" i="10"/>
  <c r="J63" i="10" s="1"/>
  <c r="K63" i="10" s="1"/>
  <c r="D59" i="10"/>
  <c r="J59" i="10" s="1"/>
  <c r="K59" i="10" s="1"/>
  <c r="D55" i="10"/>
  <c r="J55" i="10" s="1"/>
  <c r="K55" i="10" s="1"/>
  <c r="D51" i="10"/>
  <c r="J51" i="10" s="1"/>
  <c r="K51" i="10" s="1"/>
  <c r="D47" i="10"/>
  <c r="J47" i="10" s="1"/>
  <c r="K47" i="10" s="1"/>
  <c r="D43" i="10"/>
  <c r="J43" i="10" s="1"/>
  <c r="K43" i="10" s="1"/>
  <c r="D39" i="10"/>
  <c r="J39" i="10" s="1"/>
  <c r="K39" i="10" s="1"/>
  <c r="D35" i="10"/>
  <c r="J35" i="10" s="1"/>
  <c r="K35" i="10" s="1"/>
  <c r="D31" i="10"/>
  <c r="J31" i="10" s="1"/>
  <c r="K31" i="10" s="1"/>
  <c r="D27" i="10"/>
  <c r="J27" i="10" s="1"/>
  <c r="K27" i="10" s="1"/>
  <c r="D23" i="10"/>
  <c r="J23" i="10" s="1"/>
  <c r="K23" i="10" s="1"/>
  <c r="D19" i="10"/>
  <c r="J19" i="10" s="1"/>
  <c r="K19" i="10" s="1"/>
  <c r="D15" i="10"/>
  <c r="J15" i="10" s="1"/>
  <c r="K15" i="10" s="1"/>
  <c r="D11" i="10"/>
  <c r="J11" i="10" s="1"/>
  <c r="K11" i="10" s="1"/>
  <c r="D21" i="10"/>
  <c r="J21" i="10" s="1"/>
  <c r="K21" i="10" s="1"/>
  <c r="D13" i="10"/>
  <c r="J13" i="10" s="1"/>
  <c r="K13" i="10" s="1"/>
  <c r="D9" i="10"/>
  <c r="J10" i="10" l="1"/>
  <c r="K10" i="10" s="1"/>
  <c r="J9" i="10"/>
  <c r="K9" i="10" s="1"/>
  <c r="K7" i="10" s="1"/>
  <c r="G9" i="10"/>
  <c r="H9" i="10" s="1"/>
  <c r="B10" i="10" s="1"/>
  <c r="F10" i="10" l="1"/>
  <c r="G10" i="10" s="1"/>
  <c r="C7" i="9"/>
  <c r="H10" i="10"/>
  <c r="B11" i="10" s="1"/>
  <c r="C8" i="9" l="1"/>
  <c r="F11" i="10"/>
  <c r="G11" i="10" s="1"/>
  <c r="H11" i="10" s="1"/>
  <c r="B12" i="10" s="1"/>
  <c r="C9" i="9" l="1"/>
  <c r="F12" i="10"/>
  <c r="G12" i="10" s="1"/>
  <c r="H12" i="10" s="1"/>
  <c r="B13" i="10" s="1"/>
  <c r="C10" i="9" l="1"/>
  <c r="F13" i="10"/>
  <c r="G13" i="10" s="1"/>
  <c r="H13" i="10" s="1"/>
  <c r="B14" i="10" s="1"/>
  <c r="C11" i="9" l="1"/>
  <c r="F14" i="10"/>
  <c r="G14" i="10" s="1"/>
  <c r="H14" i="10"/>
  <c r="B15" i="10" s="1"/>
  <c r="C12" i="9" l="1"/>
  <c r="F15" i="10"/>
  <c r="G15" i="10" s="1"/>
  <c r="H15" i="10" s="1"/>
  <c r="B16" i="10" s="1"/>
  <c r="C13" i="9" l="1"/>
  <c r="F16" i="10"/>
  <c r="G16" i="10" s="1"/>
  <c r="H16" i="10" s="1"/>
  <c r="B17" i="10" s="1"/>
  <c r="C14" i="9" l="1"/>
  <c r="F17" i="10"/>
  <c r="G17" i="10" s="1"/>
  <c r="H17" i="10" s="1"/>
  <c r="B18" i="10" s="1"/>
  <c r="C15" i="9" l="1"/>
  <c r="F18" i="10"/>
  <c r="G18" i="10" s="1"/>
  <c r="H18" i="10" s="1"/>
  <c r="B19" i="10" s="1"/>
  <c r="C16" i="9" l="1"/>
  <c r="F19" i="10"/>
  <c r="G19" i="10" s="1"/>
  <c r="H19" i="10" s="1"/>
  <c r="B20" i="10" s="1"/>
  <c r="C17" i="9" l="1"/>
  <c r="F20" i="10"/>
  <c r="G20" i="10" s="1"/>
  <c r="H20" i="10" s="1"/>
  <c r="B21" i="10" s="1"/>
  <c r="C18" i="9" l="1"/>
  <c r="F21" i="10"/>
  <c r="G21" i="10" s="1"/>
  <c r="H21" i="10"/>
  <c r="B22" i="10" s="1"/>
  <c r="C19" i="9" l="1"/>
  <c r="F22" i="10"/>
  <c r="G22" i="10" s="1"/>
  <c r="H22" i="10" s="1"/>
  <c r="B23" i="10" s="1"/>
  <c r="C20" i="9" l="1"/>
  <c r="F23" i="10"/>
  <c r="G23" i="10" s="1"/>
  <c r="H23" i="10" s="1"/>
  <c r="B24" i="10" s="1"/>
  <c r="C21" i="9" l="1"/>
  <c r="F24" i="10"/>
  <c r="G24" i="10" s="1"/>
  <c r="H24" i="10" s="1"/>
  <c r="B25" i="10" s="1"/>
  <c r="C22" i="9" l="1"/>
  <c r="F25" i="10"/>
  <c r="G25" i="10" s="1"/>
  <c r="H25" i="10" s="1"/>
  <c r="B26" i="10" s="1"/>
  <c r="C23" i="9" l="1"/>
  <c r="H26" i="10"/>
  <c r="B27" i="10" s="1"/>
  <c r="F26" i="10"/>
  <c r="G26" i="10" s="1"/>
  <c r="C24" i="9" l="1"/>
  <c r="F27" i="10"/>
  <c r="G27" i="10" s="1"/>
  <c r="H27" i="10" s="1"/>
  <c r="B28" i="10" s="1"/>
  <c r="C25" i="9" l="1"/>
  <c r="F28" i="10"/>
  <c r="G28" i="10" s="1"/>
  <c r="H28" i="10" s="1"/>
  <c r="B29" i="10" s="1"/>
  <c r="C26" i="9" l="1"/>
  <c r="F29" i="10"/>
  <c r="G29" i="10" s="1"/>
  <c r="H29" i="10" s="1"/>
  <c r="B30" i="10" s="1"/>
  <c r="C27" i="9" l="1"/>
  <c r="F30" i="10"/>
  <c r="G30" i="10" s="1"/>
  <c r="H30" i="10" s="1"/>
  <c r="B31" i="10" s="1"/>
  <c r="C28" i="9" l="1"/>
  <c r="F31" i="10"/>
  <c r="G31" i="10" s="1"/>
  <c r="H31" i="10" s="1"/>
  <c r="B32" i="10" s="1"/>
  <c r="C29" i="9" l="1"/>
  <c r="F32" i="10"/>
  <c r="G32" i="10" s="1"/>
  <c r="H32" i="10" s="1"/>
  <c r="B33" i="10" s="1"/>
  <c r="C30" i="9" l="1"/>
  <c r="F33" i="10"/>
  <c r="G33" i="10" s="1"/>
  <c r="H33" i="10" s="1"/>
  <c r="B34" i="10" s="1"/>
  <c r="C31" i="9" l="1"/>
  <c r="H34" i="10"/>
  <c r="B35" i="10" s="1"/>
  <c r="F34" i="10"/>
  <c r="G34" i="10" s="1"/>
  <c r="C32" i="9" l="1"/>
  <c r="F35" i="10"/>
  <c r="G35" i="10" s="1"/>
  <c r="H35" i="10" s="1"/>
  <c r="B36" i="10" s="1"/>
  <c r="C33" i="9" l="1"/>
  <c r="F36" i="10"/>
  <c r="G36" i="10" s="1"/>
  <c r="H36" i="10" s="1"/>
  <c r="B37" i="10" s="1"/>
  <c r="C34" i="9" l="1"/>
  <c r="F37" i="10"/>
  <c r="G37" i="10" s="1"/>
  <c r="H37" i="10" s="1"/>
  <c r="B38" i="10" s="1"/>
  <c r="C35" i="9" l="1"/>
  <c r="F38" i="10"/>
  <c r="G38" i="10" s="1"/>
  <c r="H38" i="10"/>
  <c r="B39" i="10" s="1"/>
  <c r="C36" i="9" l="1"/>
  <c r="F39" i="10"/>
  <c r="G39" i="10" s="1"/>
  <c r="H39" i="10"/>
  <c r="B40" i="10" s="1"/>
  <c r="C37" i="9" l="1"/>
  <c r="F40" i="10"/>
  <c r="G40" i="10" s="1"/>
  <c r="H40" i="10" s="1"/>
  <c r="B41" i="10" s="1"/>
  <c r="C38" i="9" l="1"/>
  <c r="F41" i="10"/>
  <c r="G41" i="10" s="1"/>
  <c r="H41" i="10" s="1"/>
  <c r="B42" i="10" s="1"/>
  <c r="C39" i="9" l="1"/>
  <c r="H42" i="10"/>
  <c r="B43" i="10" s="1"/>
  <c r="F42" i="10"/>
  <c r="G42" i="10" s="1"/>
  <c r="C40" i="9" l="1"/>
  <c r="F43" i="10"/>
  <c r="G43" i="10" s="1"/>
  <c r="H43" i="10" s="1"/>
  <c r="B44" i="10" s="1"/>
  <c r="C41" i="9" l="1"/>
  <c r="F44" i="10"/>
  <c r="G44" i="10" s="1"/>
  <c r="H44" i="10" s="1"/>
  <c r="B45" i="10" s="1"/>
  <c r="C42" i="9" l="1"/>
  <c r="F45" i="10"/>
  <c r="G45" i="10" s="1"/>
  <c r="H45" i="10" s="1"/>
  <c r="B46" i="10" s="1"/>
  <c r="C43" i="9" l="1"/>
  <c r="F46" i="10"/>
  <c r="G46" i="10" s="1"/>
  <c r="H46" i="10" s="1"/>
  <c r="B47" i="10" s="1"/>
  <c r="C44" i="9" l="1"/>
  <c r="F47" i="10"/>
  <c r="G47" i="10" s="1"/>
  <c r="H47" i="10" s="1"/>
  <c r="B48" i="10" s="1"/>
  <c r="C45" i="9" l="1"/>
  <c r="F48" i="10"/>
  <c r="G48" i="10" s="1"/>
  <c r="H48" i="10" s="1"/>
  <c r="B49" i="10" s="1"/>
  <c r="C46" i="9" l="1"/>
  <c r="F49" i="10"/>
  <c r="G49" i="10" s="1"/>
  <c r="H49" i="10" s="1"/>
  <c r="B50" i="10" s="1"/>
  <c r="C47" i="9" l="1"/>
  <c r="F50" i="10"/>
  <c r="G50" i="10" s="1"/>
  <c r="H50" i="10" s="1"/>
  <c r="B51" i="10" s="1"/>
  <c r="C48" i="9" l="1"/>
  <c r="F51" i="10"/>
  <c r="G51" i="10" s="1"/>
  <c r="H51" i="10" s="1"/>
  <c r="B52" i="10" s="1"/>
  <c r="C49" i="9" l="1"/>
  <c r="F52" i="10"/>
  <c r="G52" i="10" s="1"/>
  <c r="H52" i="10" s="1"/>
  <c r="B53" i="10" s="1"/>
  <c r="C50" i="9" l="1"/>
  <c r="F53" i="10"/>
  <c r="G53" i="10" s="1"/>
  <c r="H53" i="10" s="1"/>
  <c r="B54" i="10" s="1"/>
  <c r="C51" i="9" l="1"/>
  <c r="F54" i="10"/>
  <c r="G54" i="10" s="1"/>
  <c r="H54" i="10" s="1"/>
  <c r="B55" i="10" s="1"/>
  <c r="C52" i="9" l="1"/>
  <c r="F55" i="10"/>
  <c r="G55" i="10" s="1"/>
  <c r="H55" i="10" s="1"/>
  <c r="B56" i="10" s="1"/>
  <c r="C53" i="9" l="1"/>
  <c r="F56" i="10"/>
  <c r="G56" i="10" s="1"/>
  <c r="H56" i="10" s="1"/>
  <c r="B57" i="10" s="1"/>
  <c r="C54" i="9" l="1"/>
  <c r="F57" i="10"/>
  <c r="G57" i="10" s="1"/>
  <c r="H57" i="10" s="1"/>
  <c r="B58" i="10" s="1"/>
  <c r="C55" i="9" l="1"/>
  <c r="F58" i="10"/>
  <c r="G58" i="10" s="1"/>
  <c r="H58" i="10" s="1"/>
  <c r="B59" i="10" s="1"/>
  <c r="C56" i="9" l="1"/>
  <c r="F59" i="10"/>
  <c r="G59" i="10" s="1"/>
  <c r="H59" i="10" s="1"/>
  <c r="B60" i="10" s="1"/>
  <c r="C57" i="9" l="1"/>
  <c r="F60" i="10"/>
  <c r="G60" i="10" s="1"/>
  <c r="H60" i="10" s="1"/>
  <c r="B61" i="10" s="1"/>
  <c r="C58" i="9" l="1"/>
  <c r="F61" i="10"/>
  <c r="G61" i="10" s="1"/>
  <c r="H61" i="10" s="1"/>
  <c r="B62" i="10" s="1"/>
  <c r="C59" i="9" l="1"/>
  <c r="F62" i="10"/>
  <c r="G62" i="10" s="1"/>
  <c r="H62" i="10" s="1"/>
  <c r="B63" i="10" s="1"/>
  <c r="C60" i="9" l="1"/>
  <c r="F63" i="10"/>
  <c r="G63" i="10" s="1"/>
  <c r="H63" i="10" s="1"/>
  <c r="B64" i="10" s="1"/>
  <c r="C61" i="9" l="1"/>
  <c r="F64" i="10"/>
  <c r="G64" i="10" s="1"/>
  <c r="H64" i="10" s="1"/>
  <c r="B65" i="10" s="1"/>
  <c r="C62" i="9" l="1"/>
  <c r="F65" i="10"/>
  <c r="G65" i="10" s="1"/>
  <c r="H65" i="10" s="1"/>
  <c r="B66" i="10" s="1"/>
  <c r="C63" i="9" l="1"/>
  <c r="F66" i="10"/>
  <c r="G66" i="10" s="1"/>
  <c r="H66" i="10" s="1"/>
  <c r="B67" i="10" s="1"/>
  <c r="C64" i="9" l="1"/>
  <c r="F67" i="10"/>
  <c r="G67" i="10" s="1"/>
  <c r="H67" i="10" s="1"/>
  <c r="B68" i="10" s="1"/>
  <c r="C65" i="9" l="1"/>
  <c r="F68" i="10"/>
  <c r="G68" i="10" s="1"/>
  <c r="H68" i="10" s="1"/>
  <c r="B1" i="9" l="1"/>
  <c r="B63" i="9" l="1"/>
  <c r="D63" i="9" s="1"/>
  <c r="H63" i="9" s="1"/>
  <c r="B61" i="9"/>
  <c r="D61" i="9" s="1"/>
  <c r="H61" i="9" s="1"/>
  <c r="B58" i="9"/>
  <c r="D58" i="9" s="1"/>
  <c r="H58" i="9" s="1"/>
  <c r="B55" i="9"/>
  <c r="D55" i="9" s="1"/>
  <c r="H55" i="9" s="1"/>
  <c r="B53" i="9"/>
  <c r="D53" i="9" s="1"/>
  <c r="H53" i="9" s="1"/>
  <c r="B50" i="9"/>
  <c r="D50" i="9" s="1"/>
  <c r="H50" i="9" s="1"/>
  <c r="B47" i="9"/>
  <c r="D47" i="9" s="1"/>
  <c r="H47" i="9" s="1"/>
  <c r="B45" i="9"/>
  <c r="D45" i="9" s="1"/>
  <c r="H45" i="9" s="1"/>
  <c r="B42" i="9"/>
  <c r="D42" i="9" s="1"/>
  <c r="H42" i="9" s="1"/>
  <c r="B39" i="9"/>
  <c r="D39" i="9" s="1"/>
  <c r="H39" i="9" s="1"/>
  <c r="B37" i="9"/>
  <c r="D37" i="9" s="1"/>
  <c r="H37" i="9" s="1"/>
  <c r="B34" i="9"/>
  <c r="D34" i="9" s="1"/>
  <c r="H34" i="9" s="1"/>
  <c r="B31" i="9"/>
  <c r="D31" i="9" s="1"/>
  <c r="H31" i="9" s="1"/>
  <c r="B29" i="9"/>
  <c r="D29" i="9" s="1"/>
  <c r="H29" i="9" s="1"/>
  <c r="B26" i="9"/>
  <c r="D26" i="9" s="1"/>
  <c r="H26" i="9" s="1"/>
  <c r="B64" i="9"/>
  <c r="D64" i="9" s="1"/>
  <c r="H64" i="9" s="1"/>
  <c r="B56" i="9"/>
  <c r="D56" i="9" s="1"/>
  <c r="H56" i="9" s="1"/>
  <c r="B48" i="9"/>
  <c r="D48" i="9" s="1"/>
  <c r="H48" i="9" s="1"/>
  <c r="B40" i="9"/>
  <c r="D40" i="9" s="1"/>
  <c r="H40" i="9" s="1"/>
  <c r="B32" i="9"/>
  <c r="D32" i="9" s="1"/>
  <c r="H32" i="9" s="1"/>
  <c r="B24" i="9"/>
  <c r="D24" i="9" s="1"/>
  <c r="H24" i="9" s="1"/>
  <c r="B16" i="9"/>
  <c r="D16" i="9" s="1"/>
  <c r="H16" i="9" s="1"/>
  <c r="B8" i="9"/>
  <c r="D8" i="9" s="1"/>
  <c r="H8" i="9" s="1"/>
  <c r="B28" i="9"/>
  <c r="D28" i="9" s="1"/>
  <c r="H28" i="9" s="1"/>
  <c r="B65" i="9"/>
  <c r="D65" i="9" s="1"/>
  <c r="H65" i="9" s="1"/>
  <c r="B62" i="9"/>
  <c r="D62" i="9" s="1"/>
  <c r="H62" i="9" s="1"/>
  <c r="B59" i="9"/>
  <c r="D59" i="9" s="1"/>
  <c r="H59" i="9" s="1"/>
  <c r="B57" i="9"/>
  <c r="D57" i="9" s="1"/>
  <c r="H57" i="9" s="1"/>
  <c r="B54" i="9"/>
  <c r="D54" i="9" s="1"/>
  <c r="H54" i="9" s="1"/>
  <c r="B51" i="9"/>
  <c r="D51" i="9" s="1"/>
  <c r="H51" i="9" s="1"/>
  <c r="B49" i="9"/>
  <c r="D49" i="9" s="1"/>
  <c r="H49" i="9" s="1"/>
  <c r="B46" i="9"/>
  <c r="D46" i="9" s="1"/>
  <c r="H46" i="9" s="1"/>
  <c r="B43" i="9"/>
  <c r="D43" i="9" s="1"/>
  <c r="H43" i="9" s="1"/>
  <c r="B41" i="9"/>
  <c r="D41" i="9" s="1"/>
  <c r="H41" i="9" s="1"/>
  <c r="B38" i="9"/>
  <c r="D38" i="9" s="1"/>
  <c r="H38" i="9" s="1"/>
  <c r="B35" i="9"/>
  <c r="D35" i="9" s="1"/>
  <c r="H35" i="9" s="1"/>
  <c r="B33" i="9"/>
  <c r="D33" i="9" s="1"/>
  <c r="H33" i="9" s="1"/>
  <c r="B30" i="9"/>
  <c r="D30" i="9" s="1"/>
  <c r="H30" i="9" s="1"/>
  <c r="B27" i="9"/>
  <c r="D27" i="9" s="1"/>
  <c r="H27" i="9" s="1"/>
  <c r="B25" i="9"/>
  <c r="D25" i="9" s="1"/>
  <c r="H25" i="9" s="1"/>
  <c r="B22" i="9"/>
  <c r="D22" i="9" s="1"/>
  <c r="H22" i="9" s="1"/>
  <c r="B19" i="9"/>
  <c r="D19" i="9" s="1"/>
  <c r="H19" i="9" s="1"/>
  <c r="B17" i="9"/>
  <c r="D17" i="9" s="1"/>
  <c r="H17" i="9" s="1"/>
  <c r="B14" i="9"/>
  <c r="D14" i="9" s="1"/>
  <c r="H14" i="9" s="1"/>
  <c r="B11" i="9"/>
  <c r="D11" i="9" s="1"/>
  <c r="H11" i="9" s="1"/>
  <c r="B9" i="9"/>
  <c r="D9" i="9" s="1"/>
  <c r="H9" i="9" s="1"/>
  <c r="B60" i="9"/>
  <c r="D60" i="9" s="1"/>
  <c r="H60" i="9" s="1"/>
  <c r="B52" i="9"/>
  <c r="D52" i="9" s="1"/>
  <c r="H52" i="9" s="1"/>
  <c r="B44" i="9"/>
  <c r="D44" i="9" s="1"/>
  <c r="H44" i="9" s="1"/>
  <c r="B36" i="9"/>
  <c r="D36" i="9" s="1"/>
  <c r="H36" i="9" s="1"/>
  <c r="B21" i="9"/>
  <c r="D21" i="9" s="1"/>
  <c r="H21" i="9" s="1"/>
  <c r="B18" i="9"/>
  <c r="D18" i="9" s="1"/>
  <c r="H18" i="9" s="1"/>
  <c r="B15" i="9"/>
  <c r="D15" i="9" s="1"/>
  <c r="H15" i="9" s="1"/>
  <c r="B6" i="9"/>
  <c r="D6" i="9" s="1"/>
  <c r="H6" i="9" s="1"/>
  <c r="B12" i="9"/>
  <c r="D12" i="9" s="1"/>
  <c r="H12" i="9" s="1"/>
  <c r="B20" i="9"/>
  <c r="D20" i="9" s="1"/>
  <c r="H20" i="9" s="1"/>
  <c r="B23" i="9"/>
  <c r="D23" i="9" s="1"/>
  <c r="H23" i="9" s="1"/>
  <c r="B13" i="9"/>
  <c r="D13" i="9" s="1"/>
  <c r="H13" i="9" s="1"/>
  <c r="B10" i="9"/>
  <c r="D10" i="9" s="1"/>
  <c r="H10" i="9" s="1"/>
  <c r="B7" i="9"/>
  <c r="D7" i="9" s="1"/>
  <c r="H7" i="9" s="1"/>
  <c r="A20" i="10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12" i="10"/>
  <c r="A13" i="10" s="1"/>
  <c r="A14" i="10" s="1"/>
  <c r="A15" i="10" s="1"/>
  <c r="A16" i="10" s="1"/>
  <c r="A17" i="10" s="1"/>
  <c r="A18" i="10" s="1"/>
  <c r="A19" i="10" s="1"/>
  <c r="A10" i="10"/>
  <c r="A11" i="10" s="1"/>
  <c r="A7" i="9"/>
  <c r="A8" i="9" s="1"/>
  <c r="A9" i="9" s="1"/>
  <c r="A10" i="9" s="1"/>
  <c r="A11" i="9" s="1"/>
  <c r="A12" i="9" l="1"/>
  <c r="A13" i="9" s="1"/>
  <c r="A14" i="9" l="1"/>
  <c r="A15" i="9" l="1"/>
  <c r="A16" i="9" l="1"/>
  <c r="A17" i="9" l="1"/>
  <c r="A18" i="9" l="1"/>
  <c r="A19" i="9" l="1"/>
  <c r="A20" i="9" l="1"/>
  <c r="A21" i="9" l="1"/>
  <c r="A22" i="9" l="1"/>
  <c r="A23" i="9" l="1"/>
  <c r="A24" i="9" l="1"/>
  <c r="A25" i="9" l="1"/>
  <c r="A26" i="9" l="1"/>
  <c r="A27" i="9" l="1"/>
  <c r="A28" i="9" l="1"/>
  <c r="A29" i="9" l="1"/>
  <c r="A30" i="9" l="1"/>
  <c r="A31" i="9" l="1"/>
  <c r="A32" i="9" l="1"/>
  <c r="A33" i="9" l="1"/>
  <c r="A34" i="9" l="1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E20" i="7"/>
  <c r="A35" i="9" l="1"/>
  <c r="A36" i="9" l="1"/>
  <c r="A37" i="9" l="1"/>
  <c r="A38" i="9" l="1"/>
  <c r="A39" i="9" l="1"/>
  <c r="A40" i="9" l="1"/>
  <c r="A41" i="9" l="1"/>
  <c r="A42" i="9" l="1"/>
  <c r="A43" i="9" l="1"/>
  <c r="A44" i="9" l="1"/>
  <c r="A45" i="9" l="1"/>
  <c r="A46" i="9" l="1"/>
  <c r="A47" i="9" l="1"/>
  <c r="A48" i="9" l="1"/>
  <c r="A49" i="9" l="1"/>
  <c r="A50" i="9" l="1"/>
  <c r="A51" i="9" l="1"/>
  <c r="A52" i="9" l="1"/>
  <c r="A53" i="9" l="1"/>
  <c r="A54" i="9" l="1"/>
  <c r="A55" i="9" l="1"/>
  <c r="A56" i="9" l="1"/>
  <c r="A57" i="9" l="1"/>
  <c r="A58" i="9" l="1"/>
  <c r="A59" i="9" l="1"/>
  <c r="A60" i="9" l="1"/>
  <c r="A61" i="9" l="1"/>
  <c r="A62" i="9" l="1"/>
  <c r="A63" i="9" l="1"/>
  <c r="A64" i="9" l="1"/>
  <c r="A65" i="9" l="1"/>
  <c r="H67" i="9" l="1"/>
  <c r="E21" i="7" l="1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A4" i="4" l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F16" i="2" l="1"/>
  <c r="J16" i="2"/>
  <c r="L16" i="2"/>
  <c r="N16" i="2"/>
  <c r="F22" i="2"/>
  <c r="N20" i="2"/>
  <c r="L20" i="2"/>
  <c r="N19" i="2"/>
  <c r="F15" i="2"/>
  <c r="N13" i="2"/>
  <c r="L13" i="2"/>
  <c r="N12" i="2"/>
  <c r="L12" i="2"/>
  <c r="J12" i="2"/>
  <c r="F12" i="2"/>
  <c r="L11" i="2"/>
  <c r="J10" i="2"/>
  <c r="F10" i="2"/>
  <c r="L14" i="2" l="1"/>
  <c r="J14" i="2"/>
  <c r="F14" i="2"/>
  <c r="N14" i="2"/>
  <c r="N18" i="2"/>
  <c r="L18" i="2"/>
  <c r="J18" i="2"/>
  <c r="F18" i="2"/>
  <c r="J11" i="2"/>
  <c r="N21" i="2"/>
  <c r="L21" i="2"/>
  <c r="J21" i="2"/>
  <c r="F21" i="2"/>
  <c r="F9" i="2"/>
  <c r="N15" i="2"/>
  <c r="L15" i="2"/>
  <c r="J15" i="2"/>
  <c r="L17" i="2"/>
  <c r="J17" i="2"/>
  <c r="F17" i="2"/>
  <c r="N17" i="2"/>
  <c r="L9" i="2"/>
  <c r="N10" i="2"/>
  <c r="L10" i="2"/>
  <c r="J13" i="2"/>
  <c r="F13" i="2"/>
  <c r="N9" i="2"/>
  <c r="J9" i="2"/>
  <c r="F11" i="2"/>
  <c r="N11" i="2"/>
  <c r="F20" i="2"/>
  <c r="J22" i="2"/>
  <c r="F19" i="2"/>
  <c r="L22" i="2"/>
  <c r="J20" i="2"/>
  <c r="N22" i="2"/>
  <c r="J19" i="2"/>
  <c r="L1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<sst xmlns="http://schemas.openxmlformats.org/spreadsheetml/2006/main" count="236" uniqueCount="142">
  <si>
    <t>Periodo</t>
  </si>
  <si>
    <t>ID_Persona</t>
  </si>
  <si>
    <t>Sector</t>
  </si>
  <si>
    <t>Indicador</t>
  </si>
  <si>
    <t>Puntaje</t>
  </si>
  <si>
    <t>Alfa</t>
  </si>
  <si>
    <t>Puntaje Crediticio Total</t>
  </si>
  <si>
    <t xml:space="preserve">PI </t>
  </si>
  <si>
    <t>A</t>
  </si>
  <si>
    <t>E</t>
  </si>
  <si>
    <t>M</t>
  </si>
  <si>
    <t>C</t>
  </si>
  <si>
    <t>S</t>
  </si>
  <si>
    <t>Sin información</t>
  </si>
  <si>
    <t>Porcentaje de pagos en tiempo con entidades financieras bancarias en los últimos 12 meses</t>
  </si>
  <si>
    <t>Porcentaje de pagos en tiempo con entidades financieras no bancarias en los últimos 12 meses</t>
  </si>
  <si>
    <t>Presencia de quitas, castigos y reestructuras con entidades financieras bancarias en los últimos 12 meses
1 Sí 
0 No</t>
  </si>
  <si>
    <t>Máximo número de atrasos presentado en los últimos 4 meses considerando el mes de calificación</t>
  </si>
  <si>
    <t>Promedio de días de mora de todos los créditos del acreditado a la fecha de calificación</t>
  </si>
  <si>
    <t>Puntaje crediticio total</t>
  </si>
  <si>
    <t>Cliente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</si>
  <si>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</si>
  <si>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</si>
  <si>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</si>
  <si>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</si>
  <si>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</si>
  <si>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</si>
  <si>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</si>
  <si>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</si>
  <si>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</si>
  <si>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</si>
  <si>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</si>
  <si>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</si>
  <si>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</si>
  <si>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</si>
  <si>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SP</t>
  </si>
  <si>
    <t>A0001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</si>
  <si>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</si>
  <si>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</si>
  <si>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</si>
  <si>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</si>
  <si>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</si>
  <si>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</si>
  <si>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</si>
  <si>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</si>
  <si>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</si>
  <si>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</si>
  <si>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</si>
  <si>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</si>
  <si>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</si>
  <si>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</si>
  <si>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</si>
  <si>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</si>
  <si>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No. De Cliente</t>
  </si>
  <si>
    <t>No. De Crédito</t>
  </si>
  <si>
    <t>Días de 
Atraso</t>
  </si>
  <si>
    <t>Etapa</t>
  </si>
  <si>
    <t>Tasa Efectiva</t>
  </si>
  <si>
    <t>Saldo Original del Crédito</t>
  </si>
  <si>
    <t>MESES DE 
ATRASO</t>
  </si>
  <si>
    <t>Tasa de Interés</t>
  </si>
  <si>
    <t>Pago</t>
  </si>
  <si>
    <t>Reserva</t>
  </si>
  <si>
    <t>PI</t>
  </si>
  <si>
    <t>Meses de Atraso</t>
  </si>
  <si>
    <t>Saldo Insoluto (SI)</t>
  </si>
  <si>
    <t>Número de Pagos Vencidos</t>
  </si>
  <si>
    <t>Monto Vencido</t>
  </si>
  <si>
    <t>Información de Clientes para determinación de la PI</t>
  </si>
  <si>
    <t>Determinación de la Probabilidad de Incumplimiento (PI)</t>
  </si>
  <si>
    <t>Determinación de Reservas por Riesgo de Crédito</t>
  </si>
  <si>
    <t>Plazo del Crédito
(meses)</t>
  </si>
  <si>
    <t>Plazo Remanente
(meses)</t>
  </si>
  <si>
    <t>Reserva Total
(Final)</t>
  </si>
  <si>
    <t>12, 24, 36, 48, 60</t>
  </si>
  <si>
    <t>Pagos Intermedios  a Capital en meses:</t>
  </si>
  <si>
    <t>12, 24, 36, 48</t>
  </si>
  <si>
    <t>12, 24, 36</t>
  </si>
  <si>
    <t>Modelo de Supervivencia</t>
  </si>
  <si>
    <r>
      <t xml:space="preserve">Años </t>
    </r>
    <r>
      <rPr>
        <b/>
        <i/>
        <sz val="11"/>
        <color theme="0"/>
        <rFont val="EYInterstate Light"/>
      </rPr>
      <t>n</t>
    </r>
  </si>
  <si>
    <r>
      <t xml:space="preserve">Tasa </t>
    </r>
    <r>
      <rPr>
        <b/>
        <i/>
        <sz val="11"/>
        <color theme="0"/>
        <rFont val="EYInterstate Light"/>
      </rPr>
      <t>r</t>
    </r>
  </si>
  <si>
    <r>
      <t>EI</t>
    </r>
    <r>
      <rPr>
        <b/>
        <sz val="8"/>
        <color theme="0"/>
        <rFont val="EYInterstate Light"/>
      </rPr>
      <t>t</t>
    </r>
  </si>
  <si>
    <t>Factor de Descuento</t>
  </si>
  <si>
    <r>
      <t>PS</t>
    </r>
    <r>
      <rPr>
        <b/>
        <sz val="8"/>
        <color theme="0"/>
        <rFont val="EYInterstate Light"/>
      </rPr>
      <t>t-1</t>
    </r>
  </si>
  <si>
    <t>Reserva =</t>
  </si>
  <si>
    <t>Línea de Crédito</t>
  </si>
  <si>
    <t>Tasa del Crédito</t>
  </si>
  <si>
    <t>Comisión de Apertura</t>
  </si>
  <si>
    <t>Plazo del Crédito</t>
  </si>
  <si>
    <t>meses</t>
  </si>
  <si>
    <t>Monto de Pagos a Capital Intermedios</t>
  </si>
  <si>
    <t>Tiempo</t>
  </si>
  <si>
    <t>SI Inicio</t>
  </si>
  <si>
    <t>Tasa</t>
  </si>
  <si>
    <t>Pagos a Capital
Intermedios</t>
  </si>
  <si>
    <t>Int.</t>
  </si>
  <si>
    <t>Pago a Capital</t>
  </si>
  <si>
    <t>SI Final</t>
  </si>
  <si>
    <t>b) Calcular la tasa efectiva del crédito</t>
  </si>
  <si>
    <t>Una vez calculada la tabla de amortización, en la pestaña Modelo de Supervivencia, deberá estimar la reserva a tiempo de vida ("lifetime") del crédito, en la tabla ya viene</t>
  </si>
  <si>
    <t>la PI y la SP que debe utilizar para estimar la reserva.</t>
  </si>
  <si>
    <t>Instrucciones Ejercicio 1</t>
  </si>
  <si>
    <t>a) La tabla de amortización del crédito</t>
  </si>
  <si>
    <t>Pagos intermedios 
en los meses:</t>
  </si>
  <si>
    <t>Instrucciones Ejercicio 2</t>
  </si>
  <si>
    <t>a) La etapa del crédito</t>
  </si>
  <si>
    <t xml:space="preserve">Considere, que son créditos que tienen pagos intermedios, en la columna "Pagos Intermedios  a Capital en meses" se especifica en que meses se hacen pagos a Capital </t>
  </si>
  <si>
    <t>e) PI - este valor lo traerá de la pestaña PI una vez que lo haya construido</t>
  </si>
  <si>
    <t>f) SP - obtengalo de la misma forma que el ejercicio visto en clase</t>
  </si>
  <si>
    <t>c) Saldo Insoluto (SI). Para este campo debe construir una función en Visual Basic que calcule el Saldo Insoluto</t>
  </si>
  <si>
    <t>g) Reserva. Para este campo debe construir una función en Visual Basic que estime la reserva, ya sea 12 meses o de vida completa, según la etapa del crédito</t>
  </si>
  <si>
    <t>h) Reserva Total
(Final) - Esta incluye la Reserva más la Reserva por pagos vencidos (igual como lo hicimos en clase)</t>
  </si>
  <si>
    <t>Nota Importante:</t>
  </si>
  <si>
    <t>y en la columna "Monto de Pagos Fijo Intermedios" le dice cuanto es el monto de pago a capital en esos meses.</t>
  </si>
  <si>
    <t>Monto de Pagos 
Fijo Intermedios</t>
  </si>
  <si>
    <t>b) Pago - Debe determinar el pago mensual fijo que para el cliente</t>
  </si>
  <si>
    <t>d) Monto Vencido - Determinarlo igual como lo vimos en clase</t>
  </si>
  <si>
    <t>31/03/2023</t>
  </si>
  <si>
    <r>
      <rPr>
        <b/>
        <sz val="12"/>
        <color theme="1"/>
        <rFont val="Calibri"/>
        <family val="2"/>
        <scheme val="minor"/>
      </rPr>
      <t xml:space="preserve">1) (Valor 2 Puntos) </t>
    </r>
    <r>
      <rPr>
        <sz val="12"/>
        <color theme="1"/>
        <rFont val="Calibri"/>
        <family val="2"/>
        <scheme val="minor"/>
      </rPr>
      <t>Calcular la Probabilidad de Incumplimiento con la información que viene en la pestaña "Información PI"</t>
    </r>
  </si>
  <si>
    <r>
      <rPr>
        <b/>
        <sz val="12"/>
        <color theme="1"/>
        <rFont val="Calibri"/>
        <family val="2"/>
        <scheme val="minor"/>
      </rPr>
      <t xml:space="preserve">2) (Valor 5 Puntos) </t>
    </r>
    <r>
      <rPr>
        <sz val="12"/>
        <color theme="1"/>
        <rFont val="Calibri"/>
        <family val="2"/>
        <scheme val="minor"/>
      </rPr>
      <t>Posteriormente, considere la información proporcionada en la pestaña "Reservas" y en ella calcule para cada crédito:</t>
    </r>
  </si>
  <si>
    <r>
      <rPr>
        <b/>
        <sz val="12"/>
        <color theme="1"/>
        <rFont val="Calibri"/>
        <family val="2"/>
        <scheme val="minor"/>
      </rPr>
      <t xml:space="preserve"> ( 3 Puntos ) Para el ejercicio 1</t>
    </r>
    <r>
      <rPr>
        <sz val="12"/>
        <color theme="1"/>
        <rFont val="Calibri"/>
        <family val="2"/>
        <scheme val="minor"/>
      </rPr>
      <t>, considere un crédito con las características presentadas al inicio en la Tabla de Amortización, con los datos debe de construir:</t>
    </r>
  </si>
  <si>
    <t>Flujos a VP</t>
  </si>
  <si>
    <t>Comision de 
apertura</t>
  </si>
  <si>
    <t>Pago Total</t>
  </si>
  <si>
    <t>Tasa Efectiva =</t>
  </si>
  <si>
    <t>Integrantes:</t>
  </si>
  <si>
    <t>Apellidos</t>
  </si>
  <si>
    <t>Nombre(s)</t>
  </si>
  <si>
    <t>Integrante 1</t>
  </si>
  <si>
    <t>Integrante 2</t>
  </si>
  <si>
    <t>Integrante 3</t>
  </si>
  <si>
    <t>Integrante 4</t>
  </si>
  <si>
    <t>Hernández Bautista</t>
  </si>
  <si>
    <t>Mendieta López</t>
  </si>
  <si>
    <t>David</t>
  </si>
  <si>
    <t>Mes</t>
  </si>
  <si>
    <t>VP</t>
  </si>
  <si>
    <t>Total VP</t>
  </si>
  <si>
    <t>Función para Calcular el Nuevo Saldo</t>
  </si>
  <si>
    <t>Pagos Intermedios realizados</t>
  </si>
  <si>
    <t>%</t>
  </si>
  <si>
    <t>Saldo Original - Pagos Intermedios a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</si>
</sst>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"/>
    <numFmt numFmtId="166" formatCode="0.0"/>
    <numFmt numFmtId="167" formatCode="#,##0.00_ ;\-#,##0.00\ "/>
    <numFmt numFmtId="168" formatCode="0.0%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Montserrat"/>
    </font>
    <font>
      <sz val="11"/>
      <color theme="1"/>
      <name val="Calibri"/>
      <family val="2"/>
    </font>
    <font>
      <sz val="8"/>
      <color theme="1"/>
      <name val="Montserrat"/>
    </font>
    <font>
      <sz val="8"/>
      <color theme="1"/>
      <name val="Calibri"/>
      <family val="2"/>
      <scheme val="minor"/>
    </font>
    <font>
      <sz val="9"/>
      <color theme="1"/>
      <name val="Montserrat"/>
    </font>
    <font>
      <sz val="10"/>
      <color theme="1"/>
      <name val="Calibri"/>
      <family val="2"/>
      <scheme val="minor"/>
    </font>
    <font>
      <b/>
      <sz val="8"/>
      <name val="EYInterstate Light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EYInterstate Light"/>
    </font>
    <font>
      <b/>
      <sz val="11"/>
      <color theme="0"/>
      <name val="EYInterstate Light"/>
    </font>
    <font>
      <b/>
      <i/>
      <sz val="11"/>
      <color theme="0"/>
      <name val="EYInterstate Light"/>
    </font>
    <font>
      <b/>
      <sz val="8"/>
      <color theme="0"/>
      <name val="EYInterstate Light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theme="0" tint="-0.24994659260841701"/>
      </left>
      <right style="mediumDashed">
        <color theme="0" tint="-0.24994659260841701"/>
      </right>
      <top style="mediumDashed">
        <color theme="0" tint="-0.24994659260841701"/>
      </top>
      <bottom style="mediumDashed">
        <color theme="0" tint="-0.24994659260841701"/>
      </bottom>
      <diagonal/>
    </border>
    <border>
      <left style="mediumDashed">
        <color theme="0" tint="-0.34998626667073579"/>
      </left>
      <right style="mediumDashed">
        <color theme="0" tint="-0.34998626667073579"/>
      </right>
      <top/>
      <bottom style="mediumDashed">
        <color theme="0" tint="-0.34998626667073579"/>
      </bottom>
      <diagonal/>
    </border>
    <border>
      <left style="mediumDashed">
        <color theme="0" tint="-0.34998626667073579"/>
      </left>
      <right style="mediumDashed">
        <color theme="0" tint="-0.34998626667073579"/>
      </right>
      <top style="mediumDashed">
        <color theme="0" tint="-0.34998626667073579"/>
      </top>
      <bottom style="mediumDashed">
        <color theme="0" tint="-0.34998626667073579"/>
      </bottom>
      <diagonal/>
    </border>
    <border>
      <left/>
      <right style="mediumDashed">
        <color theme="5"/>
      </right>
      <top/>
      <bottom/>
      <diagonal/>
    </border>
    <border>
      <left style="mediumDashed">
        <color theme="5"/>
      </left>
      <right style="mediumDashed">
        <color theme="5"/>
      </right>
      <top style="mediumDashed">
        <color theme="5"/>
      </top>
      <bottom/>
      <diagonal/>
    </border>
    <border>
      <left style="mediumDashed">
        <color theme="5"/>
      </left>
      <right style="mediumDashed">
        <color theme="5"/>
      </right>
      <top/>
      <bottom style="mediumDashed">
        <color theme="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8">
    <xf numFmtId="0" fontId="0" fillId="0" borderId="0" xfId="0"/>
    <xf numFmtId="0" fontId="6" fillId="0" borderId="0" xfId="0" applyFont="1" applyAlignment="1">
      <alignment vertical="center"/>
    </xf>
    <xf numFmtId="9" fontId="6" fillId="0" borderId="0" xfId="3" applyFont="1" applyFill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14" fontId="8" fillId="0" borderId="6" xfId="0" quotePrefix="1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7" xfId="6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" fontId="8" fillId="0" borderId="7" xfId="6" applyNumberFormat="1" applyFont="1" applyFill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1" fontId="8" fillId="3" borderId="7" xfId="6" applyNumberFormat="1" applyFont="1" applyFill="1" applyBorder="1" applyAlignment="1">
      <alignment horizontal="center" vertical="center"/>
    </xf>
    <xf numFmtId="165" fontId="8" fillId="0" borderId="7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8" fillId="0" borderId="3" xfId="6" applyNumberFormat="1" applyFont="1" applyFill="1" applyBorder="1" applyAlignment="1">
      <alignment horizontal="center" vertical="center"/>
    </xf>
    <xf numFmtId="1" fontId="8" fillId="0" borderId="3" xfId="6" applyNumberFormat="1" applyFont="1" applyFill="1" applyBorder="1" applyAlignment="1">
      <alignment horizontal="center" vertical="center"/>
    </xf>
    <xf numFmtId="9" fontId="9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7" borderId="7" xfId="0" applyNumberFormat="1" applyFont="1" applyFill="1" applyBorder="1" applyAlignment="1">
      <alignment horizontal="center" vertical="center"/>
    </xf>
    <xf numFmtId="44" fontId="0" fillId="7" borderId="0" xfId="2" applyFont="1" applyFill="1"/>
    <xf numFmtId="0" fontId="8" fillId="7" borderId="7" xfId="0" applyFont="1" applyFill="1" applyBorder="1" applyAlignment="1">
      <alignment horizontal="center" vertical="center"/>
    </xf>
    <xf numFmtId="10" fontId="0" fillId="7" borderId="0" xfId="3" applyNumberFormat="1" applyFont="1" applyFill="1"/>
    <xf numFmtId="0" fontId="0" fillId="7" borderId="0" xfId="0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166" fontId="8" fillId="7" borderId="7" xfId="0" applyNumberFormat="1" applyFont="1" applyFill="1" applyBorder="1" applyAlignment="1">
      <alignment horizontal="center" vertical="center"/>
    </xf>
    <xf numFmtId="8" fontId="0" fillId="8" borderId="0" xfId="0" applyNumberFormat="1" applyFill="1"/>
    <xf numFmtId="44" fontId="0" fillId="8" borderId="0" xfId="2" applyFont="1" applyFill="1"/>
    <xf numFmtId="10" fontId="0" fillId="8" borderId="0" xfId="3" applyNumberFormat="1" applyFont="1" applyFill="1" applyAlignment="1">
      <alignment horizontal="center"/>
    </xf>
    <xf numFmtId="43" fontId="0" fillId="8" borderId="0" xfId="1" applyFont="1" applyFill="1"/>
    <xf numFmtId="1" fontId="8" fillId="8" borderId="7" xfId="0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2" fillId="0" borderId="0" xfId="0" applyFont="1"/>
    <xf numFmtId="0" fontId="13" fillId="0" borderId="0" xfId="0" applyFont="1"/>
    <xf numFmtId="0" fontId="0" fillId="0" borderId="0" xfId="0" quotePrefix="1"/>
    <xf numFmtId="0" fontId="14" fillId="0" borderId="0" xfId="0" applyFont="1"/>
    <xf numFmtId="43" fontId="15" fillId="8" borderId="0" xfId="1" applyFont="1" applyFill="1"/>
    <xf numFmtId="8" fontId="0" fillId="0" borderId="0" xfId="0" applyNumberFormat="1"/>
    <xf numFmtId="0" fontId="2" fillId="9" borderId="0" xfId="0" applyFont="1" applyFill="1" applyAlignment="1">
      <alignment horizontal="center" vertical="center" wrapText="1"/>
    </xf>
    <xf numFmtId="0" fontId="16" fillId="0" borderId="0" xfId="0" applyFont="1"/>
    <xf numFmtId="0" fontId="17" fillId="10" borderId="11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/>
    </xf>
    <xf numFmtId="10" fontId="3" fillId="0" borderId="12" xfId="0" applyNumberFormat="1" applyFont="1" applyBorder="1" applyAlignment="1">
      <alignment horizontal="center"/>
    </xf>
    <xf numFmtId="3" fontId="3" fillId="0" borderId="12" xfId="0" applyNumberFormat="1" applyFont="1" applyBorder="1" applyAlignment="1">
      <alignment horizontal="center"/>
    </xf>
    <xf numFmtId="2" fontId="3" fillId="0" borderId="12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167" fontId="15" fillId="0" borderId="12" xfId="1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67" fontId="0" fillId="0" borderId="0" xfId="0" applyNumberFormat="1"/>
    <xf numFmtId="43" fontId="0" fillId="0" borderId="0" xfId="1" applyFont="1" applyBorder="1"/>
    <xf numFmtId="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/>
    <xf numFmtId="0" fontId="0" fillId="0" borderId="4" xfId="0" applyBorder="1" applyAlignment="1">
      <alignment horizontal="center"/>
    </xf>
    <xf numFmtId="43" fontId="0" fillId="0" borderId="4" xfId="1" applyFont="1" applyBorder="1"/>
    <xf numFmtId="43" fontId="0" fillId="0" borderId="4" xfId="0" applyNumberFormat="1" applyBorder="1"/>
    <xf numFmtId="0" fontId="21" fillId="0" borderId="0" xfId="0" applyFont="1"/>
    <xf numFmtId="0" fontId="21" fillId="0" borderId="0" xfId="0" applyFont="1" applyAlignment="1">
      <alignment horizontal="left" indent="2"/>
    </xf>
    <xf numFmtId="0" fontId="22" fillId="0" borderId="0" xfId="0" applyFont="1" applyAlignment="1">
      <alignment horizontal="left" indent="2"/>
    </xf>
    <xf numFmtId="0" fontId="22" fillId="0" borderId="0" xfId="0" applyFont="1" applyAlignment="1">
      <alignment horizontal="left" indent="3"/>
    </xf>
    <xf numFmtId="168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 wrapText="1"/>
    </xf>
    <xf numFmtId="2" fontId="8" fillId="7" borderId="7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2" fillId="11" borderId="4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 wrapText="1"/>
    </xf>
    <xf numFmtId="9" fontId="3" fillId="12" borderId="0" xfId="3" applyFont="1" applyFill="1" applyAlignment="1">
      <alignment horizontal="center"/>
    </xf>
    <xf numFmtId="0" fontId="3" fillId="0" borderId="0" xfId="0" applyFont="1" applyAlignment="1">
      <alignment vertical="center"/>
    </xf>
    <xf numFmtId="10" fontId="3" fillId="12" borderId="0" xfId="3" applyNumberFormat="1" applyFont="1" applyFill="1" applyAlignment="1">
      <alignment horizontal="center" vertical="center"/>
    </xf>
    <xf numFmtId="0" fontId="2" fillId="13" borderId="4" xfId="0" applyFont="1" applyFill="1" applyBorder="1" applyAlignment="1">
      <alignment horizontal="center"/>
    </xf>
    <xf numFmtId="0" fontId="0" fillId="0" borderId="4" xfId="0" applyBorder="1"/>
    <xf numFmtId="0" fontId="3" fillId="0" borderId="4" xfId="0" applyFont="1" applyBorder="1"/>
    <xf numFmtId="168" fontId="0" fillId="0" borderId="4" xfId="0" applyNumberForma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wrapText="1"/>
    </xf>
    <xf numFmtId="4" fontId="0" fillId="12" borderId="0" xfId="0" applyNumberFormat="1" applyFill="1"/>
    <xf numFmtId="4" fontId="0" fillId="0" borderId="4" xfId="0" applyNumberFormat="1" applyBorder="1"/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5" fillId="0" borderId="14" xfId="0" applyFont="1" applyBorder="1" applyAlignment="1">
      <alignment horizontal="center" vertical="center" wrapText="1"/>
    </xf>
    <xf numFmtId="167" fontId="15" fillId="0" borderId="15" xfId="1" applyNumberFormat="1" applyFont="1" applyBorder="1" applyAlignment="1">
      <alignment horizontal="center" vertical="center" wrapText="1"/>
    </xf>
    <xf numFmtId="167" fontId="15" fillId="0" borderId="16" xfId="1" applyNumberFormat="1" applyFont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2" borderId="3" xfId="4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2" fillId="9" borderId="18" xfId="0" applyFont="1" applyFill="1" applyBorder="1" applyAlignment="1">
      <alignment horizontal="center" vertical="center" wrapText="1"/>
    </xf>
    <xf numFmtId="44" fontId="1" fillId="7" borderId="19" xfId="2" applyFont="1" applyFill="1" applyBorder="1"/>
    <xf numFmtId="44" fontId="1" fillId="7" borderId="20" xfId="2" applyFont="1" applyFill="1" applyBorder="1"/>
    <xf numFmtId="4" fontId="0" fillId="8" borderId="0" xfId="2" applyNumberFormat="1" applyFont="1" applyFill="1"/>
  </cellXfs>
  <cellStyles count="7">
    <cellStyle name="Comma 2" xfId="6" xr:uid="{EC30B3D8-163A-4682-B4A3-FD28D9498D91}"/>
    <cellStyle name="Currency 2" xfId="5" xr:uid="{D52CCE6C-F8DD-4030-9443-04C99C9A02A0}"/>
    <cellStyle name="Millares" xfId="1" builtinId="3"/>
    <cellStyle name="Moneda" xfId="2" builtinId="4"/>
    <cellStyle name="Normal" xfId="0" builtinId="0"/>
    <cellStyle name="Normal 3" xfId="4" xr:uid="{9191A932-79AB-42B7-8B66-2AFE89AA25DF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828675</xdr:colOff>
      <xdr:row>0</xdr:row>
      <xdr:rowOff>0</xdr:rowOff>
    </xdr:from>
    <xdr:to>
      <xdr:col>21</xdr:col>
      <xdr:colOff>18047</xdr:colOff>
      <xdr:row>4</xdr:row>
      <xdr:rowOff>4094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3948581-6FE7-4751-8D88-B23277D67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0"/>
          <a:ext cx="3027947" cy="8708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4FC0-4B9A-4577-89C3-09F19E1EADD0}">
  <sheetPr codeName="Hoja3"/>
  <dimension ref="A2:C8"/>
  <sheetViews>
    <sheetView tabSelected="1" workbookViewId="0"/>
  </sheetViews>
  <sheetFormatPr baseColWidth="10" defaultRowHeight="15"/>
  <cols>
    <col min="2" max="2" width="18.7109375" customWidth="1"/>
    <col min="3" max="3" width="40.28515625" customWidth="1"/>
  </cols>
  <sheetData>
    <row r="2" spans="1:3">
      <c r="A2" s="43" t="s">
        <v>125</v>
      </c>
    </row>
    <row r="3" spans="1:3">
      <c r="A3" s="43"/>
    </row>
    <row r="4" spans="1:3">
      <c r="B4" s="80" t="s">
        <v>126</v>
      </c>
      <c r="C4" s="80" t="s">
        <v>127</v>
      </c>
    </row>
    <row r="5" spans="1:3">
      <c r="A5" s="81" t="s">
        <v>128</v>
      </c>
      <c r="B5" s="82" t="s">
        <v>132</v>
      </c>
      <c r="C5" s="82" t="s">
        <v>134</v>
      </c>
    </row>
    <row r="6" spans="1:3">
      <c r="A6" s="81" t="s">
        <v>129</v>
      </c>
      <c r="B6" s="82" t="s">
        <v>133</v>
      </c>
      <c r="C6" s="82" t="s">
        <v>134</v>
      </c>
    </row>
    <row r="7" spans="1:3">
      <c r="A7" s="81" t="s">
        <v>130</v>
      </c>
      <c r="B7" s="82"/>
      <c r="C7" s="82"/>
    </row>
    <row r="8" spans="1:3">
      <c r="A8" s="81" t="s">
        <v>131</v>
      </c>
      <c r="B8" s="82"/>
      <c r="C8" s="8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97A4-D287-4F04-B457-497A1E34F8D6}">
  <sheetPr codeName="Hoja1">
    <tabColor theme="9"/>
  </sheetPr>
  <dimension ref="A1:A9"/>
  <sheetViews>
    <sheetView showGridLines="0" workbookViewId="0">
      <selection activeCell="A8" sqref="A8"/>
    </sheetView>
  </sheetViews>
  <sheetFormatPr baseColWidth="10" defaultRowHeight="15"/>
  <sheetData>
    <row r="1" spans="1:1" ht="26.25">
      <c r="A1" s="40" t="s">
        <v>101</v>
      </c>
    </row>
    <row r="3" spans="1:1" ht="15.75">
      <c r="A3" s="65" t="s">
        <v>120</v>
      </c>
    </row>
    <row r="5" spans="1:1" ht="15.75">
      <c r="A5" s="66" t="s">
        <v>102</v>
      </c>
    </row>
    <row r="6" spans="1:1" ht="15.75">
      <c r="A6" s="66" t="s">
        <v>98</v>
      </c>
    </row>
    <row r="7" spans="1:1" ht="15.75">
      <c r="A7" s="65"/>
    </row>
    <row r="8" spans="1:1" ht="15.75">
      <c r="A8" s="65" t="s">
        <v>99</v>
      </c>
    </row>
    <row r="9" spans="1:1" ht="15.75">
      <c r="A9" s="65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D5A1-B5D6-4870-9DF1-9563292363A3}">
  <sheetPr codeName="Sheet6"/>
  <dimension ref="A1:P68"/>
  <sheetViews>
    <sheetView showGridLines="0" zoomScale="85" zoomScaleNormal="85" workbookViewId="0">
      <selection activeCell="H5" sqref="H5"/>
    </sheetView>
  </sheetViews>
  <sheetFormatPr baseColWidth="10" defaultColWidth="8.85546875" defaultRowHeight="15"/>
  <cols>
    <col min="1" max="1" width="18.7109375" bestFit="1" customWidth="1"/>
    <col min="2" max="2" width="15.7109375" customWidth="1"/>
    <col min="4" max="4" width="16.42578125" bestFit="1" customWidth="1"/>
    <col min="5" max="5" width="13.7109375" bestFit="1" customWidth="1"/>
    <col min="6" max="6" width="11.28515625" bestFit="1" customWidth="1"/>
    <col min="7" max="7" width="12.5703125" bestFit="1" customWidth="1"/>
    <col min="8" max="8" width="13.140625" bestFit="1" customWidth="1"/>
    <col min="9" max="9" width="12.28515625" customWidth="1"/>
    <col min="10" max="10" width="13" customWidth="1"/>
    <col min="11" max="11" width="14.5703125" customWidth="1"/>
    <col min="15" max="15" width="16.42578125" bestFit="1" customWidth="1"/>
    <col min="16" max="16" width="10.28515625" bestFit="1" customWidth="1"/>
  </cols>
  <sheetData>
    <row r="1" spans="1:16">
      <c r="A1" s="84" t="s">
        <v>85</v>
      </c>
      <c r="B1" s="57">
        <v>1200000</v>
      </c>
      <c r="O1" s="82" t="s">
        <v>135</v>
      </c>
      <c r="P1" s="82" t="s">
        <v>136</v>
      </c>
    </row>
    <row r="2" spans="1:16">
      <c r="A2" s="84" t="s">
        <v>86</v>
      </c>
      <c r="B2" s="58">
        <v>0.22</v>
      </c>
      <c r="O2" s="88">
        <v>12</v>
      </c>
      <c r="P2" s="87">
        <f>E20*(1+C20)^(-A20)</f>
        <v>40205.964608429575</v>
      </c>
    </row>
    <row r="3" spans="1:16">
      <c r="A3" s="84" t="s">
        <v>87</v>
      </c>
      <c r="B3" s="69">
        <v>2.5000000000000001E-2</v>
      </c>
      <c r="G3" s="42"/>
      <c r="O3" s="88">
        <v>24</v>
      </c>
      <c r="P3" s="87">
        <f>E32*(1+C32)^(-A32)</f>
        <v>32330.391801885831</v>
      </c>
    </row>
    <row r="4" spans="1:16">
      <c r="A4" s="84" t="s">
        <v>88</v>
      </c>
      <c r="B4" s="59">
        <v>60</v>
      </c>
      <c r="C4" s="89" t="s">
        <v>89</v>
      </c>
      <c r="O4" s="88">
        <v>36</v>
      </c>
      <c r="P4" s="87">
        <f>E44*(1+C44)^(-A44)</f>
        <v>25997.491771265668</v>
      </c>
    </row>
    <row r="5" spans="1:16" ht="30">
      <c r="A5" s="85" t="s">
        <v>103</v>
      </c>
      <c r="B5" s="70" t="s">
        <v>74</v>
      </c>
      <c r="C5" s="17"/>
      <c r="O5" s="88">
        <v>48</v>
      </c>
      <c r="P5" s="87">
        <f>E56*(1+C56)^(-A56)</f>
        <v>20905.084681268931</v>
      </c>
    </row>
    <row r="6" spans="1:16" ht="30">
      <c r="A6" s="85" t="s">
        <v>90</v>
      </c>
      <c r="B6" s="60">
        <v>50000</v>
      </c>
      <c r="C6" s="17"/>
      <c r="J6" s="78" t="s">
        <v>124</v>
      </c>
      <c r="K6" s="79">
        <v>0.23182777863355072</v>
      </c>
      <c r="O6" s="88">
        <v>60</v>
      </c>
      <c r="P6" s="87">
        <f>E68*(1+C68)^(-A68)</f>
        <v>16810.18189662644</v>
      </c>
    </row>
    <row r="7" spans="1:16">
      <c r="A7" s="84" t="s">
        <v>61</v>
      </c>
      <c r="B7" s="86">
        <f>($B$1-$P$7)/((1-(1+$B$2/12)^(-$B$4))/($B$2/12))</f>
        <v>29379.642126994146</v>
      </c>
      <c r="K7" s="61">
        <f>SUM(K9:K68)</f>
        <v>1200000.0000005895</v>
      </c>
      <c r="O7" s="82" t="s">
        <v>137</v>
      </c>
      <c r="P7" s="87">
        <f>SUM(P2:P6)</f>
        <v>136249.11475947645</v>
      </c>
    </row>
    <row r="8" spans="1:16" ht="45">
      <c r="A8" s="73" t="s">
        <v>91</v>
      </c>
      <c r="B8" s="73" t="s">
        <v>92</v>
      </c>
      <c r="C8" s="73" t="s">
        <v>93</v>
      </c>
      <c r="D8" s="73" t="s">
        <v>61</v>
      </c>
      <c r="E8" s="74" t="s">
        <v>94</v>
      </c>
      <c r="F8" s="73" t="s">
        <v>95</v>
      </c>
      <c r="G8" s="73" t="s">
        <v>96</v>
      </c>
      <c r="H8" s="73" t="s">
        <v>97</v>
      </c>
      <c r="I8" s="76" t="s">
        <v>122</v>
      </c>
      <c r="J8" s="75" t="s">
        <v>123</v>
      </c>
      <c r="K8" s="75" t="s">
        <v>121</v>
      </c>
    </row>
    <row r="9" spans="1:16">
      <c r="A9" s="62">
        <v>1</v>
      </c>
      <c r="B9" s="63">
        <f>B1</f>
        <v>1200000</v>
      </c>
      <c r="C9" s="83">
        <f>$B$2/12</f>
        <v>1.8333333333333333E-2</v>
      </c>
      <c r="D9" s="63">
        <f>$B$7</f>
        <v>29379.642126994146</v>
      </c>
      <c r="E9" s="63"/>
      <c r="F9" s="63">
        <f>B9*C9</f>
        <v>22000</v>
      </c>
      <c r="G9" s="64">
        <f>D9+E9-F9</f>
        <v>7379.6421269941457</v>
      </c>
      <c r="H9" s="64">
        <f>B9-G9</f>
        <v>1192620.3578730058</v>
      </c>
      <c r="I9" s="64">
        <f>B9*B3</f>
        <v>30000</v>
      </c>
      <c r="J9" s="64">
        <f>I9+D9+E9</f>
        <v>59379.642126994149</v>
      </c>
      <c r="K9" s="64">
        <f>J9/(1+$K$6/12)^A9</f>
        <v>58254.229737326408</v>
      </c>
    </row>
    <row r="10" spans="1:16">
      <c r="A10" s="62">
        <f>+A9+1</f>
        <v>2</v>
      </c>
      <c r="B10" s="64">
        <f>H9</f>
        <v>1192620.3578730058</v>
      </c>
      <c r="C10" s="83">
        <f t="shared" ref="C10:C68" si="0">$B$2/12</f>
        <v>1.8333333333333333E-2</v>
      </c>
      <c r="D10" s="63">
        <f>$B$7</f>
        <v>29379.642126994146</v>
      </c>
      <c r="E10" s="63"/>
      <c r="F10" s="63">
        <f t="shared" ref="F10:F68" si="1">B10*C10</f>
        <v>21864.706561005107</v>
      </c>
      <c r="G10" s="64">
        <f t="shared" ref="G10:G68" si="2">D10+E10-F10</f>
        <v>7514.9355659890389</v>
      </c>
      <c r="H10" s="64">
        <f t="shared" ref="H10:H68" si="3">B10-G10</f>
        <v>1185105.4223070168</v>
      </c>
      <c r="I10" s="64"/>
      <c r="J10" s="64">
        <f t="shared" ref="J10:J68" si="4">I10+D10+E10</f>
        <v>29379.642126994146</v>
      </c>
      <c r="K10" s="64">
        <f t="shared" ref="K10:K68" si="5">J10/(1+$K$6/12)^A10</f>
        <v>28276.540732685044</v>
      </c>
    </row>
    <row r="11" spans="1:16">
      <c r="A11" s="62">
        <f t="shared" ref="A11:A67" si="6">+A10+1</f>
        <v>3</v>
      </c>
      <c r="B11" s="64">
        <f t="shared" ref="B11:B68" si="7">H10</f>
        <v>1185105.4223070168</v>
      </c>
      <c r="C11" s="83">
        <f t="shared" si="0"/>
        <v>1.8333333333333333E-2</v>
      </c>
      <c r="D11" s="63">
        <f t="shared" ref="D11:D68" si="8">$B$7</f>
        <v>29379.642126994146</v>
      </c>
      <c r="E11" s="63"/>
      <c r="F11" s="63">
        <f t="shared" si="1"/>
        <v>21726.932742295307</v>
      </c>
      <c r="G11" s="64">
        <f t="shared" si="2"/>
        <v>7652.7093846988391</v>
      </c>
      <c r="H11" s="64">
        <f t="shared" si="3"/>
        <v>1177452.7129223179</v>
      </c>
      <c r="I11" s="64"/>
      <c r="J11" s="64">
        <f t="shared" si="4"/>
        <v>29379.642126994146</v>
      </c>
      <c r="K11" s="64">
        <f t="shared" si="5"/>
        <v>27740.620202725473</v>
      </c>
    </row>
    <row r="12" spans="1:16">
      <c r="A12" s="62">
        <f t="shared" si="6"/>
        <v>4</v>
      </c>
      <c r="B12" s="64">
        <f t="shared" si="7"/>
        <v>1177452.7129223179</v>
      </c>
      <c r="C12" s="83">
        <f t="shared" si="0"/>
        <v>1.8333333333333333E-2</v>
      </c>
      <c r="D12" s="63">
        <f t="shared" si="8"/>
        <v>29379.642126994146</v>
      </c>
      <c r="E12" s="63"/>
      <c r="F12" s="63">
        <f t="shared" si="1"/>
        <v>21586.633070242497</v>
      </c>
      <c r="G12" s="64">
        <f t="shared" si="2"/>
        <v>7793.009056751649</v>
      </c>
      <c r="H12" s="64">
        <f t="shared" si="3"/>
        <v>1169659.7038655663</v>
      </c>
      <c r="I12" s="64"/>
      <c r="J12" s="64">
        <f t="shared" si="4"/>
        <v>29379.642126994146</v>
      </c>
      <c r="K12" s="64">
        <f t="shared" si="5"/>
        <v>27214.856884609719</v>
      </c>
    </row>
    <row r="13" spans="1:16">
      <c r="A13" s="62">
        <f t="shared" si="6"/>
        <v>5</v>
      </c>
      <c r="B13" s="64">
        <f t="shared" si="7"/>
        <v>1169659.7038655663</v>
      </c>
      <c r="C13" s="83">
        <f t="shared" si="0"/>
        <v>1.8333333333333333E-2</v>
      </c>
      <c r="D13" s="63">
        <f t="shared" si="8"/>
        <v>29379.642126994146</v>
      </c>
      <c r="E13" s="63"/>
      <c r="F13" s="63">
        <f t="shared" si="1"/>
        <v>21443.761237535382</v>
      </c>
      <c r="G13" s="64">
        <f t="shared" si="2"/>
        <v>7935.8808894587637</v>
      </c>
      <c r="H13" s="64">
        <f t="shared" si="3"/>
        <v>1161723.8229761075</v>
      </c>
      <c r="I13" s="64"/>
      <c r="J13" s="64">
        <f t="shared" si="4"/>
        <v>29379.642126994146</v>
      </c>
      <c r="K13" s="64">
        <f t="shared" si="5"/>
        <v>26699.058270406713</v>
      </c>
    </row>
    <row r="14" spans="1:16">
      <c r="A14" s="62">
        <f t="shared" si="6"/>
        <v>6</v>
      </c>
      <c r="B14" s="64">
        <f t="shared" si="7"/>
        <v>1161723.8229761075</v>
      </c>
      <c r="C14" s="83">
        <f t="shared" si="0"/>
        <v>1.8333333333333333E-2</v>
      </c>
      <c r="D14" s="63">
        <f t="shared" si="8"/>
        <v>29379.642126994146</v>
      </c>
      <c r="E14" s="63"/>
      <c r="F14" s="63">
        <f t="shared" si="1"/>
        <v>21298.270087895304</v>
      </c>
      <c r="G14" s="64">
        <f t="shared" si="2"/>
        <v>8081.3720390988419</v>
      </c>
      <c r="H14" s="64">
        <f t="shared" si="3"/>
        <v>1153642.4509370087</v>
      </c>
      <c r="I14" s="64"/>
      <c r="J14" s="64">
        <f t="shared" si="4"/>
        <v>29379.642126994146</v>
      </c>
      <c r="K14" s="64">
        <f t="shared" si="5"/>
        <v>26193.035500755883</v>
      </c>
    </row>
    <row r="15" spans="1:16">
      <c r="A15" s="62">
        <f t="shared" si="6"/>
        <v>7</v>
      </c>
      <c r="B15" s="64">
        <f t="shared" si="7"/>
        <v>1153642.4509370087</v>
      </c>
      <c r="C15" s="83">
        <f t="shared" si="0"/>
        <v>1.8333333333333333E-2</v>
      </c>
      <c r="D15" s="63">
        <f t="shared" si="8"/>
        <v>29379.642126994146</v>
      </c>
      <c r="E15" s="63"/>
      <c r="F15" s="63">
        <f t="shared" si="1"/>
        <v>21150.111600511827</v>
      </c>
      <c r="G15" s="64">
        <f t="shared" si="2"/>
        <v>8229.5305264823182</v>
      </c>
      <c r="H15" s="64">
        <f t="shared" si="3"/>
        <v>1145412.9204105265</v>
      </c>
      <c r="I15" s="64"/>
      <c r="J15" s="64">
        <f t="shared" si="4"/>
        <v>29379.642126994146</v>
      </c>
      <c r="K15" s="64">
        <f t="shared" si="5"/>
        <v>25696.603295716421</v>
      </c>
    </row>
    <row r="16" spans="1:16">
      <c r="A16" s="62">
        <f t="shared" si="6"/>
        <v>8</v>
      </c>
      <c r="B16" s="64">
        <f t="shared" si="7"/>
        <v>1145412.9204105265</v>
      </c>
      <c r="C16" s="83">
        <f t="shared" si="0"/>
        <v>1.8333333333333333E-2</v>
      </c>
      <c r="D16" s="63">
        <f t="shared" si="8"/>
        <v>29379.642126994146</v>
      </c>
      <c r="E16" s="63"/>
      <c r="F16" s="63">
        <f t="shared" si="1"/>
        <v>20999.236874192986</v>
      </c>
      <c r="G16" s="64">
        <f t="shared" si="2"/>
        <v>8380.4052528011598</v>
      </c>
      <c r="H16" s="64">
        <f t="shared" si="3"/>
        <v>1137032.5151577252</v>
      </c>
      <c r="I16" s="64"/>
      <c r="J16" s="64">
        <f t="shared" si="4"/>
        <v>29379.642126994146</v>
      </c>
      <c r="K16" s="64">
        <f t="shared" si="5"/>
        <v>25209.579886927146</v>
      </c>
    </row>
    <row r="17" spans="1:11">
      <c r="A17" s="62">
        <f t="shared" si="6"/>
        <v>9</v>
      </c>
      <c r="B17" s="64">
        <f t="shared" si="7"/>
        <v>1137032.5151577252</v>
      </c>
      <c r="C17" s="83">
        <f t="shared" si="0"/>
        <v>1.8333333333333333E-2</v>
      </c>
      <c r="D17" s="63">
        <f t="shared" si="8"/>
        <v>29379.642126994146</v>
      </c>
      <c r="E17" s="63"/>
      <c r="F17" s="63">
        <f t="shared" si="1"/>
        <v>20845.596111224961</v>
      </c>
      <c r="G17" s="64">
        <f t="shared" si="2"/>
        <v>8534.046015769185</v>
      </c>
      <c r="H17" s="64">
        <f t="shared" si="3"/>
        <v>1128498.469141956</v>
      </c>
      <c r="I17" s="64"/>
      <c r="J17" s="64">
        <f t="shared" si="4"/>
        <v>29379.642126994146</v>
      </c>
      <c r="K17" s="64">
        <f t="shared" si="5"/>
        <v>24731.786951052094</v>
      </c>
    </row>
    <row r="18" spans="1:11">
      <c r="A18" s="62">
        <f t="shared" si="6"/>
        <v>10</v>
      </c>
      <c r="B18" s="64">
        <f t="shared" si="7"/>
        <v>1128498.469141956</v>
      </c>
      <c r="C18" s="83">
        <f t="shared" si="0"/>
        <v>1.8333333333333333E-2</v>
      </c>
      <c r="D18" s="63">
        <f t="shared" si="8"/>
        <v>29379.642126994146</v>
      </c>
      <c r="E18" s="63"/>
      <c r="F18" s="63">
        <f t="shared" si="1"/>
        <v>20689.138600935858</v>
      </c>
      <c r="G18" s="64">
        <f t="shared" si="2"/>
        <v>8690.5035260582881</v>
      </c>
      <c r="H18" s="64">
        <f t="shared" si="3"/>
        <v>1119807.9656158977</v>
      </c>
      <c r="I18" s="64"/>
      <c r="J18" s="64">
        <f t="shared" si="4"/>
        <v>29379.642126994146</v>
      </c>
      <c r="K18" s="64">
        <f t="shared" si="5"/>
        <v>24263.049544487567</v>
      </c>
    </row>
    <row r="19" spans="1:11">
      <c r="A19" s="62">
        <f t="shared" si="6"/>
        <v>11</v>
      </c>
      <c r="B19" s="64">
        <f t="shared" si="7"/>
        <v>1119807.9656158977</v>
      </c>
      <c r="C19" s="83">
        <f t="shared" si="0"/>
        <v>1.8333333333333333E-2</v>
      </c>
      <c r="D19" s="63">
        <f t="shared" si="8"/>
        <v>29379.642126994146</v>
      </c>
      <c r="E19" s="63"/>
      <c r="F19" s="63">
        <f t="shared" si="1"/>
        <v>20529.812702958123</v>
      </c>
      <c r="G19" s="64">
        <f t="shared" si="2"/>
        <v>8849.8294240360228</v>
      </c>
      <c r="H19" s="64">
        <f t="shared" si="3"/>
        <v>1110958.1361918617</v>
      </c>
      <c r="I19" s="64"/>
      <c r="J19" s="64">
        <f t="shared" si="4"/>
        <v>29379.642126994146</v>
      </c>
      <c r="K19" s="64">
        <f t="shared" si="5"/>
        <v>23803.196039306618</v>
      </c>
    </row>
    <row r="20" spans="1:11">
      <c r="A20" s="62">
        <f t="shared" si="6"/>
        <v>12</v>
      </c>
      <c r="B20" s="64">
        <f t="shared" si="7"/>
        <v>1110958.1361918617</v>
      </c>
      <c r="C20" s="83">
        <f t="shared" si="0"/>
        <v>1.8333333333333333E-2</v>
      </c>
      <c r="D20" s="63">
        <f t="shared" si="8"/>
        <v>29379.642126994146</v>
      </c>
      <c r="E20" s="63">
        <f>$B$6</f>
        <v>50000</v>
      </c>
      <c r="F20" s="63">
        <f t="shared" si="1"/>
        <v>20367.565830184132</v>
      </c>
      <c r="G20" s="64">
        <f t="shared" si="2"/>
        <v>59012.076296810017</v>
      </c>
      <c r="H20" s="64">
        <f t="shared" si="3"/>
        <v>1051946.0598950516</v>
      </c>
      <c r="I20" s="64"/>
      <c r="J20" s="64">
        <f t="shared" si="4"/>
        <v>79379.642126994149</v>
      </c>
      <c r="K20" s="64">
        <f t="shared" si="5"/>
        <v>63093.961585786987</v>
      </c>
    </row>
    <row r="21" spans="1:11">
      <c r="A21" s="62">
        <f t="shared" si="6"/>
        <v>13</v>
      </c>
      <c r="B21" s="64">
        <f t="shared" si="7"/>
        <v>1051946.0598950516</v>
      </c>
      <c r="C21" s="83">
        <f t="shared" si="0"/>
        <v>1.8333333333333333E-2</v>
      </c>
      <c r="D21" s="63">
        <f t="shared" si="8"/>
        <v>29379.642126994146</v>
      </c>
      <c r="E21" s="63"/>
      <c r="F21" s="63">
        <f t="shared" si="1"/>
        <v>19285.677764742613</v>
      </c>
      <c r="G21" s="64">
        <f t="shared" si="2"/>
        <v>10093.964362251532</v>
      </c>
      <c r="H21" s="64">
        <f t="shared" si="3"/>
        <v>1041852.0955328001</v>
      </c>
      <c r="I21" s="64"/>
      <c r="J21" s="64">
        <f t="shared" si="4"/>
        <v>29379.642126994146</v>
      </c>
      <c r="K21" s="64">
        <f t="shared" si="5"/>
        <v>22909.470423913684</v>
      </c>
    </row>
    <row r="22" spans="1:11">
      <c r="A22" s="62">
        <f t="shared" si="6"/>
        <v>14</v>
      </c>
      <c r="B22" s="64">
        <f t="shared" si="7"/>
        <v>1041852.0955328001</v>
      </c>
      <c r="C22" s="83">
        <f t="shared" si="0"/>
        <v>1.8333333333333333E-2</v>
      </c>
      <c r="D22" s="63">
        <f t="shared" si="8"/>
        <v>29379.642126994146</v>
      </c>
      <c r="E22" s="63"/>
      <c r="F22" s="63">
        <f t="shared" si="1"/>
        <v>19100.621751434668</v>
      </c>
      <c r="G22" s="64">
        <f t="shared" si="2"/>
        <v>10279.020375559478</v>
      </c>
      <c r="H22" s="64">
        <f t="shared" si="3"/>
        <v>1031573.0751572406</v>
      </c>
      <c r="I22" s="64"/>
      <c r="J22" s="64">
        <f t="shared" si="4"/>
        <v>29379.642126994146</v>
      </c>
      <c r="K22" s="64">
        <f t="shared" si="5"/>
        <v>22475.271076590936</v>
      </c>
    </row>
    <row r="23" spans="1:11">
      <c r="A23" s="62">
        <f t="shared" si="6"/>
        <v>15</v>
      </c>
      <c r="B23" s="64">
        <f t="shared" si="7"/>
        <v>1031573.0751572406</v>
      </c>
      <c r="C23" s="83">
        <f t="shared" si="0"/>
        <v>1.8333333333333333E-2</v>
      </c>
      <c r="D23" s="63">
        <f t="shared" si="8"/>
        <v>29379.642126994146</v>
      </c>
      <c r="E23" s="63"/>
      <c r="F23" s="63">
        <f t="shared" si="1"/>
        <v>18912.17304454941</v>
      </c>
      <c r="G23" s="64">
        <f t="shared" si="2"/>
        <v>10467.469082444735</v>
      </c>
      <c r="H23" s="64">
        <f t="shared" si="3"/>
        <v>1021105.6060747958</v>
      </c>
      <c r="I23" s="64"/>
      <c r="J23" s="64">
        <f t="shared" si="4"/>
        <v>29379.642126994146</v>
      </c>
      <c r="K23" s="64">
        <f t="shared" si="5"/>
        <v>22049.301036612575</v>
      </c>
    </row>
    <row r="24" spans="1:11">
      <c r="A24" s="62">
        <f t="shared" si="6"/>
        <v>16</v>
      </c>
      <c r="B24" s="64">
        <f t="shared" si="7"/>
        <v>1021105.6060747958</v>
      </c>
      <c r="C24" s="83">
        <f t="shared" si="0"/>
        <v>1.8333333333333333E-2</v>
      </c>
      <c r="D24" s="63">
        <f t="shared" si="8"/>
        <v>29379.642126994146</v>
      </c>
      <c r="E24" s="63"/>
      <c r="F24" s="63">
        <f t="shared" si="1"/>
        <v>18720.269444704591</v>
      </c>
      <c r="G24" s="64">
        <f t="shared" si="2"/>
        <v>10659.372682289555</v>
      </c>
      <c r="H24" s="64">
        <f t="shared" si="3"/>
        <v>1010446.2333925063</v>
      </c>
      <c r="I24" s="64"/>
      <c r="J24" s="64">
        <f t="shared" si="4"/>
        <v>29379.642126994146</v>
      </c>
      <c r="K24" s="64">
        <f t="shared" si="5"/>
        <v>21631.404335297888</v>
      </c>
    </row>
    <row r="25" spans="1:11">
      <c r="A25" s="62">
        <f t="shared" si="6"/>
        <v>17</v>
      </c>
      <c r="B25" s="64">
        <f t="shared" si="7"/>
        <v>1010446.2333925063</v>
      </c>
      <c r="C25" s="83">
        <f t="shared" si="0"/>
        <v>1.8333333333333333E-2</v>
      </c>
      <c r="D25" s="63">
        <f t="shared" si="8"/>
        <v>29379.642126994146</v>
      </c>
      <c r="E25" s="63"/>
      <c r="F25" s="63">
        <f t="shared" si="1"/>
        <v>18524.847612195947</v>
      </c>
      <c r="G25" s="64">
        <f t="shared" si="2"/>
        <v>10854.794514798199</v>
      </c>
      <c r="H25" s="64">
        <f t="shared" si="3"/>
        <v>999591.43887770805</v>
      </c>
      <c r="I25" s="64"/>
      <c r="J25" s="64">
        <f t="shared" si="4"/>
        <v>29379.642126994146</v>
      </c>
      <c r="K25" s="64">
        <f t="shared" si="5"/>
        <v>21221.427960014382</v>
      </c>
    </row>
    <row r="26" spans="1:11">
      <c r="A26" s="62">
        <f t="shared" si="6"/>
        <v>18</v>
      </c>
      <c r="B26" s="64">
        <f t="shared" si="7"/>
        <v>999591.43887770805</v>
      </c>
      <c r="C26" s="83">
        <f t="shared" si="0"/>
        <v>1.8333333333333333E-2</v>
      </c>
      <c r="D26" s="63">
        <f t="shared" si="8"/>
        <v>29379.642126994146</v>
      </c>
      <c r="E26" s="63"/>
      <c r="F26" s="63">
        <f t="shared" si="1"/>
        <v>18325.843046091315</v>
      </c>
      <c r="G26" s="64">
        <f t="shared" si="2"/>
        <v>11053.799080902831</v>
      </c>
      <c r="H26" s="64">
        <f t="shared" si="3"/>
        <v>988537.63979680522</v>
      </c>
      <c r="I26" s="64"/>
      <c r="J26" s="64">
        <f t="shared" si="4"/>
        <v>29379.642126994146</v>
      </c>
      <c r="K26" s="64">
        <f t="shared" si="5"/>
        <v>20819.221798152317</v>
      </c>
    </row>
    <row r="27" spans="1:11">
      <c r="A27" s="62">
        <f t="shared" si="6"/>
        <v>19</v>
      </c>
      <c r="B27" s="64">
        <f t="shared" si="7"/>
        <v>988537.63979680522</v>
      </c>
      <c r="C27" s="83">
        <f t="shared" si="0"/>
        <v>1.8333333333333333E-2</v>
      </c>
      <c r="D27" s="63">
        <f t="shared" si="8"/>
        <v>29379.642126994146</v>
      </c>
      <c r="E27" s="63"/>
      <c r="F27" s="63">
        <f t="shared" si="1"/>
        <v>18123.19006294143</v>
      </c>
      <c r="G27" s="64">
        <f t="shared" si="2"/>
        <v>11256.452064052715</v>
      </c>
      <c r="H27" s="64">
        <f t="shared" si="3"/>
        <v>977281.18773275253</v>
      </c>
      <c r="I27" s="64"/>
      <c r="J27" s="64">
        <f t="shared" si="4"/>
        <v>29379.642126994146</v>
      </c>
      <c r="K27" s="64">
        <f t="shared" si="5"/>
        <v>20424.638582161024</v>
      </c>
    </row>
    <row r="28" spans="1:11">
      <c r="A28" s="62">
        <f t="shared" si="6"/>
        <v>20</v>
      </c>
      <c r="B28" s="64">
        <f t="shared" si="7"/>
        <v>977281.18773275253</v>
      </c>
      <c r="C28" s="83">
        <f t="shared" si="0"/>
        <v>1.8333333333333333E-2</v>
      </c>
      <c r="D28" s="63">
        <f t="shared" si="8"/>
        <v>29379.642126994146</v>
      </c>
      <c r="E28" s="63"/>
      <c r="F28" s="63">
        <f t="shared" si="1"/>
        <v>17916.821775100463</v>
      </c>
      <c r="G28" s="64">
        <f t="shared" si="2"/>
        <v>11462.820351893683</v>
      </c>
      <c r="H28" s="64">
        <f t="shared" si="3"/>
        <v>965818.36738085886</v>
      </c>
      <c r="I28" s="64"/>
      <c r="J28" s="64">
        <f t="shared" si="4"/>
        <v>29379.642126994146</v>
      </c>
      <c r="K28" s="64">
        <f t="shared" si="5"/>
        <v>20037.533835627022</v>
      </c>
    </row>
    <row r="29" spans="1:11">
      <c r="A29" s="62">
        <f t="shared" si="6"/>
        <v>21</v>
      </c>
      <c r="B29" s="64">
        <f t="shared" si="7"/>
        <v>965818.36738085886</v>
      </c>
      <c r="C29" s="83">
        <f t="shared" si="0"/>
        <v>1.8333333333333333E-2</v>
      </c>
      <c r="D29" s="63">
        <f t="shared" si="8"/>
        <v>29379.642126994146</v>
      </c>
      <c r="E29" s="63"/>
      <c r="F29" s="63">
        <f t="shared" si="1"/>
        <v>17706.67006864908</v>
      </c>
      <c r="G29" s="64">
        <f t="shared" si="2"/>
        <v>11672.972058345065</v>
      </c>
      <c r="H29" s="64">
        <f t="shared" si="3"/>
        <v>954145.39532251377</v>
      </c>
      <c r="I29" s="64"/>
      <c r="J29" s="64">
        <f t="shared" si="4"/>
        <v>29379.642126994146</v>
      </c>
      <c r="K29" s="64">
        <f t="shared" si="5"/>
        <v>19657.765820374036</v>
      </c>
    </row>
    <row r="30" spans="1:11">
      <c r="A30" s="62">
        <f t="shared" si="6"/>
        <v>22</v>
      </c>
      <c r="B30" s="64">
        <f t="shared" si="7"/>
        <v>954145.39532251377</v>
      </c>
      <c r="C30" s="83">
        <f t="shared" si="0"/>
        <v>1.8333333333333333E-2</v>
      </c>
      <c r="D30" s="63">
        <f t="shared" si="8"/>
        <v>29379.642126994146</v>
      </c>
      <c r="E30" s="63"/>
      <c r="F30" s="63">
        <f t="shared" si="1"/>
        <v>17492.665580912751</v>
      </c>
      <c r="G30" s="64">
        <f t="shared" si="2"/>
        <v>11886.976546081394</v>
      </c>
      <c r="H30" s="64">
        <f t="shared" si="3"/>
        <v>942258.4187764324</v>
      </c>
      <c r="I30" s="64"/>
      <c r="J30" s="64">
        <f t="shared" si="4"/>
        <v>29379.642126994146</v>
      </c>
      <c r="K30" s="64">
        <f t="shared" si="5"/>
        <v>19285.195484565655</v>
      </c>
    </row>
    <row r="31" spans="1:11">
      <c r="A31" s="62">
        <f t="shared" si="6"/>
        <v>23</v>
      </c>
      <c r="B31" s="64">
        <f t="shared" si="7"/>
        <v>942258.4187764324</v>
      </c>
      <c r="C31" s="83">
        <f t="shared" si="0"/>
        <v>1.8333333333333333E-2</v>
      </c>
      <c r="D31" s="63">
        <f t="shared" si="8"/>
        <v>29379.642126994146</v>
      </c>
      <c r="E31" s="63"/>
      <c r="F31" s="63">
        <f t="shared" si="1"/>
        <v>17274.737677567926</v>
      </c>
      <c r="G31" s="64">
        <f t="shared" si="2"/>
        <v>12104.90444942622</v>
      </c>
      <c r="H31" s="64">
        <f t="shared" si="3"/>
        <v>930153.51432700618</v>
      </c>
      <c r="I31" s="64"/>
      <c r="J31" s="64">
        <f t="shared" si="4"/>
        <v>29379.642126994146</v>
      </c>
      <c r="K31" s="64">
        <f t="shared" si="5"/>
        <v>18919.686411791565</v>
      </c>
    </row>
    <row r="32" spans="1:11">
      <c r="A32" s="62">
        <f t="shared" si="6"/>
        <v>24</v>
      </c>
      <c r="B32" s="64">
        <f t="shared" si="7"/>
        <v>930153.51432700618</v>
      </c>
      <c r="C32" s="83">
        <f t="shared" si="0"/>
        <v>1.8333333333333333E-2</v>
      </c>
      <c r="D32" s="63">
        <f t="shared" si="8"/>
        <v>29379.642126994146</v>
      </c>
      <c r="E32" s="63">
        <f>$B$6</f>
        <v>50000</v>
      </c>
      <c r="F32" s="63">
        <f t="shared" si="1"/>
        <v>17052.814429328446</v>
      </c>
      <c r="G32" s="64">
        <f t="shared" si="2"/>
        <v>62326.827697665707</v>
      </c>
      <c r="H32" s="64">
        <f t="shared" si="3"/>
        <v>867826.68662934052</v>
      </c>
      <c r="I32" s="64"/>
      <c r="J32" s="64">
        <f t="shared" si="4"/>
        <v>79379.642126994149</v>
      </c>
      <c r="K32" s="64">
        <f t="shared" si="5"/>
        <v>50149.482687514173</v>
      </c>
    </row>
    <row r="33" spans="1:11">
      <c r="A33" s="62">
        <f t="shared" si="6"/>
        <v>25</v>
      </c>
      <c r="B33" s="64">
        <f t="shared" si="7"/>
        <v>867826.68662934052</v>
      </c>
      <c r="C33" s="83">
        <f t="shared" si="0"/>
        <v>1.8333333333333333E-2</v>
      </c>
      <c r="D33" s="63">
        <f t="shared" si="8"/>
        <v>29379.642126994146</v>
      </c>
      <c r="E33" s="63"/>
      <c r="F33" s="63">
        <f t="shared" si="1"/>
        <v>15910.155921537909</v>
      </c>
      <c r="G33" s="64">
        <f t="shared" si="2"/>
        <v>13469.486205456236</v>
      </c>
      <c r="H33" s="64">
        <f t="shared" si="3"/>
        <v>854357.20042388432</v>
      </c>
      <c r="I33" s="64"/>
      <c r="J33" s="64">
        <f t="shared" si="4"/>
        <v>29379.642126994146</v>
      </c>
      <c r="K33" s="64">
        <f t="shared" si="5"/>
        <v>18209.319268089621</v>
      </c>
    </row>
    <row r="34" spans="1:11">
      <c r="A34" s="62">
        <f t="shared" si="6"/>
        <v>26</v>
      </c>
      <c r="B34" s="64">
        <f t="shared" si="7"/>
        <v>854357.20042388432</v>
      </c>
      <c r="C34" s="83">
        <f t="shared" si="0"/>
        <v>1.8333333333333333E-2</v>
      </c>
      <c r="D34" s="63">
        <f t="shared" si="8"/>
        <v>29379.642126994146</v>
      </c>
      <c r="E34" s="63"/>
      <c r="F34" s="63">
        <f t="shared" si="1"/>
        <v>15663.215341104546</v>
      </c>
      <c r="G34" s="64">
        <f t="shared" si="2"/>
        <v>13716.4267858896</v>
      </c>
      <c r="H34" s="64">
        <f t="shared" si="3"/>
        <v>840640.77363799477</v>
      </c>
      <c r="I34" s="64"/>
      <c r="J34" s="64">
        <f t="shared" si="4"/>
        <v>29379.642126994146</v>
      </c>
      <c r="K34" s="64">
        <f t="shared" si="5"/>
        <v>17864.201096648041</v>
      </c>
    </row>
    <row r="35" spans="1:11">
      <c r="A35" s="62">
        <f t="shared" si="6"/>
        <v>27</v>
      </c>
      <c r="B35" s="64">
        <f t="shared" si="7"/>
        <v>840640.77363799477</v>
      </c>
      <c r="C35" s="83">
        <f t="shared" si="0"/>
        <v>1.8333333333333333E-2</v>
      </c>
      <c r="D35" s="63">
        <f t="shared" si="8"/>
        <v>29379.642126994146</v>
      </c>
      <c r="E35" s="63"/>
      <c r="F35" s="63">
        <f t="shared" si="1"/>
        <v>15411.747516696571</v>
      </c>
      <c r="G35" s="64">
        <f t="shared" si="2"/>
        <v>13967.894610297575</v>
      </c>
      <c r="H35" s="64">
        <f t="shared" si="3"/>
        <v>826672.87902769726</v>
      </c>
      <c r="I35" s="64"/>
      <c r="J35" s="64">
        <f t="shared" si="4"/>
        <v>29379.642126994146</v>
      </c>
      <c r="K35" s="64">
        <f t="shared" si="5"/>
        <v>17525.623891977684</v>
      </c>
    </row>
    <row r="36" spans="1:11">
      <c r="A36" s="62">
        <f t="shared" si="6"/>
        <v>28</v>
      </c>
      <c r="B36" s="64">
        <f t="shared" si="7"/>
        <v>826672.87902769726</v>
      </c>
      <c r="C36" s="83">
        <f t="shared" si="0"/>
        <v>1.8333333333333333E-2</v>
      </c>
      <c r="D36" s="63">
        <f t="shared" si="8"/>
        <v>29379.642126994146</v>
      </c>
      <c r="E36" s="63"/>
      <c r="F36" s="63">
        <f t="shared" si="1"/>
        <v>15155.669448841116</v>
      </c>
      <c r="G36" s="64">
        <f t="shared" si="2"/>
        <v>14223.97267815303</v>
      </c>
      <c r="H36" s="64">
        <f t="shared" si="3"/>
        <v>812448.90634954418</v>
      </c>
      <c r="I36" s="64"/>
      <c r="J36" s="64">
        <f t="shared" si="4"/>
        <v>29379.642126994146</v>
      </c>
      <c r="K36" s="64">
        <f t="shared" si="5"/>
        <v>17193.463684233317</v>
      </c>
    </row>
    <row r="37" spans="1:11">
      <c r="A37" s="62">
        <f t="shared" si="6"/>
        <v>29</v>
      </c>
      <c r="B37" s="64">
        <f t="shared" si="7"/>
        <v>812448.90634954418</v>
      </c>
      <c r="C37" s="83">
        <f t="shared" si="0"/>
        <v>1.8333333333333333E-2</v>
      </c>
      <c r="D37" s="63">
        <f t="shared" si="8"/>
        <v>29379.642126994146</v>
      </c>
      <c r="E37" s="63"/>
      <c r="F37" s="63">
        <f t="shared" si="1"/>
        <v>14894.89661640831</v>
      </c>
      <c r="G37" s="64">
        <f t="shared" si="2"/>
        <v>14484.745510585835</v>
      </c>
      <c r="H37" s="64">
        <f t="shared" si="3"/>
        <v>797964.16083895834</v>
      </c>
      <c r="I37" s="64"/>
      <c r="J37" s="64">
        <f t="shared" si="4"/>
        <v>29379.642126994146</v>
      </c>
      <c r="K37" s="64">
        <f t="shared" si="5"/>
        <v>16867.598853149364</v>
      </c>
    </row>
    <row r="38" spans="1:11">
      <c r="A38" s="62">
        <f t="shared" si="6"/>
        <v>30</v>
      </c>
      <c r="B38" s="64">
        <f t="shared" si="7"/>
        <v>797964.16083895834</v>
      </c>
      <c r="C38" s="83">
        <f t="shared" si="0"/>
        <v>1.8333333333333333E-2</v>
      </c>
      <c r="D38" s="63">
        <f t="shared" si="8"/>
        <v>29379.642126994146</v>
      </c>
      <c r="E38" s="63"/>
      <c r="F38" s="63">
        <f t="shared" si="1"/>
        <v>14629.342948714237</v>
      </c>
      <c r="G38" s="64">
        <f t="shared" si="2"/>
        <v>14750.299178279909</v>
      </c>
      <c r="H38" s="64">
        <f t="shared" si="3"/>
        <v>783213.86166067841</v>
      </c>
      <c r="I38" s="64"/>
      <c r="J38" s="64">
        <f t="shared" si="4"/>
        <v>29379.642126994146</v>
      </c>
      <c r="K38" s="64">
        <f t="shared" si="5"/>
        <v>16547.910083508734</v>
      </c>
    </row>
    <row r="39" spans="1:11">
      <c r="A39" s="62">
        <f t="shared" si="6"/>
        <v>31</v>
      </c>
      <c r="B39" s="64">
        <f t="shared" si="7"/>
        <v>783213.86166067841</v>
      </c>
      <c r="C39" s="83">
        <f t="shared" si="0"/>
        <v>1.8333333333333333E-2</v>
      </c>
      <c r="D39" s="63">
        <f t="shared" si="8"/>
        <v>29379.642126994146</v>
      </c>
      <c r="E39" s="63"/>
      <c r="F39" s="63">
        <f t="shared" si="1"/>
        <v>14358.920797112438</v>
      </c>
      <c r="G39" s="64">
        <f t="shared" si="2"/>
        <v>15020.721329881708</v>
      </c>
      <c r="H39" s="64">
        <f t="shared" si="3"/>
        <v>768193.14033079671</v>
      </c>
      <c r="I39" s="64"/>
      <c r="J39" s="64">
        <f t="shared" si="4"/>
        <v>29379.642126994146</v>
      </c>
      <c r="K39" s="64">
        <f t="shared" si="5"/>
        <v>16234.280321455617</v>
      </c>
    </row>
    <row r="40" spans="1:11">
      <c r="A40" s="62">
        <f t="shared" si="6"/>
        <v>32</v>
      </c>
      <c r="B40" s="64">
        <f t="shared" si="7"/>
        <v>768193.14033079671</v>
      </c>
      <c r="C40" s="83">
        <f t="shared" si="0"/>
        <v>1.8333333333333333E-2</v>
      </c>
      <c r="D40" s="63">
        <f t="shared" si="8"/>
        <v>29379.642126994146</v>
      </c>
      <c r="E40" s="63"/>
      <c r="F40" s="63">
        <f t="shared" si="1"/>
        <v>14083.540906064607</v>
      </c>
      <c r="G40" s="64">
        <f t="shared" si="2"/>
        <v>15296.101220929539</v>
      </c>
      <c r="H40" s="64">
        <f t="shared" si="3"/>
        <v>752897.03910986718</v>
      </c>
      <c r="I40" s="64"/>
      <c r="J40" s="64">
        <f t="shared" si="4"/>
        <v>29379.642126994146</v>
      </c>
      <c r="K40" s="64">
        <f t="shared" si="5"/>
        <v>15926.594731636278</v>
      </c>
    </row>
    <row r="41" spans="1:11">
      <c r="A41" s="62">
        <f t="shared" si="6"/>
        <v>33</v>
      </c>
      <c r="B41" s="64">
        <f t="shared" si="7"/>
        <v>752897.03910986718</v>
      </c>
      <c r="C41" s="83">
        <f t="shared" si="0"/>
        <v>1.8333333333333333E-2</v>
      </c>
      <c r="D41" s="63">
        <f t="shared" si="8"/>
        <v>29379.642126994146</v>
      </c>
      <c r="E41" s="63"/>
      <c r="F41" s="63">
        <f t="shared" si="1"/>
        <v>13803.112383680898</v>
      </c>
      <c r="G41" s="64">
        <f t="shared" si="2"/>
        <v>15576.529743313247</v>
      </c>
      <c r="H41" s="64">
        <f t="shared" si="3"/>
        <v>737320.50936655398</v>
      </c>
      <c r="I41" s="64"/>
      <c r="J41" s="64">
        <f t="shared" si="4"/>
        <v>29379.642126994146</v>
      </c>
      <c r="K41" s="64">
        <f t="shared" si="5"/>
        <v>15624.740655152173</v>
      </c>
    </row>
    <row r="42" spans="1:11">
      <c r="A42" s="62">
        <f t="shared" si="6"/>
        <v>34</v>
      </c>
      <c r="B42" s="64">
        <f t="shared" si="7"/>
        <v>737320.50936655398</v>
      </c>
      <c r="C42" s="83">
        <f t="shared" si="0"/>
        <v>1.8333333333333333E-2</v>
      </c>
      <c r="D42" s="63">
        <f t="shared" si="8"/>
        <v>29379.642126994146</v>
      </c>
      <c r="E42" s="63"/>
      <c r="F42" s="63">
        <f t="shared" si="1"/>
        <v>13517.542671720157</v>
      </c>
      <c r="G42" s="64">
        <f t="shared" si="2"/>
        <v>15862.099455273988</v>
      </c>
      <c r="H42" s="64">
        <f t="shared" si="3"/>
        <v>721458.40991128003</v>
      </c>
      <c r="I42" s="64"/>
      <c r="J42" s="64">
        <f t="shared" si="4"/>
        <v>29379.642126994146</v>
      </c>
      <c r="K42" s="64">
        <f t="shared" si="5"/>
        <v>15328.607568309948</v>
      </c>
    </row>
    <row r="43" spans="1:11">
      <c r="A43" s="62">
        <f t="shared" si="6"/>
        <v>35</v>
      </c>
      <c r="B43" s="64">
        <f t="shared" si="7"/>
        <v>721458.40991128003</v>
      </c>
      <c r="C43" s="83">
        <f t="shared" si="0"/>
        <v>1.8333333333333333E-2</v>
      </c>
      <c r="D43" s="63">
        <f t="shared" si="8"/>
        <v>29379.642126994146</v>
      </c>
      <c r="E43" s="63"/>
      <c r="F43" s="63">
        <f t="shared" si="1"/>
        <v>13226.737515040135</v>
      </c>
      <c r="G43" s="64">
        <f t="shared" si="2"/>
        <v>16152.904611954011</v>
      </c>
      <c r="H43" s="64">
        <f t="shared" si="3"/>
        <v>705305.50529932603</v>
      </c>
      <c r="I43" s="64"/>
      <c r="J43" s="64">
        <f t="shared" si="4"/>
        <v>29379.642126994146</v>
      </c>
      <c r="K43" s="64">
        <f t="shared" si="5"/>
        <v>15038.087042153251</v>
      </c>
    </row>
    <row r="44" spans="1:11">
      <c r="A44" s="62">
        <f t="shared" si="6"/>
        <v>36</v>
      </c>
      <c r="B44" s="64">
        <f t="shared" si="7"/>
        <v>705305.50529932603</v>
      </c>
      <c r="C44" s="83">
        <f t="shared" si="0"/>
        <v>1.8333333333333333E-2</v>
      </c>
      <c r="D44" s="63">
        <f t="shared" si="8"/>
        <v>29379.642126994146</v>
      </c>
      <c r="E44" s="63">
        <f>$B$6</f>
        <v>50000</v>
      </c>
      <c r="F44" s="63">
        <f t="shared" si="1"/>
        <v>12930.600930487644</v>
      </c>
      <c r="G44" s="64">
        <f t="shared" si="2"/>
        <v>66449.0411965065</v>
      </c>
      <c r="H44" s="64">
        <f t="shared" si="3"/>
        <v>638856.46410281956</v>
      </c>
      <c r="I44" s="64"/>
      <c r="J44" s="64">
        <f t="shared" si="4"/>
        <v>79379.642126994149</v>
      </c>
      <c r="K44" s="64">
        <f t="shared" si="5"/>
        <v>39860.718056287413</v>
      </c>
    </row>
    <row r="45" spans="1:11">
      <c r="A45" s="62">
        <f t="shared" si="6"/>
        <v>37</v>
      </c>
      <c r="B45" s="64">
        <f t="shared" si="7"/>
        <v>638856.46410281956</v>
      </c>
      <c r="C45" s="83">
        <f t="shared" si="0"/>
        <v>1.8333333333333333E-2</v>
      </c>
      <c r="D45" s="63">
        <f t="shared" si="8"/>
        <v>29379.642126994146</v>
      </c>
      <c r="E45" s="63"/>
      <c r="F45" s="63">
        <f t="shared" si="1"/>
        <v>11712.368508551692</v>
      </c>
      <c r="G45" s="64">
        <f t="shared" si="2"/>
        <v>17667.273618442454</v>
      </c>
      <c r="H45" s="64">
        <f t="shared" si="3"/>
        <v>621189.19048437709</v>
      </c>
      <c r="I45" s="64"/>
      <c r="J45" s="64">
        <f t="shared" si="4"/>
        <v>29379.642126994146</v>
      </c>
      <c r="K45" s="64">
        <f t="shared" si="5"/>
        <v>14473.460192301352</v>
      </c>
    </row>
    <row r="46" spans="1:11">
      <c r="A46" s="62">
        <f t="shared" si="6"/>
        <v>38</v>
      </c>
      <c r="B46" s="64">
        <f t="shared" si="7"/>
        <v>621189.19048437709</v>
      </c>
      <c r="C46" s="83">
        <f t="shared" si="0"/>
        <v>1.8333333333333333E-2</v>
      </c>
      <c r="D46" s="63">
        <f t="shared" si="8"/>
        <v>29379.642126994146</v>
      </c>
      <c r="E46" s="63"/>
      <c r="F46" s="63">
        <f t="shared" si="1"/>
        <v>11388.46849221358</v>
      </c>
      <c r="G46" s="64">
        <f t="shared" si="2"/>
        <v>17991.173634780564</v>
      </c>
      <c r="H46" s="64">
        <f t="shared" si="3"/>
        <v>603198.01684959652</v>
      </c>
      <c r="I46" s="64"/>
      <c r="J46" s="64">
        <f t="shared" si="4"/>
        <v>29379.642126994146</v>
      </c>
      <c r="K46" s="64">
        <f t="shared" si="5"/>
        <v>14199.147130815689</v>
      </c>
    </row>
    <row r="47" spans="1:11">
      <c r="A47" s="62">
        <f t="shared" si="6"/>
        <v>39</v>
      </c>
      <c r="B47" s="64">
        <f t="shared" si="7"/>
        <v>603198.01684959652</v>
      </c>
      <c r="C47" s="83">
        <f t="shared" si="0"/>
        <v>1.8333333333333333E-2</v>
      </c>
      <c r="D47" s="63">
        <f t="shared" si="8"/>
        <v>29379.642126994146</v>
      </c>
      <c r="E47" s="63"/>
      <c r="F47" s="63">
        <f t="shared" si="1"/>
        <v>11058.630308909269</v>
      </c>
      <c r="G47" s="64">
        <f t="shared" si="2"/>
        <v>18321.011818084877</v>
      </c>
      <c r="H47" s="64">
        <f t="shared" si="3"/>
        <v>584877.00503151165</v>
      </c>
      <c r="I47" s="64"/>
      <c r="J47" s="64">
        <f t="shared" si="4"/>
        <v>29379.642126994146</v>
      </c>
      <c r="K47" s="64">
        <f t="shared" si="5"/>
        <v>13930.033078737717</v>
      </c>
    </row>
    <row r="48" spans="1:11">
      <c r="A48" s="62">
        <f t="shared" si="6"/>
        <v>40</v>
      </c>
      <c r="B48" s="64">
        <f t="shared" si="7"/>
        <v>584877.00503151165</v>
      </c>
      <c r="C48" s="83">
        <f t="shared" si="0"/>
        <v>1.8333333333333333E-2</v>
      </c>
      <c r="D48" s="63">
        <f t="shared" si="8"/>
        <v>29379.642126994146</v>
      </c>
      <c r="E48" s="63"/>
      <c r="F48" s="63">
        <f t="shared" si="1"/>
        <v>10722.74509224438</v>
      </c>
      <c r="G48" s="64">
        <f t="shared" si="2"/>
        <v>18656.897034749767</v>
      </c>
      <c r="H48" s="64">
        <f t="shared" si="3"/>
        <v>566220.10799676192</v>
      </c>
      <c r="I48" s="64"/>
      <c r="J48" s="64">
        <f t="shared" si="4"/>
        <v>29379.642126994146</v>
      </c>
      <c r="K48" s="64">
        <f t="shared" si="5"/>
        <v>13666.01950011485</v>
      </c>
    </row>
    <row r="49" spans="1:11">
      <c r="A49" s="62">
        <f t="shared" si="6"/>
        <v>41</v>
      </c>
      <c r="B49" s="64">
        <f t="shared" si="7"/>
        <v>566220.10799676192</v>
      </c>
      <c r="C49" s="83">
        <f t="shared" si="0"/>
        <v>1.8333333333333333E-2</v>
      </c>
      <c r="D49" s="63">
        <f t="shared" si="8"/>
        <v>29379.642126994146</v>
      </c>
      <c r="E49" s="63"/>
      <c r="F49" s="63">
        <f t="shared" si="1"/>
        <v>10380.701979940635</v>
      </c>
      <c r="G49" s="64">
        <f t="shared" si="2"/>
        <v>18998.940147053509</v>
      </c>
      <c r="H49" s="64">
        <f t="shared" si="3"/>
        <v>547221.16784970835</v>
      </c>
      <c r="I49" s="64"/>
      <c r="J49" s="64">
        <f t="shared" si="4"/>
        <v>29379.642126994146</v>
      </c>
      <c r="K49" s="64">
        <f t="shared" si="5"/>
        <v>13407.009726529865</v>
      </c>
    </row>
    <row r="50" spans="1:11">
      <c r="A50" s="62">
        <f t="shared" si="6"/>
        <v>42</v>
      </c>
      <c r="B50" s="64">
        <f t="shared" si="7"/>
        <v>547221.16784970835</v>
      </c>
      <c r="C50" s="83">
        <f t="shared" si="0"/>
        <v>1.8333333333333333E-2</v>
      </c>
      <c r="D50" s="63">
        <f t="shared" si="8"/>
        <v>29379.642126994146</v>
      </c>
      <c r="E50" s="63"/>
      <c r="F50" s="63">
        <f t="shared" si="1"/>
        <v>10032.388077244654</v>
      </c>
      <c r="G50" s="64">
        <f t="shared" si="2"/>
        <v>19347.254049749492</v>
      </c>
      <c r="H50" s="64">
        <f t="shared" si="3"/>
        <v>527873.91379995889</v>
      </c>
      <c r="I50" s="64"/>
      <c r="J50" s="64">
        <f t="shared" si="4"/>
        <v>29379.642126994146</v>
      </c>
      <c r="K50" s="64">
        <f t="shared" si="5"/>
        <v>13152.90892170583</v>
      </c>
    </row>
    <row r="51" spans="1:11">
      <c r="A51" s="62">
        <f t="shared" si="6"/>
        <v>43</v>
      </c>
      <c r="B51" s="64">
        <f t="shared" si="7"/>
        <v>527873.91379995889</v>
      </c>
      <c r="C51" s="83">
        <f t="shared" si="0"/>
        <v>1.8333333333333333E-2</v>
      </c>
      <c r="D51" s="63">
        <f t="shared" si="8"/>
        <v>29379.642126994146</v>
      </c>
      <c r="E51" s="63"/>
      <c r="F51" s="63">
        <f t="shared" si="1"/>
        <v>9677.6884196659121</v>
      </c>
      <c r="G51" s="64">
        <f t="shared" si="2"/>
        <v>19701.953707328234</v>
      </c>
      <c r="H51" s="64">
        <f t="shared" si="3"/>
        <v>508171.96009263064</v>
      </c>
      <c r="I51" s="64"/>
      <c r="J51" s="64">
        <f t="shared" si="4"/>
        <v>29379.642126994146</v>
      </c>
      <c r="K51" s="64">
        <f t="shared" si="5"/>
        <v>12903.624046781837</v>
      </c>
    </row>
    <row r="52" spans="1:11">
      <c r="A52" s="62">
        <f t="shared" si="6"/>
        <v>44</v>
      </c>
      <c r="B52" s="64">
        <f t="shared" si="7"/>
        <v>508171.96009263064</v>
      </c>
      <c r="C52" s="83">
        <f t="shared" si="0"/>
        <v>1.8333333333333333E-2</v>
      </c>
      <c r="D52" s="63">
        <f t="shared" si="8"/>
        <v>29379.642126994146</v>
      </c>
      <c r="E52" s="63"/>
      <c r="F52" s="63">
        <f t="shared" si="1"/>
        <v>9316.4859350315619</v>
      </c>
      <c r="G52" s="64">
        <f t="shared" si="2"/>
        <v>20063.156191962582</v>
      </c>
      <c r="H52" s="64">
        <f t="shared" si="3"/>
        <v>488108.80390066805</v>
      </c>
      <c r="I52" s="64"/>
      <c r="J52" s="64">
        <f t="shared" si="4"/>
        <v>29379.642126994146</v>
      </c>
      <c r="K52" s="64">
        <f t="shared" si="5"/>
        <v>12659.063826246907</v>
      </c>
    </row>
    <row r="53" spans="1:11">
      <c r="A53" s="62">
        <f t="shared" si="6"/>
        <v>45</v>
      </c>
      <c r="B53" s="64">
        <f t="shared" si="7"/>
        <v>488108.80390066805</v>
      </c>
      <c r="C53" s="83">
        <f t="shared" si="0"/>
        <v>1.8333333333333333E-2</v>
      </c>
      <c r="D53" s="63">
        <f t="shared" si="8"/>
        <v>29379.642126994146</v>
      </c>
      <c r="E53" s="63"/>
      <c r="F53" s="63">
        <f t="shared" si="1"/>
        <v>8948.6614048455813</v>
      </c>
      <c r="G53" s="64">
        <f t="shared" si="2"/>
        <v>20430.980722148564</v>
      </c>
      <c r="H53" s="64">
        <f t="shared" si="3"/>
        <v>467677.82317851949</v>
      </c>
      <c r="I53" s="64"/>
      <c r="J53" s="64">
        <f t="shared" si="4"/>
        <v>29379.642126994146</v>
      </c>
      <c r="K53" s="64">
        <f t="shared" si="5"/>
        <v>12419.138714519493</v>
      </c>
    </row>
    <row r="54" spans="1:11">
      <c r="A54" s="62">
        <f t="shared" si="6"/>
        <v>46</v>
      </c>
      <c r="B54" s="64">
        <f t="shared" si="7"/>
        <v>467677.82317851949</v>
      </c>
      <c r="C54" s="83">
        <f t="shared" si="0"/>
        <v>1.8333333333333333E-2</v>
      </c>
      <c r="D54" s="63">
        <f t="shared" si="8"/>
        <v>29379.642126994146</v>
      </c>
      <c r="E54" s="63"/>
      <c r="F54" s="63">
        <f t="shared" si="1"/>
        <v>8574.093424939525</v>
      </c>
      <c r="G54" s="64">
        <f t="shared" si="2"/>
        <v>20805.548702054621</v>
      </c>
      <c r="H54" s="64">
        <f t="shared" si="3"/>
        <v>446872.2744764649</v>
      </c>
      <c r="I54" s="64"/>
      <c r="J54" s="64">
        <f t="shared" si="4"/>
        <v>29379.642126994146</v>
      </c>
      <c r="K54" s="64">
        <f t="shared" si="5"/>
        <v>12183.76086316042</v>
      </c>
    </row>
    <row r="55" spans="1:11">
      <c r="A55" s="62">
        <f t="shared" si="6"/>
        <v>47</v>
      </c>
      <c r="B55" s="64">
        <f t="shared" si="7"/>
        <v>446872.2744764649</v>
      </c>
      <c r="C55" s="83">
        <f t="shared" si="0"/>
        <v>1.8333333333333333E-2</v>
      </c>
      <c r="D55" s="63">
        <f t="shared" si="8"/>
        <v>29379.642126994146</v>
      </c>
      <c r="E55" s="63"/>
      <c r="F55" s="63">
        <f t="shared" si="1"/>
        <v>8192.6583654018559</v>
      </c>
      <c r="G55" s="64">
        <f t="shared" si="2"/>
        <v>21186.983761592288</v>
      </c>
      <c r="H55" s="64">
        <f t="shared" si="3"/>
        <v>425685.29071487259</v>
      </c>
      <c r="I55" s="64"/>
      <c r="J55" s="64">
        <f t="shared" si="4"/>
        <v>29379.642126994146</v>
      </c>
      <c r="K55" s="64">
        <f t="shared" si="5"/>
        <v>11952.844088707239</v>
      </c>
    </row>
    <row r="56" spans="1:11">
      <c r="A56" s="62">
        <f t="shared" si="6"/>
        <v>48</v>
      </c>
      <c r="B56" s="64">
        <f t="shared" si="7"/>
        <v>425685.29071487259</v>
      </c>
      <c r="C56" s="83">
        <f t="shared" si="0"/>
        <v>1.8333333333333333E-2</v>
      </c>
      <c r="D56" s="63">
        <f t="shared" si="8"/>
        <v>29379.642126994146</v>
      </c>
      <c r="E56" s="63">
        <f>$B$6</f>
        <v>50000</v>
      </c>
      <c r="F56" s="63">
        <f t="shared" si="1"/>
        <v>7804.2303297726639</v>
      </c>
      <c r="G56" s="64">
        <f t="shared" si="2"/>
        <v>71575.411797221488</v>
      </c>
      <c r="H56" s="64">
        <f t="shared" si="3"/>
        <v>354109.87891765113</v>
      </c>
      <c r="I56" s="64"/>
      <c r="J56" s="64">
        <f t="shared" si="4"/>
        <v>79379.642126994149</v>
      </c>
      <c r="K56" s="64">
        <f t="shared" si="5"/>
        <v>31682.816228898479</v>
      </c>
    </row>
    <row r="57" spans="1:11">
      <c r="A57" s="62">
        <f t="shared" si="6"/>
        <v>49</v>
      </c>
      <c r="B57" s="64">
        <f t="shared" si="7"/>
        <v>354109.87891765113</v>
      </c>
      <c r="C57" s="83">
        <f t="shared" si="0"/>
        <v>1.8333333333333333E-2</v>
      </c>
      <c r="D57" s="63">
        <f t="shared" si="8"/>
        <v>29379.642126994146</v>
      </c>
      <c r="E57" s="63"/>
      <c r="F57" s="63">
        <f t="shared" si="1"/>
        <v>6492.014446823604</v>
      </c>
      <c r="G57" s="64">
        <f t="shared" si="2"/>
        <v>22887.627680170543</v>
      </c>
      <c r="H57" s="64">
        <f t="shared" si="3"/>
        <v>331222.25123748061</v>
      </c>
      <c r="I57" s="64"/>
      <c r="J57" s="64">
        <f t="shared" si="4"/>
        <v>29379.642126994146</v>
      </c>
      <c r="K57" s="64">
        <f t="shared" si="5"/>
        <v>11504.057172814291</v>
      </c>
    </row>
    <row r="58" spans="1:11">
      <c r="A58" s="62">
        <f t="shared" si="6"/>
        <v>50</v>
      </c>
      <c r="B58" s="64">
        <f t="shared" si="7"/>
        <v>331222.25123748061</v>
      </c>
      <c r="C58" s="83">
        <f t="shared" si="0"/>
        <v>1.8333333333333333E-2</v>
      </c>
      <c r="D58" s="63">
        <f t="shared" si="8"/>
        <v>29379.642126994146</v>
      </c>
      <c r="E58" s="63"/>
      <c r="F58" s="63">
        <f t="shared" si="1"/>
        <v>6072.4079393538113</v>
      </c>
      <c r="G58" s="64">
        <f t="shared" si="2"/>
        <v>23307.234187640333</v>
      </c>
      <c r="H58" s="64">
        <f t="shared" si="3"/>
        <v>307915.0170498403</v>
      </c>
      <c r="I58" s="64"/>
      <c r="J58" s="64">
        <f t="shared" si="4"/>
        <v>29379.642126994146</v>
      </c>
      <c r="K58" s="64">
        <f t="shared" si="5"/>
        <v>11286.022708308054</v>
      </c>
    </row>
    <row r="59" spans="1:11">
      <c r="A59" s="62">
        <f t="shared" si="6"/>
        <v>51</v>
      </c>
      <c r="B59" s="64">
        <f t="shared" si="7"/>
        <v>307915.0170498403</v>
      </c>
      <c r="C59" s="83">
        <f t="shared" si="0"/>
        <v>1.8333333333333333E-2</v>
      </c>
      <c r="D59" s="63">
        <f t="shared" si="8"/>
        <v>29379.642126994146</v>
      </c>
      <c r="E59" s="63"/>
      <c r="F59" s="63">
        <f t="shared" si="1"/>
        <v>5645.1086459137387</v>
      </c>
      <c r="G59" s="64">
        <f t="shared" si="2"/>
        <v>23734.533481080405</v>
      </c>
      <c r="H59" s="64">
        <f t="shared" si="3"/>
        <v>284180.48356875987</v>
      </c>
      <c r="I59" s="64"/>
      <c r="J59" s="64">
        <f t="shared" si="4"/>
        <v>29379.642126994146</v>
      </c>
      <c r="K59" s="64">
        <f t="shared" si="5"/>
        <v>11072.120614407975</v>
      </c>
    </row>
    <row r="60" spans="1:11">
      <c r="A60" s="62">
        <f t="shared" si="6"/>
        <v>52</v>
      </c>
      <c r="B60" s="64">
        <f t="shared" si="7"/>
        <v>284180.48356875987</v>
      </c>
      <c r="C60" s="83">
        <f t="shared" si="0"/>
        <v>1.8333333333333333E-2</v>
      </c>
      <c r="D60" s="63">
        <f t="shared" si="8"/>
        <v>29379.642126994146</v>
      </c>
      <c r="E60" s="63"/>
      <c r="F60" s="63">
        <f t="shared" si="1"/>
        <v>5209.9755320939312</v>
      </c>
      <c r="G60" s="64">
        <f t="shared" si="2"/>
        <v>24169.666594900213</v>
      </c>
      <c r="H60" s="64">
        <f t="shared" si="3"/>
        <v>260010.81697385965</v>
      </c>
      <c r="I60" s="64"/>
      <c r="J60" s="64">
        <f t="shared" si="4"/>
        <v>29379.642126994146</v>
      </c>
      <c r="K60" s="64">
        <f t="shared" si="5"/>
        <v>10862.272570987623</v>
      </c>
    </row>
    <row r="61" spans="1:11">
      <c r="A61" s="62">
        <f t="shared" si="6"/>
        <v>53</v>
      </c>
      <c r="B61" s="64">
        <f t="shared" si="7"/>
        <v>260010.81697385965</v>
      </c>
      <c r="C61" s="83">
        <f t="shared" si="0"/>
        <v>1.8333333333333333E-2</v>
      </c>
      <c r="D61" s="63">
        <f t="shared" si="8"/>
        <v>29379.642126994146</v>
      </c>
      <c r="E61" s="63"/>
      <c r="F61" s="63">
        <f t="shared" si="1"/>
        <v>4766.8649778540939</v>
      </c>
      <c r="G61" s="64">
        <f t="shared" si="2"/>
        <v>24612.777149140053</v>
      </c>
      <c r="H61" s="64">
        <f t="shared" si="3"/>
        <v>235398.0398247196</v>
      </c>
      <c r="I61" s="64"/>
      <c r="J61" s="64">
        <f t="shared" si="4"/>
        <v>29379.642126994146</v>
      </c>
      <c r="K61" s="64">
        <f t="shared" si="5"/>
        <v>10656.401742308781</v>
      </c>
    </row>
    <row r="62" spans="1:11">
      <c r="A62" s="62">
        <f t="shared" si="6"/>
        <v>54</v>
      </c>
      <c r="B62" s="64">
        <f t="shared" si="7"/>
        <v>235398.0398247196</v>
      </c>
      <c r="C62" s="83">
        <f t="shared" si="0"/>
        <v>1.8333333333333333E-2</v>
      </c>
      <c r="D62" s="63">
        <f t="shared" si="8"/>
        <v>29379.642126994146</v>
      </c>
      <c r="E62" s="63"/>
      <c r="F62" s="63">
        <f t="shared" si="1"/>
        <v>4315.6307301198594</v>
      </c>
      <c r="G62" s="64">
        <f t="shared" si="2"/>
        <v>25064.011396874288</v>
      </c>
      <c r="H62" s="64">
        <f t="shared" si="3"/>
        <v>210334.0284278453</v>
      </c>
      <c r="I62" s="64"/>
      <c r="J62" s="64">
        <f t="shared" si="4"/>
        <v>29379.642126994146</v>
      </c>
      <c r="K62" s="64">
        <f t="shared" si="5"/>
        <v>10454.432748888068</v>
      </c>
    </row>
    <row r="63" spans="1:11">
      <c r="A63" s="62">
        <f t="shared" si="6"/>
        <v>55</v>
      </c>
      <c r="B63" s="64">
        <f t="shared" si="7"/>
        <v>210334.0284278453</v>
      </c>
      <c r="C63" s="83">
        <f t="shared" si="0"/>
        <v>1.8333333333333333E-2</v>
      </c>
      <c r="D63" s="63">
        <f t="shared" si="8"/>
        <v>29379.642126994146</v>
      </c>
      <c r="E63" s="63"/>
      <c r="F63" s="63">
        <f t="shared" si="1"/>
        <v>3856.123854510497</v>
      </c>
      <c r="G63" s="64">
        <f t="shared" si="2"/>
        <v>25523.518272483649</v>
      </c>
      <c r="H63" s="64">
        <f t="shared" si="3"/>
        <v>184810.51015536167</v>
      </c>
      <c r="I63" s="64"/>
      <c r="J63" s="64">
        <f t="shared" si="4"/>
        <v>29379.642126994146</v>
      </c>
      <c r="K63" s="64">
        <f t="shared" si="5"/>
        <v>10256.291639896805</v>
      </c>
    </row>
    <row r="64" spans="1:11">
      <c r="A64" s="62">
        <f t="shared" si="6"/>
        <v>56</v>
      </c>
      <c r="B64" s="64">
        <f t="shared" si="7"/>
        <v>184810.51015536167</v>
      </c>
      <c r="C64" s="83">
        <f t="shared" si="0"/>
        <v>1.8333333333333333E-2</v>
      </c>
      <c r="D64" s="63">
        <f t="shared" si="8"/>
        <v>29379.642126994146</v>
      </c>
      <c r="E64" s="63"/>
      <c r="F64" s="63">
        <f t="shared" si="1"/>
        <v>3388.1926861816305</v>
      </c>
      <c r="G64" s="64">
        <f t="shared" si="2"/>
        <v>25991.449440812514</v>
      </c>
      <c r="H64" s="64">
        <f t="shared" si="3"/>
        <v>158819.06071454915</v>
      </c>
      <c r="I64" s="64"/>
      <c r="J64" s="64">
        <f t="shared" si="4"/>
        <v>29379.642126994146</v>
      </c>
      <c r="K64" s="64">
        <f t="shared" si="5"/>
        <v>10061.905866083962</v>
      </c>
    </row>
    <row r="65" spans="1:11">
      <c r="A65" s="62">
        <f t="shared" si="6"/>
        <v>57</v>
      </c>
      <c r="B65" s="64">
        <f t="shared" si="7"/>
        <v>158819.06071454915</v>
      </c>
      <c r="C65" s="83">
        <f t="shared" si="0"/>
        <v>1.8333333333333333E-2</v>
      </c>
      <c r="D65" s="63">
        <f t="shared" si="8"/>
        <v>29379.642126994146</v>
      </c>
      <c r="E65" s="63"/>
      <c r="F65" s="63">
        <f t="shared" si="1"/>
        <v>2911.6827797667343</v>
      </c>
      <c r="G65" s="64">
        <f t="shared" si="2"/>
        <v>26467.95934722741</v>
      </c>
      <c r="H65" s="64">
        <f t="shared" si="3"/>
        <v>132351.10136732174</v>
      </c>
      <c r="I65" s="64"/>
      <c r="J65" s="64">
        <f t="shared" si="4"/>
        <v>29379.642126994146</v>
      </c>
      <c r="K65" s="64">
        <f t="shared" si="5"/>
        <v>9871.2042532122741</v>
      </c>
    </row>
    <row r="66" spans="1:11">
      <c r="A66" s="62">
        <f t="shared" si="6"/>
        <v>58</v>
      </c>
      <c r="B66" s="64">
        <f t="shared" si="7"/>
        <v>132351.10136732174</v>
      </c>
      <c r="C66" s="83">
        <f t="shared" si="0"/>
        <v>1.8333333333333333E-2</v>
      </c>
      <c r="D66" s="63">
        <f t="shared" si="8"/>
        <v>29379.642126994146</v>
      </c>
      <c r="E66" s="63"/>
      <c r="F66" s="63">
        <f t="shared" si="1"/>
        <v>2426.4368584008985</v>
      </c>
      <c r="G66" s="64">
        <f t="shared" si="2"/>
        <v>26953.205268593247</v>
      </c>
      <c r="H66" s="64">
        <f t="shared" si="3"/>
        <v>105397.8960987285</v>
      </c>
      <c r="I66" s="64"/>
      <c r="J66" s="64">
        <f t="shared" si="4"/>
        <v>29379.642126994146</v>
      </c>
      <c r="K66" s="64">
        <f t="shared" si="5"/>
        <v>9684.1169759978548</v>
      </c>
    </row>
    <row r="67" spans="1:11">
      <c r="A67" s="62">
        <f t="shared" si="6"/>
        <v>59</v>
      </c>
      <c r="B67" s="64">
        <f t="shared" si="7"/>
        <v>105397.8960987285</v>
      </c>
      <c r="C67" s="83">
        <f t="shared" si="0"/>
        <v>1.8333333333333333E-2</v>
      </c>
      <c r="D67" s="63">
        <f t="shared" si="8"/>
        <v>29379.642126994146</v>
      </c>
      <c r="E67" s="63"/>
      <c r="F67" s="63">
        <f t="shared" si="1"/>
        <v>1932.2947618100225</v>
      </c>
      <c r="G67" s="64">
        <f t="shared" si="2"/>
        <v>27447.347365184123</v>
      </c>
      <c r="H67" s="64">
        <f t="shared" si="3"/>
        <v>77950.548733544376</v>
      </c>
      <c r="I67" s="64"/>
      <c r="J67" s="64">
        <f t="shared" si="4"/>
        <v>29379.642126994146</v>
      </c>
      <c r="K67" s="64">
        <f t="shared" si="5"/>
        <v>9500.5755325436985</v>
      </c>
    </row>
    <row r="68" spans="1:11">
      <c r="A68" s="62">
        <f>+A67+1</f>
        <v>60</v>
      </c>
      <c r="B68" s="64">
        <f t="shared" si="7"/>
        <v>77950.548733544376</v>
      </c>
      <c r="C68" s="83">
        <f t="shared" si="0"/>
        <v>1.8333333333333333E-2</v>
      </c>
      <c r="D68" s="63">
        <f t="shared" si="8"/>
        <v>29379.642126994146</v>
      </c>
      <c r="E68" s="63">
        <f>$B$6</f>
        <v>50000</v>
      </c>
      <c r="F68" s="63">
        <f t="shared" si="1"/>
        <v>1429.0933934483135</v>
      </c>
      <c r="G68" s="64">
        <f t="shared" si="2"/>
        <v>77950.548733545831</v>
      </c>
      <c r="H68" s="87">
        <f t="shared" si="3"/>
        <v>-1.4551915228366852E-9</v>
      </c>
      <c r="I68" s="64"/>
      <c r="J68" s="64">
        <f t="shared" si="4"/>
        <v>79379.642126994149</v>
      </c>
      <c r="K68" s="64">
        <f t="shared" si="5"/>
        <v>25182.70851961782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04B0C-74F7-4AC5-929B-7A05A934BB31}">
  <sheetPr codeName="Sheet5"/>
  <dimension ref="A1:I68"/>
  <sheetViews>
    <sheetView showGridLines="0" zoomScale="146" zoomScaleNormal="146" workbookViewId="0"/>
  </sheetViews>
  <sheetFormatPr baseColWidth="10" defaultColWidth="8.85546875" defaultRowHeight="15"/>
  <cols>
    <col min="1" max="1" width="12.140625" customWidth="1"/>
    <col min="2" max="2" width="12.7109375" customWidth="1"/>
    <col min="3" max="3" width="16.7109375" customWidth="1"/>
    <col min="4" max="4" width="13.28515625" customWidth="1"/>
    <col min="7" max="7" width="11.28515625" customWidth="1"/>
    <col min="8" max="8" width="20.7109375" customWidth="1"/>
    <col min="9" max="9" width="10.85546875" bestFit="1" customWidth="1"/>
  </cols>
  <sheetData>
    <row r="1" spans="1:8">
      <c r="A1" t="s">
        <v>57</v>
      </c>
      <c r="B1" s="77">
        <f>+'1. Tabla de Amorticación'!K6</f>
        <v>0.23182777863355072</v>
      </c>
    </row>
    <row r="3" spans="1:8" ht="23.25">
      <c r="A3" s="47" t="s">
        <v>78</v>
      </c>
    </row>
    <row r="4" spans="1:8" ht="15.75" thickBot="1"/>
    <row r="5" spans="1:8" ht="38.450000000000003" customHeight="1" thickBot="1">
      <c r="A5" s="48" t="s">
        <v>79</v>
      </c>
      <c r="B5" s="48" t="s">
        <v>80</v>
      </c>
      <c r="C5" s="48" t="s">
        <v>81</v>
      </c>
      <c r="D5" s="48" t="s">
        <v>82</v>
      </c>
      <c r="E5" s="48" t="s">
        <v>63</v>
      </c>
      <c r="F5" s="48" t="s">
        <v>83</v>
      </c>
      <c r="G5" s="48" t="s">
        <v>35</v>
      </c>
      <c r="H5" s="48" t="s">
        <v>62</v>
      </c>
    </row>
    <row r="6" spans="1:8" ht="15.75" thickBot="1">
      <c r="A6" s="49">
        <v>1</v>
      </c>
      <c r="B6" s="50">
        <f>$B$1/12</f>
        <v>1.9318981552795895E-2</v>
      </c>
      <c r="C6" s="51">
        <f>'1. Tabla de Amorticación'!B9</f>
        <v>1200000</v>
      </c>
      <c r="D6" s="52">
        <f>1/(1+B6)^A6</f>
        <v>0.98104716786165802</v>
      </c>
      <c r="E6" s="53">
        <v>0.25</v>
      </c>
      <c r="F6" s="53">
        <f>1-E6</f>
        <v>0.75</v>
      </c>
      <c r="G6" s="53">
        <v>0.45</v>
      </c>
      <c r="H6" s="54">
        <f>PRODUCT(C6:G6)</f>
        <v>99331.025745992869</v>
      </c>
    </row>
    <row r="7" spans="1:8" ht="15.75" thickBot="1">
      <c r="A7" s="55">
        <f>+A6+1</f>
        <v>2</v>
      </c>
      <c r="B7" s="50">
        <f t="shared" ref="B7:B65" si="0">$B$1/12</f>
        <v>1.9318981552795895E-2</v>
      </c>
      <c r="C7" s="51">
        <f>'1. Tabla de Amorticación'!B10</f>
        <v>1192620.3578730058</v>
      </c>
      <c r="D7" s="52">
        <f t="shared" ref="D7:D65" si="1">1/(1+B7)^A7</f>
        <v>0.96245354556938023</v>
      </c>
      <c r="E7" s="53">
        <v>0.25</v>
      </c>
      <c r="F7" s="53">
        <f>F6*(1-E7)</f>
        <v>0.5625</v>
      </c>
      <c r="G7" s="53">
        <v>0.45</v>
      </c>
      <c r="H7" s="54">
        <f t="shared" ref="H7:H65" si="2">PRODUCT(C7:G7)</f>
        <v>72636.857068906946</v>
      </c>
    </row>
    <row r="8" spans="1:8" ht="15.75" thickBot="1">
      <c r="A8" s="55">
        <f t="shared" ref="A8:A65" si="3">+A7+1</f>
        <v>3</v>
      </c>
      <c r="B8" s="50">
        <f t="shared" si="0"/>
        <v>1.9318981552795895E-2</v>
      </c>
      <c r="C8" s="51">
        <f>'1. Tabla de Amorticación'!B11</f>
        <v>1185105.4223070168</v>
      </c>
      <c r="D8" s="52">
        <f t="shared" si="1"/>
        <v>0.94421232507925168</v>
      </c>
      <c r="E8" s="53">
        <v>0.25</v>
      </c>
      <c r="F8" s="53">
        <f t="shared" ref="F8:F65" si="4">F7*(1-E8)</f>
        <v>0.421875</v>
      </c>
      <c r="G8" s="53">
        <v>0.45</v>
      </c>
      <c r="H8" s="54">
        <f t="shared" si="2"/>
        <v>53108.368855724693</v>
      </c>
    </row>
    <row r="9" spans="1:8" ht="15.75" thickBot="1">
      <c r="A9" s="55">
        <f t="shared" si="3"/>
        <v>4</v>
      </c>
      <c r="B9" s="50">
        <f t="shared" si="0"/>
        <v>1.9318981552795895E-2</v>
      </c>
      <c r="C9" s="51">
        <f>'1. Tabla de Amorticación'!B12</f>
        <v>1177452.7129223179</v>
      </c>
      <c r="D9" s="52">
        <f t="shared" si="1"/>
        <v>0.92631682737907106</v>
      </c>
      <c r="E9" s="53">
        <v>0.25</v>
      </c>
      <c r="F9" s="53">
        <f t="shared" si="4"/>
        <v>0.31640625</v>
      </c>
      <c r="G9" s="53">
        <v>0.45</v>
      </c>
      <c r="H9" s="54">
        <f t="shared" si="2"/>
        <v>38824.02912975716</v>
      </c>
    </row>
    <row r="10" spans="1:8" ht="15.75" thickBot="1">
      <c r="A10" s="55">
        <f t="shared" si="3"/>
        <v>5</v>
      </c>
      <c r="B10" s="50">
        <f t="shared" si="0"/>
        <v>1.9318981552795895E-2</v>
      </c>
      <c r="C10" s="51">
        <f>'1. Tabla de Amorticación'!B13</f>
        <v>1169659.7038655663</v>
      </c>
      <c r="D10" s="52">
        <f t="shared" si="1"/>
        <v>0.90876050004283404</v>
      </c>
      <c r="E10" s="53">
        <v>0.25</v>
      </c>
      <c r="F10" s="53">
        <f t="shared" si="4"/>
        <v>0.2373046875</v>
      </c>
      <c r="G10" s="53">
        <v>0.45</v>
      </c>
      <c r="H10" s="54">
        <f t="shared" si="2"/>
        <v>28377.086855674715</v>
      </c>
    </row>
    <row r="11" spans="1:8" ht="15.75" thickBot="1">
      <c r="A11" s="55">
        <f t="shared" si="3"/>
        <v>6</v>
      </c>
      <c r="B11" s="50">
        <f t="shared" si="0"/>
        <v>1.9318981552795895E-2</v>
      </c>
      <c r="C11" s="51">
        <f>'1. Tabla de Amorticación'!B14</f>
        <v>1161723.8229761075</v>
      </c>
      <c r="D11" s="52">
        <f t="shared" si="1"/>
        <v>0.8915369148315665</v>
      </c>
      <c r="E11" s="53">
        <v>0.25</v>
      </c>
      <c r="F11" s="53">
        <f t="shared" si="4"/>
        <v>0.177978515625</v>
      </c>
      <c r="G11" s="53">
        <v>0.45</v>
      </c>
      <c r="H11" s="54">
        <f t="shared" si="2"/>
        <v>20737.783125916463</v>
      </c>
    </row>
    <row r="12" spans="1:8" ht="15.75" thickBot="1">
      <c r="A12" s="55">
        <f t="shared" si="3"/>
        <v>7</v>
      </c>
      <c r="B12" s="50">
        <f t="shared" si="0"/>
        <v>1.9318981552795895E-2</v>
      </c>
      <c r="C12" s="51">
        <f>'1. Tabla de Amorticación'!B15</f>
        <v>1153642.4509370087</v>
      </c>
      <c r="D12" s="52">
        <f t="shared" si="1"/>
        <v>0.87463976533962839</v>
      </c>
      <c r="E12" s="53">
        <v>0.25</v>
      </c>
      <c r="F12" s="53">
        <f t="shared" si="4"/>
        <v>0.13348388671875</v>
      </c>
      <c r="G12" s="53">
        <v>0.45</v>
      </c>
      <c r="H12" s="54">
        <f t="shared" si="2"/>
        <v>15152.413494973618</v>
      </c>
    </row>
    <row r="13" spans="1:8" ht="15.75" thickBot="1">
      <c r="A13" s="55">
        <f t="shared" si="3"/>
        <v>8</v>
      </c>
      <c r="B13" s="50">
        <f t="shared" si="0"/>
        <v>1.9318981552795895E-2</v>
      </c>
      <c r="C13" s="51">
        <f>'1. Tabla de Amorticación'!B16</f>
        <v>1145412.9204105265</v>
      </c>
      <c r="D13" s="52">
        <f t="shared" si="1"/>
        <v>0.85806286468562765</v>
      </c>
      <c r="E13" s="53">
        <v>0.25</v>
      </c>
      <c r="F13" s="53">
        <f t="shared" si="4"/>
        <v>0.1001129150390625</v>
      </c>
      <c r="G13" s="53">
        <v>0.45</v>
      </c>
      <c r="H13" s="54">
        <f t="shared" si="2"/>
        <v>11069.393194328857</v>
      </c>
    </row>
    <row r="14" spans="1:8" ht="15.75" thickBot="1">
      <c r="A14" s="55">
        <f t="shared" si="3"/>
        <v>9</v>
      </c>
      <c r="B14" s="50">
        <f t="shared" si="0"/>
        <v>1.9318981552795895E-2</v>
      </c>
      <c r="C14" s="51">
        <f>'1. Tabla de Amorticación'!B17</f>
        <v>1137032.5151577252</v>
      </c>
      <c r="D14" s="52">
        <f t="shared" si="1"/>
        <v>0.84180014324709618</v>
      </c>
      <c r="E14" s="53">
        <v>0.25</v>
      </c>
      <c r="F14" s="53">
        <f t="shared" si="4"/>
        <v>7.5084686279296875E-2</v>
      </c>
      <c r="G14" s="53">
        <v>0.45</v>
      </c>
      <c r="H14" s="54">
        <f t="shared" si="2"/>
        <v>8085.1070117882318</v>
      </c>
    </row>
    <row r="15" spans="1:8" ht="15.75" thickBot="1">
      <c r="A15" s="55">
        <f t="shared" si="3"/>
        <v>10</v>
      </c>
      <c r="B15" s="50">
        <f t="shared" si="0"/>
        <v>1.9318981552795895E-2</v>
      </c>
      <c r="C15" s="51">
        <f>'1. Tabla de Amorticación'!B18</f>
        <v>1128498.469141956</v>
      </c>
      <c r="D15" s="52">
        <f t="shared" si="1"/>
        <v>0.82584564643810177</v>
      </c>
      <c r="E15" s="53">
        <v>0.25</v>
      </c>
      <c r="F15" s="53">
        <f t="shared" si="4"/>
        <v>5.6313514709472656E-2</v>
      </c>
      <c r="G15" s="53">
        <v>0.45</v>
      </c>
      <c r="H15" s="54">
        <f t="shared" si="2"/>
        <v>5904.2537529870724</v>
      </c>
    </row>
    <row r="16" spans="1:8" ht="15.75" thickBot="1">
      <c r="A16" s="55">
        <f t="shared" si="3"/>
        <v>11</v>
      </c>
      <c r="B16" s="50">
        <f t="shared" si="0"/>
        <v>1.9318981552795895E-2</v>
      </c>
      <c r="C16" s="51">
        <f>'1. Tabla de Amorticación'!B19</f>
        <v>1119807.9656158977</v>
      </c>
      <c r="D16" s="52">
        <f t="shared" si="1"/>
        <v>0.81019353252897985</v>
      </c>
      <c r="E16" s="53">
        <v>0.25</v>
      </c>
      <c r="F16" s="53">
        <f t="shared" si="4"/>
        <v>4.2235136032104492E-2</v>
      </c>
      <c r="G16" s="53">
        <v>0.45</v>
      </c>
      <c r="H16" s="54">
        <f t="shared" si="2"/>
        <v>4310.8086365347035</v>
      </c>
    </row>
    <row r="17" spans="1:9" ht="15.75" thickBot="1">
      <c r="A17" s="55">
        <f t="shared" si="3"/>
        <v>12</v>
      </c>
      <c r="B17" s="50">
        <f t="shared" si="0"/>
        <v>1.9318981552795895E-2</v>
      </c>
      <c r="C17" s="51">
        <f>'1. Tabla de Amorticación'!B20</f>
        <v>1110958.1361918617</v>
      </c>
      <c r="D17" s="52">
        <f t="shared" si="1"/>
        <v>0.79483807050738775</v>
      </c>
      <c r="E17" s="53">
        <v>0.25</v>
      </c>
      <c r="F17" s="53">
        <f t="shared" si="4"/>
        <v>3.1676352024078369E-2</v>
      </c>
      <c r="G17" s="53">
        <v>0.45</v>
      </c>
      <c r="H17" s="54">
        <f t="shared" si="2"/>
        <v>3146.7630175494101</v>
      </c>
      <c r="I17" s="56"/>
    </row>
    <row r="18" spans="1:9" ht="15.75" thickBot="1">
      <c r="A18" s="55">
        <f t="shared" si="3"/>
        <v>13</v>
      </c>
      <c r="B18" s="50">
        <f t="shared" si="0"/>
        <v>1.9318981552795895E-2</v>
      </c>
      <c r="C18" s="51">
        <f>'1. Tabla de Amorticación'!B21</f>
        <v>1051946.0598950516</v>
      </c>
      <c r="D18" s="52">
        <f t="shared" si="1"/>
        <v>0.77977363797989763</v>
      </c>
      <c r="E18" s="53">
        <v>0.25</v>
      </c>
      <c r="F18" s="53">
        <f t="shared" si="4"/>
        <v>2.3757264018058777E-2</v>
      </c>
      <c r="G18" s="53">
        <v>0.45</v>
      </c>
      <c r="H18" s="54">
        <f t="shared" si="2"/>
        <v>2192.3554412019939</v>
      </c>
    </row>
    <row r="19" spans="1:9" ht="15.75" thickBot="1">
      <c r="A19" s="55">
        <f t="shared" si="3"/>
        <v>14</v>
      </c>
      <c r="B19" s="50">
        <f t="shared" si="0"/>
        <v>1.9318981552795895E-2</v>
      </c>
      <c r="C19" s="51">
        <f>'1. Tabla de Amorticación'!B22</f>
        <v>1041852.0955328001</v>
      </c>
      <c r="D19" s="52">
        <f t="shared" si="1"/>
        <v>0.76499471911336048</v>
      </c>
      <c r="E19" s="53">
        <v>0.25</v>
      </c>
      <c r="F19" s="53">
        <f t="shared" si="4"/>
        <v>1.7817948013544083E-2</v>
      </c>
      <c r="G19" s="53">
        <v>0.45</v>
      </c>
      <c r="H19" s="54">
        <f t="shared" si="2"/>
        <v>1597.6245174216588</v>
      </c>
    </row>
    <row r="20" spans="1:9" ht="15.75" thickBot="1">
      <c r="A20" s="55">
        <f t="shared" si="3"/>
        <v>15</v>
      </c>
      <c r="B20" s="50">
        <f t="shared" si="0"/>
        <v>1.9318981552795895E-2</v>
      </c>
      <c r="C20" s="51">
        <f>'1. Tabla de Amorticación'!B23</f>
        <v>1031573.0751572406</v>
      </c>
      <c r="D20" s="52">
        <f t="shared" si="1"/>
        <v>0.75049590261528676</v>
      </c>
      <c r="E20" s="53">
        <v>0.25</v>
      </c>
      <c r="F20" s="53">
        <f t="shared" si="4"/>
        <v>1.3363461010158062E-2</v>
      </c>
      <c r="G20" s="53">
        <v>0.45</v>
      </c>
      <c r="H20" s="54">
        <f t="shared" si="2"/>
        <v>1163.9110652996378</v>
      </c>
    </row>
    <row r="21" spans="1:9" ht="15.75" thickBot="1">
      <c r="A21" s="55">
        <f t="shared" si="3"/>
        <v>16</v>
      </c>
      <c r="B21" s="50">
        <f t="shared" si="0"/>
        <v>1.9318981552795895E-2</v>
      </c>
      <c r="C21" s="51">
        <f>'1. Tabla de Amorticación'!B24</f>
        <v>1021105.6060747958</v>
      </c>
      <c r="D21" s="52">
        <f t="shared" si="1"/>
        <v>0.73627187975250585</v>
      </c>
      <c r="E21" s="53">
        <v>0.25</v>
      </c>
      <c r="F21" s="53">
        <f t="shared" si="4"/>
        <v>1.0022595757618546E-2</v>
      </c>
      <c r="G21" s="53">
        <v>0.45</v>
      </c>
      <c r="H21" s="54">
        <f t="shared" si="2"/>
        <v>847.69888353854083</v>
      </c>
    </row>
    <row r="22" spans="1:9" ht="15.75" thickBot="1">
      <c r="A22" s="55">
        <f t="shared" si="3"/>
        <v>17</v>
      </c>
      <c r="B22" s="50">
        <f t="shared" si="0"/>
        <v>1.9318981552795895E-2</v>
      </c>
      <c r="C22" s="51">
        <f>'1. Tabla de Amorticación'!B25</f>
        <v>1010446.2333925063</v>
      </c>
      <c r="D22" s="52">
        <f t="shared" si="1"/>
        <v>0.72231744240737505</v>
      </c>
      <c r="E22" s="53">
        <v>0.25</v>
      </c>
      <c r="F22" s="53">
        <f t="shared" si="4"/>
        <v>7.5169468182139099E-3</v>
      </c>
      <c r="G22" s="53">
        <v>0.45</v>
      </c>
      <c r="H22" s="54">
        <f t="shared" si="2"/>
        <v>617.21335091306366</v>
      </c>
    </row>
    <row r="23" spans="1:9" ht="15.75" thickBot="1">
      <c r="A23" s="55">
        <f t="shared" si="3"/>
        <v>18</v>
      </c>
      <c r="B23" s="50">
        <f t="shared" si="0"/>
        <v>1.9318981552795895E-2</v>
      </c>
      <c r="C23" s="51">
        <f>'1. Tabla de Amorticación'!B26</f>
        <v>999591.43887770805</v>
      </c>
      <c r="D23" s="52">
        <f t="shared" si="1"/>
        <v>0.70862748117083163</v>
      </c>
      <c r="E23" s="53">
        <v>0.25</v>
      </c>
      <c r="F23" s="53">
        <f t="shared" si="4"/>
        <v>5.6377101136604324E-3</v>
      </c>
      <c r="G23" s="53">
        <v>0.45</v>
      </c>
      <c r="H23" s="54">
        <f t="shared" si="2"/>
        <v>449.25796135047096</v>
      </c>
    </row>
    <row r="24" spans="1:9" ht="15.75" thickBot="1">
      <c r="A24" s="55">
        <f t="shared" si="3"/>
        <v>19</v>
      </c>
      <c r="B24" s="50">
        <f t="shared" si="0"/>
        <v>1.9318981552795895E-2</v>
      </c>
      <c r="C24" s="51">
        <f>'1. Tabla de Amorticación'!B27</f>
        <v>988537.63979680522</v>
      </c>
      <c r="D24" s="52">
        <f t="shared" si="1"/>
        <v>0.69519698347158476</v>
      </c>
      <c r="E24" s="53">
        <v>0.25</v>
      </c>
      <c r="F24" s="53">
        <f t="shared" si="4"/>
        <v>4.2282825852453243E-3</v>
      </c>
      <c r="G24" s="53">
        <v>0.45</v>
      </c>
      <c r="H24" s="54">
        <f t="shared" si="2"/>
        <v>326.90202900466716</v>
      </c>
    </row>
    <row r="25" spans="1:9" ht="15.75" thickBot="1">
      <c r="A25" s="55">
        <f t="shared" si="3"/>
        <v>20</v>
      </c>
      <c r="B25" s="50">
        <f t="shared" si="0"/>
        <v>1.9318981552795895E-2</v>
      </c>
      <c r="C25" s="51">
        <f>'1. Tabla de Amorticación'!B28</f>
        <v>977281.18773275253</v>
      </c>
      <c r="D25" s="52">
        <f t="shared" si="1"/>
        <v>0.68202103174076611</v>
      </c>
      <c r="E25" s="53">
        <v>0.25</v>
      </c>
      <c r="F25" s="53">
        <f t="shared" si="4"/>
        <v>3.1712119389339932E-3</v>
      </c>
      <c r="G25" s="53">
        <v>0.45</v>
      </c>
      <c r="H25" s="54">
        <f t="shared" si="2"/>
        <v>237.79082656692597</v>
      </c>
    </row>
    <row r="26" spans="1:9" ht="15.75" thickBot="1">
      <c r="A26" s="55">
        <f t="shared" si="3"/>
        <v>21</v>
      </c>
      <c r="B26" s="50">
        <f t="shared" si="0"/>
        <v>1.9318981552795895E-2</v>
      </c>
      <c r="C26" s="51">
        <f>'1. Tabla de Amorticación'!B29</f>
        <v>965818.36738085886</v>
      </c>
      <c r="D26" s="52">
        <f t="shared" si="1"/>
        <v>0.66909480161136459</v>
      </c>
      <c r="E26" s="53">
        <v>0.25</v>
      </c>
      <c r="F26" s="53">
        <f t="shared" si="4"/>
        <v>2.3784089542004949E-3</v>
      </c>
      <c r="G26" s="53">
        <v>0.45</v>
      </c>
      <c r="H26" s="54">
        <f t="shared" si="2"/>
        <v>172.91081974048501</v>
      </c>
    </row>
    <row r="27" spans="1:9" ht="15.75" thickBot="1">
      <c r="A27" s="55">
        <f t="shared" si="3"/>
        <v>22</v>
      </c>
      <c r="B27" s="50">
        <f t="shared" si="0"/>
        <v>1.9318981552795895E-2</v>
      </c>
      <c r="C27" s="51">
        <f>'1. Tabla de Amorticación'!B30</f>
        <v>954145.39532251377</v>
      </c>
      <c r="D27" s="52">
        <f t="shared" si="1"/>
        <v>0.6564135601517872</v>
      </c>
      <c r="E27" s="53">
        <v>0.25</v>
      </c>
      <c r="F27" s="53">
        <f t="shared" si="4"/>
        <v>1.7838067156503712E-3</v>
      </c>
      <c r="G27" s="53">
        <v>0.45</v>
      </c>
      <c r="H27" s="54">
        <f t="shared" si="2"/>
        <v>125.68759607474234</v>
      </c>
    </row>
    <row r="28" spans="1:9" ht="15.75" thickBot="1">
      <c r="A28" s="55">
        <f t="shared" si="3"/>
        <v>23</v>
      </c>
      <c r="B28" s="50">
        <f t="shared" si="0"/>
        <v>1.9318981552795895E-2</v>
      </c>
      <c r="C28" s="51">
        <f>'1. Tabla de Amorticación'!B31</f>
        <v>942258.4187764324</v>
      </c>
      <c r="D28" s="52">
        <f t="shared" si="1"/>
        <v>0.64397266413289878</v>
      </c>
      <c r="E28" s="53">
        <v>0.25</v>
      </c>
      <c r="F28" s="53">
        <f t="shared" si="4"/>
        <v>1.3378550367377784E-3</v>
      </c>
      <c r="G28" s="53">
        <v>0.45</v>
      </c>
      <c r="H28" s="54">
        <f t="shared" si="2"/>
        <v>91.326967952665512</v>
      </c>
    </row>
    <row r="29" spans="1:9" ht="15.75" thickBot="1">
      <c r="A29" s="55">
        <f t="shared" si="3"/>
        <v>24</v>
      </c>
      <c r="B29" s="50">
        <f t="shared" si="0"/>
        <v>1.9318981552795895E-2</v>
      </c>
      <c r="C29" s="51">
        <f>'1. Tabla de Amorticación'!B32</f>
        <v>930153.51432700618</v>
      </c>
      <c r="D29" s="52">
        <f t="shared" si="1"/>
        <v>0.63176755832790721</v>
      </c>
      <c r="E29" s="53">
        <v>0.25</v>
      </c>
      <c r="F29" s="53">
        <f t="shared" si="4"/>
        <v>1.0033912775533338E-3</v>
      </c>
      <c r="G29" s="53">
        <v>0.45</v>
      </c>
      <c r="H29" s="54">
        <f t="shared" si="2"/>
        <v>66.333787618559228</v>
      </c>
    </row>
    <row r="30" spans="1:9" ht="15.75" thickBot="1">
      <c r="A30" s="55">
        <f t="shared" si="3"/>
        <v>25</v>
      </c>
      <c r="B30" s="50">
        <f t="shared" si="0"/>
        <v>1.9318981552795895E-2</v>
      </c>
      <c r="C30" s="51">
        <f>'1. Tabla de Amorticación'!B33</f>
        <v>867826.68662934052</v>
      </c>
      <c r="D30" s="52">
        <f t="shared" si="1"/>
        <v>0.61979377384446821</v>
      </c>
      <c r="E30" s="53">
        <v>0.25</v>
      </c>
      <c r="F30" s="53">
        <f t="shared" si="4"/>
        <v>7.5254345816500035E-4</v>
      </c>
      <c r="G30" s="53">
        <v>0.45</v>
      </c>
      <c r="H30" s="54">
        <f t="shared" si="2"/>
        <v>45.536989702864751</v>
      </c>
    </row>
    <row r="31" spans="1:9" ht="15.75" thickBot="1">
      <c r="A31" s="55">
        <f t="shared" si="3"/>
        <v>26</v>
      </c>
      <c r="B31" s="50">
        <f t="shared" si="0"/>
        <v>1.9318981552795895E-2</v>
      </c>
      <c r="C31" s="51">
        <f>'1. Tabla de Amorticación'!B34</f>
        <v>854357.20042388432</v>
      </c>
      <c r="D31" s="52">
        <f t="shared" si="1"/>
        <v>0.60804692648840453</v>
      </c>
      <c r="E31" s="53">
        <v>0.25</v>
      </c>
      <c r="F31" s="53">
        <f t="shared" si="4"/>
        <v>5.6440759362375026E-4</v>
      </c>
      <c r="G31" s="53">
        <v>0.45</v>
      </c>
      <c r="H31" s="54">
        <f t="shared" si="2"/>
        <v>32.985414979234534</v>
      </c>
    </row>
    <row r="32" spans="1:9" ht="15.75" thickBot="1">
      <c r="A32" s="55">
        <f t="shared" si="3"/>
        <v>27</v>
      </c>
      <c r="B32" s="50">
        <f t="shared" si="0"/>
        <v>1.9318981552795895E-2</v>
      </c>
      <c r="C32" s="51">
        <f>'1. Tabla de Amorticación'!B35</f>
        <v>840640.77363799477</v>
      </c>
      <c r="D32" s="52">
        <f t="shared" si="1"/>
        <v>0.59652271515843502</v>
      </c>
      <c r="E32" s="53">
        <v>0.25</v>
      </c>
      <c r="F32" s="53">
        <f t="shared" si="4"/>
        <v>4.2330569521781269E-4</v>
      </c>
      <c r="G32" s="53">
        <v>0.45</v>
      </c>
      <c r="H32" s="54">
        <f t="shared" si="2"/>
        <v>23.880536023205362</v>
      </c>
    </row>
    <row r="33" spans="1:8" ht="15.75" thickBot="1">
      <c r="A33" s="55">
        <f t="shared" si="3"/>
        <v>28</v>
      </c>
      <c r="B33" s="50">
        <f t="shared" si="0"/>
        <v>1.9318981552795895E-2</v>
      </c>
      <c r="C33" s="51">
        <f>'1. Tabla de Amorticación'!B36</f>
        <v>826672.87902769726</v>
      </c>
      <c r="D33" s="52">
        <f t="shared" si="1"/>
        <v>0.58521692027132921</v>
      </c>
      <c r="E33" s="53">
        <v>0.25</v>
      </c>
      <c r="F33" s="53">
        <f t="shared" si="4"/>
        <v>3.1747927141335952E-4</v>
      </c>
      <c r="G33" s="53">
        <v>0.45</v>
      </c>
      <c r="H33" s="54">
        <f t="shared" si="2"/>
        <v>17.278994306237443</v>
      </c>
    </row>
    <row r="34" spans="1:8" ht="15.75" thickBot="1">
      <c r="A34" s="55">
        <f t="shared" si="3"/>
        <v>29</v>
      </c>
      <c r="B34" s="50">
        <f t="shared" si="0"/>
        <v>1.9318981552795895E-2</v>
      </c>
      <c r="C34" s="51">
        <f>'1. Tabla de Amorticación'!B37</f>
        <v>812448.90634954418</v>
      </c>
      <c r="D34" s="52">
        <f t="shared" si="1"/>
        <v>0.57412540221690922</v>
      </c>
      <c r="E34" s="53">
        <v>0.25</v>
      </c>
      <c r="F34" s="53">
        <f t="shared" si="4"/>
        <v>2.3810945356001964E-4</v>
      </c>
      <c r="G34" s="53">
        <v>0.45</v>
      </c>
      <c r="H34" s="54">
        <f t="shared" si="2"/>
        <v>12.494876902702195</v>
      </c>
    </row>
    <row r="35" spans="1:8" ht="15.75" thickBot="1">
      <c r="A35" s="55">
        <f t="shared" si="3"/>
        <v>30</v>
      </c>
      <c r="B35" s="50">
        <f t="shared" si="0"/>
        <v>1.9318981552795895E-2</v>
      </c>
      <c r="C35" s="51">
        <f>'1. Tabla de Amorticación'!B38</f>
        <v>797964.16083895834</v>
      </c>
      <c r="D35" s="52">
        <f t="shared" si="1"/>
        <v>0.56324409984233403</v>
      </c>
      <c r="E35" s="53">
        <v>0.25</v>
      </c>
      <c r="F35" s="53">
        <f t="shared" si="4"/>
        <v>1.7858209017001473E-4</v>
      </c>
      <c r="G35" s="53">
        <v>0.45</v>
      </c>
      <c r="H35" s="54">
        <f t="shared" si="2"/>
        <v>9.0296405314078694</v>
      </c>
    </row>
    <row r="36" spans="1:8" ht="15.75" thickBot="1">
      <c r="A36" s="55">
        <f t="shared" si="3"/>
        <v>31</v>
      </c>
      <c r="B36" s="50">
        <f t="shared" si="0"/>
        <v>1.9318981552795895E-2</v>
      </c>
      <c r="C36" s="51">
        <f>'1. Tabla de Amorticación'!B39</f>
        <v>783213.86166067841</v>
      </c>
      <c r="D36" s="52">
        <f t="shared" si="1"/>
        <v>0.55256902896511073</v>
      </c>
      <c r="E36" s="53">
        <v>0.25</v>
      </c>
      <c r="F36" s="53">
        <f t="shared" si="4"/>
        <v>1.3393656762751105E-4</v>
      </c>
      <c r="G36" s="53">
        <v>0.45</v>
      </c>
      <c r="H36" s="54">
        <f t="shared" si="2"/>
        <v>6.5210659468565666</v>
      </c>
    </row>
    <row r="37" spans="1:8" ht="15.75" thickBot="1">
      <c r="A37" s="55">
        <f t="shared" si="3"/>
        <v>32</v>
      </c>
      <c r="B37" s="50">
        <f t="shared" si="0"/>
        <v>1.9318981552795895E-2</v>
      </c>
      <c r="C37" s="51">
        <f>'1. Tabla de Amorticación'!B40</f>
        <v>768193.14033079671</v>
      </c>
      <c r="D37" s="52">
        <f t="shared" si="1"/>
        <v>0.54209628091428841</v>
      </c>
      <c r="E37" s="53">
        <v>0.25</v>
      </c>
      <c r="F37" s="53">
        <f t="shared" si="4"/>
        <v>1.0045242572063329E-4</v>
      </c>
      <c r="G37" s="53">
        <v>0.45</v>
      </c>
      <c r="H37" s="54">
        <f t="shared" si="2"/>
        <v>4.7060853956783282</v>
      </c>
    </row>
    <row r="38" spans="1:8" ht="15.75" thickBot="1">
      <c r="A38" s="55">
        <f t="shared" si="3"/>
        <v>33</v>
      </c>
      <c r="B38" s="50">
        <f t="shared" si="0"/>
        <v>1.9318981552795895E-2</v>
      </c>
      <c r="C38" s="51">
        <f>'1. Tabla de Amorticación'!B41</f>
        <v>752897.03910986718</v>
      </c>
      <c r="D38" s="52">
        <f t="shared" si="1"/>
        <v>0.53182202109930032</v>
      </c>
      <c r="E38" s="53">
        <v>0.25</v>
      </c>
      <c r="F38" s="53">
        <f t="shared" si="4"/>
        <v>7.5339319290474964E-5</v>
      </c>
      <c r="G38" s="53">
        <v>0.45</v>
      </c>
      <c r="H38" s="54">
        <f t="shared" si="2"/>
        <v>3.3937208743416938</v>
      </c>
    </row>
    <row r="39" spans="1:8" ht="15.75" thickBot="1">
      <c r="A39" s="55">
        <f t="shared" si="3"/>
        <v>34</v>
      </c>
      <c r="B39" s="50">
        <f t="shared" si="0"/>
        <v>1.9318981552795895E-2</v>
      </c>
      <c r="C39" s="51">
        <f>'1. Tabla de Amorticación'!B42</f>
        <v>737320.50936655398</v>
      </c>
      <c r="D39" s="52">
        <f t="shared" si="1"/>
        <v>0.52174248760593156</v>
      </c>
      <c r="E39" s="53">
        <v>0.25</v>
      </c>
      <c r="F39" s="53">
        <f t="shared" si="4"/>
        <v>5.650448946785622E-5</v>
      </c>
      <c r="G39" s="53">
        <v>0.45</v>
      </c>
      <c r="H39" s="54">
        <f t="shared" si="2"/>
        <v>2.4453892388820599</v>
      </c>
    </row>
    <row r="40" spans="1:8" ht="15.75" thickBot="1">
      <c r="A40" s="55">
        <f t="shared" si="3"/>
        <v>35</v>
      </c>
      <c r="B40" s="50">
        <f t="shared" si="0"/>
        <v>1.9318981552795895E-2</v>
      </c>
      <c r="C40" s="51">
        <f>'1. Tabla de Amorticación'!B43</f>
        <v>721458.40991128003</v>
      </c>
      <c r="D40" s="52">
        <f t="shared" si="1"/>
        <v>0.51185398981889541</v>
      </c>
      <c r="E40" s="53">
        <v>0.25</v>
      </c>
      <c r="F40" s="53">
        <f t="shared" si="4"/>
        <v>4.2378367100892165E-5</v>
      </c>
      <c r="G40" s="53">
        <v>0.45</v>
      </c>
      <c r="H40" s="54">
        <f t="shared" si="2"/>
        <v>1.7605733934350807</v>
      </c>
    </row>
    <row r="41" spans="1:8" ht="15.75" thickBot="1">
      <c r="A41" s="55">
        <f t="shared" si="3"/>
        <v>36</v>
      </c>
      <c r="B41" s="50">
        <f t="shared" si="0"/>
        <v>1.9318981552795895E-2</v>
      </c>
      <c r="C41" s="51">
        <f>'1. Tabla de Amorticación'!B44</f>
        <v>705305.50529932603</v>
      </c>
      <c r="D41" s="52">
        <f t="shared" si="1"/>
        <v>0.5021529070705173</v>
      </c>
      <c r="E41" s="53">
        <v>0.25</v>
      </c>
      <c r="F41" s="53">
        <f t="shared" si="4"/>
        <v>3.1783775325669122E-5</v>
      </c>
      <c r="G41" s="53">
        <v>0.45</v>
      </c>
      <c r="H41" s="54">
        <f t="shared" si="2"/>
        <v>1.266401043109753</v>
      </c>
    </row>
    <row r="42" spans="1:8" ht="15.75" thickBot="1">
      <c r="A42" s="55">
        <f t="shared" si="3"/>
        <v>37</v>
      </c>
      <c r="B42" s="50">
        <f t="shared" si="0"/>
        <v>1.9318981552795895E-2</v>
      </c>
      <c r="C42" s="51">
        <f>'1. Tabla de Amorticación'!B45</f>
        <v>638856.46410281956</v>
      </c>
      <c r="D42" s="52">
        <f t="shared" si="1"/>
        <v>0.49263568731502932</v>
      </c>
      <c r="E42" s="53">
        <v>0.25</v>
      </c>
      <c r="F42" s="53">
        <f t="shared" si="4"/>
        <v>2.3837831494251841E-5</v>
      </c>
      <c r="G42" s="53">
        <v>0.45</v>
      </c>
      <c r="H42" s="54">
        <f t="shared" si="2"/>
        <v>0.84401163003421087</v>
      </c>
    </row>
    <row r="43" spans="1:8" ht="15.75" thickBot="1">
      <c r="A43" s="55">
        <f t="shared" si="3"/>
        <v>38</v>
      </c>
      <c r="B43" s="50">
        <f t="shared" si="0"/>
        <v>1.9318981552795895E-2</v>
      </c>
      <c r="C43" s="51">
        <f>'1. Tabla de Amorticación'!B46</f>
        <v>621189.19048437709</v>
      </c>
      <c r="D43" s="52">
        <f t="shared" si="1"/>
        <v>0.48329884582799088</v>
      </c>
      <c r="E43" s="53">
        <v>0.25</v>
      </c>
      <c r="F43" s="53">
        <f t="shared" si="4"/>
        <v>1.7878373620688882E-5</v>
      </c>
      <c r="G43" s="53">
        <v>0.45</v>
      </c>
      <c r="H43" s="54">
        <f t="shared" si="2"/>
        <v>0.60383763726199069</v>
      </c>
    </row>
    <row r="44" spans="1:8" ht="15.75" thickBot="1">
      <c r="A44" s="55">
        <f t="shared" si="3"/>
        <v>39</v>
      </c>
      <c r="B44" s="50">
        <f t="shared" si="0"/>
        <v>1.9318981552795895E-2</v>
      </c>
      <c r="C44" s="51">
        <f>'1. Tabla de Amorticación'!B47</f>
        <v>603198.01684959652</v>
      </c>
      <c r="D44" s="52">
        <f t="shared" si="1"/>
        <v>0.47413896393035848</v>
      </c>
      <c r="E44" s="53">
        <v>0.25</v>
      </c>
      <c r="F44" s="53">
        <f t="shared" si="4"/>
        <v>1.3408780215516662E-5</v>
      </c>
      <c r="G44" s="53">
        <v>0.45</v>
      </c>
      <c r="H44" s="54">
        <f t="shared" si="2"/>
        <v>0.43142702487240736</v>
      </c>
    </row>
    <row r="45" spans="1:8" ht="15.75" thickBot="1">
      <c r="A45" s="55">
        <f t="shared" si="3"/>
        <v>40</v>
      </c>
      <c r="B45" s="50">
        <f t="shared" si="0"/>
        <v>1.9318981552795895E-2</v>
      </c>
      <c r="C45" s="51">
        <f>'1. Tabla de Amorticación'!B48</f>
        <v>584877.00503151165</v>
      </c>
      <c r="D45" s="52">
        <f t="shared" si="1"/>
        <v>0.46515268773673901</v>
      </c>
      <c r="E45" s="53">
        <v>0.25</v>
      </c>
      <c r="F45" s="53">
        <f t="shared" si="4"/>
        <v>1.0056585161637497E-5</v>
      </c>
      <c r="G45" s="53">
        <v>0.45</v>
      </c>
      <c r="H45" s="54">
        <f t="shared" si="2"/>
        <v>0.30779611925088635</v>
      </c>
    </row>
    <row r="46" spans="1:8" ht="15.75" thickBot="1">
      <c r="A46" s="55">
        <f t="shared" si="3"/>
        <v>41</v>
      </c>
      <c r="B46" s="50">
        <f t="shared" si="0"/>
        <v>1.9318981552795895E-2</v>
      </c>
      <c r="C46" s="51">
        <f>'1. Tabla de Amorticación'!B49</f>
        <v>566220.10799676192</v>
      </c>
      <c r="D46" s="52">
        <f t="shared" si="1"/>
        <v>0.45633672692736599</v>
      </c>
      <c r="E46" s="53">
        <v>0.25</v>
      </c>
      <c r="F46" s="53">
        <f t="shared" si="4"/>
        <v>7.542438871228123E-6</v>
      </c>
      <c r="G46" s="53">
        <v>0.45</v>
      </c>
      <c r="H46" s="54">
        <f t="shared" si="2"/>
        <v>0.21924769330744431</v>
      </c>
    </row>
    <row r="47" spans="1:8" ht="15.75" thickBot="1">
      <c r="A47" s="55">
        <f t="shared" si="3"/>
        <v>42</v>
      </c>
      <c r="B47" s="50">
        <f t="shared" si="0"/>
        <v>1.9318981552795895E-2</v>
      </c>
      <c r="C47" s="51">
        <f>'1. Tabla de Amorticación'!B50</f>
        <v>547221.16784970835</v>
      </c>
      <c r="D47" s="52">
        <f t="shared" si="1"/>
        <v>0.44768785354335133</v>
      </c>
      <c r="E47" s="53">
        <v>0.25</v>
      </c>
      <c r="F47" s="53">
        <f t="shared" si="4"/>
        <v>5.6568291534210922E-6</v>
      </c>
      <c r="G47" s="53">
        <v>0.45</v>
      </c>
      <c r="H47" s="54">
        <f t="shared" si="2"/>
        <v>0.15590634310550269</v>
      </c>
    </row>
    <row r="48" spans="1:8" ht="15.75" thickBot="1">
      <c r="A48" s="55">
        <f t="shared" si="3"/>
        <v>43</v>
      </c>
      <c r="B48" s="50">
        <f t="shared" si="0"/>
        <v>1.9318981552795895E-2</v>
      </c>
      <c r="C48" s="51">
        <f>'1. Tabla de Amorticación'!B51</f>
        <v>527873.91379995889</v>
      </c>
      <c r="D48" s="52">
        <f t="shared" si="1"/>
        <v>0.43920290080476948</v>
      </c>
      <c r="E48" s="53">
        <v>0.25</v>
      </c>
      <c r="F48" s="53">
        <f t="shared" si="4"/>
        <v>4.2426218650658194E-6</v>
      </c>
      <c r="G48" s="53">
        <v>0.45</v>
      </c>
      <c r="H48" s="54">
        <f t="shared" si="2"/>
        <v>0.11065785534543679</v>
      </c>
    </row>
    <row r="49" spans="1:8" ht="15.75" thickBot="1">
      <c r="A49" s="55">
        <f t="shared" si="3"/>
        <v>44</v>
      </c>
      <c r="B49" s="50">
        <f t="shared" si="0"/>
        <v>1.9318981552795895E-2</v>
      </c>
      <c r="C49" s="51">
        <f>'1. Tabla de Amorticación'!B52</f>
        <v>508171.96009263064</v>
      </c>
      <c r="D49" s="52">
        <f t="shared" si="1"/>
        <v>0.43087876195114383</v>
      </c>
      <c r="E49" s="53">
        <v>0.25</v>
      </c>
      <c r="F49" s="53">
        <f t="shared" si="4"/>
        <v>3.1819663987993645E-6</v>
      </c>
      <c r="G49" s="53">
        <v>0.45</v>
      </c>
      <c r="H49" s="54">
        <f t="shared" si="2"/>
        <v>7.8381559085323682E-2</v>
      </c>
    </row>
    <row r="50" spans="1:8" ht="15.75" thickBot="1">
      <c r="A50" s="55">
        <f t="shared" si="3"/>
        <v>45</v>
      </c>
      <c r="B50" s="50">
        <f t="shared" si="0"/>
        <v>1.9318981552795895E-2</v>
      </c>
      <c r="C50" s="51">
        <f>'1. Tabla de Amorticación'!B53</f>
        <v>488108.80390066805</v>
      </c>
      <c r="D50" s="52">
        <f t="shared" si="1"/>
        <v>0.42271238910390718</v>
      </c>
      <c r="E50" s="53">
        <v>0.25</v>
      </c>
      <c r="F50" s="53">
        <f t="shared" si="4"/>
        <v>2.3864747990995235E-6</v>
      </c>
      <c r="G50" s="53">
        <v>0.45</v>
      </c>
      <c r="H50" s="54">
        <f t="shared" si="2"/>
        <v>5.5395054328554294E-2</v>
      </c>
    </row>
    <row r="51" spans="1:8" ht="15.75" thickBot="1">
      <c r="A51" s="55">
        <f t="shared" si="3"/>
        <v>46</v>
      </c>
      <c r="B51" s="50">
        <f t="shared" si="0"/>
        <v>1.9318981552795895E-2</v>
      </c>
      <c r="C51" s="51">
        <f>'1. Tabla de Amorticación'!B54</f>
        <v>467677.82317851949</v>
      </c>
      <c r="D51" s="52">
        <f t="shared" si="1"/>
        <v>0.41470079215042333</v>
      </c>
      <c r="E51" s="53">
        <v>0.25</v>
      </c>
      <c r="F51" s="53">
        <f t="shared" si="4"/>
        <v>1.7898560993246426E-6</v>
      </c>
      <c r="G51" s="53">
        <v>0.45</v>
      </c>
      <c r="H51" s="54">
        <f t="shared" si="2"/>
        <v>3.9052809234878937E-2</v>
      </c>
    </row>
    <row r="52" spans="1:8" ht="15.75" thickBot="1">
      <c r="A52" s="55">
        <f t="shared" si="3"/>
        <v>47</v>
      </c>
      <c r="B52" s="50">
        <f t="shared" si="0"/>
        <v>1.9318981552795895E-2</v>
      </c>
      <c r="C52" s="51">
        <f>'1. Tabla de Amorticación'!B55</f>
        <v>446872.2744764649</v>
      </c>
      <c r="D52" s="52">
        <f t="shared" si="1"/>
        <v>0.40684103764915885</v>
      </c>
      <c r="E52" s="53">
        <v>0.25</v>
      </c>
      <c r="F52" s="53">
        <f t="shared" si="4"/>
        <v>1.3423920744934819E-6</v>
      </c>
      <c r="G52" s="53">
        <v>0.45</v>
      </c>
      <c r="H52" s="54">
        <f t="shared" si="2"/>
        <v>2.7456176974384437E-2</v>
      </c>
    </row>
    <row r="53" spans="1:8" ht="15.75" thickBot="1">
      <c r="A53" s="55">
        <f t="shared" si="3"/>
        <v>48</v>
      </c>
      <c r="B53" s="50">
        <f t="shared" si="0"/>
        <v>1.9318981552795895E-2</v>
      </c>
      <c r="C53" s="51">
        <f>'1. Tabla de Amorticación'!B56</f>
        <v>425685.29071487259</v>
      </c>
      <c r="D53" s="52">
        <f t="shared" si="1"/>
        <v>0.39913024775560552</v>
      </c>
      <c r="E53" s="53">
        <v>0.25</v>
      </c>
      <c r="F53" s="53">
        <f t="shared" si="4"/>
        <v>1.0067940558701114E-6</v>
      </c>
      <c r="G53" s="53">
        <v>0.45</v>
      </c>
      <c r="H53" s="54">
        <f t="shared" si="2"/>
        <v>1.9244048846846853E-2</v>
      </c>
    </row>
    <row r="54" spans="1:8" ht="15.75" thickBot="1">
      <c r="A54" s="55">
        <f t="shared" si="3"/>
        <v>49</v>
      </c>
      <c r="B54" s="50">
        <f t="shared" si="0"/>
        <v>1.9318981552795895E-2</v>
      </c>
      <c r="C54" s="51">
        <f>'1. Tabla de Amorticación'!B57</f>
        <v>354109.87891765113</v>
      </c>
      <c r="D54" s="52">
        <f t="shared" si="1"/>
        <v>0.39156559916855871</v>
      </c>
      <c r="E54" s="53">
        <v>0.25</v>
      </c>
      <c r="F54" s="53">
        <f t="shared" si="4"/>
        <v>7.5509554190258349E-7</v>
      </c>
      <c r="G54" s="53">
        <v>0.45</v>
      </c>
      <c r="H54" s="54">
        <f t="shared" si="2"/>
        <v>1.1778690261841664E-2</v>
      </c>
    </row>
    <row r="55" spans="1:8" ht="15.75" thickBot="1">
      <c r="A55" s="55">
        <f t="shared" si="3"/>
        <v>50</v>
      </c>
      <c r="B55" s="50">
        <f t="shared" si="0"/>
        <v>1.9318981552795895E-2</v>
      </c>
      <c r="C55" s="51">
        <f>'1. Tabla de Amorticación'!B58</f>
        <v>331222.25123748061</v>
      </c>
      <c r="D55" s="52">
        <f t="shared" si="1"/>
        <v>0.38414432209636773</v>
      </c>
      <c r="E55" s="53">
        <v>0.25</v>
      </c>
      <c r="F55" s="53">
        <f t="shared" si="4"/>
        <v>5.6632165642693762E-7</v>
      </c>
      <c r="G55" s="53">
        <v>0.45</v>
      </c>
      <c r="H55" s="54">
        <f t="shared" si="2"/>
        <v>8.1064295934118423E-3</v>
      </c>
    </row>
    <row r="56" spans="1:8" ht="15.75" thickBot="1">
      <c r="A56" s="55">
        <f t="shared" si="3"/>
        <v>51</v>
      </c>
      <c r="B56" s="50">
        <f t="shared" si="0"/>
        <v>1.9318981552795895E-2</v>
      </c>
      <c r="C56" s="51">
        <f>'1. Tabla de Amorticación'!B59</f>
        <v>307915.0170498403</v>
      </c>
      <c r="D56" s="52">
        <f t="shared" si="1"/>
        <v>0.37686369924277807</v>
      </c>
      <c r="E56" s="53">
        <v>0.25</v>
      </c>
      <c r="F56" s="53">
        <f t="shared" si="4"/>
        <v>4.2474124232020321E-7</v>
      </c>
      <c r="G56" s="53">
        <v>0.45</v>
      </c>
      <c r="H56" s="54">
        <f t="shared" si="2"/>
        <v>5.544879750434344E-3</v>
      </c>
    </row>
    <row r="57" spans="1:8" ht="15.75" thickBot="1">
      <c r="A57" s="55">
        <f t="shared" si="3"/>
        <v>52</v>
      </c>
      <c r="B57" s="50">
        <f t="shared" si="0"/>
        <v>1.9318981552795895E-2</v>
      </c>
      <c r="C57" s="51">
        <f>'1. Tabla de Amorticación'!B60</f>
        <v>284180.48356875987</v>
      </c>
      <c r="D57" s="52">
        <f t="shared" si="1"/>
        <v>0.36972106481199507</v>
      </c>
      <c r="E57" s="53">
        <v>0.25</v>
      </c>
      <c r="F57" s="53">
        <f t="shared" si="4"/>
        <v>3.185559317401524E-7</v>
      </c>
      <c r="G57" s="53">
        <v>0.45</v>
      </c>
      <c r="H57" s="54">
        <f t="shared" si="2"/>
        <v>3.7653613714206586E-3</v>
      </c>
    </row>
    <row r="58" spans="1:8" ht="15.75" thickBot="1">
      <c r="A58" s="55">
        <f t="shared" si="3"/>
        <v>53</v>
      </c>
      <c r="B58" s="50">
        <f t="shared" si="0"/>
        <v>1.9318981552795895E-2</v>
      </c>
      <c r="C58" s="51">
        <f>'1. Tabla de Amorticación'!B61</f>
        <v>260010.81697385965</v>
      </c>
      <c r="D58" s="52">
        <f t="shared" si="1"/>
        <v>0.36271380353260435</v>
      </c>
      <c r="E58" s="53">
        <v>0.25</v>
      </c>
      <c r="F58" s="53">
        <f t="shared" si="4"/>
        <v>2.3891694880511431E-7</v>
      </c>
      <c r="G58" s="53">
        <v>0.45</v>
      </c>
      <c r="H58" s="54">
        <f t="shared" si="2"/>
        <v>2.5348658559899884E-3</v>
      </c>
    </row>
    <row r="59" spans="1:8" ht="15.75" thickBot="1">
      <c r="A59" s="55">
        <f t="shared" si="3"/>
        <v>54</v>
      </c>
      <c r="B59" s="50">
        <f t="shared" si="0"/>
        <v>1.9318981552795895E-2</v>
      </c>
      <c r="C59" s="51">
        <f>'1. Tabla de Amorticación'!B62</f>
        <v>235398.0398247196</v>
      </c>
      <c r="D59" s="52">
        <f t="shared" si="1"/>
        <v>0.35583934969999131</v>
      </c>
      <c r="E59" s="53">
        <v>0.25</v>
      </c>
      <c r="F59" s="53">
        <f t="shared" si="4"/>
        <v>1.7918771160383572E-7</v>
      </c>
      <c r="G59" s="53">
        <v>0.45</v>
      </c>
      <c r="H59" s="54">
        <f t="shared" si="2"/>
        <v>1.688564130975096E-3</v>
      </c>
    </row>
    <row r="60" spans="1:8" ht="15.75" thickBot="1">
      <c r="A60" s="55">
        <f t="shared" si="3"/>
        <v>55</v>
      </c>
      <c r="B60" s="50">
        <f t="shared" si="0"/>
        <v>1.9318981552795895E-2</v>
      </c>
      <c r="C60" s="51">
        <f>'1. Tabla de Amorticación'!B63</f>
        <v>210334.0284278453</v>
      </c>
      <c r="D60" s="52">
        <f t="shared" si="1"/>
        <v>0.34909518623691055</v>
      </c>
      <c r="E60" s="53">
        <v>0.25</v>
      </c>
      <c r="F60" s="53">
        <f t="shared" si="4"/>
        <v>1.3439078370287679E-7</v>
      </c>
      <c r="G60" s="53">
        <v>0.45</v>
      </c>
      <c r="H60" s="54">
        <f t="shared" si="2"/>
        <v>1.1101340128588189E-3</v>
      </c>
    </row>
    <row r="61" spans="1:8" ht="15.75" thickBot="1">
      <c r="A61" s="55">
        <f t="shared" si="3"/>
        <v>56</v>
      </c>
      <c r="B61" s="50">
        <f t="shared" si="0"/>
        <v>1.9318981552795895E-2</v>
      </c>
      <c r="C61" s="51">
        <f>'1. Tabla de Amorticación'!B64</f>
        <v>184810.51015536167</v>
      </c>
      <c r="D61" s="52">
        <f t="shared" si="1"/>
        <v>0.34247884377185922</v>
      </c>
      <c r="E61" s="53">
        <v>0.25</v>
      </c>
      <c r="F61" s="53">
        <f t="shared" si="4"/>
        <v>1.0079308777715759E-7</v>
      </c>
      <c r="G61" s="53">
        <v>0.45</v>
      </c>
      <c r="H61" s="54">
        <f t="shared" si="2"/>
        <v>7.1770122396774339E-4</v>
      </c>
    </row>
    <row r="62" spans="1:8" ht="15.75" thickBot="1">
      <c r="A62" s="55">
        <f t="shared" si="3"/>
        <v>57</v>
      </c>
      <c r="B62" s="50">
        <f t="shared" si="0"/>
        <v>1.9318981552795895E-2</v>
      </c>
      <c r="C62" s="51">
        <f>'1. Tabla de Amorticación'!B65</f>
        <v>158819.06071454915</v>
      </c>
      <c r="D62" s="52">
        <f t="shared" si="1"/>
        <v>0.33598789973491772</v>
      </c>
      <c r="E62" s="53">
        <v>0.25</v>
      </c>
      <c r="F62" s="53">
        <f t="shared" si="4"/>
        <v>7.5594815832868201E-8</v>
      </c>
      <c r="G62" s="53">
        <v>0.45</v>
      </c>
      <c r="H62" s="54">
        <f t="shared" si="2"/>
        <v>4.5380658761238742E-4</v>
      </c>
    </row>
    <row r="63" spans="1:8" ht="15.75" thickBot="1">
      <c r="A63" s="55">
        <f t="shared" si="3"/>
        <v>58</v>
      </c>
      <c r="B63" s="50">
        <f t="shared" si="0"/>
        <v>1.9318981552795895E-2</v>
      </c>
      <c r="C63" s="51">
        <f>'1. Tabla de Amorticación'!B66</f>
        <v>132351.10136732174</v>
      </c>
      <c r="D63" s="52">
        <f t="shared" si="1"/>
        <v>0.3296199774707278</v>
      </c>
      <c r="E63" s="53">
        <v>0.25</v>
      </c>
      <c r="F63" s="53">
        <f t="shared" si="4"/>
        <v>5.6696111874651151E-8</v>
      </c>
      <c r="G63" s="53">
        <v>0.45</v>
      </c>
      <c r="H63" s="54">
        <f t="shared" si="2"/>
        <v>2.7825750338784786E-4</v>
      </c>
    </row>
    <row r="64" spans="1:8" ht="15.75" thickBot="1">
      <c r="A64" s="55">
        <f t="shared" si="3"/>
        <v>59</v>
      </c>
      <c r="B64" s="50">
        <f t="shared" si="0"/>
        <v>1.9318981552795895E-2</v>
      </c>
      <c r="C64" s="51">
        <f>'1. Tabla de Amorticación'!B67</f>
        <v>105397.8960987285</v>
      </c>
      <c r="D64" s="52">
        <f t="shared" si="1"/>
        <v>0.32337274536828098</v>
      </c>
      <c r="E64" s="53">
        <v>0.25</v>
      </c>
      <c r="F64" s="53">
        <f t="shared" si="4"/>
        <v>4.2522083905988365E-8</v>
      </c>
      <c r="G64" s="53">
        <v>0.45</v>
      </c>
      <c r="H64" s="54">
        <f t="shared" si="2"/>
        <v>1.6304309772178241E-4</v>
      </c>
    </row>
    <row r="65" spans="1:8" ht="15.75" thickBot="1">
      <c r="A65" s="55">
        <f t="shared" si="3"/>
        <v>60</v>
      </c>
      <c r="B65" s="50">
        <f t="shared" si="0"/>
        <v>1.9318981552795895E-2</v>
      </c>
      <c r="C65" s="51">
        <f>'1. Tabla de Amorticación'!B68</f>
        <v>77950.548733544376</v>
      </c>
      <c r="D65" s="52">
        <f t="shared" si="1"/>
        <v>0.31724391600720114</v>
      </c>
      <c r="E65" s="53">
        <v>0.25</v>
      </c>
      <c r="F65" s="53">
        <f t="shared" si="4"/>
        <v>3.1891562929491272E-8</v>
      </c>
      <c r="G65" s="53">
        <v>0.45</v>
      </c>
      <c r="H65" s="54">
        <f t="shared" si="2"/>
        <v>8.8723937005675724E-5</v>
      </c>
    </row>
    <row r="66" spans="1:8" ht="15.75" thickBot="1"/>
    <row r="67" spans="1:8" ht="14.45" customHeight="1">
      <c r="G67" s="90" t="s">
        <v>84</v>
      </c>
      <c r="H67" s="91">
        <f>+SUM(H6:H65)</f>
        <v>368737.13146956533</v>
      </c>
    </row>
    <row r="68" spans="1:8" ht="15.75" thickBot="1">
      <c r="G68" s="90"/>
      <c r="H68" s="92"/>
    </row>
  </sheetData>
  <mergeCells count="2">
    <mergeCell ref="G67:G68"/>
    <mergeCell ref="H67:H6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0E316-D71D-4811-89D0-172B4F30040C}">
  <sheetPr codeName="Hoja2">
    <tabColor theme="9"/>
  </sheetPr>
  <dimension ref="A1:A19"/>
  <sheetViews>
    <sheetView showGridLines="0" workbookViewId="0">
      <selection activeCell="E6" sqref="E6"/>
    </sheetView>
  </sheetViews>
  <sheetFormatPr baseColWidth="10" defaultRowHeight="15"/>
  <sheetData>
    <row r="1" spans="1:1" ht="26.25">
      <c r="A1" s="40" t="s">
        <v>104</v>
      </c>
    </row>
    <row r="3" spans="1:1" ht="15.75">
      <c r="A3" s="65" t="s">
        <v>118</v>
      </c>
    </row>
    <row r="5" spans="1:1" ht="15.75">
      <c r="A5" s="65" t="s">
        <v>119</v>
      </c>
    </row>
    <row r="6" spans="1:1" ht="15.75">
      <c r="A6" s="65"/>
    </row>
    <row r="7" spans="1:1" ht="15.75">
      <c r="A7" s="66" t="s">
        <v>105</v>
      </c>
    </row>
    <row r="8" spans="1:1" ht="15.75">
      <c r="A8" s="66" t="s">
        <v>115</v>
      </c>
    </row>
    <row r="9" spans="1:1" ht="15.75">
      <c r="A9" s="66" t="s">
        <v>109</v>
      </c>
    </row>
    <row r="10" spans="1:1" ht="15.75">
      <c r="A10" s="66" t="s">
        <v>116</v>
      </c>
    </row>
    <row r="11" spans="1:1" ht="15.75">
      <c r="A11" s="66" t="s">
        <v>107</v>
      </c>
    </row>
    <row r="12" spans="1:1" ht="15.75">
      <c r="A12" s="66" t="s">
        <v>108</v>
      </c>
    </row>
    <row r="13" spans="1:1" ht="15.75">
      <c r="A13" s="66" t="s">
        <v>110</v>
      </c>
    </row>
    <row r="14" spans="1:1" ht="15.75">
      <c r="A14" s="66" t="s">
        <v>111</v>
      </c>
    </row>
    <row r="15" spans="1:1" ht="15.75">
      <c r="A15" s="66"/>
    </row>
    <row r="16" spans="1:1" ht="15.75">
      <c r="A16" s="66"/>
    </row>
    <row r="17" spans="1:1" ht="15.75">
      <c r="A17" s="67" t="s">
        <v>112</v>
      </c>
    </row>
    <row r="18" spans="1:1" ht="15.75">
      <c r="A18" s="68" t="s">
        <v>106</v>
      </c>
    </row>
    <row r="19" spans="1:1" ht="15.75">
      <c r="A19" s="68" t="s">
        <v>113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8DC59-D8D2-4CB3-BD23-0D665C277DE3}">
  <sheetPr codeName="Sheet8"/>
  <dimension ref="A1:F17"/>
  <sheetViews>
    <sheetView workbookViewId="0">
      <selection activeCell="A3" sqref="A3"/>
    </sheetView>
  </sheetViews>
  <sheetFormatPr baseColWidth="10" defaultColWidth="8.85546875" defaultRowHeight="15"/>
  <cols>
    <col min="2" max="6" width="20.85546875" customWidth="1"/>
  </cols>
  <sheetData>
    <row r="1" spans="1:6" ht="26.25">
      <c r="A1" s="40" t="s">
        <v>68</v>
      </c>
    </row>
    <row r="3" spans="1:6" ht="56.45" customHeight="1">
      <c r="A3" s="38" t="s">
        <v>20</v>
      </c>
      <c r="B3" s="38" t="s">
        <v>14</v>
      </c>
      <c r="C3" s="39" t="s">
        <v>15</v>
      </c>
      <c r="D3" s="39" t="s">
        <v>16</v>
      </c>
      <c r="E3" s="39" t="s">
        <v>17</v>
      </c>
      <c r="F3" s="39" t="s">
        <v>18</v>
      </c>
    </row>
    <row r="4" spans="1:6">
      <c r="A4" s="5" t="s">
        <v>21</v>
      </c>
      <c r="B4" s="37">
        <v>0.8</v>
      </c>
      <c r="C4" s="7">
        <v>0.7</v>
      </c>
      <c r="D4" s="7">
        <v>0</v>
      </c>
      <c r="E4" s="8">
        <v>0</v>
      </c>
      <c r="F4" s="8">
        <v>0</v>
      </c>
    </row>
    <row r="5" spans="1:6">
      <c r="A5" s="5" t="s">
        <v>22</v>
      </c>
      <c r="B5" s="37">
        <v>1</v>
      </c>
      <c r="C5" s="7">
        <v>1</v>
      </c>
      <c r="D5" s="7">
        <v>1</v>
      </c>
      <c r="E5" s="14">
        <v>0</v>
      </c>
      <c r="F5" s="14">
        <v>0</v>
      </c>
    </row>
    <row r="6" spans="1:6">
      <c r="A6" s="5" t="s">
        <v>23</v>
      </c>
      <c r="B6" s="37">
        <v>0.73</v>
      </c>
      <c r="C6" s="7">
        <v>0.56999999999999995</v>
      </c>
      <c r="D6" s="7">
        <v>0</v>
      </c>
      <c r="E6" s="14">
        <v>0</v>
      </c>
      <c r="F6" s="14">
        <v>0</v>
      </c>
    </row>
    <row r="7" spans="1:6">
      <c r="A7" s="5" t="s">
        <v>24</v>
      </c>
      <c r="B7" s="37">
        <v>0.31</v>
      </c>
      <c r="C7" s="7">
        <v>0.3</v>
      </c>
      <c r="D7" s="7">
        <v>0</v>
      </c>
      <c r="E7" s="14">
        <v>0</v>
      </c>
      <c r="F7" s="14">
        <v>0</v>
      </c>
    </row>
    <row r="8" spans="1:6">
      <c r="A8" s="5" t="s">
        <v>25</v>
      </c>
      <c r="B8" s="37">
        <v>1</v>
      </c>
      <c r="C8" s="7">
        <v>1</v>
      </c>
      <c r="D8" s="7">
        <v>1</v>
      </c>
      <c r="E8" s="14">
        <v>0</v>
      </c>
      <c r="F8" s="14">
        <v>0</v>
      </c>
    </row>
    <row r="9" spans="1:6">
      <c r="A9" s="5" t="s">
        <v>26</v>
      </c>
      <c r="B9" s="37">
        <v>0.93</v>
      </c>
      <c r="C9" s="7">
        <v>0.9</v>
      </c>
      <c r="D9" s="7">
        <v>1</v>
      </c>
      <c r="E9" s="14">
        <v>0</v>
      </c>
      <c r="F9" s="14">
        <v>0</v>
      </c>
    </row>
    <row r="10" spans="1:6">
      <c r="A10" s="5" t="s">
        <v>27</v>
      </c>
      <c r="B10" s="37">
        <v>0</v>
      </c>
      <c r="C10" s="7">
        <v>0</v>
      </c>
      <c r="D10" s="7">
        <v>1</v>
      </c>
      <c r="E10" s="14">
        <v>0</v>
      </c>
      <c r="F10" s="14">
        <v>10</v>
      </c>
    </row>
    <row r="11" spans="1:6">
      <c r="A11" s="5" t="s">
        <v>28</v>
      </c>
      <c r="B11" s="37" t="s">
        <v>13</v>
      </c>
      <c r="C11" s="7" t="s">
        <v>13</v>
      </c>
      <c r="D11" s="7" t="s">
        <v>13</v>
      </c>
      <c r="E11" s="14">
        <v>4</v>
      </c>
      <c r="F11" s="14">
        <v>77</v>
      </c>
    </row>
    <row r="12" spans="1:6">
      <c r="A12" s="5" t="s">
        <v>29</v>
      </c>
      <c r="B12" s="37">
        <v>0.8</v>
      </c>
      <c r="C12" s="7">
        <v>0.5</v>
      </c>
      <c r="D12" s="7">
        <v>0</v>
      </c>
      <c r="E12" s="14">
        <v>2</v>
      </c>
      <c r="F12" s="14">
        <v>48</v>
      </c>
    </row>
    <row r="13" spans="1:6">
      <c r="A13" s="5" t="s">
        <v>30</v>
      </c>
      <c r="B13" s="37">
        <v>0.7</v>
      </c>
      <c r="C13" s="7">
        <v>0.55000000000000004</v>
      </c>
      <c r="D13" s="7">
        <v>1</v>
      </c>
      <c r="E13" s="14">
        <v>2</v>
      </c>
      <c r="F13" s="14">
        <v>60</v>
      </c>
    </row>
    <row r="14" spans="1:6">
      <c r="A14" s="5" t="s">
        <v>31</v>
      </c>
      <c r="B14" s="37">
        <v>0.9</v>
      </c>
      <c r="C14" s="7">
        <v>0.9</v>
      </c>
      <c r="D14" s="7" t="s">
        <v>13</v>
      </c>
      <c r="E14" s="14">
        <v>4</v>
      </c>
      <c r="F14" s="14">
        <v>40</v>
      </c>
    </row>
    <row r="15" spans="1:6">
      <c r="A15" s="5" t="s">
        <v>32</v>
      </c>
      <c r="B15" s="37">
        <v>0.7</v>
      </c>
      <c r="C15" s="7">
        <v>0.4</v>
      </c>
      <c r="D15" s="7">
        <v>0</v>
      </c>
      <c r="E15" s="14">
        <v>4</v>
      </c>
      <c r="F15" s="14">
        <v>40</v>
      </c>
    </row>
    <row r="16" spans="1:6">
      <c r="A16" s="5" t="s">
        <v>33</v>
      </c>
      <c r="B16" s="37">
        <v>0</v>
      </c>
      <c r="C16" s="7">
        <v>0</v>
      </c>
      <c r="D16" s="7">
        <v>0</v>
      </c>
      <c r="E16" s="14">
        <v>4</v>
      </c>
      <c r="F16" s="14">
        <v>40</v>
      </c>
    </row>
    <row r="17" spans="1:6">
      <c r="A17" s="5" t="s">
        <v>34</v>
      </c>
      <c r="B17" s="37" t="s">
        <v>13</v>
      </c>
      <c r="C17" s="7" t="s">
        <v>13</v>
      </c>
      <c r="D17" s="7">
        <v>0</v>
      </c>
      <c r="E17" s="14">
        <v>4</v>
      </c>
      <c r="F17" s="14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3F19-B3DA-4C63-80B7-6AE1A3B7714A}">
  <sheetPr codeName="Sheet2"/>
  <dimension ref="B1:DT22"/>
  <sheetViews>
    <sheetView showGridLines="0" zoomScaleNormal="100" workbookViewId="0">
      <selection activeCell="C6" sqref="C6:C8"/>
    </sheetView>
  </sheetViews>
  <sheetFormatPr baseColWidth="10" defaultColWidth="8.85546875" defaultRowHeight="15"/>
  <cols>
    <col min="1" max="1" width="2.140625" customWidth="1"/>
    <col min="3" max="3" width="10.7109375" customWidth="1"/>
    <col min="5" max="5" width="14.7109375" customWidth="1"/>
    <col min="6" max="6" width="13.28515625" customWidth="1"/>
    <col min="7" max="7" width="15.85546875" customWidth="1"/>
    <col min="8" max="8" width="13.28515625" customWidth="1"/>
    <col min="9" max="9" width="14.28515625" customWidth="1"/>
    <col min="10" max="16" width="13.28515625" customWidth="1"/>
  </cols>
  <sheetData>
    <row r="1" spans="2:124" ht="23.25">
      <c r="B1" s="41" t="s">
        <v>69</v>
      </c>
      <c r="J1" s="43"/>
    </row>
    <row r="2" spans="2:124">
      <c r="J2" s="42"/>
    </row>
    <row r="4" spans="2:124">
      <c r="E4">
        <v>2</v>
      </c>
      <c r="G4">
        <v>3</v>
      </c>
      <c r="I4">
        <v>4</v>
      </c>
      <c r="K4">
        <v>5</v>
      </c>
      <c r="M4">
        <v>6</v>
      </c>
    </row>
    <row r="5" spans="2:124" ht="69.599999999999994" customHeight="1" thickBot="1">
      <c r="E5" s="103" t="s">
        <v>14</v>
      </c>
      <c r="F5" s="93"/>
      <c r="G5" s="93" t="s">
        <v>15</v>
      </c>
      <c r="H5" s="93"/>
      <c r="I5" s="93" t="s">
        <v>16</v>
      </c>
      <c r="J5" s="93"/>
      <c r="K5" s="93" t="s">
        <v>17</v>
      </c>
      <c r="L5" s="93"/>
      <c r="M5" s="93" t="s">
        <v>18</v>
      </c>
      <c r="N5" s="93"/>
      <c r="O5" s="93" t="s">
        <v>19</v>
      </c>
      <c r="P5" s="94"/>
    </row>
    <row r="6" spans="2:124" s="1" customFormat="1" ht="13.15" customHeight="1">
      <c r="B6" s="98" t="s">
        <v>0</v>
      </c>
      <c r="C6" s="101" t="s">
        <v>1</v>
      </c>
      <c r="D6" s="95" t="s">
        <v>2</v>
      </c>
      <c r="E6" s="97" t="s">
        <v>3</v>
      </c>
      <c r="F6" s="96" t="s">
        <v>4</v>
      </c>
      <c r="G6" s="97" t="s">
        <v>3</v>
      </c>
      <c r="H6" s="96" t="s">
        <v>4</v>
      </c>
      <c r="I6" s="97" t="s">
        <v>3</v>
      </c>
      <c r="J6" s="96" t="s">
        <v>4</v>
      </c>
      <c r="K6" s="97" t="s">
        <v>3</v>
      </c>
      <c r="L6" s="96" t="s">
        <v>4</v>
      </c>
      <c r="M6" s="97" t="s">
        <v>3</v>
      </c>
      <c r="N6" s="96" t="s">
        <v>4</v>
      </c>
      <c r="O6" s="97" t="s">
        <v>5</v>
      </c>
      <c r="P6" s="96" t="s">
        <v>6</v>
      </c>
      <c r="Q6" s="101" t="s">
        <v>7</v>
      </c>
      <c r="DP6" s="2"/>
      <c r="DT6" s="3">
        <v>43</v>
      </c>
    </row>
    <row r="7" spans="2:124" s="1" customFormat="1" ht="13.15" customHeight="1">
      <c r="B7" s="99"/>
      <c r="C7" s="102"/>
      <c r="D7" s="96"/>
      <c r="E7" s="97"/>
      <c r="F7" s="96"/>
      <c r="G7" s="97"/>
      <c r="H7" s="96"/>
      <c r="I7" s="97"/>
      <c r="J7" s="96"/>
      <c r="K7" s="97"/>
      <c r="L7" s="96"/>
      <c r="M7" s="97"/>
      <c r="N7" s="96"/>
      <c r="O7" s="97"/>
      <c r="P7" s="96"/>
      <c r="Q7" s="102"/>
      <c r="DT7" s="3">
        <v>46</v>
      </c>
    </row>
    <row r="8" spans="2:124" s="1" customFormat="1" ht="13.15" customHeight="1">
      <c r="B8" s="100"/>
      <c r="C8" s="102"/>
      <c r="D8" s="96"/>
      <c r="E8" s="97"/>
      <c r="F8" s="96"/>
      <c r="G8" s="97"/>
      <c r="H8" s="96"/>
      <c r="I8" s="97"/>
      <c r="J8" s="96"/>
      <c r="K8" s="97"/>
      <c r="L8" s="96"/>
      <c r="M8" s="97"/>
      <c r="N8" s="96"/>
      <c r="O8" s="97"/>
      <c r="P8" s="96"/>
      <c r="Q8" s="102"/>
      <c r="DT8" s="3">
        <v>48</v>
      </c>
    </row>
    <row r="9" spans="2:124" s="1" customFormat="1" ht="12" customHeight="1">
      <c r="B9" s="4" t="s">
        <v>117</v>
      </c>
      <c r="C9" s="5" t="s">
        <v>21</v>
      </c>
      <c r="D9" s="6" t="s">
        <v>8</v>
      </c>
      <c r="E9" s="7">
        <f>VLOOKUP($C9,'Información PI'!$A$3:$F$17,PI!E$4,0)</f>
        <v>0.8</v>
      </c>
      <c r="F9" s="6">
        <f t="shared" ref="F9:F22" si="0">IF(AND(D9="E",E9="Sin información"),140,
IF(AND(D9="E",E9&gt;=0,E9&lt;=0.67),73,
IF(AND(D9="E",E9&gt;0.67,E9&lt;=0.85),90,
IF(AND(D9="E",E9&gt;0.85,E9&lt;=0.92),106,
IF(AND(D9="E",E9&gt;0.92,E9&lt;=0.97),125,
IF(AND(D9="E",E9&gt;=0.98),162,
IF(AND(D9="A",E9="Sin información"),133,
IF(AND(D9="A",E9&gt;=0,E9&lt;=0.73),65,
IF(AND(D9="A",E9&gt;=0.74,E9&lt;=0.89),94,
IF(AND(D9="A",E9&gt;=0.9,E9&lt;=0.95),119,
IF(AND(D9="A",E9&gt;=0.96,E9&lt;=0.99),142,
IF(AND(D9="A",E9=1),168,
IF(AND(D9="C",E9="Sin información"),145,
IF(AND(D9="C",E9&gt;=0,E9&lt;=0.74),64,
IF(AND(D9="C",E9&gt;=0.75,E9&lt;=0.88),87,
IF(AND(D9="C",E9&gt;=0.89,E9&lt;=0.94),103,
IF(AND(D9="C",E9&gt;=0.95,E9&lt;=0.97),124,
IF(AND(D9="C",E9&gt;=0.98),160,
IF(AND(D9="S",E9="Sin información"),138,
IF(AND(D9="S",E9&gt;=0,E9&lt;=0.64),77,
IF(AND(D9="S",E9&gt;=0.65,E9&lt;=0.82),94,
IF(AND(D9="S",E9&gt;=0.83,E9&lt;=0.9),108,
IF(AND(D9="S",E9&gt;=0.91,E9&lt;=0.94),120,
IF(AND(D9="S",E9&gt;=0.95,E9&lt;=0.97),133,
IF(AND(D9="S",E9&gt;=0.98),157,
IF(AND(D9="M",E9="Sin información"),150,
IF(AND(D9="M",E9&gt;=0,E9&lt;=0.68),57,
IF(AND(D9="M",E9&gt;=0.69,E9&lt;=0.84),82,
IF(AND(D9="M",E9&gt;=0.85,E9&lt;=0.91),100,
IF(AND(D9="M",E9&gt;=0.92,E9&lt;=0.95),118,
IF(AND(D9="M",E9&gt;=0.96,E9&lt;=0.98),140,
IF(AND(D9="M",E9&gt;=0.99),170,
IF(E9="Sin información",140,
IF(AND(E9&gt;=0,E9&lt;=0.67),73,
IF(AND(E9&gt;0.67,E9&lt;=0.85),90,
IF(AND(E9&gt;0.85,E9&lt;=0.92),106,
IF(AND(E9&gt;0.92,E9&lt;=0.97),125,
IF(AND(E9&gt;=0.98),162
))))))))))))))))))))))))))))))))))))))</f>
        <v>94</v>
      </c>
      <c r="G9" s="7">
        <f>VLOOKUP($C9,'Información PI'!$A$3:$F$17,PI!G$4,0)</f>
        <v>0.7</v>
      </c>
      <c r="H9" s="6">
        <f t="shared" ref="H9:H22" si="1">IF(AND(D9="E",G9="Sin información"),127,
IF(AND(D9="E",G9&gt;=0,G9&lt;=0.5),99,
IF(AND(D9="E",G9&gt;=0.51,G9&lt;=0.86),106,
IF(AND(D9="E",G9&gt;=0.87,G9&lt;=0.99),126,
IF(AND(D9="E",G9=1),150,
IF(AND(D9="A",G9="Sin información"),133,
IF(AND(D9="A",G9&gt;=0,G9&lt;=0.57),100,
IF(AND(D9="A",G9&gt;=0.58,G9&lt;=0.91),108,
IF(AND(D9="A",G9&gt;=0.92),146,
IF(AND(D9="M",G9="Sin información"),129,
IF(AND(D9="M",G9&gt;=0,G9&lt;=0.75),102,
IF(AND(D9="M",G9&gt;=0.76,G9&lt;=0.98),126,
IF(AND(D9="M",G9&gt;=0.99),156,
IF(AND(D9="C",G9="Sin información"),129,
IF(AND(D9="C",G9&gt;=0,G9&lt;=0.39),100,
IF(AND(D9="C",G9&gt;=0.4,G9&lt;=0.86),106,
IF(AND(D9="C",G9&gt;=0.87,G9&lt;=0.99),132,
IF(AND(D9="C",G9=1),158,
IF(AND(D9="S",G9="Sin información"),128,
IF(AND(D9="S",G9&gt;=0,G9&lt;=0.4),106,
IF(AND(D9="S",G9&gt;=0.41,G9&lt;=0.83),112,
IF(AND(D9="S",G9&gt;=0.84,G9&lt;=0.96),132,
IF(AND(D9="S",G9&gt;=0.97),152)))))))))))))))))))))))</f>
        <v>108</v>
      </c>
      <c r="I9" s="7">
        <f>VLOOKUP($C9,'Información PI'!$A$3:$F$17,PI!I$4,0)</f>
        <v>0</v>
      </c>
      <c r="J9" s="6">
        <f t="shared" ref="J9:J22" si="2">IF(AND(D9="E",I9="Sin información"),123,
IF(AND(D9="E",I9=0),127,
IF(AND(D9="E",I9=1),119,
IF(AND(D9="A",I9="Sin información"),120,
IF(AND(D9="A",I9=0),133,
IF(AND(D9="A",I9=1),113,
IF(AND(D9="M",I9="Sin información"),126,
IF(AND(D9="M",I9=0),131,
IF(AND(D9="M",I9=1),124,
IF(AND(D9="C",I9="Sin información"),127,
IF(AND(D9="C",I9=0),131,
IF(AND(D9="C",I9=1),123,
IF(AND(D9="S",I9="Sin información"),125,
IF(AND(D9="S",I9=0),130,
IF(AND(D9="S",I9=1),119)))))))))))))))</f>
        <v>133</v>
      </c>
      <c r="K9" s="7">
        <f>VLOOKUP($C9,'Información PI'!$A$3:$F$17,PI!K$4,0)</f>
        <v>0</v>
      </c>
      <c r="L9" s="6">
        <f t="shared" ref="L9:L22" si="3">IF(AND(D9="E",K9="Sin información"),127,
IF(AND(D9="E",K9=0),157,
IF(AND(D9="E",K9=1),96,
IF(AND(D9="E",K9&gt;=2),64,
IF(AND(D9="A",K9="Sin información"),128,
IF(AND(D9="A",K9=0),153,
IF(AND(D9="A",K9=1),103,
IF(AND(D9="A",K9&gt;=2),66,
IF(AND(D9="M",K9="Sin información"),125,
IF(AND(D9="M",K9=0),154,
IF(AND(D9="M",K9=1),95,
IF(AND(D9="M",K9=2),77,
IF(AND(D9="M",K9&gt;=3),50,
IF(AND(D9="C",K9="Sin información"),119,
IF(AND(D9="C",K9=0),152,
IF(AND(D9="C",K9&gt;=1,K9&lt;=2),86,
IF(AND(D9="C",K9&gt;=3),49,
IF(AND(D9="S",K9="Sin información"),128,
IF(AND(D9="S",K9=0),159,
IF(AND(D9="S",K9=1),97,
IF(AND(D9="S",K9=2),69,
IF(AND(D9="S",K9&gt;=3),41))))))))))))))))))))))</f>
        <v>153</v>
      </c>
      <c r="M9" s="7">
        <f>VLOOKUP($C9,'Información PI'!$A$3:$F$17,PI!M$4,0)</f>
        <v>0</v>
      </c>
      <c r="N9" s="6">
        <f t="shared" ref="N9:N22" si="4">IF(AND(D9="E",M9="Sin información"),121,
IF(AND(D9="E",M9=0),148,
IF(AND(D9="E",M9&gt;0,M9&lt;=7),93,
IF(AND(D9="E",M9&gt;7,M9&lt;=27),80,
IF(AND(D9="E",M9&gt;27,M9&lt;=38),73,
IF(AND(D9="E",M9&gt;38),41,
IF(AND(D9="A",M9="Sin información"),125,
IF(AND(D9="A",M9=0),145,
IF(AND(D9="A",M9&gt;0,M9&lt;=6),105,
IF(AND(D9="A",M9&gt;6,M9&lt;=30),82,
IF(AND(D9="A",M9&gt;30),56,
IF(AND(D9="M",M9="Sin información"),119,
IF(AND(D9="M",M9=0),149,
IF(AND(D9="M",M9&gt;0,M9&lt;=15),89,
IF(AND(D9="M",M9&gt;15,M9&lt;=30),75,
IF(AND(D9="M",M9&gt;30),43,
IF(AND(D9="C",M9="Sin información"),119,
IF(AND(D9="C",M9=0),148,
IF(AND(D9="C",M9&gt;0,M9&lt;=13),90,
IF(AND(D9="C",M9&gt;13,M9&lt;=30),70,
IF(AND(D9="C",M9&gt;30),32,
IF(AND(D9="S",M9="Sin información"),125,
IF(AND(D9="S",M9=0),148,
IF(AND(D9="S",M9&gt;0,M9&lt;=6),101,
IF(AND(D9="S",M9&gt;6,M9&lt;=24),90,
IF(AND(D9="S",M9&gt;24,M9&lt;=35),78,
IF(AND(D9="S",M9&gt;35),53)))))))))))))))))))))))))))</f>
        <v>145</v>
      </c>
      <c r="O9" s="9">
        <v>1</v>
      </c>
      <c r="P9" s="10">
        <f>N9+L9+J9+H9+F9</f>
        <v>633</v>
      </c>
      <c r="Q9" s="11">
        <f>1/(1+EXP(-(500-P9)*LN(2)/40))</f>
        <v>9.0733270378117195E-2</v>
      </c>
      <c r="DS9" s="12">
        <v>71</v>
      </c>
    </row>
    <row r="10" spans="2:124" s="1" customFormat="1" ht="12" customHeight="1">
      <c r="B10" s="4" t="s">
        <v>117</v>
      </c>
      <c r="C10" s="5" t="s">
        <v>22</v>
      </c>
      <c r="D10" s="13" t="s">
        <v>9</v>
      </c>
      <c r="E10" s="7">
        <f>VLOOKUP($C10,'Información PI'!$A$3:$F$17,PI!E$4,0)</f>
        <v>1</v>
      </c>
      <c r="F10" s="6">
        <f t="shared" si="0"/>
        <v>162</v>
      </c>
      <c r="G10" s="7">
        <f>VLOOKUP($C10,'Información PI'!$A$3:$F$17,PI!G$4,0)</f>
        <v>1</v>
      </c>
      <c r="H10" s="13">
        <f t="shared" si="1"/>
        <v>150</v>
      </c>
      <c r="I10" s="7">
        <f>VLOOKUP($C10,'Información PI'!$A$3:$F$17,PI!I$4,0)</f>
        <v>1</v>
      </c>
      <c r="J10" s="13">
        <f t="shared" si="2"/>
        <v>119</v>
      </c>
      <c r="K10" s="7">
        <f>VLOOKUP($C10,'Información PI'!$A$3:$F$17,PI!K$4,0)</f>
        <v>0</v>
      </c>
      <c r="L10" s="13">
        <f t="shared" si="3"/>
        <v>157</v>
      </c>
      <c r="M10" s="7">
        <f>VLOOKUP($C10,'Información PI'!$A$3:$F$17,PI!M$4,0)</f>
        <v>0</v>
      </c>
      <c r="N10" s="13">
        <f t="shared" si="4"/>
        <v>148</v>
      </c>
      <c r="O10" s="15">
        <v>1</v>
      </c>
      <c r="P10" s="10">
        <f t="shared" ref="P10:P22" si="5">N10+L10+J10+H10+F10</f>
        <v>736</v>
      </c>
      <c r="Q10" s="11">
        <f t="shared" ref="Q10:Q22" si="6">1/(1+EXP(-(500-P10)*LN(2)/40))</f>
        <v>1.6470635507626737E-2</v>
      </c>
      <c r="DS10" s="12">
        <v>81</v>
      </c>
    </row>
    <row r="11" spans="2:124" s="1" customFormat="1" ht="12" customHeight="1">
      <c r="B11" s="4" t="s">
        <v>117</v>
      </c>
      <c r="C11" s="5" t="s">
        <v>23</v>
      </c>
      <c r="D11" s="13" t="s">
        <v>10</v>
      </c>
      <c r="E11" s="7">
        <f>VLOOKUP($C11,'Información PI'!$A$3:$F$17,PI!E$4,0)</f>
        <v>0.73</v>
      </c>
      <c r="F11" s="6">
        <f t="shared" si="0"/>
        <v>82</v>
      </c>
      <c r="G11" s="7">
        <f>VLOOKUP($C11,'Información PI'!$A$3:$F$17,PI!G$4,0)</f>
        <v>0.56999999999999995</v>
      </c>
      <c r="H11" s="13">
        <f t="shared" si="1"/>
        <v>102</v>
      </c>
      <c r="I11" s="7">
        <f>VLOOKUP($C11,'Información PI'!$A$3:$F$17,PI!I$4,0)</f>
        <v>0</v>
      </c>
      <c r="J11" s="13">
        <f t="shared" si="2"/>
        <v>131</v>
      </c>
      <c r="K11" s="7">
        <f>VLOOKUP($C11,'Información PI'!$A$3:$F$17,PI!K$4,0)</f>
        <v>0</v>
      </c>
      <c r="L11" s="13">
        <f t="shared" si="3"/>
        <v>154</v>
      </c>
      <c r="M11" s="7">
        <f>VLOOKUP($C11,'Información PI'!$A$3:$F$17,PI!M$4,0)</f>
        <v>0</v>
      </c>
      <c r="N11" s="13">
        <f t="shared" si="4"/>
        <v>149</v>
      </c>
      <c r="O11" s="15">
        <v>1</v>
      </c>
      <c r="P11" s="10">
        <f t="shared" si="5"/>
        <v>618</v>
      </c>
      <c r="Q11" s="11">
        <f t="shared" si="6"/>
        <v>0.1145804724673453</v>
      </c>
      <c r="DS11" s="16"/>
    </row>
    <row r="12" spans="2:124" s="1" customFormat="1" ht="12" customHeight="1">
      <c r="B12" s="4" t="s">
        <v>117</v>
      </c>
      <c r="C12" s="5" t="s">
        <v>24</v>
      </c>
      <c r="D12" s="13" t="s">
        <v>11</v>
      </c>
      <c r="E12" s="7">
        <f>VLOOKUP($C12,'Información PI'!$A$3:$F$17,PI!E$4,0)</f>
        <v>0.31</v>
      </c>
      <c r="F12" s="6">
        <f t="shared" si="0"/>
        <v>64</v>
      </c>
      <c r="G12" s="7">
        <f>VLOOKUP($C12,'Información PI'!$A$3:$F$17,PI!G$4,0)</f>
        <v>0.3</v>
      </c>
      <c r="H12" s="13">
        <f t="shared" si="1"/>
        <v>100</v>
      </c>
      <c r="I12" s="7">
        <f>VLOOKUP($C12,'Información PI'!$A$3:$F$17,PI!I$4,0)</f>
        <v>0</v>
      </c>
      <c r="J12" s="13">
        <f t="shared" si="2"/>
        <v>131</v>
      </c>
      <c r="K12" s="7">
        <f>VLOOKUP($C12,'Información PI'!$A$3:$F$17,PI!K$4,0)</f>
        <v>0</v>
      </c>
      <c r="L12" s="13">
        <f t="shared" si="3"/>
        <v>152</v>
      </c>
      <c r="M12" s="7">
        <f>VLOOKUP($C12,'Información PI'!$A$3:$F$17,PI!M$4,0)</f>
        <v>0</v>
      </c>
      <c r="N12" s="13">
        <f t="shared" si="4"/>
        <v>148</v>
      </c>
      <c r="O12" s="15">
        <v>1</v>
      </c>
      <c r="P12" s="10">
        <f t="shared" si="5"/>
        <v>595</v>
      </c>
      <c r="Q12" s="11">
        <f t="shared" si="6"/>
        <v>0.16161986500041617</v>
      </c>
    </row>
    <row r="13" spans="2:124" s="1" customFormat="1" ht="12" customHeight="1">
      <c r="B13" s="4" t="s">
        <v>117</v>
      </c>
      <c r="C13" s="5" t="s">
        <v>25</v>
      </c>
      <c r="D13" s="13" t="s">
        <v>12</v>
      </c>
      <c r="E13" s="7">
        <f>VLOOKUP($C13,'Información PI'!$A$3:$F$17,PI!E$4,0)</f>
        <v>1</v>
      </c>
      <c r="F13" s="6">
        <f t="shared" si="0"/>
        <v>157</v>
      </c>
      <c r="G13" s="7">
        <f>VLOOKUP($C13,'Información PI'!$A$3:$F$17,PI!G$4,0)</f>
        <v>1</v>
      </c>
      <c r="H13" s="13">
        <f t="shared" si="1"/>
        <v>152</v>
      </c>
      <c r="I13" s="7">
        <f>VLOOKUP($C13,'Información PI'!$A$3:$F$17,PI!I$4,0)</f>
        <v>1</v>
      </c>
      <c r="J13" s="13">
        <f t="shared" si="2"/>
        <v>119</v>
      </c>
      <c r="K13" s="7">
        <f>VLOOKUP($C13,'Información PI'!$A$3:$F$17,PI!K$4,0)</f>
        <v>0</v>
      </c>
      <c r="L13" s="13">
        <f t="shared" si="3"/>
        <v>159</v>
      </c>
      <c r="M13" s="7">
        <f>VLOOKUP($C13,'Información PI'!$A$3:$F$17,PI!M$4,0)</f>
        <v>0</v>
      </c>
      <c r="N13" s="13">
        <f t="shared" si="4"/>
        <v>148</v>
      </c>
      <c r="O13" s="15">
        <v>1</v>
      </c>
      <c r="P13" s="10">
        <f t="shared" si="5"/>
        <v>735</v>
      </c>
      <c r="Q13" s="11">
        <f t="shared" si="6"/>
        <v>1.6753713723421979E-2</v>
      </c>
    </row>
    <row r="14" spans="2:124" s="1" customFormat="1" ht="12" customHeight="1">
      <c r="B14" s="4" t="s">
        <v>117</v>
      </c>
      <c r="C14" s="5" t="s">
        <v>26</v>
      </c>
      <c r="D14" s="13" t="s">
        <v>12</v>
      </c>
      <c r="E14" s="7">
        <f>VLOOKUP($C14,'Información PI'!$A$3:$F$17,PI!E$4,0)</f>
        <v>0.93</v>
      </c>
      <c r="F14" s="6">
        <f t="shared" si="0"/>
        <v>120</v>
      </c>
      <c r="G14" s="7">
        <f>VLOOKUP($C14,'Información PI'!$A$3:$F$17,PI!G$4,0)</f>
        <v>0.9</v>
      </c>
      <c r="H14" s="13">
        <f t="shared" si="1"/>
        <v>132</v>
      </c>
      <c r="I14" s="7">
        <f>VLOOKUP($C14,'Información PI'!$A$3:$F$17,PI!I$4,0)</f>
        <v>1</v>
      </c>
      <c r="J14" s="13">
        <f t="shared" si="2"/>
        <v>119</v>
      </c>
      <c r="K14" s="7">
        <f>VLOOKUP($C14,'Información PI'!$A$3:$F$17,PI!K$4,0)</f>
        <v>0</v>
      </c>
      <c r="L14" s="13">
        <f t="shared" si="3"/>
        <v>159</v>
      </c>
      <c r="M14" s="7">
        <f>VLOOKUP($C14,'Información PI'!$A$3:$F$17,PI!M$4,0)</f>
        <v>0</v>
      </c>
      <c r="N14" s="13">
        <f t="shared" si="4"/>
        <v>148</v>
      </c>
      <c r="O14" s="15">
        <v>1</v>
      </c>
      <c r="P14" s="10">
        <f t="shared" si="5"/>
        <v>678</v>
      </c>
      <c r="Q14" s="11">
        <f t="shared" si="6"/>
        <v>4.3750954657727534E-2</v>
      </c>
    </row>
    <row r="15" spans="2:124" s="1" customFormat="1" ht="12" customHeight="1">
      <c r="B15" s="4" t="s">
        <v>117</v>
      </c>
      <c r="C15" s="5" t="s">
        <v>27</v>
      </c>
      <c r="D15" s="13" t="s">
        <v>8</v>
      </c>
      <c r="E15" s="7">
        <f>VLOOKUP($C15,'Información PI'!$A$3:$F$17,PI!E$4,0)</f>
        <v>0</v>
      </c>
      <c r="F15" s="6">
        <f t="shared" si="0"/>
        <v>65</v>
      </c>
      <c r="G15" s="7">
        <f>VLOOKUP($C15,'Información PI'!$A$3:$F$17,PI!G$4,0)</f>
        <v>0</v>
      </c>
      <c r="H15" s="13">
        <f t="shared" si="1"/>
        <v>100</v>
      </c>
      <c r="I15" s="7">
        <f>VLOOKUP($C15,'Información PI'!$A$3:$F$17,PI!I$4,0)</f>
        <v>1</v>
      </c>
      <c r="J15" s="13">
        <f t="shared" si="2"/>
        <v>113</v>
      </c>
      <c r="K15" s="7">
        <f>VLOOKUP($C15,'Información PI'!$A$3:$F$17,PI!K$4,0)</f>
        <v>0</v>
      </c>
      <c r="L15" s="13">
        <f t="shared" si="3"/>
        <v>153</v>
      </c>
      <c r="M15" s="7">
        <f>VLOOKUP($C15,'Información PI'!$A$3:$F$17,PI!M$4,0)</f>
        <v>10</v>
      </c>
      <c r="N15" s="13">
        <f t="shared" si="4"/>
        <v>82</v>
      </c>
      <c r="O15" s="15">
        <v>1</v>
      </c>
      <c r="P15" s="10">
        <f t="shared" si="5"/>
        <v>513</v>
      </c>
      <c r="Q15" s="11">
        <f t="shared" si="6"/>
        <v>0.44391875809553571</v>
      </c>
    </row>
    <row r="16" spans="2:124" s="1" customFormat="1" ht="12" customHeight="1">
      <c r="B16" s="4" t="s">
        <v>117</v>
      </c>
      <c r="C16" s="5" t="s">
        <v>28</v>
      </c>
      <c r="D16" s="13" t="s">
        <v>8</v>
      </c>
      <c r="E16" s="7" t="str">
        <f>VLOOKUP($C16,'Información PI'!$A$3:$F$17,PI!E$4,0)</f>
        <v>Sin información</v>
      </c>
      <c r="F16" s="6">
        <f t="shared" si="0"/>
        <v>133</v>
      </c>
      <c r="G16" s="7" t="str">
        <f>VLOOKUP($C16,'Información PI'!$A$3:$F$17,PI!G$4,0)</f>
        <v>Sin información</v>
      </c>
      <c r="H16" s="13">
        <f t="shared" si="1"/>
        <v>133</v>
      </c>
      <c r="I16" s="7" t="str">
        <f>VLOOKUP($C16,'Información PI'!$A$3:$F$17,PI!I$4,0)</f>
        <v>Sin información</v>
      </c>
      <c r="J16" s="13">
        <f t="shared" si="2"/>
        <v>120</v>
      </c>
      <c r="K16" s="7">
        <f>VLOOKUP($C16,'Información PI'!$A$3:$F$17,PI!K$4,0)</f>
        <v>4</v>
      </c>
      <c r="L16" s="13">
        <f t="shared" si="3"/>
        <v>66</v>
      </c>
      <c r="M16" s="7">
        <f>VLOOKUP($C16,'Información PI'!$A$3:$F$17,PI!M$4,0)</f>
        <v>77</v>
      </c>
      <c r="N16" s="13">
        <f t="shared" si="4"/>
        <v>56</v>
      </c>
      <c r="O16" s="15">
        <v>1</v>
      </c>
      <c r="P16" s="10">
        <f t="shared" si="5"/>
        <v>508</v>
      </c>
      <c r="Q16" s="11">
        <f t="shared" si="6"/>
        <v>0.46539803861923651</v>
      </c>
    </row>
    <row r="17" spans="2:17" s="1" customFormat="1" ht="12" customHeight="1">
      <c r="B17" s="4" t="s">
        <v>117</v>
      </c>
      <c r="C17" s="5" t="s">
        <v>29</v>
      </c>
      <c r="D17" s="13" t="s">
        <v>9</v>
      </c>
      <c r="E17" s="7">
        <f>VLOOKUP($C17,'Información PI'!$A$3:$F$17,PI!E$4,0)</f>
        <v>0.8</v>
      </c>
      <c r="F17" s="6">
        <f t="shared" si="0"/>
        <v>90</v>
      </c>
      <c r="G17" s="7">
        <f>VLOOKUP($C17,'Información PI'!$A$3:$F$17,PI!G$4,0)</f>
        <v>0.5</v>
      </c>
      <c r="H17" s="13">
        <f t="shared" si="1"/>
        <v>99</v>
      </c>
      <c r="I17" s="7">
        <f>VLOOKUP($C17,'Información PI'!$A$3:$F$17,PI!I$4,0)</f>
        <v>0</v>
      </c>
      <c r="J17" s="13">
        <f t="shared" si="2"/>
        <v>127</v>
      </c>
      <c r="K17" s="7">
        <f>VLOOKUP($C17,'Información PI'!$A$3:$F$17,PI!K$4,0)</f>
        <v>2</v>
      </c>
      <c r="L17" s="13">
        <f t="shared" si="3"/>
        <v>64</v>
      </c>
      <c r="M17" s="7">
        <f>VLOOKUP($C17,'Información PI'!$A$3:$F$17,PI!M$4,0)</f>
        <v>48</v>
      </c>
      <c r="N17" s="13">
        <f t="shared" si="4"/>
        <v>41</v>
      </c>
      <c r="O17" s="15">
        <v>1</v>
      </c>
      <c r="P17" s="10">
        <f t="shared" si="5"/>
        <v>421</v>
      </c>
      <c r="Q17" s="11">
        <f t="shared" si="6"/>
        <v>0.79721299247027178</v>
      </c>
    </row>
    <row r="18" spans="2:17" s="1" customFormat="1" ht="12" customHeight="1">
      <c r="B18" s="4" t="s">
        <v>117</v>
      </c>
      <c r="C18" s="5" t="s">
        <v>30</v>
      </c>
      <c r="D18" s="13" t="s">
        <v>10</v>
      </c>
      <c r="E18" s="7">
        <f>VLOOKUP($C18,'Información PI'!$A$3:$F$17,PI!E$4,0)</f>
        <v>0.7</v>
      </c>
      <c r="F18" s="6">
        <f t="shared" si="0"/>
        <v>82</v>
      </c>
      <c r="G18" s="7">
        <f>VLOOKUP($C18,'Información PI'!$A$3:$F$17,PI!G$4,0)</f>
        <v>0.55000000000000004</v>
      </c>
      <c r="H18" s="13">
        <f t="shared" si="1"/>
        <v>102</v>
      </c>
      <c r="I18" s="7">
        <f>VLOOKUP($C18,'Información PI'!$A$3:$F$17,PI!I$4,0)</f>
        <v>1</v>
      </c>
      <c r="J18" s="13">
        <f t="shared" si="2"/>
        <v>124</v>
      </c>
      <c r="K18" s="7">
        <f>VLOOKUP($C18,'Información PI'!$A$3:$F$17,PI!K$4,0)</f>
        <v>2</v>
      </c>
      <c r="L18" s="13">
        <f t="shared" si="3"/>
        <v>77</v>
      </c>
      <c r="M18" s="7">
        <f>VLOOKUP($C18,'Información PI'!$A$3:$F$17,PI!M$4,0)</f>
        <v>60</v>
      </c>
      <c r="N18" s="13">
        <f t="shared" si="4"/>
        <v>43</v>
      </c>
      <c r="O18" s="15">
        <v>1</v>
      </c>
      <c r="P18" s="10">
        <f t="shared" si="5"/>
        <v>428</v>
      </c>
      <c r="Q18" s="11">
        <f t="shared" si="6"/>
        <v>0.77689538679573777</v>
      </c>
    </row>
    <row r="19" spans="2:17" s="1" customFormat="1" ht="12" customHeight="1">
      <c r="B19" s="4" t="s">
        <v>117</v>
      </c>
      <c r="C19" s="5" t="s">
        <v>31</v>
      </c>
      <c r="D19" s="13" t="s">
        <v>11</v>
      </c>
      <c r="E19" s="7">
        <f>VLOOKUP($C19,'Información PI'!$A$3:$F$17,PI!E$4,0)</f>
        <v>0.9</v>
      </c>
      <c r="F19" s="6">
        <f t="shared" si="0"/>
        <v>103</v>
      </c>
      <c r="G19" s="7">
        <f>VLOOKUP($C19,'Información PI'!$A$3:$F$17,PI!G$4,0)</f>
        <v>0.9</v>
      </c>
      <c r="H19" s="13">
        <f t="shared" si="1"/>
        <v>132</v>
      </c>
      <c r="I19" s="7" t="str">
        <f>VLOOKUP($C19,'Información PI'!$A$3:$F$17,PI!I$4,0)</f>
        <v>Sin información</v>
      </c>
      <c r="J19" s="13">
        <f t="shared" si="2"/>
        <v>127</v>
      </c>
      <c r="K19" s="7">
        <f>VLOOKUP($C19,'Información PI'!$A$3:$F$17,PI!K$4,0)</f>
        <v>4</v>
      </c>
      <c r="L19" s="13">
        <f t="shared" si="3"/>
        <v>49</v>
      </c>
      <c r="M19" s="7">
        <f>VLOOKUP($C19,'Información PI'!$A$3:$F$17,PI!M$4,0)</f>
        <v>40</v>
      </c>
      <c r="N19" s="13">
        <f t="shared" si="4"/>
        <v>32</v>
      </c>
      <c r="O19" s="15">
        <v>1</v>
      </c>
      <c r="P19" s="10">
        <f t="shared" si="5"/>
        <v>443</v>
      </c>
      <c r="Q19" s="11">
        <f t="shared" si="6"/>
        <v>0.72864025744140415</v>
      </c>
    </row>
    <row r="20" spans="2:17" s="1" customFormat="1" ht="12" customHeight="1">
      <c r="B20" s="4" t="s">
        <v>117</v>
      </c>
      <c r="C20" s="5" t="s">
        <v>32</v>
      </c>
      <c r="D20" s="13" t="s">
        <v>12</v>
      </c>
      <c r="E20" s="7">
        <f>VLOOKUP($C20,'Información PI'!$A$3:$F$17,PI!E$4,0)</f>
        <v>0.7</v>
      </c>
      <c r="F20" s="6">
        <f t="shared" si="0"/>
        <v>94</v>
      </c>
      <c r="G20" s="7">
        <f>VLOOKUP($C20,'Información PI'!$A$3:$F$17,PI!G$4,0)</f>
        <v>0.4</v>
      </c>
      <c r="H20" s="13">
        <f t="shared" si="1"/>
        <v>106</v>
      </c>
      <c r="I20" s="7">
        <f>VLOOKUP($C20,'Información PI'!$A$3:$F$17,PI!I$4,0)</f>
        <v>0</v>
      </c>
      <c r="J20" s="13">
        <f t="shared" si="2"/>
        <v>130</v>
      </c>
      <c r="K20" s="7">
        <f>VLOOKUP($C20,'Información PI'!$A$3:$F$17,PI!K$4,0)</f>
        <v>4</v>
      </c>
      <c r="L20" s="13">
        <f t="shared" si="3"/>
        <v>41</v>
      </c>
      <c r="M20" s="7">
        <f>VLOOKUP($C20,'Información PI'!$A$3:$F$17,PI!M$4,0)</f>
        <v>40</v>
      </c>
      <c r="N20" s="13">
        <f t="shared" si="4"/>
        <v>53</v>
      </c>
      <c r="O20" s="15">
        <v>1</v>
      </c>
      <c r="P20" s="10">
        <f t="shared" si="5"/>
        <v>424</v>
      </c>
      <c r="Q20" s="11">
        <f t="shared" si="6"/>
        <v>0.78867875892857398</v>
      </c>
    </row>
    <row r="21" spans="2:17" s="1" customFormat="1" ht="12" customHeight="1">
      <c r="B21" s="4" t="s">
        <v>117</v>
      </c>
      <c r="C21" s="5" t="s">
        <v>33</v>
      </c>
      <c r="D21" s="13" t="s">
        <v>12</v>
      </c>
      <c r="E21" s="7">
        <f>VLOOKUP($C21,'Información PI'!$A$3:$F$17,PI!E$4,0)</f>
        <v>0</v>
      </c>
      <c r="F21" s="6">
        <f t="shared" si="0"/>
        <v>77</v>
      </c>
      <c r="G21" s="7">
        <f>VLOOKUP($C21,'Información PI'!$A$3:$F$17,PI!G$4,0)</f>
        <v>0</v>
      </c>
      <c r="H21" s="13">
        <f t="shared" si="1"/>
        <v>106</v>
      </c>
      <c r="I21" s="7">
        <f>VLOOKUP($C21,'Información PI'!$A$3:$F$17,PI!I$4,0)</f>
        <v>0</v>
      </c>
      <c r="J21" s="13">
        <f t="shared" si="2"/>
        <v>130</v>
      </c>
      <c r="K21" s="7">
        <f>VLOOKUP($C21,'Información PI'!$A$3:$F$17,PI!K$4,0)</f>
        <v>4</v>
      </c>
      <c r="L21" s="13">
        <f t="shared" si="3"/>
        <v>41</v>
      </c>
      <c r="M21" s="7">
        <f>VLOOKUP($C21,'Información PI'!$A$3:$F$17,PI!M$4,0)</f>
        <v>40</v>
      </c>
      <c r="N21" s="13">
        <f t="shared" si="4"/>
        <v>53</v>
      </c>
      <c r="O21" s="15">
        <v>1</v>
      </c>
      <c r="P21" s="10">
        <f t="shared" si="5"/>
        <v>407</v>
      </c>
      <c r="Q21" s="11">
        <f t="shared" si="6"/>
        <v>0.8336288571326641</v>
      </c>
    </row>
    <row r="22" spans="2:17" s="1" customFormat="1" ht="12" customHeight="1">
      <c r="B22" s="4" t="s">
        <v>117</v>
      </c>
      <c r="C22" s="5" t="s">
        <v>34</v>
      </c>
      <c r="D22" s="13" t="s">
        <v>12</v>
      </c>
      <c r="E22" s="7" t="str">
        <f>VLOOKUP($C22,'Información PI'!$A$3:$F$17,PI!E$4,0)</f>
        <v>Sin información</v>
      </c>
      <c r="F22" s="6">
        <f t="shared" si="0"/>
        <v>138</v>
      </c>
      <c r="G22" s="7" t="str">
        <f>VLOOKUP($C22,'Información PI'!$A$3:$F$17,PI!G$4,0)</f>
        <v>Sin información</v>
      </c>
      <c r="H22" s="13">
        <f t="shared" si="1"/>
        <v>128</v>
      </c>
      <c r="I22" s="7">
        <f>VLOOKUP($C22,'Información PI'!$A$3:$F$17,PI!I$4,0)</f>
        <v>0</v>
      </c>
      <c r="J22" s="13">
        <f t="shared" si="2"/>
        <v>130</v>
      </c>
      <c r="K22" s="7">
        <f>VLOOKUP($C22,'Información PI'!$A$3:$F$17,PI!K$4,0)</f>
        <v>4</v>
      </c>
      <c r="L22" s="13">
        <f t="shared" si="3"/>
        <v>41</v>
      </c>
      <c r="M22" s="7">
        <f>VLOOKUP($C22,'Información PI'!$A$3:$F$17,PI!M$4,0)</f>
        <v>30</v>
      </c>
      <c r="N22" s="13">
        <f t="shared" si="4"/>
        <v>78</v>
      </c>
      <c r="O22" s="15">
        <v>1</v>
      </c>
      <c r="P22" s="10">
        <f t="shared" si="5"/>
        <v>515</v>
      </c>
      <c r="Q22" s="11">
        <f t="shared" si="6"/>
        <v>0.43538086845249563</v>
      </c>
    </row>
  </sheetData>
  <mergeCells count="22">
    <mergeCell ref="Q6:Q8"/>
    <mergeCell ref="F6:F8"/>
    <mergeCell ref="G6:G8"/>
    <mergeCell ref="H6:H8"/>
    <mergeCell ref="I6:I8"/>
    <mergeCell ref="J6:J8"/>
    <mergeCell ref="K6:K8"/>
    <mergeCell ref="L6:L8"/>
    <mergeCell ref="M6:M8"/>
    <mergeCell ref="N6:N8"/>
    <mergeCell ref="O6:O8"/>
    <mergeCell ref="P6:P8"/>
    <mergeCell ref="D6:D8"/>
    <mergeCell ref="E6:E8"/>
    <mergeCell ref="B6:B8"/>
    <mergeCell ref="C6:C8"/>
    <mergeCell ref="E5:F5"/>
    <mergeCell ref="G5:H5"/>
    <mergeCell ref="I5:J5"/>
    <mergeCell ref="K5:L5"/>
    <mergeCell ref="M5:N5"/>
    <mergeCell ref="O5:P5"/>
  </mergeCells>
  <phoneticPr fontId="11" type="noConversion"/>
  <dataValidations count="1">
    <dataValidation type="decimal" allowBlank="1" showInputMessage="1" showErrorMessage="1" error="Debe ser decimal_x000a_" sqref="Q9:Q22" xr:uid="{558F6B61-74A2-4BA8-AA55-64F1C388C374}">
      <formula1>0</formula1>
      <formula2>1000000000</formula2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A6A9B-841C-49B1-91B0-FF4D39821D8B}">
  <sheetPr codeName="Sheet3"/>
  <dimension ref="A2:B40"/>
  <sheetViews>
    <sheetView topLeftCell="A12" workbookViewId="0">
      <selection activeCell="B5" sqref="B5"/>
    </sheetView>
  </sheetViews>
  <sheetFormatPr baseColWidth="10" defaultColWidth="8.85546875" defaultRowHeight="15"/>
  <cols>
    <col min="1" max="1" width="9.42578125" bestFit="1" customWidth="1"/>
  </cols>
  <sheetData>
    <row r="2" spans="1:2" ht="45">
      <c r="A2" s="22" t="s">
        <v>59</v>
      </c>
      <c r="B2" s="19" t="s">
        <v>35</v>
      </c>
    </row>
    <row r="3" spans="1:2">
      <c r="A3" s="17">
        <v>0</v>
      </c>
      <c r="B3" s="17">
        <v>0.45</v>
      </c>
    </row>
    <row r="4" spans="1:2">
      <c r="A4" s="17">
        <f>+A3+1</f>
        <v>1</v>
      </c>
      <c r="B4" s="17">
        <v>0.45</v>
      </c>
    </row>
    <row r="5" spans="1:2">
      <c r="A5" s="17">
        <f t="shared" ref="A5:A40" si="0">+A4+1</f>
        <v>2</v>
      </c>
      <c r="B5" s="17">
        <v>0.45</v>
      </c>
    </row>
    <row r="6" spans="1:2">
      <c r="A6" s="17">
        <f t="shared" si="0"/>
        <v>3</v>
      </c>
      <c r="B6" s="17">
        <v>0.45</v>
      </c>
    </row>
    <row r="7" spans="1:2">
      <c r="A7" s="17">
        <f t="shared" si="0"/>
        <v>4</v>
      </c>
      <c r="B7" s="17">
        <v>0.55000000000000004</v>
      </c>
    </row>
    <row r="8" spans="1:2">
      <c r="A8" s="17">
        <f t="shared" si="0"/>
        <v>5</v>
      </c>
      <c r="B8" s="17">
        <v>0.55000000000000004</v>
      </c>
    </row>
    <row r="9" spans="1:2">
      <c r="A9" s="17">
        <f t="shared" si="0"/>
        <v>6</v>
      </c>
      <c r="B9" s="17">
        <v>0.55000000000000004</v>
      </c>
    </row>
    <row r="10" spans="1:2">
      <c r="A10" s="17">
        <f t="shared" si="0"/>
        <v>7</v>
      </c>
      <c r="B10" s="17">
        <v>0.62</v>
      </c>
    </row>
    <row r="11" spans="1:2">
      <c r="A11" s="17">
        <f t="shared" si="0"/>
        <v>8</v>
      </c>
      <c r="B11" s="17">
        <v>0.62</v>
      </c>
    </row>
    <row r="12" spans="1:2">
      <c r="A12" s="17">
        <f t="shared" si="0"/>
        <v>9</v>
      </c>
      <c r="B12" s="17">
        <v>0.62</v>
      </c>
    </row>
    <row r="13" spans="1:2">
      <c r="A13" s="17">
        <f t="shared" si="0"/>
        <v>10</v>
      </c>
      <c r="B13" s="17">
        <v>0.66</v>
      </c>
    </row>
    <row r="14" spans="1:2">
      <c r="A14" s="17">
        <f t="shared" si="0"/>
        <v>11</v>
      </c>
      <c r="B14" s="17">
        <v>0.66</v>
      </c>
    </row>
    <row r="15" spans="1:2">
      <c r="A15" s="17">
        <f t="shared" si="0"/>
        <v>12</v>
      </c>
      <c r="B15" s="17">
        <v>0.66</v>
      </c>
    </row>
    <row r="16" spans="1:2">
      <c r="A16" s="17">
        <f t="shared" si="0"/>
        <v>13</v>
      </c>
      <c r="B16" s="17">
        <v>0.72</v>
      </c>
    </row>
    <row r="17" spans="1:2">
      <c r="A17" s="17">
        <f t="shared" si="0"/>
        <v>14</v>
      </c>
      <c r="B17" s="17">
        <v>0.72</v>
      </c>
    </row>
    <row r="18" spans="1:2">
      <c r="A18" s="17">
        <f t="shared" si="0"/>
        <v>15</v>
      </c>
      <c r="B18" s="17">
        <v>0.72</v>
      </c>
    </row>
    <row r="19" spans="1:2">
      <c r="A19" s="17">
        <f t="shared" si="0"/>
        <v>16</v>
      </c>
      <c r="B19" s="17">
        <v>0.75</v>
      </c>
    </row>
    <row r="20" spans="1:2">
      <c r="A20" s="17">
        <f t="shared" si="0"/>
        <v>17</v>
      </c>
      <c r="B20" s="17">
        <v>0.75</v>
      </c>
    </row>
    <row r="21" spans="1:2">
      <c r="A21" s="17">
        <f t="shared" si="0"/>
        <v>18</v>
      </c>
      <c r="B21" s="17">
        <v>0.75</v>
      </c>
    </row>
    <row r="22" spans="1:2">
      <c r="A22" s="17">
        <f t="shared" si="0"/>
        <v>19</v>
      </c>
      <c r="B22" s="17">
        <v>0.78</v>
      </c>
    </row>
    <row r="23" spans="1:2">
      <c r="A23" s="17">
        <f t="shared" si="0"/>
        <v>20</v>
      </c>
      <c r="B23" s="17">
        <v>0.78</v>
      </c>
    </row>
    <row r="24" spans="1:2">
      <c r="A24" s="17">
        <f t="shared" si="0"/>
        <v>21</v>
      </c>
      <c r="B24" s="17">
        <v>0.78</v>
      </c>
    </row>
    <row r="25" spans="1:2">
      <c r="A25" s="17">
        <f t="shared" si="0"/>
        <v>22</v>
      </c>
      <c r="B25" s="17">
        <v>0.81</v>
      </c>
    </row>
    <row r="26" spans="1:2">
      <c r="A26" s="17">
        <f t="shared" si="0"/>
        <v>23</v>
      </c>
      <c r="B26" s="17">
        <v>0.81</v>
      </c>
    </row>
    <row r="27" spans="1:2">
      <c r="A27" s="17">
        <f t="shared" si="0"/>
        <v>24</v>
      </c>
      <c r="B27" s="17">
        <v>0.81</v>
      </c>
    </row>
    <row r="28" spans="1:2">
      <c r="A28" s="17">
        <f t="shared" si="0"/>
        <v>25</v>
      </c>
      <c r="B28" s="17">
        <v>0.88</v>
      </c>
    </row>
    <row r="29" spans="1:2">
      <c r="A29" s="17">
        <f t="shared" si="0"/>
        <v>26</v>
      </c>
      <c r="B29" s="17">
        <v>0.88</v>
      </c>
    </row>
    <row r="30" spans="1:2">
      <c r="A30" s="17">
        <f t="shared" si="0"/>
        <v>27</v>
      </c>
      <c r="B30" s="17">
        <v>0.88</v>
      </c>
    </row>
    <row r="31" spans="1:2">
      <c r="A31" s="17">
        <f t="shared" si="0"/>
        <v>28</v>
      </c>
      <c r="B31" s="17">
        <v>0.91</v>
      </c>
    </row>
    <row r="32" spans="1:2">
      <c r="A32" s="17">
        <f t="shared" si="0"/>
        <v>29</v>
      </c>
      <c r="B32" s="17">
        <v>0.91</v>
      </c>
    </row>
    <row r="33" spans="1:2">
      <c r="A33" s="17">
        <f t="shared" si="0"/>
        <v>30</v>
      </c>
      <c r="B33" s="17">
        <v>0.91</v>
      </c>
    </row>
    <row r="34" spans="1:2">
      <c r="A34" s="17">
        <f t="shared" si="0"/>
        <v>31</v>
      </c>
      <c r="B34" s="17">
        <v>0.94</v>
      </c>
    </row>
    <row r="35" spans="1:2">
      <c r="A35" s="17">
        <f t="shared" si="0"/>
        <v>32</v>
      </c>
      <c r="B35" s="17">
        <v>0.94</v>
      </c>
    </row>
    <row r="36" spans="1:2">
      <c r="A36" s="17">
        <f t="shared" si="0"/>
        <v>33</v>
      </c>
      <c r="B36" s="17">
        <v>0.94</v>
      </c>
    </row>
    <row r="37" spans="1:2">
      <c r="A37" s="17">
        <f t="shared" si="0"/>
        <v>34</v>
      </c>
      <c r="B37" s="17">
        <v>0.96</v>
      </c>
    </row>
    <row r="38" spans="1:2">
      <c r="A38" s="17">
        <f>+A37+1</f>
        <v>35</v>
      </c>
      <c r="B38" s="17">
        <v>0.96</v>
      </c>
    </row>
    <row r="39" spans="1:2">
      <c r="A39" s="17">
        <f t="shared" si="0"/>
        <v>36</v>
      </c>
      <c r="B39" s="17">
        <v>0.96</v>
      </c>
    </row>
    <row r="40" spans="1:2">
      <c r="A40" s="17">
        <f t="shared" si="0"/>
        <v>37</v>
      </c>
      <c r="B40" s="18">
        <v>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D77D-1F71-4299-8F1C-B88177462BF4}">
  <sheetPr codeName="Sheet7"/>
  <dimension ref="B1:Y24"/>
  <sheetViews>
    <sheetView showGridLines="0" zoomScale="84" zoomScaleNormal="84" workbookViewId="0">
      <selection activeCell="A5" sqref="A5"/>
    </sheetView>
  </sheetViews>
  <sheetFormatPr baseColWidth="10" defaultColWidth="8.85546875" defaultRowHeight="15"/>
  <cols>
    <col min="1" max="1" width="2.28515625" customWidth="1"/>
    <col min="2" max="2" width="15.28515625" customWidth="1"/>
    <col min="3" max="3" width="16.42578125" customWidth="1"/>
    <col min="4" max="4" width="12.7109375" bestFit="1" customWidth="1"/>
    <col min="5" max="5" width="12.7109375" customWidth="1"/>
    <col min="9" max="9" width="10.5703125" customWidth="1"/>
    <col min="10" max="10" width="13.7109375" customWidth="1"/>
    <col min="11" max="11" width="17.85546875" bestFit="1" customWidth="1"/>
    <col min="12" max="13" width="18.28515625" customWidth="1"/>
    <col min="14" max="15" width="16.140625" customWidth="1"/>
    <col min="16" max="16" width="13.85546875" customWidth="1"/>
    <col min="17" max="19" width="13.5703125" customWidth="1"/>
    <col min="20" max="21" width="11.7109375" customWidth="1"/>
    <col min="22" max="22" width="12.7109375" bestFit="1" customWidth="1"/>
    <col min="23" max="23" width="15.140625" customWidth="1"/>
    <col min="24" max="24" width="13.7109375" bestFit="1" customWidth="1"/>
  </cols>
  <sheetData>
    <row r="1" spans="2:25" ht="26.25">
      <c r="B1" s="40" t="s">
        <v>70</v>
      </c>
    </row>
    <row r="2" spans="2:25">
      <c r="Q2" s="45"/>
    </row>
    <row r="3" spans="2:25" ht="15.75" thickBot="1">
      <c r="O3" t="s">
        <v>138</v>
      </c>
    </row>
    <row r="4" spans="2:25" ht="60">
      <c r="B4" s="20" t="s">
        <v>53</v>
      </c>
      <c r="C4" s="20" t="s">
        <v>54</v>
      </c>
      <c r="D4" s="21" t="s">
        <v>55</v>
      </c>
      <c r="E4" s="21" t="s">
        <v>64</v>
      </c>
      <c r="F4" s="21" t="s">
        <v>56</v>
      </c>
      <c r="G4" s="21" t="s">
        <v>60</v>
      </c>
      <c r="H4" s="21" t="s">
        <v>57</v>
      </c>
      <c r="I4" s="21" t="s">
        <v>71</v>
      </c>
      <c r="J4" s="21" t="s">
        <v>72</v>
      </c>
      <c r="K4" s="21" t="s">
        <v>58</v>
      </c>
      <c r="L4" s="46" t="s">
        <v>75</v>
      </c>
      <c r="M4" s="46" t="s">
        <v>139</v>
      </c>
      <c r="N4" s="46" t="s">
        <v>114</v>
      </c>
      <c r="O4" s="104" t="s">
        <v>141</v>
      </c>
      <c r="P4" s="21" t="s">
        <v>66</v>
      </c>
      <c r="Q4" s="21" t="s">
        <v>61</v>
      </c>
      <c r="R4" s="21" t="s">
        <v>65</v>
      </c>
      <c r="S4" s="21" t="s">
        <v>67</v>
      </c>
      <c r="T4" s="21" t="s">
        <v>63</v>
      </c>
      <c r="U4" s="21" t="s">
        <v>35</v>
      </c>
      <c r="V4" s="21" t="s">
        <v>62</v>
      </c>
      <c r="W4" s="21" t="s">
        <v>73</v>
      </c>
      <c r="X4" s="21" t="s">
        <v>140</v>
      </c>
    </row>
    <row r="5" spans="2:25">
      <c r="B5" s="24" t="s">
        <v>21</v>
      </c>
      <c r="C5" s="24" t="s">
        <v>36</v>
      </c>
      <c r="D5" s="26">
        <v>0</v>
      </c>
      <c r="E5" s="26">
        <f>+D5/30.4</f>
        <v>0</v>
      </c>
      <c r="F5" s="36">
        <f>IF(D5&lt;=30,1,IF(AND(D5&gt;30,D5&lt;90),2,3))</f>
        <v>1</v>
      </c>
      <c r="G5" s="27">
        <v>0.16</v>
      </c>
      <c r="H5" s="27">
        <v>0.1799</v>
      </c>
      <c r="I5" s="28">
        <v>60</v>
      </c>
      <c r="J5" s="28">
        <v>45</v>
      </c>
      <c r="K5" s="25">
        <v>1300000</v>
      </c>
      <c r="L5" s="28" t="s">
        <v>74</v>
      </c>
      <c r="M5" s="28">
        <f>ROUNDDOWN((I5-J5)/12,0)</f>
        <v>1</v>
      </c>
      <c r="N5" s="25">
        <v>30000</v>
      </c>
      <c r="O5" s="105" cm="1">
        <f t="array" ref="O5">NuevaLineaDeCredito(K5,I5,L5,N5,G5/12)</f>
        <v>1204518.4520841413</v>
      </c>
      <c r="P5" s="29">
        <v>0</v>
      </c>
      <c r="Q5" s="32">
        <f>-PMT(G5/12,I5,O5)</f>
        <v>29291.548515490638</v>
      </c>
      <c r="R5" s="107" cm="1">
        <f t="array" ref="R5">Saldo_Insoluto(G5,I5,J5,K5,Q5,N5)</f>
        <v>1071662.0613390473</v>
      </c>
      <c r="S5" s="33">
        <f>P5*Q5</f>
        <v>0</v>
      </c>
      <c r="T5" s="34">
        <f>VLOOKUP($B5,PI!$C$6:$Q$22,15,0)</f>
        <v>9.0733270378117195E-2</v>
      </c>
      <c r="U5" s="34">
        <f>IF(D5&gt;=180, 1, 0.55 + D5 * 0.45 / 180)</f>
        <v>0.55000000000000004</v>
      </c>
      <c r="V5" s="35" cm="1">
        <f t="array" ref="V5">Reservas(G5,H5,J5,R5,Q5,F5,T5,U5)</f>
        <v>316333.00182558107</v>
      </c>
      <c r="W5" s="44">
        <f>V5+S5</f>
        <v>316333.00182558107</v>
      </c>
      <c r="X5" s="72">
        <f>W5/R5</f>
        <v>0.29517980829732965</v>
      </c>
      <c r="Y5" s="72"/>
    </row>
    <row r="6" spans="2:25">
      <c r="B6" s="24" t="s">
        <v>22</v>
      </c>
      <c r="C6" s="24" t="s">
        <v>37</v>
      </c>
      <c r="D6" s="30">
        <v>0</v>
      </c>
      <c r="E6" s="26">
        <f t="shared" ref="E6:E21" si="0">+D6/30.4</f>
        <v>0</v>
      </c>
      <c r="F6" s="36">
        <f t="shared" ref="F6:F21" si="1">IF(D6&lt;=30,1,IF(AND(D6&gt;30,D6&lt;90),2,3))</f>
        <v>1</v>
      </c>
      <c r="G6" s="27">
        <v>0.12</v>
      </c>
      <c r="H6" s="27">
        <v>0.13053999999999999</v>
      </c>
      <c r="I6" s="28">
        <v>60</v>
      </c>
      <c r="J6" s="28">
        <v>50</v>
      </c>
      <c r="K6" s="25">
        <v>1800000</v>
      </c>
      <c r="L6" s="28" t="s">
        <v>74</v>
      </c>
      <c r="M6" s="28">
        <f t="shared" ref="M6:M21" si="2">ROUNDDOWN((I6-J6)/12,0)</f>
        <v>0</v>
      </c>
      <c r="N6" s="25">
        <v>50000</v>
      </c>
      <c r="O6" s="105" cm="1">
        <f t="array" ref="O6">NuevaLineaDeCredito(K6,I6,L6,N6,G6/12)</f>
        <v>1622767.4838340455</v>
      </c>
      <c r="P6" s="29">
        <v>0</v>
      </c>
      <c r="Q6" s="32">
        <f t="shared" ref="Q6:Q21" si="3">-PMT(G6/12,I6,O6)</f>
        <v>36097.566398906107</v>
      </c>
      <c r="R6" s="107" cm="1">
        <f t="array" ref="R6">Saldo_Insoluto(G6,I6,J6,K6,Q6,N6)</f>
        <v>1610659.4138461601</v>
      </c>
      <c r="S6" s="33">
        <f t="shared" ref="S6:S21" si="4">P6*Q6</f>
        <v>0</v>
      </c>
      <c r="T6" s="34">
        <f>VLOOKUP($B6,PI!$C$6:$Q$22,15,0)</f>
        <v>1.6470635507626737E-2</v>
      </c>
      <c r="U6" s="34">
        <f t="shared" ref="U6:U21" si="5">IF(D6&gt;=180, 1, 0.55 + D6 * 0.45 / 180)</f>
        <v>0.55000000000000004</v>
      </c>
      <c r="V6" s="35" cm="1">
        <f t="array" ref="V6">Reservas(G6,H6,J6,R6,Q6,F6,T6,U6)</f>
        <v>137394.02534396411</v>
      </c>
      <c r="W6" s="44">
        <f t="shared" ref="W6:W21" si="6">V6+S6</f>
        <v>137394.02534396411</v>
      </c>
      <c r="X6" s="72">
        <f t="shared" ref="X6:X21" si="7">W6/R6</f>
        <v>8.5302966078890166E-2</v>
      </c>
      <c r="Y6" s="72"/>
    </row>
    <row r="7" spans="2:25">
      <c r="B7" s="24" t="s">
        <v>23</v>
      </c>
      <c r="C7" s="24" t="s">
        <v>38</v>
      </c>
      <c r="D7" s="30">
        <v>0</v>
      </c>
      <c r="E7" s="26">
        <f t="shared" si="0"/>
        <v>0</v>
      </c>
      <c r="F7" s="36">
        <f t="shared" si="1"/>
        <v>1</v>
      </c>
      <c r="G7" s="27">
        <v>0.14000000000000001</v>
      </c>
      <c r="H7" s="27">
        <v>0.1555</v>
      </c>
      <c r="I7" s="28">
        <v>48</v>
      </c>
      <c r="J7" s="28">
        <v>38</v>
      </c>
      <c r="K7" s="25">
        <v>2100000</v>
      </c>
      <c r="L7" s="28" t="s">
        <v>76</v>
      </c>
      <c r="M7" s="28">
        <f t="shared" si="2"/>
        <v>0</v>
      </c>
      <c r="N7" s="25">
        <v>70000</v>
      </c>
      <c r="O7" s="105" cm="1">
        <f t="array" ref="O7">NuevaLineaDeCredito(K7,I7,L7,N7,G7/12)</f>
        <v>1899885.2297286312</v>
      </c>
      <c r="P7" s="29">
        <v>0</v>
      </c>
      <c r="Q7" s="32">
        <f t="shared" si="3"/>
        <v>51917.169073466241</v>
      </c>
      <c r="R7" s="107" cm="1">
        <f t="array" ref="R7">Saldo_Insoluto(G7,I7,J7,K7,Q7,N7)</f>
        <v>1810977.2093433484</v>
      </c>
      <c r="S7" s="33">
        <f t="shared" si="4"/>
        <v>0</v>
      </c>
      <c r="T7" s="34">
        <f>VLOOKUP($B7,PI!$C$6:$Q$22,15,0)</f>
        <v>0.1145804724673453</v>
      </c>
      <c r="U7" s="34">
        <f t="shared" si="5"/>
        <v>0.55000000000000004</v>
      </c>
      <c r="V7" s="35" cm="1">
        <f t="array" ref="V7">Reservas(G7,H7,J7,R7,Q7,F7,T7,U7)</f>
        <v>590504.84119104396</v>
      </c>
      <c r="W7" s="44">
        <f t="shared" si="6"/>
        <v>590504.84119104396</v>
      </c>
      <c r="X7" s="72">
        <f t="shared" si="7"/>
        <v>0.32606972530877854</v>
      </c>
      <c r="Y7" s="72"/>
    </row>
    <row r="8" spans="2:25">
      <c r="B8" s="24" t="s">
        <v>24</v>
      </c>
      <c r="C8" s="24" t="s">
        <v>39</v>
      </c>
      <c r="D8" s="30">
        <v>0</v>
      </c>
      <c r="E8" s="26">
        <f t="shared" si="0"/>
        <v>0</v>
      </c>
      <c r="F8" s="36">
        <f t="shared" si="1"/>
        <v>1</v>
      </c>
      <c r="G8" s="27">
        <v>0.1</v>
      </c>
      <c r="H8" s="27">
        <v>0.1065</v>
      </c>
      <c r="I8" s="28">
        <v>60</v>
      </c>
      <c r="J8" s="28">
        <v>52</v>
      </c>
      <c r="K8" s="25">
        <v>1800000</v>
      </c>
      <c r="L8" s="28" t="s">
        <v>74</v>
      </c>
      <c r="M8" s="28">
        <f t="shared" si="2"/>
        <v>0</v>
      </c>
      <c r="N8" s="25">
        <v>50000</v>
      </c>
      <c r="O8" s="105" cm="1">
        <f t="array" ref="O8">NuevaLineaDeCredito(K8,I8,L8,N8,G8/12)</f>
        <v>1612720.8866500147</v>
      </c>
      <c r="P8" s="29">
        <v>0</v>
      </c>
      <c r="Q8" s="32">
        <f t="shared" si="3"/>
        <v>34265.552785449079</v>
      </c>
      <c r="R8" s="107" cm="1">
        <f t="array" ref="R8">Saldo_Insoluto(G8,I8,J8,K8,Q8,N8)</f>
        <v>1641304.5746945527</v>
      </c>
      <c r="S8" s="33">
        <f t="shared" si="4"/>
        <v>0</v>
      </c>
      <c r="T8" s="34">
        <f>VLOOKUP($B8,PI!$C$6:$Q$22,15,0)</f>
        <v>0.16161986500041617</v>
      </c>
      <c r="U8" s="34">
        <f t="shared" si="5"/>
        <v>0.55000000000000004</v>
      </c>
      <c r="V8" s="35" cm="1">
        <f t="array" ref="V8">Reservas(G8,H8,J8,R8,Q8,F8,T8,U8)</f>
        <v>611267.00062246469</v>
      </c>
      <c r="W8" s="44">
        <f t="shared" si="6"/>
        <v>611267.00062246469</v>
      </c>
      <c r="X8" s="72">
        <f t="shared" si="7"/>
        <v>0.3724275250595836</v>
      </c>
      <c r="Y8" s="72"/>
    </row>
    <row r="9" spans="2:25">
      <c r="B9" s="24" t="s">
        <v>25</v>
      </c>
      <c r="C9" s="24" t="s">
        <v>40</v>
      </c>
      <c r="D9" s="30">
        <v>0</v>
      </c>
      <c r="E9" s="26">
        <f t="shared" si="0"/>
        <v>0</v>
      </c>
      <c r="F9" s="36">
        <f t="shared" si="1"/>
        <v>1</v>
      </c>
      <c r="G9" s="27">
        <v>0.14000000000000001</v>
      </c>
      <c r="H9" s="27">
        <v>0.16760999999999998</v>
      </c>
      <c r="I9" s="28">
        <v>60</v>
      </c>
      <c r="J9" s="28">
        <v>50</v>
      </c>
      <c r="K9" s="25">
        <v>1000000</v>
      </c>
      <c r="L9" s="28" t="s">
        <v>74</v>
      </c>
      <c r="M9" s="28">
        <f t="shared" si="2"/>
        <v>0</v>
      </c>
      <c r="N9" s="25">
        <v>30000</v>
      </c>
      <c r="O9" s="105" cm="1">
        <f t="array" ref="O9">NuevaLineaDeCredito(K9,I9,L9,N9,G9/12)</f>
        <v>899278.48279132356</v>
      </c>
      <c r="P9" s="29">
        <v>0</v>
      </c>
      <c r="Q9" s="32">
        <f t="shared" si="3"/>
        <v>20924.637321045295</v>
      </c>
      <c r="R9" s="107" cm="1">
        <f t="array" ref="R9">Saldo_Insoluto(G9,I9,J9,K9,Q9,N9)</f>
        <v>902405.51464289101</v>
      </c>
      <c r="S9" s="33">
        <f t="shared" si="4"/>
        <v>0</v>
      </c>
      <c r="T9" s="34">
        <f>VLOOKUP($B9,PI!$C$6:$Q$22,15,0)</f>
        <v>1.6753713723421979E-2</v>
      </c>
      <c r="U9" s="34">
        <f t="shared" si="5"/>
        <v>0.55000000000000004</v>
      </c>
      <c r="V9" s="35" cm="1">
        <f t="array" ref="V9">Reservas(G9,H9,J9,R9,Q9,F9,T9,U9)</f>
        <v>77111.371839255735</v>
      </c>
      <c r="W9" s="44">
        <f t="shared" si="6"/>
        <v>77111.371839255735</v>
      </c>
      <c r="X9" s="72">
        <f t="shared" si="7"/>
        <v>8.5450909361708655E-2</v>
      </c>
      <c r="Y9" s="72"/>
    </row>
    <row r="10" spans="2:25">
      <c r="B10" s="24" t="s">
        <v>26</v>
      </c>
      <c r="C10" s="24" t="s">
        <v>41</v>
      </c>
      <c r="D10" s="30">
        <v>0</v>
      </c>
      <c r="E10" s="26">
        <f t="shared" si="0"/>
        <v>0</v>
      </c>
      <c r="F10" s="36">
        <f t="shared" si="1"/>
        <v>1</v>
      </c>
      <c r="G10" s="27">
        <v>0.14000000000000001</v>
      </c>
      <c r="H10" s="27">
        <v>0.159</v>
      </c>
      <c r="I10" s="28">
        <v>48</v>
      </c>
      <c r="J10" s="28">
        <v>44</v>
      </c>
      <c r="K10" s="25">
        <v>900000</v>
      </c>
      <c r="L10" s="28" t="s">
        <v>76</v>
      </c>
      <c r="M10" s="28">
        <f t="shared" si="2"/>
        <v>0</v>
      </c>
      <c r="N10" s="25">
        <v>40000</v>
      </c>
      <c r="O10" s="105" cm="1">
        <f t="array" ref="O10">NuevaLineaDeCredito(K10,I10,L10,N10,G10/12)</f>
        <v>785648.70270207489</v>
      </c>
      <c r="P10" s="29">
        <v>0</v>
      </c>
      <c r="Q10" s="32">
        <f t="shared" si="3"/>
        <v>21469.010807752351</v>
      </c>
      <c r="R10" s="107" cm="1">
        <f t="array" ref="R10">Saldo_Insoluto(G10,I10,J10,K10,Q10,N10)</f>
        <v>855350.13660862599</v>
      </c>
      <c r="S10" s="33">
        <f t="shared" si="4"/>
        <v>0</v>
      </c>
      <c r="T10" s="34">
        <f>VLOOKUP($B10,PI!$C$6:$Q$22,15,0)</f>
        <v>4.3750954657727534E-2</v>
      </c>
      <c r="U10" s="34">
        <f t="shared" si="5"/>
        <v>0.55000000000000004</v>
      </c>
      <c r="V10" s="35" cm="1">
        <f t="array" ref="V10">Reservas(G10,H10,J10,R10,Q10,F10,T10,U10)</f>
        <v>161326.08300142738</v>
      </c>
      <c r="W10" s="44">
        <f t="shared" si="6"/>
        <v>161326.08300142738</v>
      </c>
      <c r="X10" s="72">
        <f t="shared" si="7"/>
        <v>0.18860823900849361</v>
      </c>
      <c r="Y10" s="72"/>
    </row>
    <row r="11" spans="2:25">
      <c r="B11" s="24" t="s">
        <v>27</v>
      </c>
      <c r="C11" s="24" t="s">
        <v>42</v>
      </c>
      <c r="D11" s="30">
        <v>10</v>
      </c>
      <c r="E11" s="71">
        <f t="shared" si="0"/>
        <v>0.32894736842105265</v>
      </c>
      <c r="F11" s="36">
        <f t="shared" si="1"/>
        <v>1</v>
      </c>
      <c r="G11" s="27">
        <v>0.1</v>
      </c>
      <c r="H11" s="27">
        <v>0.10658999999999999</v>
      </c>
      <c r="I11" s="28">
        <v>60</v>
      </c>
      <c r="J11" s="28">
        <v>55</v>
      </c>
      <c r="K11" s="25">
        <v>800000</v>
      </c>
      <c r="L11" s="28" t="s">
        <v>74</v>
      </c>
      <c r="M11" s="28">
        <f t="shared" si="2"/>
        <v>0</v>
      </c>
      <c r="N11" s="25">
        <v>20000</v>
      </c>
      <c r="O11" s="105" cm="1">
        <f t="array" ref="O11">NuevaLineaDeCredito(K11,I11,L11,N11,G11/12)</f>
        <v>725088.35466000589</v>
      </c>
      <c r="P11" s="29">
        <v>0</v>
      </c>
      <c r="Q11" s="32">
        <f t="shared" si="3"/>
        <v>15405.984691081096</v>
      </c>
      <c r="R11" s="107" cm="1">
        <f t="array" ref="R11">Saldo_Insoluto(G11,I11,J11,K11,Q11,N11)</f>
        <v>755569.03903017484</v>
      </c>
      <c r="S11" s="33">
        <f t="shared" si="4"/>
        <v>0</v>
      </c>
      <c r="T11" s="34">
        <f>VLOOKUP($B11,PI!$C$6:$Q$22,15,0)</f>
        <v>0.44391875809553571</v>
      </c>
      <c r="U11" s="34">
        <f t="shared" si="5"/>
        <v>0.57500000000000007</v>
      </c>
      <c r="V11" s="35" cm="1">
        <f t="array" ref="V11">Reservas(G11,H11,J11,R11,Q11,F11,T11,U11)</f>
        <v>233153.3275073304</v>
      </c>
      <c r="W11" s="44">
        <f t="shared" si="6"/>
        <v>233153.3275073304</v>
      </c>
      <c r="X11" s="72">
        <f t="shared" si="7"/>
        <v>0.30857977956137383</v>
      </c>
      <c r="Y11" s="72"/>
    </row>
    <row r="12" spans="2:25">
      <c r="B12" s="24" t="s">
        <v>28</v>
      </c>
      <c r="C12" s="24" t="s">
        <v>43</v>
      </c>
      <c r="D12" s="30">
        <v>60</v>
      </c>
      <c r="E12" s="31">
        <f t="shared" si="0"/>
        <v>1.9736842105263159</v>
      </c>
      <c r="F12" s="36">
        <f t="shared" si="1"/>
        <v>2</v>
      </c>
      <c r="G12" s="27">
        <v>0.16</v>
      </c>
      <c r="H12" s="27">
        <v>0.19377</v>
      </c>
      <c r="I12" s="28">
        <v>48</v>
      </c>
      <c r="J12" s="28">
        <v>33</v>
      </c>
      <c r="K12" s="25">
        <v>1300000</v>
      </c>
      <c r="L12" s="28" t="s">
        <v>76</v>
      </c>
      <c r="M12" s="28">
        <f t="shared" si="2"/>
        <v>1</v>
      </c>
      <c r="N12" s="25">
        <v>50000</v>
      </c>
      <c r="O12" s="105" cm="1">
        <f t="array" ref="O12">NuevaLineaDeCredito(K12,I12,L12,N12,G12/12)</f>
        <v>1163449.6160094719</v>
      </c>
      <c r="P12" s="29">
        <v>2</v>
      </c>
      <c r="Q12" s="32">
        <f t="shared" si="3"/>
        <v>32972.488819935708</v>
      </c>
      <c r="R12" s="107" cm="1">
        <f t="array" ref="R12">Saldo_Insoluto(G12,I12,J12,K12,Q12,N12)</f>
        <v>990173.91203215823</v>
      </c>
      <c r="S12" s="33">
        <f t="shared" si="4"/>
        <v>65944.977639871417</v>
      </c>
      <c r="T12" s="34">
        <f>VLOOKUP($B12,PI!$C$6:$Q$22,15,0)</f>
        <v>0.46539803861923651</v>
      </c>
      <c r="U12" s="34">
        <f t="shared" si="5"/>
        <v>0.70000000000000007</v>
      </c>
      <c r="V12" s="35" cm="1">
        <f t="array" ref="V12">Reservas(G12,H12,J12,R12,Q12,F12,T12,U12)</f>
        <v>350061.48875457683</v>
      </c>
      <c r="W12" s="44">
        <f t="shared" si="6"/>
        <v>416006.46639444825</v>
      </c>
      <c r="X12" s="72">
        <f t="shared" si="7"/>
        <v>0.42013474738055656</v>
      </c>
      <c r="Y12" s="72"/>
    </row>
    <row r="13" spans="2:25">
      <c r="B13" s="24" t="s">
        <v>28</v>
      </c>
      <c r="C13" s="24" t="s">
        <v>44</v>
      </c>
      <c r="D13" s="30">
        <v>70</v>
      </c>
      <c r="E13" s="31">
        <f t="shared" si="0"/>
        <v>2.3026315789473686</v>
      </c>
      <c r="F13" s="36">
        <f t="shared" si="1"/>
        <v>2</v>
      </c>
      <c r="G13" s="27">
        <v>0.15</v>
      </c>
      <c r="H13" s="27">
        <v>0.17150000000000001</v>
      </c>
      <c r="I13" s="28">
        <v>36</v>
      </c>
      <c r="J13" s="28">
        <v>28</v>
      </c>
      <c r="K13" s="25">
        <v>1800000</v>
      </c>
      <c r="L13" s="28" t="s">
        <v>77</v>
      </c>
      <c r="M13" s="28">
        <f t="shared" si="2"/>
        <v>0</v>
      </c>
      <c r="N13" s="25">
        <v>80000</v>
      </c>
      <c r="O13" s="105" cm="1">
        <f t="array" ref="O13">NuevaLineaDeCredito(K13,I13,L13,N13,G13/12)</f>
        <v>1620550.8138525235</v>
      </c>
      <c r="P13" s="29">
        <v>2</v>
      </c>
      <c r="Q13" s="32">
        <f t="shared" si="3"/>
        <v>56176.92631993688</v>
      </c>
      <c r="R13" s="107" cm="1">
        <f t="array" ref="R13">Saldo_Insoluto(G13,I13,J13,K13,Q13,N13)</f>
        <v>1518498.3416911387</v>
      </c>
      <c r="S13" s="33">
        <f t="shared" si="4"/>
        <v>112353.85263987376</v>
      </c>
      <c r="T13" s="34">
        <f>VLOOKUP($B13,PI!$C$6:$Q$22,15,0)</f>
        <v>0.46539803861923651</v>
      </c>
      <c r="U13" s="34">
        <f t="shared" si="5"/>
        <v>0.72500000000000009</v>
      </c>
      <c r="V13" s="35" cm="1">
        <f t="array" ref="V13">Reservas(G13,H13,J13,R13,Q13,F13,T13,U13)</f>
        <v>555205.9433462288</v>
      </c>
      <c r="W13" s="44">
        <f t="shared" si="6"/>
        <v>667559.79598610254</v>
      </c>
      <c r="X13" s="72">
        <f t="shared" si="7"/>
        <v>0.43961838986445445</v>
      </c>
      <c r="Y13" s="72"/>
    </row>
    <row r="14" spans="2:25">
      <c r="B14" s="24" t="s">
        <v>28</v>
      </c>
      <c r="C14" s="24" t="s">
        <v>45</v>
      </c>
      <c r="D14" s="30">
        <v>100</v>
      </c>
      <c r="E14" s="31">
        <f t="shared" si="0"/>
        <v>3.2894736842105265</v>
      </c>
      <c r="F14" s="36">
        <f t="shared" si="1"/>
        <v>3</v>
      </c>
      <c r="G14" s="27">
        <v>0.15</v>
      </c>
      <c r="H14" s="27">
        <v>0.17150000000000001</v>
      </c>
      <c r="I14" s="28">
        <v>60</v>
      </c>
      <c r="J14" s="28">
        <v>55</v>
      </c>
      <c r="K14" s="25">
        <v>1500000</v>
      </c>
      <c r="L14" s="28" t="s">
        <v>74</v>
      </c>
      <c r="M14" s="28">
        <f t="shared" si="2"/>
        <v>0</v>
      </c>
      <c r="N14" s="25">
        <v>50000</v>
      </c>
      <c r="O14" s="105" cm="1">
        <f t="array" ref="O14">NuevaLineaDeCredito(K14,I14,L14,N14,G14/12)</f>
        <v>1336573.0540970694</v>
      </c>
      <c r="P14" s="29">
        <v>3</v>
      </c>
      <c r="Q14" s="32">
        <f t="shared" si="3"/>
        <v>31796.979512280253</v>
      </c>
      <c r="R14" s="107" cm="1">
        <f t="array" ref="R14">Saldo_Insoluto(G14,I14,J14,K14,Q14,N14)</f>
        <v>1433113.7164265926</v>
      </c>
      <c r="S14" s="33">
        <f t="shared" si="4"/>
        <v>95390.938536840753</v>
      </c>
      <c r="T14" s="34">
        <f>VLOOKUP($B14,PI!$C$6:$Q$22,15,0)</f>
        <v>0.46539803861923651</v>
      </c>
      <c r="U14" s="34">
        <f t="shared" si="5"/>
        <v>0.8</v>
      </c>
      <c r="V14" s="35" cm="1">
        <f t="array" ref="V14">Reservas(G14,H14,J14,R14,Q14,F14,T14,U14)</f>
        <v>588144.58604387706</v>
      </c>
      <c r="W14" s="44">
        <f t="shared" si="6"/>
        <v>683535.52458071779</v>
      </c>
      <c r="X14" s="72">
        <f t="shared" si="7"/>
        <v>0.47695832978633701</v>
      </c>
      <c r="Y14" s="72"/>
    </row>
    <row r="15" spans="2:25">
      <c r="B15" s="24" t="s">
        <v>29</v>
      </c>
      <c r="C15" s="24" t="s">
        <v>46</v>
      </c>
      <c r="D15" s="30">
        <v>55</v>
      </c>
      <c r="E15" s="31">
        <f t="shared" si="0"/>
        <v>1.8092105263157896</v>
      </c>
      <c r="F15" s="36">
        <f t="shared" si="1"/>
        <v>2</v>
      </c>
      <c r="G15" s="27">
        <v>0.14000000000000001</v>
      </c>
      <c r="H15" s="27">
        <v>0.16760999999999998</v>
      </c>
      <c r="I15" s="28">
        <v>48</v>
      </c>
      <c r="J15" s="28">
        <v>39</v>
      </c>
      <c r="K15" s="25">
        <v>900000</v>
      </c>
      <c r="L15" s="28" t="s">
        <v>76</v>
      </c>
      <c r="M15" s="28">
        <f t="shared" si="2"/>
        <v>0</v>
      </c>
      <c r="N15" s="25">
        <v>35000</v>
      </c>
      <c r="O15" s="105" cm="1">
        <f t="array" ref="O15">NuevaLineaDeCredito(K15,I15,L15,N15,G15/12)</f>
        <v>799942.6148643156</v>
      </c>
      <c r="P15" s="29">
        <v>1</v>
      </c>
      <c r="Q15" s="32">
        <f t="shared" si="3"/>
        <v>21859.613062476084</v>
      </c>
      <c r="R15" s="107" cm="1">
        <f t="array" ref="R15">Saldo_Insoluto(G15,I15,J15,K15,Q15,N15)</f>
        <v>792860.26676155161</v>
      </c>
      <c r="S15" s="33">
        <f t="shared" si="4"/>
        <v>21859.613062476084</v>
      </c>
      <c r="T15" s="34">
        <f>VLOOKUP($B15,PI!$C$6:$Q$22,15,0)</f>
        <v>0.79721299247027178</v>
      </c>
      <c r="U15" s="34">
        <f t="shared" si="5"/>
        <v>0.6875</v>
      </c>
      <c r="V15" s="35" cm="1">
        <f t="array" ref="V15">Reservas(G15,H15,J15,R15,Q15,F15,T15,U15)</f>
        <v>108200.97268420219</v>
      </c>
      <c r="W15" s="44">
        <f t="shared" si="6"/>
        <v>130060.58574667828</v>
      </c>
      <c r="X15" s="72">
        <f t="shared" si="7"/>
        <v>0.16403973209291026</v>
      </c>
      <c r="Y15" s="72"/>
    </row>
    <row r="16" spans="2:25">
      <c r="B16" s="24" t="s">
        <v>30</v>
      </c>
      <c r="C16" s="24" t="s">
        <v>47</v>
      </c>
      <c r="D16" s="30">
        <v>60</v>
      </c>
      <c r="E16" s="31">
        <f t="shared" si="0"/>
        <v>1.9736842105263159</v>
      </c>
      <c r="F16" s="36">
        <f t="shared" si="1"/>
        <v>2</v>
      </c>
      <c r="G16" s="27">
        <v>0.13500000000000001</v>
      </c>
      <c r="H16" s="27">
        <v>0.15781000000000001</v>
      </c>
      <c r="I16" s="28">
        <v>48</v>
      </c>
      <c r="J16" s="28">
        <v>42</v>
      </c>
      <c r="K16" s="25">
        <v>1800000</v>
      </c>
      <c r="L16" s="28" t="s">
        <v>76</v>
      </c>
      <c r="M16" s="28">
        <f t="shared" si="2"/>
        <v>0</v>
      </c>
      <c r="N16" s="25">
        <v>70000</v>
      </c>
      <c r="O16" s="105" cm="1">
        <f t="array" ref="O16">NuevaLineaDeCredito(K16,I16,L16,N16,G16/12)</f>
        <v>1597566.9765245032</v>
      </c>
      <c r="P16" s="29">
        <v>2</v>
      </c>
      <c r="Q16" s="32">
        <f t="shared" si="3"/>
        <v>43256.239396304125</v>
      </c>
      <c r="R16" s="107" cm="1">
        <f t="array" ref="R16">Saldo_Insoluto(G16,I16,J16,K16,Q16,N16)</f>
        <v>1658021.5325885694</v>
      </c>
      <c r="S16" s="33">
        <f t="shared" si="4"/>
        <v>86512.47879260825</v>
      </c>
      <c r="T16" s="34">
        <f>VLOOKUP($B16,PI!$C$6:$Q$22,15,0)</f>
        <v>0.77689538679573777</v>
      </c>
      <c r="U16" s="34">
        <f t="shared" si="5"/>
        <v>0.70000000000000007</v>
      </c>
      <c r="V16" s="35" cm="1">
        <f t="array" ref="V16">Reservas(G16,H16,J16,R16,Q16,F16,T16,U16)</f>
        <v>253557.96263947565</v>
      </c>
      <c r="W16" s="44">
        <f t="shared" si="6"/>
        <v>340070.4414320839</v>
      </c>
      <c r="X16" s="72">
        <f t="shared" si="7"/>
        <v>0.20510616704787443</v>
      </c>
      <c r="Y16" s="72"/>
    </row>
    <row r="17" spans="2:25">
      <c r="B17" s="24" t="s">
        <v>31</v>
      </c>
      <c r="C17" s="24" t="s">
        <v>48</v>
      </c>
      <c r="D17" s="30">
        <v>40</v>
      </c>
      <c r="E17" s="31">
        <f t="shared" si="0"/>
        <v>1.3157894736842106</v>
      </c>
      <c r="F17" s="36">
        <f t="shared" si="1"/>
        <v>2</v>
      </c>
      <c r="G17" s="27">
        <v>0.12</v>
      </c>
      <c r="H17" s="27">
        <v>0.13550000000000001</v>
      </c>
      <c r="I17" s="28">
        <v>60</v>
      </c>
      <c r="J17" s="28">
        <v>44</v>
      </c>
      <c r="K17" s="25">
        <v>900000</v>
      </c>
      <c r="L17" s="28" t="s">
        <v>74</v>
      </c>
      <c r="M17" s="28">
        <f t="shared" si="2"/>
        <v>1</v>
      </c>
      <c r="N17" s="25">
        <v>30000</v>
      </c>
      <c r="O17" s="105" cm="1">
        <f t="array" ref="O17">NuevaLineaDeCredito(K17,I17,L17,N17,G17/12)</f>
        <v>793660.49030042731</v>
      </c>
      <c r="P17" s="29">
        <v>1</v>
      </c>
      <c r="Q17" s="32">
        <f t="shared" si="3"/>
        <v>17654.539256061347</v>
      </c>
      <c r="R17" s="107" cm="1">
        <f t="array" ref="R17">Saldo_Insoluto(G17,I17,J17,K17,Q17,N17)</f>
        <v>719423.01321671077</v>
      </c>
      <c r="S17" s="33">
        <f t="shared" si="4"/>
        <v>17654.539256061347</v>
      </c>
      <c r="T17" s="34">
        <f>VLOOKUP($B17,PI!$C$6:$Q$22,15,0)</f>
        <v>0.72864025744140415</v>
      </c>
      <c r="U17" s="34">
        <f t="shared" si="5"/>
        <v>0.65</v>
      </c>
      <c r="V17" s="35" cm="1">
        <f t="array" ref="V17">Reservas(G17,H17,J17,R17,Q17,F17,T17,U17)</f>
        <v>124289.35886882413</v>
      </c>
      <c r="W17" s="44">
        <f t="shared" si="6"/>
        <v>141943.89812488548</v>
      </c>
      <c r="X17" s="72">
        <f t="shared" si="7"/>
        <v>0.1973024152928062</v>
      </c>
      <c r="Y17" s="72"/>
    </row>
    <row r="18" spans="2:25">
      <c r="B18" s="24" t="s">
        <v>32</v>
      </c>
      <c r="C18" s="24" t="s">
        <v>49</v>
      </c>
      <c r="D18" s="30">
        <v>40</v>
      </c>
      <c r="E18" s="31">
        <f t="shared" si="0"/>
        <v>1.3157894736842106</v>
      </c>
      <c r="F18" s="36">
        <f t="shared" si="1"/>
        <v>2</v>
      </c>
      <c r="G18" s="27">
        <v>0.13</v>
      </c>
      <c r="H18" s="27">
        <v>0.14591999999999999</v>
      </c>
      <c r="I18" s="28">
        <v>48</v>
      </c>
      <c r="J18" s="28">
        <v>40</v>
      </c>
      <c r="K18" s="25">
        <v>1200000</v>
      </c>
      <c r="L18" s="28" t="s">
        <v>76</v>
      </c>
      <c r="M18" s="28">
        <f t="shared" si="2"/>
        <v>0</v>
      </c>
      <c r="N18" s="25">
        <v>40000</v>
      </c>
      <c r="O18" s="105" cm="1">
        <f t="array" ref="O18">NuevaLineaDeCredito(K18,I18,L18,N18,G18/12)</f>
        <v>1082979.8462156781</v>
      </c>
      <c r="P18" s="29">
        <v>1</v>
      </c>
      <c r="Q18" s="32">
        <f t="shared" si="3"/>
        <v>29053.637377381245</v>
      </c>
      <c r="R18" s="107" cm="1">
        <f t="array" ref="R18">Saldo_Insoluto(G18,I18,J18,K18,Q18,N18)</f>
        <v>1066594.3481778929</v>
      </c>
      <c r="S18" s="33">
        <f t="shared" si="4"/>
        <v>29053.637377381245</v>
      </c>
      <c r="T18" s="34">
        <f>VLOOKUP($B18,PI!$C$6:$Q$22,15,0)</f>
        <v>0.78867875892857398</v>
      </c>
      <c r="U18" s="34">
        <f t="shared" si="5"/>
        <v>0.65</v>
      </c>
      <c r="V18" s="35" cm="1">
        <f t="array" ref="V18">Reservas(G18,H18,J18,R18,Q18,F18,T18,U18)</f>
        <v>143655.15016758227</v>
      </c>
      <c r="W18" s="44">
        <f t="shared" si="6"/>
        <v>172708.7875449635</v>
      </c>
      <c r="X18" s="72">
        <f t="shared" si="7"/>
        <v>0.16192546664062965</v>
      </c>
      <c r="Y18" s="72"/>
    </row>
    <row r="19" spans="2:25">
      <c r="B19" s="24" t="s">
        <v>33</v>
      </c>
      <c r="C19" s="24" t="s">
        <v>50</v>
      </c>
      <c r="D19" s="30">
        <v>40</v>
      </c>
      <c r="E19" s="31">
        <f t="shared" si="0"/>
        <v>1.3157894736842106</v>
      </c>
      <c r="F19" s="36">
        <f t="shared" si="1"/>
        <v>2</v>
      </c>
      <c r="G19" s="27">
        <v>0.11</v>
      </c>
      <c r="H19" s="27">
        <v>0.12</v>
      </c>
      <c r="I19" s="28">
        <v>60</v>
      </c>
      <c r="J19" s="28">
        <v>58</v>
      </c>
      <c r="K19" s="25">
        <v>900000</v>
      </c>
      <c r="L19" s="28" t="s">
        <v>74</v>
      </c>
      <c r="M19" s="28">
        <f t="shared" si="2"/>
        <v>0</v>
      </c>
      <c r="N19" s="25">
        <v>20000</v>
      </c>
      <c r="O19" s="105" cm="1">
        <f t="array" ref="O19">NuevaLineaDeCredito(K19,I19,L19,N19,G19/12)</f>
        <v>827133.24399008055</v>
      </c>
      <c r="P19" s="29">
        <v>1</v>
      </c>
      <c r="Q19" s="32">
        <f t="shared" si="3"/>
        <v>17983.880928280236</v>
      </c>
      <c r="R19" s="107" cm="1">
        <f t="array" ref="R19">Saldo_Insoluto(G19,I19,J19,K19,Q19,N19)</f>
        <v>880443.01095841662</v>
      </c>
      <c r="S19" s="33">
        <f t="shared" si="4"/>
        <v>17983.880928280236</v>
      </c>
      <c r="T19" s="34">
        <f>VLOOKUP($B19,PI!$C$6:$Q$22,15,0)</f>
        <v>0.8336288571326641</v>
      </c>
      <c r="U19" s="34">
        <f t="shared" si="5"/>
        <v>0.65</v>
      </c>
      <c r="V19" s="35" cm="1">
        <f t="array" ref="V19">Reservas(G19,H19,J19,R19,Q19,F19,T19,U19)</f>
        <v>93874.314121765885</v>
      </c>
      <c r="W19" s="44">
        <f t="shared" si="6"/>
        <v>111858.19505004612</v>
      </c>
      <c r="X19" s="72">
        <f t="shared" si="7"/>
        <v>0.12704762677175616</v>
      </c>
      <c r="Y19" s="72"/>
    </row>
    <row r="20" spans="2:25">
      <c r="B20" s="24" t="s">
        <v>34</v>
      </c>
      <c r="C20" s="24" t="s">
        <v>51</v>
      </c>
      <c r="D20" s="30">
        <v>0</v>
      </c>
      <c r="E20" s="31">
        <f t="shared" si="0"/>
        <v>0</v>
      </c>
      <c r="F20" s="36">
        <f t="shared" si="1"/>
        <v>1</v>
      </c>
      <c r="G20" s="27">
        <v>0.15</v>
      </c>
      <c r="H20" s="27">
        <v>0.17400000000000002</v>
      </c>
      <c r="I20" s="28">
        <v>36</v>
      </c>
      <c r="J20" s="28">
        <v>32</v>
      </c>
      <c r="K20" s="25">
        <v>700000</v>
      </c>
      <c r="L20" s="28" t="s">
        <v>77</v>
      </c>
      <c r="M20" s="28">
        <f t="shared" si="2"/>
        <v>0</v>
      </c>
      <c r="N20" s="25">
        <v>20000</v>
      </c>
      <c r="O20" s="105" cm="1">
        <f t="array" ref="O20">NuevaLineaDeCredito(K20,I20,L20,N20,G20/12)</f>
        <v>655137.70346313086</v>
      </c>
      <c r="P20" s="29">
        <v>0</v>
      </c>
      <c r="Q20" s="32">
        <f t="shared" si="3"/>
        <v>22710.563706032754</v>
      </c>
      <c r="R20" s="107" cm="1">
        <f t="array" ref="R20">Saldo_Insoluto(G20,I20,J20,K20,Q20,N20)</f>
        <v>643101.95030346152</v>
      </c>
      <c r="S20" s="33">
        <f t="shared" si="4"/>
        <v>0</v>
      </c>
      <c r="T20" s="34">
        <f>VLOOKUP($B20,PI!$C$6:$Q$22,15,0)</f>
        <v>0.43538086845249563</v>
      </c>
      <c r="U20" s="34">
        <f t="shared" si="5"/>
        <v>0.55000000000000004</v>
      </c>
      <c r="V20" s="35" cm="1">
        <f t="array" ref="V20">Reservas(G20,H20,J20,R20,Q20,F20,T20,U20)</f>
        <v>187535.49028969993</v>
      </c>
      <c r="W20" s="44">
        <f t="shared" si="6"/>
        <v>187535.49028969993</v>
      </c>
      <c r="X20" s="72">
        <f t="shared" si="7"/>
        <v>0.29161082500404062</v>
      </c>
      <c r="Y20" s="72"/>
    </row>
    <row r="21" spans="2:25" ht="15.75" thickBot="1">
      <c r="B21" s="24" t="s">
        <v>34</v>
      </c>
      <c r="C21" s="24" t="s">
        <v>52</v>
      </c>
      <c r="D21" s="30">
        <v>60</v>
      </c>
      <c r="E21" s="31">
        <f t="shared" si="0"/>
        <v>1.9736842105263159</v>
      </c>
      <c r="F21" s="36">
        <f t="shared" si="1"/>
        <v>2</v>
      </c>
      <c r="G21" s="27">
        <v>0.16</v>
      </c>
      <c r="H21" s="27">
        <v>0.193</v>
      </c>
      <c r="I21" s="28">
        <v>48</v>
      </c>
      <c r="J21" s="28">
        <v>38</v>
      </c>
      <c r="K21" s="25">
        <v>900000</v>
      </c>
      <c r="L21" s="28" t="s">
        <v>76</v>
      </c>
      <c r="M21" s="28">
        <f t="shared" si="2"/>
        <v>0</v>
      </c>
      <c r="N21" s="25">
        <v>40000</v>
      </c>
      <c r="O21" s="106" cm="1">
        <f t="array" ref="O21">NuevaLineaDeCredito(K21,I21,L21,N21,G21/12)</f>
        <v>790759.69280757755</v>
      </c>
      <c r="P21" s="29">
        <v>2</v>
      </c>
      <c r="Q21" s="32">
        <f t="shared" si="3"/>
        <v>22410.351743277704</v>
      </c>
      <c r="R21" s="107" cm="1">
        <f t="array" ref="R21">Saldo_Insoluto(G21,I21,J21,K21,Q21,N21)</f>
        <v>789422.91859435767</v>
      </c>
      <c r="S21" s="33">
        <f t="shared" si="4"/>
        <v>44820.703486555409</v>
      </c>
      <c r="T21" s="34">
        <f>VLOOKUP($B21,PI!$C$6:$Q$22,15,0)</f>
        <v>0.43538086845249563</v>
      </c>
      <c r="U21" s="34">
        <f t="shared" si="5"/>
        <v>0.70000000000000007</v>
      </c>
      <c r="V21" s="35" cm="1">
        <f t="array" ref="V21">Reservas(G21,H21,J21,R21,Q21,F21,T21,U21)</f>
        <v>295129.78650854889</v>
      </c>
      <c r="W21" s="44">
        <f t="shared" si="6"/>
        <v>339950.48999510432</v>
      </c>
      <c r="X21" s="72">
        <f t="shared" si="7"/>
        <v>0.43063164494947576</v>
      </c>
      <c r="Y21" s="72"/>
    </row>
    <row r="22" spans="2:25">
      <c r="P22" s="23"/>
    </row>
    <row r="24" spans="2:25">
      <c r="I24" s="17"/>
      <c r="J24" s="17"/>
      <c r="L24" s="17"/>
      <c r="M24" s="17"/>
    </row>
  </sheetData>
  <autoFilter ref="B4:W21" xr:uid="{FF8BD77D-1F71-4299-8F1C-B88177462BF4}"/>
  <phoneticPr fontId="11" type="noConversion"/>
  <conditionalFormatting sqref="F5:F2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Integrantes</vt:lpstr>
      <vt:lpstr>Ejercicio 1</vt:lpstr>
      <vt:lpstr>1. Tabla de Amorticación</vt:lpstr>
      <vt:lpstr>1. Modelo de Supervivencia</vt:lpstr>
      <vt:lpstr>Ejercicio 2</vt:lpstr>
      <vt:lpstr>Información PI</vt:lpstr>
      <vt:lpstr>PI</vt:lpstr>
      <vt:lpstr>SP</vt:lpstr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</dc:creator>
  <cp:lastModifiedBy>DAVID HERNANDEZ</cp:lastModifiedBy>
  <dcterms:created xsi:type="dcterms:W3CDTF">2022-05-19T05:00:35Z</dcterms:created>
  <dcterms:modified xsi:type="dcterms:W3CDTF">2024-05-18T04:58:08Z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6659a6bc-88e4-4027-9554-733b85faa394</vt:lpwstr>
  </property>
</Properties>
</file>