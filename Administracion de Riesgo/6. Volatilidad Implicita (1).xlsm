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6B5F4361-46A3-47FE-903C-6643CD33BFD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Volatilidad Implicita CALL" sheetId="9" r:id="rId1"/>
  </sheets>
  <functionGroups builtInGroupCount="19"/>
  <definedNames>
    <definedName name="CURVAEUR">#REF!</definedName>
    <definedName name="CURVAMXN">#REF!</definedName>
    <definedName name="CURVAMXP">#REF!</definedName>
    <definedName name="curvaprueba">#REF!</definedName>
    <definedName name="CURVAUSD">#REF!</definedName>
    <definedName name="VOL_EURUSD">#REF!</definedName>
    <definedName name="VOL_MXNUSD">#REF!</definedName>
    <definedName name="VOL_PLA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9" l="1"/>
  <c r="E8" i="9"/>
  <c r="D9" i="9"/>
  <c r="E9" i="9"/>
  <c r="D10" i="9"/>
  <c r="E10" i="9"/>
  <c r="D11" i="9"/>
  <c r="E11" i="9"/>
  <c r="D12" i="9"/>
  <c r="E12" i="9"/>
  <c r="D13" i="9"/>
  <c r="E13" i="9"/>
  <c r="D14" i="9"/>
  <c r="E14" i="9"/>
  <c r="D15" i="9"/>
  <c r="E15" i="9"/>
  <c r="D16" i="9"/>
  <c r="E16" i="9"/>
  <c r="D17" i="9"/>
  <c r="E17" i="9"/>
  <c r="D18" i="9"/>
  <c r="E18" i="9"/>
  <c r="D19" i="9"/>
  <c r="E19" i="9"/>
  <c r="D20" i="9"/>
  <c r="E20" i="9"/>
  <c r="E7" i="9"/>
  <c r="D7" i="9"/>
  <c r="C8" i="9"/>
  <c r="C9" i="9"/>
  <c r="C10" i="9"/>
  <c r="C11" i="9"/>
  <c r="C12" i="9"/>
  <c r="C13" i="9"/>
  <c r="C14" i="9"/>
  <c r="C15" i="9"/>
  <c r="C16" i="9"/>
  <c r="C17" i="9"/>
  <c r="C18" i="9"/>
  <c r="C19" i="9"/>
  <c r="C7" i="9"/>
  <c r="A9" i="9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8" i="9"/>
  <c r="F19" i="9" a="1"/>
  <c r="F15" i="9" a="1"/>
  <c r="F11" i="9" a="1"/>
  <c r="F7" i="9" a="1"/>
  <c r="F18" i="9" a="1"/>
  <c r="F14" i="9" a="1"/>
  <c r="F10" i="9" a="1"/>
  <c r="F17" i="9" a="1"/>
  <c r="F13" i="9" a="1"/>
  <c r="F9" i="9" a="1"/>
  <c r="F20" i="9" a="1"/>
  <c r="F16" i="9" a="1"/>
  <c r="F12" i="9" a="1"/>
  <c r="F8" i="9" a="1"/>
  <c r="F20" i="9" l="1"/>
  <c r="F10" i="9"/>
  <c r="F19" i="9"/>
  <c r="F9" i="9"/>
  <c r="F18" i="9"/>
  <c r="F8" i="9"/>
  <c r="F17" i="9"/>
  <c r="F16" i="9"/>
  <c r="F15" i="9"/>
  <c r="F14" i="9"/>
  <c r="F13" i="9"/>
  <c r="F12" i="9"/>
  <c r="F11" i="9"/>
  <c r="F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tc={7B983C43-E19D-46AA-A6B4-5878E28DFBFE}</author>
    <author>tc={E2862B5D-BDFE-4C1C-AA84-8C18AB81F972}</author>
    <author>tc={3A32A0BF-01C8-4F8C-9086-9CAC0704850D}</author>
  </authors>
  <commentList>
    <comment ref="A6" authorId="0" shapeId="0" xr:uid="{7B983C43-E19D-46AA-A6B4-5878E28DFBF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este caso hacemos que la simulacion sea deacuerdo al comportamiento del Strike</t>
      </text>
    </comment>
    <comment ref="F6" authorId="1" shapeId="0" xr:uid="{E2862B5D-BDFE-4C1C-AA84-8C18AB81F97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Usamos la funcion "PrimaCall" que habiamos desarrollado la clase pasada y que puede variar dependiendo de la opcion.</t>
      </text>
    </comment>
    <comment ref="G6" authorId="2" shapeId="0" xr:uid="{3A32A0BF-01C8-4F8C-9086-9CAC0704850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calculo de esta parte se ocupa lo que es la funcion "analisis de hipotesis"  en base a la prima Call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<sst xmlns="http://schemas.openxmlformats.org/spreadsheetml/2006/main" count="12" uniqueCount="12">
  <si>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Strike</t>
  </si>
  <si>
    <t>Prima</t>
  </si>
  <si>
    <t>Vencimiento</t>
  </si>
  <si>
    <t>Valuación</t>
  </si>
  <si>
    <t>Días</t>
  </si>
  <si>
    <t>Tasa Local</t>
  </si>
  <si>
    <t>Prima Call</t>
  </si>
  <si>
    <t>Volatilidad
Implícita</t>
  </si>
  <si>
    <t>Spot Tipo de Cambio</t>
  </si>
  <si>
    <t>Tasa Foránea</t>
  </si>
  <si>
    <t>Tasa R =</t>
  </si>
  <si>
    <t>Tasa r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</si>
</sst>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%"/>
    <numFmt numFmtId="165" formatCode="_-&quot;$&quot;* #,##0.000_-;\-&quot;$&quot;* #,##0.000_-;_-&quot;$&quot;* &quot;-&quot;??_-;_-@_-"/>
    <numFmt numFmtId="166" formatCode="0.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10" fontId="0" fillId="2" borderId="0" xfId="0" applyNumberFormat="1" applyFill="1"/>
    <xf numFmtId="165" fontId="0" fillId="0" borderId="0" xfId="3" applyNumberFormat="1" applyFont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10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2" fontId="0" fillId="0" borderId="2" xfId="2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2" applyNumberFormat="1" applyFont="1" applyFill="1" applyBorder="1" applyAlignment="1">
      <alignment horizontal="center"/>
    </xf>
    <xf numFmtId="164" fontId="0" fillId="0" borderId="3" xfId="1" applyNumberFormat="1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0" fontId="0" fillId="2" borderId="4" xfId="0" applyNumberFormat="1" applyFill="1" applyBorder="1" applyAlignment="1">
      <alignment horizontal="center"/>
    </xf>
    <xf numFmtId="2" fontId="0" fillId="0" borderId="5" xfId="2" applyNumberFormat="1" applyFont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0" fontId="0" fillId="2" borderId="6" xfId="0" applyNumberFormat="1" applyFill="1" applyBorder="1" applyAlignment="1">
      <alignment horizontal="center"/>
    </xf>
    <xf numFmtId="2" fontId="0" fillId="0" borderId="7" xfId="2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8" xfId="2" applyNumberFormat="1" applyFont="1" applyFill="1" applyBorder="1" applyAlignment="1">
      <alignment horizontal="center"/>
    </xf>
    <xf numFmtId="164" fontId="0" fillId="0" borderId="8" xfId="1" applyNumberFormat="1" applyFont="1" applyFill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0" fontId="0" fillId="2" borderId="9" xfId="0" applyNumberFormat="1" applyFill="1" applyBorder="1" applyAlignment="1">
      <alignment horizontal="center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'Volatilidad Implicita CALL'!$G$6</c:f>
              <c:strCache>
                <c:ptCount val="1"/>
                <c:pt idx="0">
                  <c:v>Volatilidad
Implícita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'Volatilidad Implicita CALL'!$A$7:$A$20</c:f>
              <c:numCache>
                <c:formatCode>0.00</c:formatCode>
                <c:ptCount val="14"/>
                <c:pt idx="0">
                  <c:v>16.8</c:v>
                </c:pt>
                <c:pt idx="1">
                  <c:v>16.850000000000001</c:v>
                </c:pt>
                <c:pt idx="2">
                  <c:v>16.900000000000002</c:v>
                </c:pt>
                <c:pt idx="3">
                  <c:v>16.950000000000003</c:v>
                </c:pt>
                <c:pt idx="4">
                  <c:v>17.000000000000004</c:v>
                </c:pt>
                <c:pt idx="5">
                  <c:v>17.050000000000004</c:v>
                </c:pt>
                <c:pt idx="6">
                  <c:v>17.100000000000005</c:v>
                </c:pt>
                <c:pt idx="7">
                  <c:v>17.150000000000006</c:v>
                </c:pt>
                <c:pt idx="8">
                  <c:v>17.200000000000006</c:v>
                </c:pt>
                <c:pt idx="9">
                  <c:v>17.250000000000007</c:v>
                </c:pt>
                <c:pt idx="10">
                  <c:v>17.300000000000008</c:v>
                </c:pt>
                <c:pt idx="11">
                  <c:v>17.350000000000009</c:v>
                </c:pt>
                <c:pt idx="12">
                  <c:v>17.400000000000009</c:v>
                </c:pt>
                <c:pt idx="13">
                  <c:v>17.45000000000001</c:v>
                </c:pt>
              </c:numCache>
            </c:numRef>
          </c:cat>
          <c:val>
            <c:numRef>
              <c:f>'Volatilidad Implicita CALL'!$G$7:$G$20</c:f>
              <c:numCache>
                <c:formatCode>0.00%</c:formatCode>
                <c:ptCount val="14"/>
                <c:pt idx="0">
                  <c:v>0.16009548451698627</c:v>
                </c:pt>
                <c:pt idx="1">
                  <c:v>0.1593501397620648</c:v>
                </c:pt>
                <c:pt idx="2">
                  <c:v>0.15780002182272621</c:v>
                </c:pt>
                <c:pt idx="3">
                  <c:v>0.15717352981858207</c:v>
                </c:pt>
                <c:pt idx="4">
                  <c:v>0.15609834224536839</c:v>
                </c:pt>
                <c:pt idx="5">
                  <c:v>0.15528809417162961</c:v>
                </c:pt>
                <c:pt idx="6">
                  <c:v>0.15415641221442172</c:v>
                </c:pt>
                <c:pt idx="7">
                  <c:v>0.15278053770455366</c:v>
                </c:pt>
                <c:pt idx="8">
                  <c:v>0.15193343867095171</c:v>
                </c:pt>
                <c:pt idx="9">
                  <c:v>0.15115953291029538</c:v>
                </c:pt>
                <c:pt idx="10">
                  <c:v>0.14978975320196902</c:v>
                </c:pt>
                <c:pt idx="11">
                  <c:v>0.14864322523925874</c:v>
                </c:pt>
                <c:pt idx="12">
                  <c:v>0.14789233759505799</c:v>
                </c:pt>
                <c:pt idx="13">
                  <c:v>0.14641696532432771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13-4696-B885-73DD9C656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5681104"/>
        <c:axId val="565684944"/>
      </c:lineChart>
      <c:catAx>
        <c:axId val="56568110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5684944"/>
        <c:crosses val="autoZero"/>
        <c:auto val="1"/>
        <c:lblAlgn val="ctr"/>
        <c:lblOffset val="100"/>
        <c:noMultiLvlLbl val="0"/>
      </c:catAx>
      <c:valAx>
        <c:axId val="56568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56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79954</xdr:colOff>
      <xdr:row>5</xdr:row>
      <xdr:rowOff>264031</xdr:rowOff>
    </xdr:from>
    <xdr:to>
      <xdr:col>13</xdr:col>
      <xdr:colOff>727654</xdr:colOff>
      <xdr:row>20</xdr:row>
      <xdr:rowOff>73531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771525</xdr:colOff>
          <xdr:row>1</xdr:row>
          <xdr:rowOff>0</xdr:rowOff>
        </xdr:from>
        <xdr:to>
          <xdr:col>8</xdr:col>
          <xdr:colOff>533400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179294</xdr:colOff>
      <xdr:row>0</xdr:row>
      <xdr:rowOff>145677</xdr:rowOff>
    </xdr:from>
    <xdr:to>
      <xdr:col>14</xdr:col>
      <xdr:colOff>560294</xdr:colOff>
      <xdr:row>5</xdr:row>
      <xdr:rowOff>56030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575176" y="145677"/>
          <a:ext cx="4191000" cy="862853"/>
        </a:xfrm>
        <a:prstGeom prst="rect">
          <a:avLst/>
        </a:prstGeom>
        <a:solidFill>
          <a:schemeClr val="lt1"/>
        </a:solidFill>
        <a:ln w="28575" cmpd="sng">
          <a:solidFill>
            <a:srgbClr val="00B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 volatilidad implícita </a:t>
          </a:r>
          <a:r>
            <a:rPr lang="es-MX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la volatilidad del activo subyacente prevista a futuro </a:t>
          </a:r>
          <a:r>
            <a:rPr lang="es-MX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(la cual se va perdiendo con el paso de tiempo)</a:t>
          </a:r>
          <a:r>
            <a:rPr lang="es-MX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como parte del proceso de valoración. </a:t>
          </a:r>
          <a:endParaRPr lang="es-MX" sz="1100"/>
        </a:p>
      </xdr:txBody>
    </xdr:sp>
    <xdr:clientData/>
  </xdr:twoCellAnchor>
  <xdr:twoCellAnchor>
    <xdr:from>
      <xdr:col>0</xdr:col>
      <xdr:colOff>392205</xdr:colOff>
      <xdr:row>21</xdr:row>
      <xdr:rowOff>190499</xdr:rowOff>
    </xdr:from>
    <xdr:to>
      <xdr:col>5</xdr:col>
      <xdr:colOff>235323</xdr:colOff>
      <xdr:row>26</xdr:row>
      <xdr:rowOff>100852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92205" y="4381499"/>
          <a:ext cx="4191000" cy="862853"/>
        </a:xfrm>
        <a:prstGeom prst="rect">
          <a:avLst/>
        </a:prstGeom>
        <a:solidFill>
          <a:schemeClr val="lt1"/>
        </a:solidFill>
        <a:ln w="28575" cmpd="sng">
          <a:solidFill>
            <a:srgbClr val="00B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/>
            <a:t>Estamos</a:t>
          </a:r>
          <a:r>
            <a:rPr lang="es-MX" sz="1100" baseline="0"/>
            <a:t> realizando una simulacion del comportamiento de la volatibilidad conforme va creciendo el Strike en una tramite de </a:t>
          </a:r>
          <a:r>
            <a:rPr lang="es-MX" sz="1100" b="1" baseline="0"/>
            <a:t>opciones tipo CALL</a:t>
          </a:r>
          <a:endParaRPr lang="es-MX" sz="11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9636DB0E-A33D-4324-89CC-2694D4E54183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6" dT="2024-03-18T20:27:01.48" personId="{9636DB0E-A33D-4324-89CC-2694D4E54183}" id="{7B983C43-E19D-46AA-A6B4-5878E28DFBFE}">
    <text>Para este caso hacemos que la simulacion sea deacuerdo al comportamiento del Strike</text>
  </threadedComment>
  <threadedComment ref="F6" dT="2024-03-18T20:25:48.80" personId="{9636DB0E-A33D-4324-89CC-2694D4E54183}" id="{E2862B5D-BDFE-4C1C-AA84-8C18AB81F972}">
    <text>Usamos la funcion "PrimaCall" que habiamos desarrollado la clase pasada y que puede variar dependiendo de la opcion.</text>
  </threadedComment>
  <threadedComment ref="G6" dT="2024-03-18T20:25:00.58" personId="{9636DB0E-A33D-4324-89CC-2694D4E54183}" id="{3A32A0BF-01C8-4F8C-9086-9CAC0704850D}">
    <text>Para el calculo de esta parte se ocupa lo que es la funcion "analisis de hipotesis"  en base a la prima Call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F9DCF-6B5D-45EA-85A1-B6A8C2832D8E}">
  <sheetPr codeName="Hoja3"/>
  <dimension ref="A2:K20"/>
  <sheetViews>
    <sheetView tabSelected="1" zoomScale="85" zoomScaleNormal="85" workbookViewId="0">
      <selection activeCell="H11" sqref="H11"/>
    </sheetView>
  </sheetViews>
  <sheetFormatPr baseColWidth="10" defaultColWidth="11.42578125" defaultRowHeight="15" x14ac:dyDescent="0.25"/>
  <cols>
    <col min="1" max="1" width="19.42578125" bestFit="1" customWidth="1"/>
  </cols>
  <sheetData>
    <row r="2" spans="1:11" x14ac:dyDescent="0.25">
      <c r="A2" s="9" t="s">
        <v>3</v>
      </c>
      <c r="B2" s="7">
        <v>45352</v>
      </c>
      <c r="D2" s="10" t="s">
        <v>10</v>
      </c>
      <c r="E2" s="11">
        <v>0.112</v>
      </c>
    </row>
    <row r="3" spans="1:11" x14ac:dyDescent="0.25">
      <c r="A3" s="9" t="s">
        <v>2</v>
      </c>
      <c r="B3" s="7">
        <v>45366</v>
      </c>
      <c r="D3" s="10" t="s">
        <v>11</v>
      </c>
      <c r="E3" s="11">
        <v>5.3780000000000001E-2</v>
      </c>
    </row>
    <row r="4" spans="1:11" x14ac:dyDescent="0.25">
      <c r="A4" s="9" t="s">
        <v>8</v>
      </c>
      <c r="B4" s="8">
        <v>17.015000000000001</v>
      </c>
    </row>
    <row r="6" spans="1:11" ht="30" x14ac:dyDescent="0.25">
      <c r="A6" s="12" t="s">
        <v>0</v>
      </c>
      <c r="B6" s="12" t="s">
        <v>1</v>
      </c>
      <c r="C6" s="12" t="s">
        <v>4</v>
      </c>
      <c r="D6" s="12" t="s">
        <v>5</v>
      </c>
      <c r="E6" s="13" t="s">
        <v>9</v>
      </c>
      <c r="F6" s="12" t="s">
        <v>6</v>
      </c>
      <c r="G6" s="13" t="s">
        <v>7</v>
      </c>
      <c r="J6" s="4"/>
      <c r="K6" s="1"/>
    </row>
    <row r="7" spans="1:11" x14ac:dyDescent="0.25">
      <c r="A7" s="14">
        <v>16.8</v>
      </c>
      <c r="B7" s="15">
        <v>0.36199999999999999</v>
      </c>
      <c r="C7" s="16">
        <f>$B$3-$B$2</f>
        <v>14</v>
      </c>
      <c r="D7" s="17">
        <f>$E$2</f>
        <v>0.112</v>
      </c>
      <c r="E7" s="17">
        <f>$E$3</f>
        <v>5.3780000000000001E-2</v>
      </c>
      <c r="F7" s="18" cm="1">
        <f t="array" ref="F7">PrimaCall($B$4,A7,G7,C7,D7,E7)</f>
        <v>0.36194613474921855</v>
      </c>
      <c r="G7" s="19">
        <v>0.16009548451698627</v>
      </c>
      <c r="J7" s="5"/>
      <c r="K7" s="6"/>
    </row>
    <row r="8" spans="1:11" x14ac:dyDescent="0.25">
      <c r="A8" s="20">
        <f>+A7+0.05</f>
        <v>16.850000000000001</v>
      </c>
      <c r="B8" s="3">
        <v>0.32800000000000001</v>
      </c>
      <c r="C8" s="21">
        <f t="shared" ref="C8:C19" si="0">$B$3-$B$2</f>
        <v>14</v>
      </c>
      <c r="D8" s="22">
        <f t="shared" ref="D8:D20" si="1">$E$2</f>
        <v>0.112</v>
      </c>
      <c r="E8" s="22">
        <f t="shared" ref="E8:E20" si="2">$E$3</f>
        <v>5.3780000000000001E-2</v>
      </c>
      <c r="F8" s="23" cm="1">
        <f t="array" ref="F8">PrimaCall($B$4,A8,G8,C8,D8,E8)</f>
        <v>0.32818741494234521</v>
      </c>
      <c r="G8" s="24">
        <v>0.1593501397620648</v>
      </c>
      <c r="I8" s="3"/>
      <c r="J8" s="2"/>
    </row>
    <row r="9" spans="1:11" x14ac:dyDescent="0.25">
      <c r="A9" s="20">
        <f>+A8+0.05</f>
        <v>16.900000000000002</v>
      </c>
      <c r="B9" s="3">
        <v>0.29499999999999998</v>
      </c>
      <c r="C9" s="21">
        <f t="shared" si="0"/>
        <v>14</v>
      </c>
      <c r="D9" s="22">
        <f t="shared" si="1"/>
        <v>0.112</v>
      </c>
      <c r="E9" s="22">
        <f t="shared" si="2"/>
        <v>5.3780000000000001E-2</v>
      </c>
      <c r="F9" s="23" cm="1">
        <f t="array" ref="F9">PrimaCall($B$4,A9,G9,C9,D9,E9)</f>
        <v>0.29508694923213397</v>
      </c>
      <c r="G9" s="24">
        <v>0.15780002182272621</v>
      </c>
      <c r="I9" s="3"/>
      <c r="J9" s="2"/>
    </row>
    <row r="10" spans="1:11" x14ac:dyDescent="0.25">
      <c r="A10" s="20">
        <f t="shared" ref="A10:A17" si="3">+A9+0.05</f>
        <v>16.950000000000003</v>
      </c>
      <c r="B10" s="3">
        <v>0.26500000000000001</v>
      </c>
      <c r="C10" s="21">
        <f t="shared" si="0"/>
        <v>14</v>
      </c>
      <c r="D10" s="22">
        <f t="shared" si="1"/>
        <v>0.112</v>
      </c>
      <c r="E10" s="22">
        <f t="shared" si="2"/>
        <v>5.3780000000000001E-2</v>
      </c>
      <c r="F10" s="23" cm="1">
        <f t="array" ref="F10">PrimaCall($B$4,A10,G10,C10,D10,E10)</f>
        <v>0.26489666894290248</v>
      </c>
      <c r="G10" s="24">
        <v>0.15717352981858207</v>
      </c>
      <c r="I10" s="3"/>
      <c r="J10" s="2"/>
    </row>
    <row r="11" spans="1:11" x14ac:dyDescent="0.25">
      <c r="A11" s="20">
        <f t="shared" si="3"/>
        <v>17.000000000000004</v>
      </c>
      <c r="B11" s="3">
        <v>0.23599999999999999</v>
      </c>
      <c r="C11" s="21">
        <f t="shared" si="0"/>
        <v>14</v>
      </c>
      <c r="D11" s="22">
        <f t="shared" si="1"/>
        <v>0.112</v>
      </c>
      <c r="E11" s="22">
        <f t="shared" si="2"/>
        <v>5.3780000000000001E-2</v>
      </c>
      <c r="F11" s="23" cm="1">
        <f t="array" ref="F11">PrimaCall($B$4,A11,G11,C11,D11,E11)</f>
        <v>0.23593644052906546</v>
      </c>
      <c r="G11" s="24">
        <v>0.15609834224536839</v>
      </c>
      <c r="I11" s="3"/>
      <c r="J11" s="2"/>
    </row>
    <row r="12" spans="1:11" x14ac:dyDescent="0.25">
      <c r="A12" s="20">
        <f t="shared" si="3"/>
        <v>17.050000000000004</v>
      </c>
      <c r="B12" s="3">
        <v>0.20899999999999999</v>
      </c>
      <c r="C12" s="21">
        <f t="shared" si="0"/>
        <v>14</v>
      </c>
      <c r="D12" s="22">
        <f t="shared" si="1"/>
        <v>0.112</v>
      </c>
      <c r="E12" s="22">
        <f t="shared" si="2"/>
        <v>5.3780000000000001E-2</v>
      </c>
      <c r="F12" s="23" cm="1">
        <f t="array" ref="F12">PrimaCall($B$4,A12,G12,C12,D12,E12)</f>
        <v>0.20918727929975295</v>
      </c>
      <c r="G12" s="24">
        <v>0.15528809417162961</v>
      </c>
      <c r="I12" s="3"/>
      <c r="J12" s="2"/>
    </row>
    <row r="13" spans="1:11" x14ac:dyDescent="0.25">
      <c r="A13" s="20">
        <f t="shared" si="3"/>
        <v>17.100000000000005</v>
      </c>
      <c r="B13" s="3">
        <v>0.184</v>
      </c>
      <c r="C13" s="21">
        <f t="shared" si="0"/>
        <v>14</v>
      </c>
      <c r="D13" s="22">
        <f t="shared" si="1"/>
        <v>0.112</v>
      </c>
      <c r="E13" s="22">
        <f t="shared" si="2"/>
        <v>5.3780000000000001E-2</v>
      </c>
      <c r="F13" s="23" cm="1">
        <f t="array" ref="F13">PrimaCall($B$4,A13,G13,C13,D13,E13)</f>
        <v>0.18390573708088534</v>
      </c>
      <c r="G13" s="24">
        <v>0.15415641221442172</v>
      </c>
      <c r="I13" s="3"/>
      <c r="J13" s="2"/>
    </row>
    <row r="14" spans="1:11" x14ac:dyDescent="0.25">
      <c r="A14" s="20">
        <f t="shared" si="3"/>
        <v>17.150000000000006</v>
      </c>
      <c r="B14" s="3">
        <v>0.16</v>
      </c>
      <c r="C14" s="21">
        <f t="shared" si="0"/>
        <v>14</v>
      </c>
      <c r="D14" s="22">
        <f t="shared" si="1"/>
        <v>0.112</v>
      </c>
      <c r="E14" s="22">
        <f t="shared" si="2"/>
        <v>5.3780000000000001E-2</v>
      </c>
      <c r="F14" s="23" cm="1">
        <f t="array" ref="F14">PrimaCall($B$4,A14,G14,C14,D14,E14)</f>
        <v>0.16022274230957029</v>
      </c>
      <c r="G14" s="24">
        <v>0.15278053770455366</v>
      </c>
      <c r="I14" s="3"/>
      <c r="J14" s="2"/>
    </row>
    <row r="15" spans="1:11" x14ac:dyDescent="0.25">
      <c r="A15" s="20">
        <f t="shared" si="3"/>
        <v>17.200000000000006</v>
      </c>
      <c r="B15" s="3">
        <v>0.13900000000000001</v>
      </c>
      <c r="C15" s="21">
        <f t="shared" si="0"/>
        <v>14</v>
      </c>
      <c r="D15" s="22">
        <f t="shared" si="1"/>
        <v>0.112</v>
      </c>
      <c r="E15" s="22">
        <f t="shared" si="2"/>
        <v>5.3780000000000001E-2</v>
      </c>
      <c r="F15" s="23" cm="1">
        <f t="array" ref="F15">PrimaCall($B$4,A15,G15,C15,D15,E15)</f>
        <v>0.13916289161610135</v>
      </c>
      <c r="G15" s="24">
        <v>0.15193343867095171</v>
      </c>
      <c r="I15" s="3"/>
      <c r="J15" s="2"/>
    </row>
    <row r="16" spans="1:11" x14ac:dyDescent="0.25">
      <c r="A16" s="20">
        <f t="shared" si="3"/>
        <v>17.250000000000007</v>
      </c>
      <c r="B16" s="3">
        <v>0.12</v>
      </c>
      <c r="C16" s="21">
        <f t="shared" si="0"/>
        <v>14</v>
      </c>
      <c r="D16" s="22">
        <f t="shared" si="1"/>
        <v>0.112</v>
      </c>
      <c r="E16" s="22">
        <f t="shared" si="2"/>
        <v>5.3780000000000001E-2</v>
      </c>
      <c r="F16" s="23" cm="1">
        <f t="array" ref="F16">PrimaCall($B$4,A16,G16,C16,D16,E16)</f>
        <v>0.12009252502243256</v>
      </c>
      <c r="G16" s="24">
        <v>0.15115953291029538</v>
      </c>
      <c r="I16" s="3"/>
      <c r="J16" s="2"/>
    </row>
    <row r="17" spans="1:10" x14ac:dyDescent="0.25">
      <c r="A17" s="20">
        <f t="shared" si="3"/>
        <v>17.300000000000008</v>
      </c>
      <c r="B17" s="3">
        <v>0.10199999999999999</v>
      </c>
      <c r="C17" s="21">
        <f t="shared" si="0"/>
        <v>14</v>
      </c>
      <c r="D17" s="22">
        <f t="shared" si="1"/>
        <v>0.112</v>
      </c>
      <c r="E17" s="22">
        <f t="shared" si="2"/>
        <v>5.3780000000000001E-2</v>
      </c>
      <c r="F17" s="23" cm="1">
        <f t="array" ref="F17">PrimaCall($B$4,A17,G17,C17,D17,E17)</f>
        <v>0.10216137709488689</v>
      </c>
      <c r="G17" s="24">
        <v>0.14978975320196902</v>
      </c>
      <c r="I17" s="3"/>
      <c r="J17" s="2"/>
    </row>
    <row r="18" spans="1:10" x14ac:dyDescent="0.25">
      <c r="A18" s="20">
        <f>+A17+0.05</f>
        <v>17.350000000000009</v>
      </c>
      <c r="B18" s="3">
        <v>8.5999999999999993E-2</v>
      </c>
      <c r="C18" s="21">
        <f t="shared" si="0"/>
        <v>14</v>
      </c>
      <c r="D18" s="22">
        <f t="shared" si="1"/>
        <v>0.112</v>
      </c>
      <c r="E18" s="22">
        <f t="shared" si="2"/>
        <v>5.3780000000000001E-2</v>
      </c>
      <c r="F18" s="23" cm="1">
        <f t="array" ref="F18">PrimaCall($B$4,A18,G18,C18,D18,E18)</f>
        <v>8.6350526641971959E-2</v>
      </c>
      <c r="G18" s="24">
        <v>0.14864322523925874</v>
      </c>
      <c r="I18" s="3"/>
      <c r="J18" s="2"/>
    </row>
    <row r="19" spans="1:10" x14ac:dyDescent="0.25">
      <c r="A19" s="20">
        <f>+A18+0.05</f>
        <v>17.400000000000009</v>
      </c>
      <c r="B19" s="3">
        <v>7.1999999999999995E-2</v>
      </c>
      <c r="C19" s="21">
        <f t="shared" si="0"/>
        <v>14</v>
      </c>
      <c r="D19" s="22">
        <f t="shared" si="1"/>
        <v>0.112</v>
      </c>
      <c r="E19" s="22">
        <f t="shared" si="2"/>
        <v>5.3780000000000001E-2</v>
      </c>
      <c r="F19" s="23" cm="1">
        <f t="array" ref="F19">PrimaCall($B$4,A19,G19,C19,D19,E19)</f>
        <v>7.2737186832880732E-2</v>
      </c>
      <c r="G19" s="24">
        <v>0.14789233759505799</v>
      </c>
      <c r="I19" s="3"/>
      <c r="J19" s="2"/>
    </row>
    <row r="20" spans="1:10" x14ac:dyDescent="0.25">
      <c r="A20" s="25">
        <f>+A19+0.05</f>
        <v>17.45000000000001</v>
      </c>
      <c r="B20" s="26">
        <v>0.06</v>
      </c>
      <c r="C20" s="27">
        <v>14</v>
      </c>
      <c r="D20" s="28">
        <f t="shared" si="1"/>
        <v>0.112</v>
      </c>
      <c r="E20" s="28">
        <f t="shared" si="2"/>
        <v>5.3780000000000001E-2</v>
      </c>
      <c r="F20" s="29" cm="1">
        <f t="array" ref="F20">PrimaCall($B$4,A20,G20,C20,D20,E20)</f>
        <v>6.0043932986935347E-2</v>
      </c>
      <c r="G20" s="30">
        <v>0.14641696532432771</v>
      </c>
      <c r="I20" s="3"/>
      <c r="J20" s="2"/>
    </row>
  </sheetData>
  <dataConsolidate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oal_Seek_CALL">
                <anchor moveWithCells="1" sizeWithCells="1">
                  <from>
                    <xdr:col>6</xdr:col>
                    <xdr:colOff>771525</xdr:colOff>
                    <xdr:row>1</xdr:row>
                    <xdr:rowOff>0</xdr:rowOff>
                  </from>
                  <to>
                    <xdr:col>8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Volatilidad Implicita CALL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DAVID MENDIETA LOPEZ</cp:lastModifiedBy>
  <dcterms:created xsi:type="dcterms:W3CDTF">2019-04-23T01:31:49Z</dcterms:created>
  <dcterms:modified xsi:type="dcterms:W3CDTF">2024-03-20T20:25:02Z</dcterms:modified>
</cp:coreProperties>
</file>