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blioteca\Descargas\"/>
    </mc:Choice>
  </mc:AlternateContent>
  <xr:revisionPtr revIDLastSave="0" documentId="13_ncr:1_{9C417B39-A1F0-42AC-98BB-FDFFBB960B71}" xr6:coauthVersionLast="47" xr6:coauthVersionMax="47" xr10:uidLastSave="{00000000-0000-0000-0000-000000000000}"/>
  <bookViews>
    <workbookView xWindow="-120" yWindow="-120" windowWidth="20730" windowHeight="11040" activeTab="1" xr2:uid="{9C9C63F4-7CD9-45D5-8309-C92C3240C272}"/>
  </bookViews>
  <sheets>
    <sheet name="INTEGRANTES" sheetId="7" r:id="rId1"/>
    <sheet name="Crédito Pagos Constantes" sheetId="2" r:id="rId2"/>
    <sheet name="M. Supervivencia Pago Const." sheetId="1" r:id="rId3"/>
    <sheet name="Crédito Pagos Decrecientes" sheetId="3" r:id="rId4"/>
    <sheet name="M. Supervivencia Pago Dec." sheetId="4" r:id="rId5"/>
    <sheet name="Crédito Bullet" sheetId="5" r:id="rId6"/>
    <sheet name="M. Supervivencia Bulle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6" l="1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7" i="6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7" i="4"/>
  <c r="E11" i="3"/>
  <c r="D11" i="3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7" i="1"/>
  <c r="D11" i="5" l="1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10" i="5"/>
  <c r="F45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10" i="5"/>
  <c r="D12" i="3"/>
  <c r="D13" i="3"/>
  <c r="D14" i="3"/>
  <c r="D15" i="3"/>
  <c r="D16" i="3"/>
  <c r="J16" i="3" s="1"/>
  <c r="K16" i="3" s="1"/>
  <c r="D17" i="3"/>
  <c r="J17" i="3" s="1"/>
  <c r="K17" i="3" s="1"/>
  <c r="D18" i="3"/>
  <c r="J18" i="3" s="1"/>
  <c r="K18" i="3" s="1"/>
  <c r="D19" i="3"/>
  <c r="J19" i="3" s="1"/>
  <c r="K19" i="3" s="1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J32" i="3" s="1"/>
  <c r="K32" i="3" s="1"/>
  <c r="D33" i="3"/>
  <c r="J33" i="3" s="1"/>
  <c r="K33" i="3" s="1"/>
  <c r="D34" i="3"/>
  <c r="J34" i="3" s="1"/>
  <c r="K34" i="3" s="1"/>
  <c r="D35" i="3"/>
  <c r="J35" i="3" s="1"/>
  <c r="K35" i="3" s="1"/>
  <c r="D36" i="3"/>
  <c r="D37" i="3"/>
  <c r="D38" i="3"/>
  <c r="D39" i="3"/>
  <c r="D40" i="3"/>
  <c r="D41" i="3"/>
  <c r="D42" i="3"/>
  <c r="D43" i="3"/>
  <c r="D44" i="3"/>
  <c r="D45" i="3"/>
  <c r="D46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11" i="3"/>
  <c r="B8" i="3"/>
  <c r="D59" i="2"/>
  <c r="E3" i="2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8" i="6"/>
  <c r="F7" i="6"/>
  <c r="C7" i="6"/>
  <c r="K11" i="5"/>
  <c r="K12" i="5"/>
  <c r="K13" i="5"/>
  <c r="K14" i="5"/>
  <c r="K19" i="5"/>
  <c r="K20" i="5"/>
  <c r="K21" i="5"/>
  <c r="K22" i="5"/>
  <c r="K27" i="5"/>
  <c r="K28" i="5"/>
  <c r="K29" i="5"/>
  <c r="K30" i="5"/>
  <c r="K35" i="5"/>
  <c r="K36" i="5"/>
  <c r="K37" i="5"/>
  <c r="K38" i="5"/>
  <c r="K43" i="5"/>
  <c r="K44" i="5"/>
  <c r="K45" i="5"/>
  <c r="K10" i="5"/>
  <c r="J11" i="5"/>
  <c r="J12" i="5"/>
  <c r="J13" i="5"/>
  <c r="J14" i="5"/>
  <c r="J15" i="5"/>
  <c r="K15" i="5" s="1"/>
  <c r="J16" i="5"/>
  <c r="K16" i="5" s="1"/>
  <c r="J17" i="5"/>
  <c r="K17" i="5" s="1"/>
  <c r="J18" i="5"/>
  <c r="K18" i="5" s="1"/>
  <c r="J19" i="5"/>
  <c r="J20" i="5"/>
  <c r="J21" i="5"/>
  <c r="J22" i="5"/>
  <c r="J23" i="5"/>
  <c r="K23" i="5" s="1"/>
  <c r="J24" i="5"/>
  <c r="K24" i="5" s="1"/>
  <c r="J25" i="5"/>
  <c r="K25" i="5" s="1"/>
  <c r="J26" i="5"/>
  <c r="K26" i="5" s="1"/>
  <c r="J27" i="5"/>
  <c r="J28" i="5"/>
  <c r="J29" i="5"/>
  <c r="J30" i="5"/>
  <c r="J31" i="5"/>
  <c r="K31" i="5" s="1"/>
  <c r="J32" i="5"/>
  <c r="K32" i="5" s="1"/>
  <c r="J33" i="5"/>
  <c r="K33" i="5" s="1"/>
  <c r="J34" i="5"/>
  <c r="K34" i="5" s="1"/>
  <c r="J35" i="5"/>
  <c r="J36" i="5"/>
  <c r="J37" i="5"/>
  <c r="J38" i="5"/>
  <c r="J39" i="5"/>
  <c r="K39" i="5" s="1"/>
  <c r="J40" i="5"/>
  <c r="K40" i="5" s="1"/>
  <c r="J41" i="5"/>
  <c r="K41" i="5" s="1"/>
  <c r="J42" i="5"/>
  <c r="K42" i="5" s="1"/>
  <c r="J43" i="5"/>
  <c r="J44" i="5"/>
  <c r="J45" i="5"/>
  <c r="J10" i="5"/>
  <c r="I34" i="5"/>
  <c r="I22" i="5"/>
  <c r="I10" i="5"/>
  <c r="H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G10" i="5"/>
  <c r="B11" i="5" s="1"/>
  <c r="E10" i="5"/>
  <c r="C10" i="5"/>
  <c r="B10" i="5"/>
  <c r="D7" i="4"/>
  <c r="H7" i="4" s="1"/>
  <c r="B2" i="4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8" i="4"/>
  <c r="F7" i="4"/>
  <c r="C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K14" i="3"/>
  <c r="K30" i="3"/>
  <c r="K38" i="3"/>
  <c r="K46" i="3"/>
  <c r="J13" i="3"/>
  <c r="K13" i="3" s="1"/>
  <c r="J14" i="3"/>
  <c r="J21" i="3"/>
  <c r="K21" i="3" s="1"/>
  <c r="J22" i="3"/>
  <c r="K22" i="3" s="1"/>
  <c r="J26" i="3"/>
  <c r="K26" i="3" s="1"/>
  <c r="J27" i="3"/>
  <c r="K27" i="3" s="1"/>
  <c r="J29" i="3"/>
  <c r="K29" i="3" s="1"/>
  <c r="J30" i="3"/>
  <c r="J37" i="3"/>
  <c r="K37" i="3" s="1"/>
  <c r="J38" i="3"/>
  <c r="J42" i="3"/>
  <c r="K42" i="3" s="1"/>
  <c r="J43" i="3"/>
  <c r="K43" i="3" s="1"/>
  <c r="J45" i="3"/>
  <c r="K45" i="3" s="1"/>
  <c r="J46" i="3"/>
  <c r="I35" i="3"/>
  <c r="I23" i="3"/>
  <c r="I11" i="3"/>
  <c r="H11" i="3"/>
  <c r="J12" i="3"/>
  <c r="K12" i="3" s="1"/>
  <c r="J15" i="3"/>
  <c r="K15" i="3" s="1"/>
  <c r="J20" i="3"/>
  <c r="K20" i="3" s="1"/>
  <c r="J23" i="3"/>
  <c r="K23" i="3" s="1"/>
  <c r="J24" i="3"/>
  <c r="K24" i="3" s="1"/>
  <c r="J25" i="3"/>
  <c r="K25" i="3" s="1"/>
  <c r="J28" i="3"/>
  <c r="K28" i="3" s="1"/>
  <c r="J31" i="3"/>
  <c r="K31" i="3" s="1"/>
  <c r="J36" i="3"/>
  <c r="K36" i="3" s="1"/>
  <c r="J39" i="3"/>
  <c r="K39" i="3" s="1"/>
  <c r="J40" i="3"/>
  <c r="K40" i="3" s="1"/>
  <c r="J41" i="3"/>
  <c r="K41" i="3" s="1"/>
  <c r="J44" i="3"/>
  <c r="K44" i="3" s="1"/>
  <c r="G11" i="3"/>
  <c r="B12" i="3" s="1"/>
  <c r="C8" i="4" s="1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11" i="3"/>
  <c r="B11" i="3"/>
  <c r="F8" i="1"/>
  <c r="F7" i="1"/>
  <c r="C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7" i="1"/>
  <c r="H7" i="1" s="1"/>
  <c r="J35" i="2"/>
  <c r="K35" i="2" s="1"/>
  <c r="I48" i="2"/>
  <c r="I36" i="2"/>
  <c r="I24" i="2"/>
  <c r="I12" i="2"/>
  <c r="H12" i="2"/>
  <c r="B9" i="2"/>
  <c r="D35" i="2" s="1"/>
  <c r="E4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E12" i="2"/>
  <c r="C12" i="2"/>
  <c r="B12" i="2"/>
  <c r="J59" i="2" l="1"/>
  <c r="K59" i="2" s="1"/>
  <c r="H8" i="4"/>
  <c r="C8" i="6"/>
  <c r="E11" i="5"/>
  <c r="G11" i="5" s="1"/>
  <c r="B12" i="5" s="1"/>
  <c r="C9" i="6" s="1"/>
  <c r="J11" i="3"/>
  <c r="K11" i="3" s="1"/>
  <c r="K9" i="3" s="1"/>
  <c r="E12" i="3"/>
  <c r="G12" i="3" s="1"/>
  <c r="B13" i="3" s="1"/>
  <c r="D29" i="2"/>
  <c r="J29" i="2" s="1"/>
  <c r="K29" i="2" s="1"/>
  <c r="D18" i="2"/>
  <c r="J18" i="2" s="1"/>
  <c r="K18" i="2" s="1"/>
  <c r="D17" i="2"/>
  <c r="J17" i="2" s="1"/>
  <c r="K17" i="2" s="1"/>
  <c r="D51" i="2"/>
  <c r="J51" i="2" s="1"/>
  <c r="K51" i="2" s="1"/>
  <c r="D16" i="2"/>
  <c r="J16" i="2" s="1"/>
  <c r="K16" i="2" s="1"/>
  <c r="D50" i="2"/>
  <c r="J50" i="2" s="1"/>
  <c r="K50" i="2" s="1"/>
  <c r="D49" i="2"/>
  <c r="J49" i="2" s="1"/>
  <c r="K49" i="2" s="1"/>
  <c r="D19" i="2"/>
  <c r="J19" i="2" s="1"/>
  <c r="K19" i="2" s="1"/>
  <c r="D36" i="2"/>
  <c r="J36" i="2" s="1"/>
  <c r="K36" i="2" s="1"/>
  <c r="D13" i="2"/>
  <c r="J13" i="2" s="1"/>
  <c r="K13" i="2" s="1"/>
  <c r="D45" i="2"/>
  <c r="J45" i="2" s="1"/>
  <c r="K45" i="2" s="1"/>
  <c r="D26" i="2"/>
  <c r="J26" i="2" s="1"/>
  <c r="K26" i="2" s="1"/>
  <c r="D58" i="2"/>
  <c r="J58" i="2" s="1"/>
  <c r="K58" i="2" s="1"/>
  <c r="D40" i="2"/>
  <c r="J40" i="2" s="1"/>
  <c r="K40" i="2" s="1"/>
  <c r="D25" i="2"/>
  <c r="J25" i="2" s="1"/>
  <c r="K25" i="2" s="1"/>
  <c r="D20" i="2"/>
  <c r="J20" i="2" s="1"/>
  <c r="K20" i="2" s="1"/>
  <c r="D48" i="2"/>
  <c r="J48" i="2" s="1"/>
  <c r="K48" i="2" s="1"/>
  <c r="D28" i="2"/>
  <c r="J28" i="2" s="1"/>
  <c r="K28" i="2" s="1"/>
  <c r="D27" i="2"/>
  <c r="J27" i="2" s="1"/>
  <c r="K27" i="2" s="1"/>
  <c r="D41" i="2"/>
  <c r="J41" i="2" s="1"/>
  <c r="K41" i="2" s="1"/>
  <c r="D57" i="2"/>
  <c r="J57" i="2" s="1"/>
  <c r="K57" i="2" s="1"/>
  <c r="D37" i="2"/>
  <c r="J37" i="2" s="1"/>
  <c r="K37" i="2" s="1"/>
  <c r="D56" i="2"/>
  <c r="J56" i="2" s="1"/>
  <c r="K56" i="2" s="1"/>
  <c r="D34" i="2"/>
  <c r="J34" i="2" s="1"/>
  <c r="K34" i="2" s="1"/>
  <c r="D53" i="2"/>
  <c r="J53" i="2" s="1"/>
  <c r="K53" i="2" s="1"/>
  <c r="D43" i="2"/>
  <c r="J43" i="2" s="1"/>
  <c r="K43" i="2" s="1"/>
  <c r="D33" i="2"/>
  <c r="J33" i="2" s="1"/>
  <c r="K33" i="2" s="1"/>
  <c r="D21" i="2"/>
  <c r="J21" i="2" s="1"/>
  <c r="K21" i="2" s="1"/>
  <c r="D14" i="2"/>
  <c r="J14" i="2" s="1"/>
  <c r="K14" i="2" s="1"/>
  <c r="D44" i="2"/>
  <c r="J44" i="2" s="1"/>
  <c r="K44" i="2" s="1"/>
  <c r="D24" i="2"/>
  <c r="J24" i="2" s="1"/>
  <c r="K24" i="2" s="1"/>
  <c r="D52" i="2"/>
  <c r="J52" i="2" s="1"/>
  <c r="K52" i="2" s="1"/>
  <c r="D42" i="2"/>
  <c r="J42" i="2" s="1"/>
  <c r="K42" i="2" s="1"/>
  <c r="D32" i="2"/>
  <c r="J32" i="2" s="1"/>
  <c r="K32" i="2" s="1"/>
  <c r="D55" i="2"/>
  <c r="J55" i="2" s="1"/>
  <c r="K55" i="2" s="1"/>
  <c r="D47" i="2"/>
  <c r="J47" i="2" s="1"/>
  <c r="K47" i="2" s="1"/>
  <c r="D39" i="2"/>
  <c r="J39" i="2" s="1"/>
  <c r="K39" i="2" s="1"/>
  <c r="D31" i="2"/>
  <c r="J31" i="2" s="1"/>
  <c r="K31" i="2" s="1"/>
  <c r="D23" i="2"/>
  <c r="J23" i="2" s="1"/>
  <c r="K23" i="2" s="1"/>
  <c r="D15" i="2"/>
  <c r="J15" i="2" s="1"/>
  <c r="K15" i="2" s="1"/>
  <c r="D12" i="2"/>
  <c r="D54" i="2"/>
  <c r="J54" i="2" s="1"/>
  <c r="K54" i="2" s="1"/>
  <c r="D46" i="2"/>
  <c r="J46" i="2" s="1"/>
  <c r="K46" i="2" s="1"/>
  <c r="D38" i="2"/>
  <c r="J38" i="2" s="1"/>
  <c r="K38" i="2" s="1"/>
  <c r="D30" i="2"/>
  <c r="J30" i="2" s="1"/>
  <c r="K30" i="2" s="1"/>
  <c r="D22" i="2"/>
  <c r="J22" i="2" s="1"/>
  <c r="K22" i="2" s="1"/>
  <c r="F12" i="2" l="1"/>
  <c r="G12" i="2" s="1"/>
  <c r="B13" i="2" s="1"/>
  <c r="H8" i="1" s="1"/>
  <c r="J12" i="2"/>
  <c r="K12" i="2" s="1"/>
  <c r="E12" i="5"/>
  <c r="G12" i="5" s="1"/>
  <c r="B13" i="5" s="1"/>
  <c r="C10" i="6" s="1"/>
  <c r="E13" i="3"/>
  <c r="G13" i="3" s="1"/>
  <c r="B14" i="3" s="1"/>
  <c r="C10" i="4" s="1"/>
  <c r="H10" i="4" s="1"/>
  <c r="C9" i="4"/>
  <c r="H9" i="4" s="1"/>
  <c r="E14" i="3"/>
  <c r="G14" i="3" s="1"/>
  <c r="B15" i="3" s="1"/>
  <c r="C11" i="4" s="1"/>
  <c r="H11" i="4" s="1"/>
  <c r="E13" i="2"/>
  <c r="F13" i="2" s="1"/>
  <c r="G13" i="2" s="1"/>
  <c r="B14" i="2" s="1"/>
  <c r="A13" i="2"/>
  <c r="A14" i="2"/>
  <c r="A15" i="2" s="1"/>
  <c r="A16" i="2" s="1"/>
  <c r="A17" i="2" s="1"/>
  <c r="A18" i="2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B2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9" i="6"/>
  <c r="A8" i="6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11" i="5"/>
  <c r="A35" i="3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B4" i="2"/>
  <c r="E14" i="2" l="1"/>
  <c r="F14" i="2" s="1"/>
  <c r="G14" i="2" s="1"/>
  <c r="B15" i="2" s="1"/>
  <c r="H9" i="1"/>
  <c r="D8" i="6"/>
  <c r="H8" i="6" s="1"/>
  <c r="D16" i="6"/>
  <c r="D24" i="6"/>
  <c r="D32" i="6"/>
  <c r="D40" i="6"/>
  <c r="D11" i="6"/>
  <c r="D35" i="6"/>
  <c r="D36" i="6"/>
  <c r="D13" i="6"/>
  <c r="D29" i="6"/>
  <c r="D14" i="6"/>
  <c r="D38" i="6"/>
  <c r="D9" i="6"/>
  <c r="H9" i="6" s="1"/>
  <c r="D17" i="6"/>
  <c r="D25" i="6"/>
  <c r="D33" i="6"/>
  <c r="D41" i="6"/>
  <c r="D27" i="6"/>
  <c r="D20" i="6"/>
  <c r="D21" i="6"/>
  <c r="D37" i="6"/>
  <c r="D22" i="6"/>
  <c r="D30" i="6"/>
  <c r="D23" i="6"/>
  <c r="D10" i="6"/>
  <c r="H10" i="6" s="1"/>
  <c r="D18" i="6"/>
  <c r="D26" i="6"/>
  <c r="D34" i="6"/>
  <c r="D42" i="6"/>
  <c r="D19" i="6"/>
  <c r="D7" i="6"/>
  <c r="H7" i="6" s="1"/>
  <c r="D12" i="6"/>
  <c r="D28" i="6"/>
  <c r="D15" i="6"/>
  <c r="D31" i="6"/>
  <c r="D39" i="6"/>
  <c r="G13" i="5"/>
  <c r="B14" i="5" s="1"/>
  <c r="C11" i="6" s="1"/>
  <c r="E13" i="5"/>
  <c r="E15" i="3"/>
  <c r="G15" i="3" s="1"/>
  <c r="B16" i="3" s="1"/>
  <c r="C12" i="4" s="1"/>
  <c r="H12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B2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E15" i="2" l="1"/>
  <c r="F15" i="2" s="1"/>
  <c r="G15" i="2" s="1"/>
  <c r="B16" i="2" s="1"/>
  <c r="H10" i="1"/>
  <c r="H11" i="6"/>
  <c r="E14" i="5"/>
  <c r="G14" i="5" s="1"/>
  <c r="B15" i="5" s="1"/>
  <c r="C12" i="6" s="1"/>
  <c r="H12" i="6" s="1"/>
  <c r="E15" i="5"/>
  <c r="G15" i="5" s="1"/>
  <c r="B16" i="5" s="1"/>
  <c r="C13" i="6" s="1"/>
  <c r="H13" i="6" s="1"/>
  <c r="E16" i="3"/>
  <c r="G16" i="3" s="1"/>
  <c r="B17" i="3" s="1"/>
  <c r="C13" i="4" s="1"/>
  <c r="H13" i="4" s="1"/>
  <c r="A33" i="4"/>
  <c r="A34" i="4" s="1"/>
  <c r="A35" i="1"/>
  <c r="E16" i="2" l="1"/>
  <c r="F16" i="2" s="1"/>
  <c r="G16" i="2" s="1"/>
  <c r="B17" i="2" s="1"/>
  <c r="H11" i="1"/>
  <c r="E16" i="5"/>
  <c r="G16" i="5" s="1"/>
  <c r="B17" i="5" s="1"/>
  <c r="C14" i="6" s="1"/>
  <c r="H14" i="6" s="1"/>
  <c r="E17" i="3"/>
  <c r="G17" i="3" s="1"/>
  <c r="B18" i="3" s="1"/>
  <c r="C14" i="4" s="1"/>
  <c r="H14" i="4" s="1"/>
  <c r="A35" i="4"/>
  <c r="A36" i="1"/>
  <c r="E17" i="2" l="1"/>
  <c r="F17" i="2" s="1"/>
  <c r="G17" i="2" s="1"/>
  <c r="B18" i="2" s="1"/>
  <c r="H12" i="1"/>
  <c r="E17" i="5"/>
  <c r="G17" i="5" s="1"/>
  <c r="B18" i="5" s="1"/>
  <c r="C15" i="6" s="1"/>
  <c r="H15" i="6" s="1"/>
  <c r="E18" i="3"/>
  <c r="G18" i="3" s="1"/>
  <c r="B19" i="3" s="1"/>
  <c r="C15" i="4" s="1"/>
  <c r="H15" i="4" s="1"/>
  <c r="A36" i="4"/>
  <c r="A37" i="1"/>
  <c r="E18" i="2" l="1"/>
  <c r="F18" i="2" s="1"/>
  <c r="G18" i="2" s="1"/>
  <c r="B19" i="2" s="1"/>
  <c r="H13" i="1"/>
  <c r="E18" i="5"/>
  <c r="G18" i="5" s="1"/>
  <c r="B19" i="5" s="1"/>
  <c r="C16" i="6" s="1"/>
  <c r="H16" i="6" s="1"/>
  <c r="E19" i="3"/>
  <c r="G19" i="3" s="1"/>
  <c r="B20" i="3" s="1"/>
  <c r="C16" i="4" s="1"/>
  <c r="H16" i="4" s="1"/>
  <c r="A37" i="4"/>
  <c r="A38" i="1"/>
  <c r="H14" i="1" l="1"/>
  <c r="E19" i="2"/>
  <c r="F19" i="2" s="1"/>
  <c r="G19" i="2" s="1"/>
  <c r="B20" i="2" s="1"/>
  <c r="E19" i="5"/>
  <c r="G19" i="5" s="1"/>
  <c r="B20" i="5" s="1"/>
  <c r="C17" i="6" s="1"/>
  <c r="H17" i="6" s="1"/>
  <c r="E20" i="3"/>
  <c r="G20" i="3" s="1"/>
  <c r="B21" i="3" s="1"/>
  <c r="C17" i="4" s="1"/>
  <c r="H17" i="4" s="1"/>
  <c r="A38" i="4"/>
  <c r="A39" i="1"/>
  <c r="H15" i="1" l="1"/>
  <c r="E20" i="2"/>
  <c r="F20" i="2" s="1"/>
  <c r="G20" i="2" s="1"/>
  <c r="B21" i="2" s="1"/>
  <c r="E20" i="5"/>
  <c r="G20" i="5" s="1"/>
  <c r="B21" i="5" s="1"/>
  <c r="C18" i="6" s="1"/>
  <c r="H18" i="6" s="1"/>
  <c r="E21" i="3"/>
  <c r="G21" i="3" s="1"/>
  <c r="B22" i="3" s="1"/>
  <c r="C18" i="4" s="1"/>
  <c r="H18" i="4" s="1"/>
  <c r="A39" i="4"/>
  <c r="A40" i="1"/>
  <c r="H16" i="1" l="1"/>
  <c r="E21" i="2"/>
  <c r="F21" i="2" s="1"/>
  <c r="G21" i="2" s="1"/>
  <c r="B22" i="2" s="1"/>
  <c r="E21" i="5"/>
  <c r="G21" i="5" s="1"/>
  <c r="B22" i="5" s="1"/>
  <c r="C19" i="6" s="1"/>
  <c r="H19" i="6" s="1"/>
  <c r="E22" i="3"/>
  <c r="G22" i="3" s="1"/>
  <c r="B23" i="3" s="1"/>
  <c r="C19" i="4" s="1"/>
  <c r="H19" i="4" s="1"/>
  <c r="A40" i="4"/>
  <c r="A41" i="1"/>
  <c r="H17" i="1" l="1"/>
  <c r="E22" i="2"/>
  <c r="F22" i="2" s="1"/>
  <c r="G22" i="2" s="1"/>
  <c r="B23" i="2" s="1"/>
  <c r="E22" i="5"/>
  <c r="G22" i="5" s="1"/>
  <c r="B23" i="5" s="1"/>
  <c r="C20" i="6" s="1"/>
  <c r="H20" i="6" s="1"/>
  <c r="E23" i="3"/>
  <c r="G23" i="3" s="1"/>
  <c r="B24" i="3" s="1"/>
  <c r="C20" i="4" s="1"/>
  <c r="H20" i="4" s="1"/>
  <c r="A41" i="4"/>
  <c r="A42" i="1"/>
  <c r="E23" i="2" l="1"/>
  <c r="F23" i="2" s="1"/>
  <c r="G23" i="2" s="1"/>
  <c r="B24" i="2" s="1"/>
  <c r="H18" i="1"/>
  <c r="H59" i="1" s="1"/>
  <c r="E23" i="5"/>
  <c r="G23" i="5" s="1"/>
  <c r="B24" i="5" s="1"/>
  <c r="C21" i="6" s="1"/>
  <c r="H21" i="6" s="1"/>
  <c r="E24" i="3"/>
  <c r="G24" i="3" s="1"/>
  <c r="B25" i="3" s="1"/>
  <c r="C21" i="4" s="1"/>
  <c r="H21" i="4" s="1"/>
  <c r="A42" i="4"/>
  <c r="A43" i="1"/>
  <c r="H19" i="1" l="1"/>
  <c r="E24" i="2"/>
  <c r="F24" i="2" s="1"/>
  <c r="G24" i="2" s="1"/>
  <c r="B25" i="2" s="1"/>
  <c r="E24" i="5"/>
  <c r="G24" i="5" s="1"/>
  <c r="B25" i="5" s="1"/>
  <c r="C22" i="6" s="1"/>
  <c r="H22" i="6" s="1"/>
  <c r="E25" i="3"/>
  <c r="G25" i="3" s="1"/>
  <c r="B26" i="3" s="1"/>
  <c r="C22" i="4" s="1"/>
  <c r="H22" i="4" s="1"/>
  <c r="A44" i="1"/>
  <c r="H20" i="1" l="1"/>
  <c r="E25" i="2"/>
  <c r="F25" i="2" s="1"/>
  <c r="G25" i="2" s="1"/>
  <c r="B26" i="2" s="1"/>
  <c r="E25" i="5"/>
  <c r="G25" i="5"/>
  <c r="B26" i="5" s="1"/>
  <c r="C23" i="6" s="1"/>
  <c r="H23" i="6" s="1"/>
  <c r="E26" i="3"/>
  <c r="G26" i="3" s="1"/>
  <c r="B27" i="3" s="1"/>
  <c r="C23" i="4" s="1"/>
  <c r="H23" i="4" s="1"/>
  <c r="A45" i="1"/>
  <c r="E26" i="2" l="1"/>
  <c r="F26" i="2" s="1"/>
  <c r="G26" i="2" s="1"/>
  <c r="B27" i="2" s="1"/>
  <c r="H21" i="1"/>
  <c r="E26" i="5"/>
  <c r="G26" i="5" s="1"/>
  <c r="B27" i="5" s="1"/>
  <c r="C24" i="6" s="1"/>
  <c r="H24" i="6" s="1"/>
  <c r="E27" i="3"/>
  <c r="G27" i="3" s="1"/>
  <c r="B28" i="3" s="1"/>
  <c r="C24" i="4" s="1"/>
  <c r="H24" i="4" s="1"/>
  <c r="A46" i="1"/>
  <c r="H22" i="1" l="1"/>
  <c r="E27" i="2"/>
  <c r="F27" i="2" s="1"/>
  <c r="G27" i="2" s="1"/>
  <c r="B28" i="2" s="1"/>
  <c r="E27" i="5"/>
  <c r="G27" i="5" s="1"/>
  <c r="B28" i="5" s="1"/>
  <c r="C25" i="6" s="1"/>
  <c r="H25" i="6" s="1"/>
  <c r="E28" i="3"/>
  <c r="G28" i="3" s="1"/>
  <c r="B29" i="3" s="1"/>
  <c r="C25" i="4" s="1"/>
  <c r="H25" i="4" s="1"/>
  <c r="A47" i="1"/>
  <c r="H23" i="1" l="1"/>
  <c r="E28" i="2"/>
  <c r="F28" i="2" s="1"/>
  <c r="G28" i="2" s="1"/>
  <c r="B29" i="2" s="1"/>
  <c r="E28" i="5"/>
  <c r="G28" i="5" s="1"/>
  <c r="B29" i="5" s="1"/>
  <c r="C26" i="6" s="1"/>
  <c r="H26" i="6" s="1"/>
  <c r="E29" i="3"/>
  <c r="G29" i="3" s="1"/>
  <c r="B30" i="3" s="1"/>
  <c r="C26" i="4" s="1"/>
  <c r="H26" i="4" s="1"/>
  <c r="A48" i="1"/>
  <c r="H24" i="1" l="1"/>
  <c r="E29" i="2"/>
  <c r="F29" i="2" s="1"/>
  <c r="G29" i="2" s="1"/>
  <c r="B30" i="2" s="1"/>
  <c r="E29" i="5"/>
  <c r="G29" i="5"/>
  <c r="B30" i="5" s="1"/>
  <c r="C27" i="6" s="1"/>
  <c r="H27" i="6" s="1"/>
  <c r="E30" i="3"/>
  <c r="G30" i="3" s="1"/>
  <c r="B31" i="3" s="1"/>
  <c r="C27" i="4" s="1"/>
  <c r="H27" i="4" s="1"/>
  <c r="A49" i="1"/>
  <c r="H25" i="1" l="1"/>
  <c r="E30" i="2"/>
  <c r="F30" i="2" s="1"/>
  <c r="G30" i="2" s="1"/>
  <c r="B31" i="2" s="1"/>
  <c r="E30" i="5"/>
  <c r="G30" i="5" s="1"/>
  <c r="B31" i="5" s="1"/>
  <c r="C28" i="6" s="1"/>
  <c r="H28" i="6" s="1"/>
  <c r="E31" i="3"/>
  <c r="G31" i="3" s="1"/>
  <c r="B32" i="3" s="1"/>
  <c r="C28" i="4" s="1"/>
  <c r="H28" i="4" s="1"/>
  <c r="A50" i="1"/>
  <c r="E31" i="2" l="1"/>
  <c r="F31" i="2" s="1"/>
  <c r="G31" i="2" s="1"/>
  <c r="B32" i="2" s="1"/>
  <c r="H26" i="1"/>
  <c r="E31" i="5"/>
  <c r="G31" i="5" s="1"/>
  <c r="B32" i="5" s="1"/>
  <c r="C29" i="6" s="1"/>
  <c r="H29" i="6" s="1"/>
  <c r="E32" i="3"/>
  <c r="G32" i="3" s="1"/>
  <c r="B33" i="3" s="1"/>
  <c r="C29" i="4" s="1"/>
  <c r="H29" i="4" s="1"/>
  <c r="A51" i="1"/>
  <c r="H27" i="1" l="1"/>
  <c r="E32" i="2"/>
  <c r="F32" i="2" s="1"/>
  <c r="G32" i="2" s="1"/>
  <c r="B33" i="2" s="1"/>
  <c r="E32" i="5"/>
  <c r="G32" i="5" s="1"/>
  <c r="B33" i="5" s="1"/>
  <c r="C30" i="6" s="1"/>
  <c r="H30" i="6" s="1"/>
  <c r="E33" i="3"/>
  <c r="G33" i="3" s="1"/>
  <c r="B34" i="3" s="1"/>
  <c r="C30" i="4" s="1"/>
  <c r="H30" i="4" s="1"/>
  <c r="A52" i="1"/>
  <c r="H28" i="1" l="1"/>
  <c r="E33" i="2"/>
  <c r="F33" i="2" s="1"/>
  <c r="G33" i="2" s="1"/>
  <c r="B34" i="2" s="1"/>
  <c r="E33" i="5"/>
  <c r="G33" i="5"/>
  <c r="B34" i="5" s="1"/>
  <c r="C31" i="6" s="1"/>
  <c r="H31" i="6" s="1"/>
  <c r="E34" i="3"/>
  <c r="G34" i="3" s="1"/>
  <c r="B35" i="3" s="1"/>
  <c r="C31" i="4" s="1"/>
  <c r="H31" i="4" s="1"/>
  <c r="A53" i="1"/>
  <c r="E34" i="2" l="1"/>
  <c r="F34" i="2" s="1"/>
  <c r="G34" i="2" s="1"/>
  <c r="B35" i="2" s="1"/>
  <c r="H29" i="1"/>
  <c r="E34" i="5"/>
  <c r="G34" i="5" s="1"/>
  <c r="B35" i="5" s="1"/>
  <c r="C32" i="6" s="1"/>
  <c r="H32" i="6" s="1"/>
  <c r="E35" i="3"/>
  <c r="G35" i="3" s="1"/>
  <c r="B36" i="3" s="1"/>
  <c r="C32" i="4" s="1"/>
  <c r="H32" i="4" s="1"/>
  <c r="A54" i="1"/>
  <c r="H30" i="1" l="1"/>
  <c r="E35" i="2"/>
  <c r="F35" i="2" s="1"/>
  <c r="G35" i="2" s="1"/>
  <c r="B36" i="2" s="1"/>
  <c r="E35" i="5"/>
  <c r="G35" i="5" s="1"/>
  <c r="B36" i="5" s="1"/>
  <c r="C33" i="6" s="1"/>
  <c r="H33" i="6" s="1"/>
  <c r="E36" i="3"/>
  <c r="G36" i="3" s="1"/>
  <c r="B37" i="3" s="1"/>
  <c r="C33" i="4" s="1"/>
  <c r="H33" i="4" s="1"/>
  <c r="H31" i="1" l="1"/>
  <c r="E36" i="2"/>
  <c r="F36" i="2" s="1"/>
  <c r="G36" i="2" s="1"/>
  <c r="B37" i="2" s="1"/>
  <c r="E36" i="5"/>
  <c r="G36" i="5"/>
  <c r="B37" i="5" s="1"/>
  <c r="C34" i="6" s="1"/>
  <c r="H34" i="6" s="1"/>
  <c r="E37" i="3"/>
  <c r="G37" i="3" s="1"/>
  <c r="B38" i="3" s="1"/>
  <c r="C34" i="4" s="1"/>
  <c r="H34" i="4" s="1"/>
  <c r="K8" i="5"/>
  <c r="H32" i="1" l="1"/>
  <c r="E37" i="2"/>
  <c r="F37" i="2" s="1"/>
  <c r="G37" i="2" s="1"/>
  <c r="B38" i="2" s="1"/>
  <c r="E37" i="5"/>
  <c r="G37" i="5" s="1"/>
  <c r="B38" i="5" s="1"/>
  <c r="C35" i="6" s="1"/>
  <c r="H35" i="6" s="1"/>
  <c r="E38" i="3"/>
  <c r="G38" i="3" s="1"/>
  <c r="B39" i="3" s="1"/>
  <c r="C35" i="4" s="1"/>
  <c r="H35" i="4" s="1"/>
  <c r="K10" i="2"/>
  <c r="H33" i="1" l="1"/>
  <c r="E38" i="2"/>
  <c r="F38" i="2" s="1"/>
  <c r="G38" i="2" s="1"/>
  <c r="B39" i="2" s="1"/>
  <c r="E38" i="5"/>
  <c r="G38" i="5" s="1"/>
  <c r="B39" i="5" s="1"/>
  <c r="C36" i="6" s="1"/>
  <c r="H36" i="6" s="1"/>
  <c r="E39" i="3"/>
  <c r="G39" i="3" s="1"/>
  <c r="B40" i="3" s="1"/>
  <c r="C36" i="4" s="1"/>
  <c r="H36" i="4" s="1"/>
  <c r="E39" i="2" l="1"/>
  <c r="F39" i="2" s="1"/>
  <c r="G39" i="2" s="1"/>
  <c r="B40" i="2" s="1"/>
  <c r="H34" i="1"/>
  <c r="E39" i="5"/>
  <c r="G39" i="5" s="1"/>
  <c r="B40" i="5" s="1"/>
  <c r="C37" i="6" s="1"/>
  <c r="H37" i="6" s="1"/>
  <c r="E40" i="3"/>
  <c r="G40" i="3" s="1"/>
  <c r="B41" i="3" s="1"/>
  <c r="C37" i="4" s="1"/>
  <c r="H37" i="4" s="1"/>
  <c r="H35" i="1" l="1"/>
  <c r="E40" i="2"/>
  <c r="F40" i="2" s="1"/>
  <c r="G40" i="2" s="1"/>
  <c r="B41" i="2" s="1"/>
  <c r="E40" i="5"/>
  <c r="G40" i="5" s="1"/>
  <c r="B41" i="5" s="1"/>
  <c r="C38" i="6" s="1"/>
  <c r="H38" i="6" s="1"/>
  <c r="E41" i="3"/>
  <c r="G41" i="3" s="1"/>
  <c r="B42" i="3" s="1"/>
  <c r="C38" i="4" s="1"/>
  <c r="H38" i="4" s="1"/>
  <c r="H36" i="1" l="1"/>
  <c r="E41" i="2"/>
  <c r="F41" i="2" s="1"/>
  <c r="G41" i="2"/>
  <c r="B42" i="2" s="1"/>
  <c r="E41" i="5"/>
  <c r="G41" i="5" s="1"/>
  <c r="B42" i="5" s="1"/>
  <c r="C39" i="6" s="1"/>
  <c r="H39" i="6" s="1"/>
  <c r="E42" i="3"/>
  <c r="G42" i="3"/>
  <c r="B43" i="3" s="1"/>
  <c r="C39" i="4" s="1"/>
  <c r="H39" i="4" s="1"/>
  <c r="E42" i="2" l="1"/>
  <c r="F42" i="2" s="1"/>
  <c r="G42" i="2" s="1"/>
  <c r="B43" i="2" s="1"/>
  <c r="H37" i="1"/>
  <c r="E42" i="5"/>
  <c r="G42" i="5" s="1"/>
  <c r="B43" i="5" s="1"/>
  <c r="C40" i="6" s="1"/>
  <c r="H40" i="6" s="1"/>
  <c r="E43" i="3"/>
  <c r="G43" i="3" s="1"/>
  <c r="B44" i="3" s="1"/>
  <c r="C40" i="4" s="1"/>
  <c r="H40" i="4" s="1"/>
  <c r="H38" i="1" l="1"/>
  <c r="E43" i="2"/>
  <c r="F43" i="2" s="1"/>
  <c r="G43" i="2" s="1"/>
  <c r="B44" i="2" s="1"/>
  <c r="E43" i="5"/>
  <c r="G43" i="5" s="1"/>
  <c r="B44" i="5" s="1"/>
  <c r="C41" i="6" s="1"/>
  <c r="H41" i="6" s="1"/>
  <c r="E44" i="3"/>
  <c r="G44" i="3" s="1"/>
  <c r="B45" i="3" s="1"/>
  <c r="C41" i="4" s="1"/>
  <c r="H41" i="4" s="1"/>
  <c r="H39" i="1" l="1"/>
  <c r="E44" i="2"/>
  <c r="F44" i="2" s="1"/>
  <c r="G44" i="2" s="1"/>
  <c r="B45" i="2" s="1"/>
  <c r="E44" i="5"/>
  <c r="G44" i="5" s="1"/>
  <c r="B45" i="5" s="1"/>
  <c r="C42" i="6" s="1"/>
  <c r="H42" i="6" s="1"/>
  <c r="H44" i="6" s="1"/>
  <c r="E45" i="3"/>
  <c r="G45" i="3" s="1"/>
  <c r="B46" i="3" s="1"/>
  <c r="H40" i="1" l="1"/>
  <c r="E45" i="2"/>
  <c r="F45" i="2" s="1"/>
  <c r="G45" i="2" s="1"/>
  <c r="B46" i="2" s="1"/>
  <c r="C42" i="4"/>
  <c r="H42" i="4" s="1"/>
  <c r="H44" i="4" s="1"/>
  <c r="E45" i="5"/>
  <c r="G45" i="5" s="1"/>
  <c r="E46" i="3"/>
  <c r="G46" i="3" s="1"/>
  <c r="H41" i="1" l="1"/>
  <c r="E46" i="2"/>
  <c r="F46" i="2" s="1"/>
  <c r="G46" i="2" s="1"/>
  <c r="B47" i="2" s="1"/>
  <c r="E47" i="2" l="1"/>
  <c r="F47" i="2" s="1"/>
  <c r="G47" i="2" s="1"/>
  <c r="B48" i="2" s="1"/>
  <c r="H42" i="1"/>
  <c r="H43" i="1" l="1"/>
  <c r="E48" i="2"/>
  <c r="F48" i="2" s="1"/>
  <c r="G48" i="2" s="1"/>
  <c r="B49" i="2" s="1"/>
  <c r="H44" i="1" l="1"/>
  <c r="E49" i="2"/>
  <c r="F49" i="2" s="1"/>
  <c r="G49" i="2"/>
  <c r="B50" i="2" s="1"/>
  <c r="E50" i="2" l="1"/>
  <c r="F50" i="2" s="1"/>
  <c r="G50" i="2" s="1"/>
  <c r="B51" i="2" s="1"/>
  <c r="H45" i="1"/>
  <c r="H46" i="1" l="1"/>
  <c r="E51" i="2"/>
  <c r="F51" i="2" s="1"/>
  <c r="G51" i="2"/>
  <c r="B52" i="2" s="1"/>
  <c r="H47" i="1" l="1"/>
  <c r="E52" i="2"/>
  <c r="F52" i="2" s="1"/>
  <c r="G52" i="2" s="1"/>
  <c r="B53" i="2" s="1"/>
  <c r="H48" i="1" l="1"/>
  <c r="E53" i="2"/>
  <c r="F53" i="2" s="1"/>
  <c r="G53" i="2" s="1"/>
  <c r="B54" i="2" s="1"/>
  <c r="H49" i="1" l="1"/>
  <c r="E54" i="2"/>
  <c r="F54" i="2" s="1"/>
  <c r="G54" i="2" s="1"/>
  <c r="B55" i="2" s="1"/>
  <c r="E55" i="2" l="1"/>
  <c r="F55" i="2" s="1"/>
  <c r="G55" i="2" s="1"/>
  <c r="B56" i="2" s="1"/>
  <c r="H50" i="1"/>
  <c r="H51" i="1" l="1"/>
  <c r="E56" i="2"/>
  <c r="F56" i="2" s="1"/>
  <c r="G56" i="2" s="1"/>
  <c r="B57" i="2" s="1"/>
  <c r="H52" i="1" l="1"/>
  <c r="E57" i="2"/>
  <c r="F57" i="2" s="1"/>
  <c r="G57" i="2" s="1"/>
  <c r="B58" i="2" s="1"/>
  <c r="E58" i="2" l="1"/>
  <c r="F58" i="2" s="1"/>
  <c r="G58" i="2" s="1"/>
  <c r="B59" i="2" s="1"/>
  <c r="H53" i="1"/>
  <c r="H54" i="1" l="1"/>
  <c r="H56" i="1" s="1"/>
  <c r="E59" i="2"/>
  <c r="F59" i="2" s="1"/>
  <c r="G5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tc={95502443-6745-455D-A271-70BF59654EC9}</author>
    <author>tc={11849637-0292-4440-8206-76D835ECE1A3}</author>
    <author>tc={8EBC0F71-8424-4B3A-85B6-4C320FD70E56}</author>
  </authors>
  <commentList>
    <comment ref="A8" authorId="0" shapeId="0" xr:uid="{95502443-6745-455D-A271-70BF59654E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Como son los pagos al capital, simplemente hacemos una division de la linea de credito entre los plazos</t>
      </text>
    </comment>
    <comment ref="D10" authorId="1" shapeId="0" xr:uid="{11849637-0292-4440-8206-76D835ECE1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Como lo indica;  es la suma del capital con los intereses</t>
      </text>
    </comment>
    <comment ref="F10" authorId="2" shapeId="0" xr:uid="{8EBC0F71-8424-4B3A-85B6-4C320FD70E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pago calculado para el capital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tc={E0CCA318-17BE-40C8-86A6-66DF99EB0452}</author>
  </authors>
  <commentList>
    <comment ref="A1" authorId="0" shapeId="0" xr:uid="{E0CCA318-17BE-40C8-86A6-66DF99EB04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etapa nos indica como si se calcula la reserva de lifetime o a 12 meses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tc={37611B1F-C96C-4DE5-97EC-872781424373}</author>
  </authors>
  <commentList>
    <comment ref="F9" authorId="0" shapeId="0" xr:uid="{37611B1F-C96C-4DE5-97EC-8727814243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Como lo indica este tipo de credito, el pago al capital no se realiza hasta el ultimo periodo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tc={A6C25DF5-A909-4325-9F11-05894337798D}</author>
  </authors>
  <commentList>
    <comment ref="A1" authorId="0" shapeId="0" xr:uid="{A6C25DF5-A909-4325-9F11-0589433779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etapa nos indica como si se calcula la reserva de lifetime o a 12 meses</t>
      </text>
    </comment>
  </commentList>
</comments>
</file>

<file path=xl/sharedStrings.xml><?xml version="1.0" encoding="utf-8"?>
<sst xmlns="http://schemas.openxmlformats.org/spreadsheetml/2006/main" count="118" uniqueCount="49">
  <si>
    <t>Modelo de Supervivencia</t>
  </si>
  <si>
    <r>
      <t xml:space="preserve">Tasa </t>
    </r>
    <r>
      <rPr>
        <b/>
        <i/>
        <sz val="11"/>
        <color theme="0"/>
        <rFont val="EYInterstate Light"/>
      </rPr>
      <t>r</t>
    </r>
  </si>
  <si>
    <r>
      <t>EI</t>
    </r>
    <r>
      <rPr>
        <b/>
        <sz val="8"/>
        <color theme="0"/>
        <rFont val="EYInterstate Light"/>
      </rPr>
      <t>t</t>
    </r>
  </si>
  <si>
    <t>Factor de Descuento</t>
  </si>
  <si>
    <t>PI</t>
  </si>
  <si>
    <r>
      <t>PS</t>
    </r>
    <r>
      <rPr>
        <b/>
        <sz val="8"/>
        <color theme="0"/>
        <rFont val="EYInterstate Light"/>
      </rPr>
      <t>t-1</t>
    </r>
  </si>
  <si>
    <t>SP</t>
  </si>
  <si>
    <t>Reserva</t>
  </si>
  <si>
    <t>Tiempo</t>
  </si>
  <si>
    <t>SI Inicio</t>
  </si>
  <si>
    <t>Tasa</t>
  </si>
  <si>
    <t>Pago a Capital</t>
  </si>
  <si>
    <t>SI Final</t>
  </si>
  <si>
    <t>Línea de 
Crédito</t>
  </si>
  <si>
    <t>Tasa del 
Crédito (Anual)</t>
  </si>
  <si>
    <t>Tiempo (n)</t>
  </si>
  <si>
    <t>meses</t>
  </si>
  <si>
    <t xml:space="preserve">Tasa Comisión 
por Apertura </t>
  </si>
  <si>
    <t>Pagar Seguro (Anual)</t>
  </si>
  <si>
    <t>Comisión por
 Apertura</t>
  </si>
  <si>
    <t>Seguro 
de Vida</t>
  </si>
  <si>
    <t>Pago Final</t>
  </si>
  <si>
    <t>Tasa Efectiva</t>
  </si>
  <si>
    <t>Flujos a VP</t>
  </si>
  <si>
    <t>Supuesto</t>
  </si>
  <si>
    <t>Reserva lifetime =</t>
  </si>
  <si>
    <t>Reserva 12m =</t>
  </si>
  <si>
    <t>Tasa Efectiva =</t>
  </si>
  <si>
    <t>Probabilidad de Incumplimiento calculada con Puntajes</t>
  </si>
  <si>
    <t>Severidad de la Pérdidad mediante la fórmula de las notas</t>
  </si>
  <si>
    <t>Tabla de Amortización del Crédito con Pagos Iguales o Constantes</t>
  </si>
  <si>
    <t>Tabla de Amortización del Crédito con Pagos Decrecientes</t>
  </si>
  <si>
    <t>Pago de Seguro (Anual)</t>
  </si>
  <si>
    <t>Pago Mensual =</t>
  </si>
  <si>
    <t>Pago Final en el mes 48 del Crédito</t>
  </si>
  <si>
    <t>Etapa del Crédito =</t>
  </si>
  <si>
    <t>Tabla de Amortización del Crédito Bullet</t>
  </si>
  <si>
    <t>David Hernández Bautista - 317356823</t>
  </si>
  <si>
    <t>Arana Francisco Sandra -  318225146</t>
  </si>
  <si>
    <t>Mendieta Lopez David -  317231186</t>
  </si>
  <si>
    <t>Línea de 
Crédito Modificada</t>
  </si>
  <si>
    <t>Valor Presente del pago final</t>
  </si>
  <si>
    <t>Flujos Totales</t>
  </si>
  <si>
    <t>Pago a Capital Mensual</t>
  </si>
  <si>
    <t>Interese</t>
  </si>
  <si>
    <t>Interes</t>
  </si>
  <si>
    <t>Pago = Cap + Intereses</t>
  </si>
  <si>
    <t>Pago = Cap + Interese</t>
  </si>
  <si>
    <t>Interes.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</si>
</sst>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3" formatCode="_-* #,##0.00_-;\-* #,##0.00_-;_-* &quot;-&quot;??_-;_-@_-"/>
    <numFmt numFmtId="164" formatCode="0.0%"/>
    <numFmt numFmtId="165" formatCode="#,##0.00_ ;\-#,##0.00\ "/>
    <numFmt numFmtId="168" formatCode="&quot;$&quot;#,##0.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EYInterstate Light"/>
    </font>
    <font>
      <b/>
      <sz val="11"/>
      <color theme="0"/>
      <name val="EYInterstate Light"/>
    </font>
    <font>
      <b/>
      <i/>
      <sz val="11"/>
      <color theme="0"/>
      <name val="EYInterstate Light"/>
    </font>
    <font>
      <b/>
      <sz val="8"/>
      <color theme="0"/>
      <name val="EYInterstate Light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Dashed">
        <color theme="0" tint="-0.24994659260841701"/>
      </left>
      <right style="mediumDashed">
        <color theme="0" tint="-0.24994659260841701"/>
      </right>
      <top style="mediumDashed">
        <color theme="0" tint="-0.24994659260841701"/>
      </top>
      <bottom style="mediumDashed">
        <color theme="0" tint="-0.24994659260841701"/>
      </bottom>
      <diagonal/>
    </border>
    <border>
      <left style="mediumDashed">
        <color theme="0" tint="-0.34998626667073579"/>
      </left>
      <right style="mediumDashed">
        <color theme="0" tint="-0.34998626667073579"/>
      </right>
      <top/>
      <bottom style="mediumDashed">
        <color theme="0" tint="-0.34998626667073579"/>
      </bottom>
      <diagonal/>
    </border>
    <border>
      <left style="mediumDashed">
        <color theme="0" tint="-0.34998626667073579"/>
      </left>
      <right style="mediumDashed">
        <color theme="0" tint="-0.34998626667073579"/>
      </right>
      <top style="mediumDashed">
        <color theme="0" tint="-0.34998626667073579"/>
      </top>
      <bottom style="mediumDashed">
        <color theme="0" tint="-0.34998626667073579"/>
      </bottom>
      <diagonal/>
    </border>
    <border>
      <left/>
      <right style="mediumDashed">
        <color theme="5"/>
      </right>
      <top/>
      <bottom/>
      <diagonal/>
    </border>
    <border>
      <left style="mediumDashed">
        <color theme="5"/>
      </left>
      <right style="mediumDashed">
        <color theme="5"/>
      </right>
      <top style="mediumDashed">
        <color theme="5"/>
      </top>
      <bottom/>
      <diagonal/>
    </border>
    <border>
      <left style="mediumDashed">
        <color theme="5"/>
      </left>
      <right style="mediumDashed">
        <color theme="5"/>
      </right>
      <top/>
      <bottom style="mediumDashed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43" fontId="0" fillId="0" borderId="7" xfId="1" applyFont="1" applyBorder="1"/>
    <xf numFmtId="43" fontId="0" fillId="0" borderId="7" xfId="0" applyNumberFormat="1" applyBorder="1"/>
    <xf numFmtId="43" fontId="0" fillId="0" borderId="0" xfId="1" applyFont="1" applyAlignment="1">
      <alignment vertical="center"/>
    </xf>
    <xf numFmtId="0" fontId="0" fillId="0" borderId="0" xfId="0" applyAlignment="1">
      <alignment horizontal="center"/>
    </xf>
    <xf numFmtId="164" fontId="0" fillId="0" borderId="7" xfId="2" applyNumberFormat="1" applyFon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9" fillId="0" borderId="0" xfId="0" applyFont="1" applyAlignment="1">
      <alignment horizontal="left" vertical="center"/>
    </xf>
    <xf numFmtId="10" fontId="3" fillId="4" borderId="0" xfId="0" applyNumberFormat="1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164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165" fontId="8" fillId="0" borderId="2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10" fontId="3" fillId="4" borderId="0" xfId="0" applyNumberFormat="1" applyFont="1" applyFill="1" applyAlignment="1">
      <alignment horizontal="center" vertical="center"/>
    </xf>
    <xf numFmtId="8" fontId="0" fillId="0" borderId="0" xfId="0" applyNumberFormat="1"/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43" fontId="3" fillId="0" borderId="0" xfId="0" applyNumberFormat="1" applyFont="1"/>
    <xf numFmtId="8" fontId="0" fillId="0" borderId="7" xfId="0" applyNumberFormat="1" applyBorder="1"/>
    <xf numFmtId="8" fontId="0" fillId="0" borderId="7" xfId="1" applyNumberFormat="1" applyFont="1" applyBorder="1"/>
    <xf numFmtId="8" fontId="0" fillId="4" borderId="7" xfId="1" applyNumberFormat="1" applyFont="1" applyFill="1" applyBorder="1"/>
    <xf numFmtId="8" fontId="3" fillId="4" borderId="0" xfId="1" applyNumberFormat="1" applyFont="1" applyFill="1" applyAlignment="1">
      <alignment vertical="center"/>
    </xf>
    <xf numFmtId="8" fontId="0" fillId="0" borderId="0" xfId="1" applyNumberFormat="1" applyFont="1" applyAlignment="1">
      <alignment vertical="center"/>
    </xf>
    <xf numFmtId="0" fontId="10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5" fontId="8" fillId="0" borderId="5" xfId="1" applyNumberFormat="1" applyFont="1" applyBorder="1" applyAlignment="1">
      <alignment horizontal="center" vertical="center" wrapText="1"/>
    </xf>
    <xf numFmtId="165" fontId="8" fillId="0" borderId="6" xfId="1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4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9" fontId="0" fillId="8" borderId="0" xfId="0" applyNumberFormat="1" applyFill="1" applyAlignment="1">
      <alignment horizontal="center" vertical="center"/>
    </xf>
    <xf numFmtId="43" fontId="1" fillId="8" borderId="0" xfId="1" applyFont="1" applyFill="1" applyAlignment="1">
      <alignment horizontal="center" vertical="center"/>
    </xf>
    <xf numFmtId="9" fontId="0" fillId="8" borderId="0" xfId="0" applyNumberFormat="1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8" fontId="0" fillId="4" borderId="0" xfId="0" applyNumberFormat="1" applyFont="1" applyFill="1"/>
    <xf numFmtId="168" fontId="1" fillId="8" borderId="0" xfId="1" applyNumberFormat="1" applyFont="1" applyFill="1" applyAlignment="1">
      <alignment horizontal="center" vertical="center"/>
    </xf>
    <xf numFmtId="43" fontId="0" fillId="8" borderId="0" xfId="1" applyFont="1" applyFill="1" applyAlignment="1">
      <alignment vertical="center"/>
    </xf>
    <xf numFmtId="43" fontId="0" fillId="4" borderId="0" xfId="0" applyNumberFormat="1" applyFill="1" applyAlignment="1">
      <alignment horizontal="center" vertical="center"/>
    </xf>
    <xf numFmtId="43" fontId="0" fillId="4" borderId="0" xfId="1" applyFont="1" applyFill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43" fontId="3" fillId="0" borderId="7" xfId="0" applyNumberFormat="1" applyFont="1" applyBorder="1"/>
    <xf numFmtId="43" fontId="3" fillId="8" borderId="0" xfId="1" applyFont="1" applyFill="1" applyAlignment="1">
      <alignment vertical="center"/>
    </xf>
    <xf numFmtId="0" fontId="0" fillId="8" borderId="0" xfId="0" applyFill="1" applyAlignment="1">
      <alignment horizontal="center"/>
    </xf>
    <xf numFmtId="0" fontId="4" fillId="0" borderId="7" xfId="0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347382</xdr:colOff>
      <xdr:row>2</xdr:row>
      <xdr:rowOff>134471</xdr:rowOff>
    </xdr:from>
    <xdr:to>
      <xdr:col>10</xdr:col>
      <xdr:colOff>840812</xdr:colOff>
      <xdr:row>4</xdr:row>
      <xdr:rowOff>40268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49BAEFB-EF2F-4256-914D-BCAF252BDC7A}"/>
            </a:ext>
          </a:extLst>
        </xdr:cNvPr>
        <xdr:cNvSpPr txBox="1"/>
      </xdr:nvSpPr>
      <xdr:spPr>
        <a:xfrm>
          <a:off x="6376147" y="638736"/>
          <a:ext cx="4281018" cy="858297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>
              <a:latin typeface="Abadi Extra Light" panose="020B0204020104020204" pitchFamily="34" charset="0"/>
            </a:rPr>
            <a:t>Como</a:t>
          </a:r>
          <a:r>
            <a:rPr lang="es-MX" sz="1400" baseline="0">
              <a:latin typeface="Abadi Extra Light" panose="020B0204020104020204" pitchFamily="34" charset="0"/>
            </a:rPr>
            <a:t> hay un pago extra;  debemos convertirlo en su valor presente y se dede de restar de la linea de credito inicial</a:t>
          </a:r>
          <a:endParaRPr lang="es-MX" sz="1400"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5</xdr:col>
      <xdr:colOff>11205</xdr:colOff>
      <xdr:row>2</xdr:row>
      <xdr:rowOff>526676</xdr:rowOff>
    </xdr:from>
    <xdr:to>
      <xdr:col>6</xdr:col>
      <xdr:colOff>347382</xdr:colOff>
      <xdr:row>2</xdr:row>
      <xdr:rowOff>563620</xdr:rowOff>
    </xdr:to>
    <xdr:cxnSp macro="">
      <xdr:nvCxnSpPr>
        <xdr:cNvPr id="3" name="Conector: angular 2">
          <a:extLst>
            <a:ext uri="{FF2B5EF4-FFF2-40B4-BE49-F238E27FC236}">
              <a16:creationId xmlns:a16="http://schemas.microsoft.com/office/drawing/2014/main" id="{E6D42701-E2AC-4BB3-9203-BCB9A483E508}"/>
            </a:ext>
          </a:extLst>
        </xdr:cNvPr>
        <xdr:cNvCxnSpPr>
          <a:stCxn id="2" idx="1"/>
        </xdr:cNvCxnSpPr>
      </xdr:nvCxnSpPr>
      <xdr:spPr>
        <a:xfrm rot="10800000">
          <a:off x="5199529" y="1030941"/>
          <a:ext cx="1176618" cy="36944"/>
        </a:xfrm>
        <a:prstGeom prst="bentConnector3">
          <a:avLst>
            <a:gd name="adj1" fmla="val 50000"/>
          </a:avLst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459442</xdr:colOff>
      <xdr:row>61</xdr:row>
      <xdr:rowOff>11206</xdr:rowOff>
    </xdr:from>
    <xdr:to>
      <xdr:col>7</xdr:col>
      <xdr:colOff>527048</xdr:colOff>
      <xdr:row>65</xdr:row>
      <xdr:rowOff>107503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5C605FA-15DA-4E05-ADF8-19894176D440}"/>
            </a:ext>
          </a:extLst>
        </xdr:cNvPr>
        <xdr:cNvSpPr txBox="1"/>
      </xdr:nvSpPr>
      <xdr:spPr>
        <a:xfrm>
          <a:off x="3193677" y="12897971"/>
          <a:ext cx="4281018" cy="858297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>
              <a:latin typeface="Abadi Extra Light" panose="020B0204020104020204" pitchFamily="34" charset="0"/>
            </a:rPr>
            <a:t>En</a:t>
          </a:r>
          <a:r>
            <a:rPr lang="es-MX" sz="1400" baseline="0">
              <a:latin typeface="Abadi Extra Light" panose="020B0204020104020204" pitchFamily="34" charset="0"/>
            </a:rPr>
            <a:t> esta celda agregamos el pago extra indicado</a:t>
          </a:r>
          <a:endParaRPr lang="es-MX" sz="1400"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</xdr:col>
      <xdr:colOff>898072</xdr:colOff>
      <xdr:row>59</xdr:row>
      <xdr:rowOff>81643</xdr:rowOff>
    </xdr:from>
    <xdr:to>
      <xdr:col>5</xdr:col>
      <xdr:colOff>153068</xdr:colOff>
      <xdr:row>61</xdr:row>
      <xdr:rowOff>11206</xdr:rowOff>
    </xdr:to>
    <xdr:cxnSp macro="">
      <xdr:nvCxnSpPr>
        <xdr:cNvPr id="7" name="Conector: angular 6">
          <a:extLst>
            <a:ext uri="{FF2B5EF4-FFF2-40B4-BE49-F238E27FC236}">
              <a16:creationId xmlns:a16="http://schemas.microsoft.com/office/drawing/2014/main" id="{00D4E4C5-8B44-47D9-804F-143B685F2D3D}"/>
            </a:ext>
          </a:extLst>
        </xdr:cNvPr>
        <xdr:cNvCxnSpPr>
          <a:stCxn id="6" idx="0"/>
        </xdr:cNvCxnSpPr>
      </xdr:nvCxnSpPr>
      <xdr:spPr>
        <a:xfrm rot="16200000" flipV="1">
          <a:off x="4602110" y="12189105"/>
          <a:ext cx="310563" cy="1105567"/>
        </a:xfrm>
        <a:prstGeom prst="bentConnector2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240082</xdr:colOff>
      <xdr:row>1</xdr:row>
      <xdr:rowOff>167014</xdr:rowOff>
    </xdr:from>
    <xdr:to>
      <xdr:col>5</xdr:col>
      <xdr:colOff>52191</xdr:colOff>
      <xdr:row>3</xdr:row>
      <xdr:rowOff>240082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7A178B6-D6A8-49D6-AB54-98BF0DB9A134}"/>
            </a:ext>
          </a:extLst>
        </xdr:cNvPr>
        <xdr:cNvCxnSpPr/>
      </xdr:nvCxnSpPr>
      <xdr:spPr>
        <a:xfrm flipV="1">
          <a:off x="4055301" y="349685"/>
          <a:ext cx="422753" cy="4384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730556</xdr:colOff>
      <xdr:row>2</xdr:row>
      <xdr:rowOff>147960</xdr:rowOff>
    </xdr:from>
    <xdr:to>
      <xdr:col>8</xdr:col>
      <xdr:colOff>711453</xdr:colOff>
      <xdr:row>5</xdr:row>
      <xdr:rowOff>53757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6DA51BD-0235-47F9-A3C3-71E46DBFDFC5}"/>
            </a:ext>
          </a:extLst>
        </xdr:cNvPr>
        <xdr:cNvSpPr txBox="1"/>
      </xdr:nvSpPr>
      <xdr:spPr>
        <a:xfrm>
          <a:off x="3615799" y="656577"/>
          <a:ext cx="4281018" cy="858297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>
              <a:latin typeface="Abadi Extra Light" panose="020B0204020104020204" pitchFamily="34" charset="0"/>
            </a:rPr>
            <a:t>Este</a:t>
          </a:r>
          <a:r>
            <a:rPr lang="es-MX" sz="1400" baseline="0">
              <a:latin typeface="Abadi Extra Light" panose="020B0204020104020204" pitchFamily="34" charset="0"/>
            </a:rPr>
            <a:t> tipo de credito tiene el objetivo de hacer que los pagos del usuarios paguen de tal forma que vaya decreciendo su pagos constantemente...</a:t>
          </a:r>
          <a:endParaRPr lang="es-MX" sz="1400">
            <a:latin typeface="Abadi Extra Light" panose="020B0204020104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240082</xdr:colOff>
      <xdr:row>1</xdr:row>
      <xdr:rowOff>167014</xdr:rowOff>
    </xdr:from>
    <xdr:to>
      <xdr:col>5</xdr:col>
      <xdr:colOff>52191</xdr:colOff>
      <xdr:row>3</xdr:row>
      <xdr:rowOff>240082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FE6069C-71B5-4795-882E-40FAFBF68990}"/>
            </a:ext>
          </a:extLst>
        </xdr:cNvPr>
        <xdr:cNvCxnSpPr/>
      </xdr:nvCxnSpPr>
      <xdr:spPr>
        <a:xfrm flipV="1">
          <a:off x="4057702" y="349894"/>
          <a:ext cx="421709" cy="4388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343243</xdr:colOff>
      <xdr:row>2</xdr:row>
      <xdr:rowOff>51486</xdr:rowOff>
    </xdr:from>
    <xdr:to>
      <xdr:col>8</xdr:col>
      <xdr:colOff>688461</xdr:colOff>
      <xdr:row>4</xdr:row>
      <xdr:rowOff>154648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D4EFB87-0417-40C5-A1BA-C57C2AAD39D6}"/>
            </a:ext>
          </a:extLst>
        </xdr:cNvPr>
        <xdr:cNvSpPr txBox="1"/>
      </xdr:nvSpPr>
      <xdr:spPr>
        <a:xfrm>
          <a:off x="3526824" y="532027"/>
          <a:ext cx="4678664" cy="858297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>
              <a:latin typeface="Abadi Extra Light" panose="020B0204020104020204" pitchFamily="34" charset="0"/>
            </a:rPr>
            <a:t>Este</a:t>
          </a:r>
          <a:r>
            <a:rPr lang="es-MX" sz="1400" baseline="0">
              <a:latin typeface="Abadi Extra Light" panose="020B0204020104020204" pitchFamily="34" charset="0"/>
            </a:rPr>
            <a:t> tipo de credito se caracteriza con hacer solamente el pago de los interes periodo por periodo y en el ultimo periodo se hace paga el interes junto con el pago al capital totalmente...</a:t>
          </a:r>
          <a:endParaRPr lang="es-MX" sz="1400"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</xdr:col>
      <xdr:colOff>1209932</xdr:colOff>
      <xdr:row>47</xdr:row>
      <xdr:rowOff>68650</xdr:rowOff>
    </xdr:from>
    <xdr:to>
      <xdr:col>8</xdr:col>
      <xdr:colOff>266013</xdr:colOff>
      <xdr:row>51</xdr:row>
      <xdr:rowOff>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3B8FFF2-DEBF-4006-BCDC-8637CA68B8DA}"/>
            </a:ext>
          </a:extLst>
        </xdr:cNvPr>
        <xdr:cNvSpPr txBox="1"/>
      </xdr:nvSpPr>
      <xdr:spPr>
        <a:xfrm>
          <a:off x="4393513" y="9799596"/>
          <a:ext cx="3792838" cy="686486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>
              <a:latin typeface="Abadi Extra Light" panose="020B0204020104020204" pitchFamily="34" charset="0"/>
            </a:rPr>
            <a:t>En</a:t>
          </a:r>
          <a:r>
            <a:rPr lang="es-MX" sz="1400" baseline="0">
              <a:latin typeface="Abadi Extra Light" panose="020B0204020104020204" pitchFamily="34" charset="0"/>
            </a:rPr>
            <a:t> esta celda agregamos el pago extra indicado</a:t>
          </a:r>
          <a:endParaRPr lang="es-MX" sz="1400"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3</xdr:col>
      <xdr:colOff>1330068</xdr:colOff>
      <xdr:row>45</xdr:row>
      <xdr:rowOff>0</xdr:rowOff>
    </xdr:from>
    <xdr:to>
      <xdr:col>6</xdr:col>
      <xdr:colOff>94391</xdr:colOff>
      <xdr:row>47</xdr:row>
      <xdr:rowOff>68650</xdr:rowOff>
    </xdr:to>
    <xdr:cxnSp macro="">
      <xdr:nvCxnSpPr>
        <xdr:cNvPr id="4" name="Conector: angular 3">
          <a:extLst>
            <a:ext uri="{FF2B5EF4-FFF2-40B4-BE49-F238E27FC236}">
              <a16:creationId xmlns:a16="http://schemas.microsoft.com/office/drawing/2014/main" id="{23B5AFC4-7926-46DF-A060-6CF52B682157}"/>
            </a:ext>
          </a:extLst>
        </xdr:cNvPr>
        <xdr:cNvCxnSpPr>
          <a:stCxn id="3" idx="0"/>
        </xdr:cNvCxnSpPr>
      </xdr:nvCxnSpPr>
      <xdr:spPr>
        <a:xfrm rot="16200000" flipV="1">
          <a:off x="5178682" y="8688345"/>
          <a:ext cx="446218" cy="1776283"/>
        </a:xfrm>
        <a:prstGeom prst="bentConnector2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240082</xdr:colOff>
      <xdr:row>1</xdr:row>
      <xdr:rowOff>167014</xdr:rowOff>
    </xdr:from>
    <xdr:to>
      <xdr:col>5</xdr:col>
      <xdr:colOff>52191</xdr:colOff>
      <xdr:row>3</xdr:row>
      <xdr:rowOff>240082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A67A693-2B35-4F0C-B466-8D4E26C5E5DE}"/>
            </a:ext>
          </a:extLst>
        </xdr:cNvPr>
        <xdr:cNvCxnSpPr/>
      </xdr:nvCxnSpPr>
      <xdr:spPr>
        <a:xfrm flipV="1">
          <a:off x="4332022" y="349894"/>
          <a:ext cx="421709" cy="4388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 MENDIETA LOPEZ" id="{5E574D3C-B260-4BD3-AA50-0534115C12B8}" userId="S::mendieta_lopez_david@comunidad.unam.mx::50135692-ec2c-489a-957d-9bedbfc7b984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4-04-25T21:53:24.54" personId="{5E574D3C-B260-4BD3-AA50-0534115C12B8}" id="{95502443-6745-455D-A271-70BF59654EC9}">
    <text>Como son los pagos al capital, simplemente hacemos una division de la linea de credito entre los plazos</text>
  </threadedComment>
  <threadedComment ref="D10" dT="2024-04-25T21:56:41.32" personId="{5E574D3C-B260-4BD3-AA50-0534115C12B8}" id="{11849637-0292-4440-8206-76D835ECE1A3}">
    <text>Como lo indica;  es la suma del capital con los intereses</text>
  </threadedComment>
  <threadedComment ref="F10" dT="2024-04-25T21:54:19.56" personId="{5E574D3C-B260-4BD3-AA50-0534115C12B8}" id="{8EBC0F71-8424-4B3A-85B6-4C320FD70E56}">
    <text>Es el pago calculado para el capital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04-25T22:01:28.64" personId="{5E574D3C-B260-4BD3-AA50-0534115C12B8}" id="{E0CCA318-17BE-40C8-86A6-66DF99EB0452}">
    <text>La etapa nos indica como si se calcula la reserva de lifetime o a 12 meses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9" dT="2024-04-25T22:11:07.80" personId="{5E574D3C-B260-4BD3-AA50-0534115C12B8}" id="{37611B1F-C96C-4DE5-97EC-872781424373}">
    <text>Como lo indica este tipo de credito, el pago al capital no se realiza hasta el ultimo periodo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04-25T22:12:17.75" personId="{5E574D3C-B260-4BD3-AA50-0534115C12B8}" id="{A6C25DF5-A909-4325-9F11-05894337798D}">
    <text>La etapa nos indica como si se calcula la reserva de lifetime o a 12 meses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31FA-BC7C-48C4-A487-9DF966B8C804}">
  <sheetPr>
    <tabColor theme="9"/>
  </sheetPr>
  <dimension ref="B3:B5"/>
  <sheetViews>
    <sheetView topLeftCell="A4" workbookViewId="0">
      <selection activeCell="D9" sqref="D9"/>
    </sheetView>
  </sheetViews>
  <sheetFormatPr baseColWidth="10" defaultRowHeight="15"/>
  <sheetData>
    <row r="3" spans="2:2" ht="18.75">
      <c r="B3" s="43" t="s">
        <v>38</v>
      </c>
    </row>
    <row r="4" spans="2:2" ht="18.75">
      <c r="B4" s="43" t="s">
        <v>39</v>
      </c>
    </row>
    <row r="5" spans="2:2" ht="18.75">
      <c r="B5" s="4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5696-B45F-4D44-B88E-EA1C9290AB7E}">
  <sheetPr codeName="Sheet6">
    <tabColor theme="9"/>
  </sheetPr>
  <dimension ref="A1:L59"/>
  <sheetViews>
    <sheetView tabSelected="1" topLeftCell="B1" zoomScale="108" zoomScaleNormal="70" workbookViewId="0">
      <selection activeCell="I66" sqref="I66"/>
    </sheetView>
  </sheetViews>
  <sheetFormatPr baseColWidth="10" defaultColWidth="8.85546875" defaultRowHeight="15"/>
  <cols>
    <col min="1" max="2" width="20.42578125" customWidth="1"/>
    <col min="4" max="4" width="21.42578125" customWidth="1"/>
    <col min="5" max="5" width="13.140625" bestFit="1" customWidth="1"/>
    <col min="6" max="7" width="13.7109375" bestFit="1" customWidth="1"/>
    <col min="8" max="8" width="12.7109375" customWidth="1"/>
    <col min="9" max="9" width="11.28515625" customWidth="1"/>
    <col min="10" max="10" width="19" customWidth="1"/>
    <col min="11" max="11" width="18" customWidth="1"/>
  </cols>
  <sheetData>
    <row r="1" spans="1:12" ht="24" thickBot="1">
      <c r="A1" s="61" t="s">
        <v>30</v>
      </c>
      <c r="B1" s="61"/>
      <c r="C1" s="61"/>
      <c r="D1" s="61"/>
      <c r="E1" s="61"/>
      <c r="F1" s="61"/>
      <c r="G1" s="61"/>
      <c r="H1" s="61"/>
      <c r="I1" s="61"/>
      <c r="J1" s="61"/>
    </row>
    <row r="2" spans="1:12" ht="15.75" thickTop="1"/>
    <row r="3" spans="1:12" ht="45">
      <c r="A3" s="62" t="s">
        <v>13</v>
      </c>
      <c r="B3" s="69">
        <v>1500000</v>
      </c>
      <c r="D3" s="62" t="s">
        <v>40</v>
      </c>
      <c r="E3" s="71">
        <f>B3-E4</f>
        <v>1316489.3642564334</v>
      </c>
    </row>
    <row r="4" spans="1:12" ht="30">
      <c r="A4" s="62" t="s">
        <v>34</v>
      </c>
      <c r="B4" s="69">
        <f>+B3*0.25</f>
        <v>375000</v>
      </c>
      <c r="D4" s="62" t="s">
        <v>41</v>
      </c>
      <c r="E4" s="72">
        <f>B4*(1+B5/12)^(-B6)</f>
        <v>183510.63574356653</v>
      </c>
    </row>
    <row r="5" spans="1:12" ht="30">
      <c r="A5" s="62" t="s">
        <v>14</v>
      </c>
      <c r="B5" s="66">
        <v>0.18</v>
      </c>
    </row>
    <row r="6" spans="1:12">
      <c r="A6" s="63" t="s">
        <v>15</v>
      </c>
      <c r="B6" s="67">
        <v>48</v>
      </c>
      <c r="C6" s="7" t="s">
        <v>16</v>
      </c>
    </row>
    <row r="7" spans="1:12" ht="30">
      <c r="A7" s="62" t="s">
        <v>17</v>
      </c>
      <c r="B7" s="66">
        <v>0.03</v>
      </c>
      <c r="C7" s="7"/>
      <c r="J7" s="63" t="s">
        <v>22</v>
      </c>
      <c r="K7" s="27">
        <v>0.20502674989796138</v>
      </c>
      <c r="L7" s="26"/>
    </row>
    <row r="8" spans="1:12">
      <c r="A8" s="63" t="s">
        <v>32</v>
      </c>
      <c r="B8" s="65">
        <v>10000</v>
      </c>
      <c r="C8" s="7"/>
    </row>
    <row r="9" spans="1:12">
      <c r="A9" s="63" t="s">
        <v>33</v>
      </c>
      <c r="B9" s="68">
        <f>-PMT(B5/12,B6,E3,0,0)</f>
        <v>38671.874559182448</v>
      </c>
      <c r="C9" s="7"/>
      <c r="D9" s="28"/>
      <c r="K9" s="73" t="s">
        <v>42</v>
      </c>
    </row>
    <row r="10" spans="1:12">
      <c r="B10" s="6"/>
      <c r="K10" s="74">
        <f>+SUM(K12:K59)</f>
        <v>1500000.0005850601</v>
      </c>
    </row>
    <row r="11" spans="1:12" ht="30">
      <c r="A11" s="9" t="s">
        <v>8</v>
      </c>
      <c r="B11" s="9" t="s">
        <v>9</v>
      </c>
      <c r="C11" s="9" t="s">
        <v>10</v>
      </c>
      <c r="D11" s="9" t="s">
        <v>47</v>
      </c>
      <c r="E11" s="9" t="s">
        <v>44</v>
      </c>
      <c r="F11" s="9" t="s">
        <v>11</v>
      </c>
      <c r="G11" s="9" t="s">
        <v>12</v>
      </c>
      <c r="H11" s="10" t="s">
        <v>19</v>
      </c>
      <c r="I11" s="12" t="s">
        <v>20</v>
      </c>
      <c r="J11" s="11" t="s">
        <v>21</v>
      </c>
      <c r="K11" s="11" t="s">
        <v>23</v>
      </c>
    </row>
    <row r="12" spans="1:12">
      <c r="A12" s="3">
        <v>1</v>
      </c>
      <c r="B12" s="4">
        <f>B3</f>
        <v>1500000</v>
      </c>
      <c r="C12" s="8">
        <f>$B$5/12</f>
        <v>1.4999999999999999E-2</v>
      </c>
      <c r="D12" s="39">
        <f>$B$9</f>
        <v>38671.874559182448</v>
      </c>
      <c r="E12" s="4">
        <f>C12*B12</f>
        <v>22500</v>
      </c>
      <c r="F12" s="38">
        <f>D12-E12</f>
        <v>16171.874559182448</v>
      </c>
      <c r="G12" s="5">
        <f>B12-F12</f>
        <v>1483828.1254408176</v>
      </c>
      <c r="H12" s="5">
        <f>B7*B3</f>
        <v>45000</v>
      </c>
      <c r="I12" s="5">
        <f>B8</f>
        <v>10000</v>
      </c>
      <c r="J12" s="38">
        <f>D12+H12+I12</f>
        <v>93671.874559182441</v>
      </c>
      <c r="K12" s="5">
        <f>J12/(1+$K$7/12)^A12</f>
        <v>92098.322907779526</v>
      </c>
    </row>
    <row r="13" spans="1:12">
      <c r="A13" s="3">
        <f>+A12+1</f>
        <v>2</v>
      </c>
      <c r="B13" s="5">
        <f>G12</f>
        <v>1483828.1254408176</v>
      </c>
      <c r="C13" s="8">
        <f t="shared" ref="C13:C59" si="0">$B$5/12</f>
        <v>1.4999999999999999E-2</v>
      </c>
      <c r="D13" s="39">
        <f t="shared" ref="D13:D58" si="1">$B$9</f>
        <v>38671.874559182448</v>
      </c>
      <c r="E13" s="4">
        <f t="shared" ref="E13:E59" si="2">C13*B13</f>
        <v>22257.421881612263</v>
      </c>
      <c r="F13" s="38">
        <f t="shared" ref="F13:F58" si="3">D13-E13</f>
        <v>16414.452677570185</v>
      </c>
      <c r="G13" s="5">
        <f t="shared" ref="G13:G58" si="4">B13-F13</f>
        <v>1467413.6727632473</v>
      </c>
      <c r="H13" s="5"/>
      <c r="I13" s="5"/>
      <c r="J13" s="38">
        <f t="shared" ref="J13:J59" si="5">D13+H13+I13</f>
        <v>38671.874559182448</v>
      </c>
      <c r="K13" s="5">
        <f t="shared" ref="K13:K59" si="6">J13/(1+$K$7/12)^A13</f>
        <v>37383.524602072481</v>
      </c>
    </row>
    <row r="14" spans="1:12">
      <c r="A14" s="3">
        <f t="shared" ref="A14:A59" si="7">+A13+1</f>
        <v>3</v>
      </c>
      <c r="B14" s="5">
        <f t="shared" ref="B14:B59" si="8">G13</f>
        <v>1467413.6727632473</v>
      </c>
      <c r="C14" s="8">
        <f t="shared" si="0"/>
        <v>1.4999999999999999E-2</v>
      </c>
      <c r="D14" s="39">
        <f t="shared" si="1"/>
        <v>38671.874559182448</v>
      </c>
      <c r="E14" s="4">
        <f t="shared" si="2"/>
        <v>22011.205091448708</v>
      </c>
      <c r="F14" s="38">
        <f t="shared" si="3"/>
        <v>16660.66946773374</v>
      </c>
      <c r="G14" s="5">
        <f t="shared" si="4"/>
        <v>1450753.0032955136</v>
      </c>
      <c r="H14" s="5"/>
      <c r="I14" s="5"/>
      <c r="J14" s="38">
        <f t="shared" si="5"/>
        <v>38671.874559182448</v>
      </c>
      <c r="K14" s="5">
        <f t="shared" si="6"/>
        <v>36755.535601642194</v>
      </c>
    </row>
    <row r="15" spans="1:12">
      <c r="A15" s="3">
        <f t="shared" si="7"/>
        <v>4</v>
      </c>
      <c r="B15" s="5">
        <f t="shared" si="8"/>
        <v>1450753.0032955136</v>
      </c>
      <c r="C15" s="8">
        <f t="shared" si="0"/>
        <v>1.4999999999999999E-2</v>
      </c>
      <c r="D15" s="39">
        <f t="shared" si="1"/>
        <v>38671.874559182448</v>
      </c>
      <c r="E15" s="4">
        <f t="shared" si="2"/>
        <v>21761.295049432701</v>
      </c>
      <c r="F15" s="38">
        <f t="shared" si="3"/>
        <v>16910.579509749747</v>
      </c>
      <c r="G15" s="5">
        <f t="shared" si="4"/>
        <v>1433842.4237857638</v>
      </c>
      <c r="H15" s="5"/>
      <c r="I15" s="5"/>
      <c r="J15" s="38">
        <f t="shared" si="5"/>
        <v>38671.874559182448</v>
      </c>
      <c r="K15" s="5">
        <f t="shared" si="6"/>
        <v>36138.095905721289</v>
      </c>
    </row>
    <row r="16" spans="1:12">
      <c r="A16" s="3">
        <f t="shared" si="7"/>
        <v>5</v>
      </c>
      <c r="B16" s="5">
        <f t="shared" si="8"/>
        <v>1433842.4237857638</v>
      </c>
      <c r="C16" s="8">
        <f t="shared" si="0"/>
        <v>1.4999999999999999E-2</v>
      </c>
      <c r="D16" s="39">
        <f t="shared" si="1"/>
        <v>38671.874559182448</v>
      </c>
      <c r="E16" s="4">
        <f t="shared" si="2"/>
        <v>21507.636356786457</v>
      </c>
      <c r="F16" s="38">
        <f t="shared" si="3"/>
        <v>17164.238202395991</v>
      </c>
      <c r="G16" s="5">
        <f t="shared" si="4"/>
        <v>1416678.1855833677</v>
      </c>
      <c r="H16" s="5"/>
      <c r="I16" s="5"/>
      <c r="J16" s="38">
        <f t="shared" si="5"/>
        <v>38671.874559182448</v>
      </c>
      <c r="K16" s="5">
        <f t="shared" si="6"/>
        <v>35531.028301292419</v>
      </c>
    </row>
    <row r="17" spans="1:11">
      <c r="A17" s="3">
        <f t="shared" si="7"/>
        <v>6</v>
      </c>
      <c r="B17" s="5">
        <f t="shared" si="8"/>
        <v>1416678.1855833677</v>
      </c>
      <c r="C17" s="8">
        <f t="shared" si="0"/>
        <v>1.4999999999999999E-2</v>
      </c>
      <c r="D17" s="39">
        <f t="shared" si="1"/>
        <v>38671.874559182448</v>
      </c>
      <c r="E17" s="4">
        <f t="shared" si="2"/>
        <v>21250.172783750513</v>
      </c>
      <c r="F17" s="38">
        <f t="shared" si="3"/>
        <v>17421.701775431935</v>
      </c>
      <c r="G17" s="5">
        <f t="shared" si="4"/>
        <v>1399256.4838079358</v>
      </c>
      <c r="H17" s="5"/>
      <c r="I17" s="5"/>
      <c r="J17" s="38">
        <f t="shared" si="5"/>
        <v>38671.874559182448</v>
      </c>
      <c r="K17" s="5">
        <f t="shared" si="6"/>
        <v>34934.158552259934</v>
      </c>
    </row>
    <row r="18" spans="1:11">
      <c r="A18" s="3">
        <f t="shared" si="7"/>
        <v>7</v>
      </c>
      <c r="B18" s="5">
        <f t="shared" si="8"/>
        <v>1399256.4838079358</v>
      </c>
      <c r="C18" s="8">
        <f t="shared" si="0"/>
        <v>1.4999999999999999E-2</v>
      </c>
      <c r="D18" s="39">
        <f t="shared" si="1"/>
        <v>38671.874559182448</v>
      </c>
      <c r="E18" s="4">
        <f t="shared" si="2"/>
        <v>20988.847257119036</v>
      </c>
      <c r="F18" s="38">
        <f t="shared" si="3"/>
        <v>17683.027302063412</v>
      </c>
      <c r="G18" s="5">
        <f t="shared" si="4"/>
        <v>1381573.4565058725</v>
      </c>
      <c r="H18" s="5"/>
      <c r="I18" s="5"/>
      <c r="J18" s="38">
        <f t="shared" si="5"/>
        <v>38671.874559182448</v>
      </c>
      <c r="K18" s="5">
        <f t="shared" si="6"/>
        <v>34347.315349441902</v>
      </c>
    </row>
    <row r="19" spans="1:11">
      <c r="A19" s="3">
        <f t="shared" si="7"/>
        <v>8</v>
      </c>
      <c r="B19" s="5">
        <f t="shared" si="8"/>
        <v>1381573.4565058725</v>
      </c>
      <c r="C19" s="8">
        <f t="shared" si="0"/>
        <v>1.4999999999999999E-2</v>
      </c>
      <c r="D19" s="39">
        <f t="shared" si="1"/>
        <v>38671.874559182448</v>
      </c>
      <c r="E19" s="4">
        <f t="shared" si="2"/>
        <v>20723.601847588088</v>
      </c>
      <c r="F19" s="38">
        <f t="shared" si="3"/>
        <v>17948.27271159436</v>
      </c>
      <c r="G19" s="5">
        <f t="shared" si="4"/>
        <v>1363625.1837942782</v>
      </c>
      <c r="H19" s="5"/>
      <c r="I19" s="5"/>
      <c r="J19" s="38">
        <f t="shared" si="5"/>
        <v>38671.874559182448</v>
      </c>
      <c r="K19" s="5">
        <f t="shared" si="6"/>
        <v>33770.330261402225</v>
      </c>
    </row>
    <row r="20" spans="1:11">
      <c r="A20" s="3">
        <f t="shared" si="7"/>
        <v>9</v>
      </c>
      <c r="B20" s="5">
        <f t="shared" si="8"/>
        <v>1363625.1837942782</v>
      </c>
      <c r="C20" s="8">
        <f t="shared" si="0"/>
        <v>1.4999999999999999E-2</v>
      </c>
      <c r="D20" s="39">
        <f t="shared" si="1"/>
        <v>38671.874559182448</v>
      </c>
      <c r="E20" s="4">
        <f t="shared" si="2"/>
        <v>20454.377756914171</v>
      </c>
      <c r="F20" s="38">
        <f t="shared" si="3"/>
        <v>18217.496802268277</v>
      </c>
      <c r="G20" s="5">
        <f t="shared" si="4"/>
        <v>1345407.6869920099</v>
      </c>
      <c r="H20" s="5"/>
      <c r="I20" s="5"/>
      <c r="J20" s="38">
        <f t="shared" si="5"/>
        <v>38671.874559182448</v>
      </c>
      <c r="K20" s="5">
        <f t="shared" si="6"/>
        <v>33203.037686108692</v>
      </c>
    </row>
    <row r="21" spans="1:11">
      <c r="A21" s="3">
        <f t="shared" si="7"/>
        <v>10</v>
      </c>
      <c r="B21" s="5">
        <f t="shared" si="8"/>
        <v>1345407.6869920099</v>
      </c>
      <c r="C21" s="8">
        <f t="shared" si="0"/>
        <v>1.4999999999999999E-2</v>
      </c>
      <c r="D21" s="39">
        <f t="shared" si="1"/>
        <v>38671.874559182448</v>
      </c>
      <c r="E21" s="4">
        <f t="shared" si="2"/>
        <v>20181.115304880146</v>
      </c>
      <c r="F21" s="38">
        <f t="shared" si="3"/>
        <v>18490.759254302302</v>
      </c>
      <c r="G21" s="5">
        <f t="shared" si="4"/>
        <v>1326916.9277377075</v>
      </c>
      <c r="H21" s="5"/>
      <c r="I21" s="5"/>
      <c r="J21" s="38">
        <f t="shared" si="5"/>
        <v>38671.874559182448</v>
      </c>
      <c r="K21" s="5">
        <f t="shared" si="6"/>
        <v>32645.27480340307</v>
      </c>
    </row>
    <row r="22" spans="1:11">
      <c r="A22" s="3">
        <f t="shared" si="7"/>
        <v>11</v>
      </c>
      <c r="B22" s="5">
        <f t="shared" si="8"/>
        <v>1326916.9277377075</v>
      </c>
      <c r="C22" s="8">
        <f t="shared" si="0"/>
        <v>1.4999999999999999E-2</v>
      </c>
      <c r="D22" s="39">
        <f t="shared" si="1"/>
        <v>38671.874559182448</v>
      </c>
      <c r="E22" s="4">
        <f t="shared" si="2"/>
        <v>19903.753916065612</v>
      </c>
      <c r="F22" s="38">
        <f t="shared" si="3"/>
        <v>18768.120643116836</v>
      </c>
      <c r="G22" s="5">
        <f t="shared" si="4"/>
        <v>1308148.8070945907</v>
      </c>
      <c r="H22" s="5"/>
      <c r="I22" s="5"/>
      <c r="J22" s="38">
        <f t="shared" si="5"/>
        <v>38671.874559182448</v>
      </c>
      <c r="K22" s="5">
        <f t="shared" si="6"/>
        <v>32096.881528269656</v>
      </c>
    </row>
    <row r="23" spans="1:11">
      <c r="A23" s="3">
        <f t="shared" si="7"/>
        <v>12</v>
      </c>
      <c r="B23" s="5">
        <f t="shared" si="8"/>
        <v>1308148.8070945907</v>
      </c>
      <c r="C23" s="8">
        <f t="shared" si="0"/>
        <v>1.4999999999999999E-2</v>
      </c>
      <c r="D23" s="39">
        <f t="shared" si="1"/>
        <v>38671.874559182448</v>
      </c>
      <c r="E23" s="4">
        <f t="shared" si="2"/>
        <v>19622.232106418862</v>
      </c>
      <c r="F23" s="38">
        <f t="shared" si="3"/>
        <v>19049.642452763586</v>
      </c>
      <c r="G23" s="5">
        <f t="shared" si="4"/>
        <v>1289099.1646418271</v>
      </c>
      <c r="H23" s="5"/>
      <c r="I23" s="5"/>
      <c r="J23" s="38">
        <f t="shared" si="5"/>
        <v>38671.874559182448</v>
      </c>
      <c r="K23" s="5">
        <f t="shared" si="6"/>
        <v>31557.700464888858</v>
      </c>
    </row>
    <row r="24" spans="1:11">
      <c r="A24" s="3">
        <f t="shared" si="7"/>
        <v>13</v>
      </c>
      <c r="B24" s="5">
        <f t="shared" si="8"/>
        <v>1289099.1646418271</v>
      </c>
      <c r="C24" s="8">
        <f t="shared" si="0"/>
        <v>1.4999999999999999E-2</v>
      </c>
      <c r="D24" s="39">
        <f t="shared" si="1"/>
        <v>38671.874559182448</v>
      </c>
      <c r="E24" s="4">
        <f t="shared" si="2"/>
        <v>19336.487469627406</v>
      </c>
      <c r="F24" s="38">
        <f t="shared" si="3"/>
        <v>19335.387089555043</v>
      </c>
      <c r="G24" s="5">
        <f t="shared" si="4"/>
        <v>1269763.777552272</v>
      </c>
      <c r="H24" s="5"/>
      <c r="I24" s="5">
        <f>I12</f>
        <v>10000</v>
      </c>
      <c r="J24" s="38">
        <f t="shared" si="5"/>
        <v>48671.874559182448</v>
      </c>
      <c r="K24" s="5">
        <f t="shared" si="6"/>
        <v>39050.869555479512</v>
      </c>
    </row>
    <row r="25" spans="1:11">
      <c r="A25" s="3">
        <f t="shared" si="7"/>
        <v>14</v>
      </c>
      <c r="B25" s="5">
        <f t="shared" si="8"/>
        <v>1269763.777552272</v>
      </c>
      <c r="C25" s="8">
        <f t="shared" si="0"/>
        <v>1.4999999999999999E-2</v>
      </c>
      <c r="D25" s="39">
        <f t="shared" si="1"/>
        <v>38671.874559182448</v>
      </c>
      <c r="E25" s="4">
        <f t="shared" si="2"/>
        <v>19046.45666328408</v>
      </c>
      <c r="F25" s="38">
        <f t="shared" si="3"/>
        <v>19625.417895898368</v>
      </c>
      <c r="G25" s="5">
        <f t="shared" si="4"/>
        <v>1250138.3596563735</v>
      </c>
      <c r="H25" s="5"/>
      <c r="I25" s="5"/>
      <c r="J25" s="38">
        <f t="shared" si="5"/>
        <v>38671.874559182448</v>
      </c>
      <c r="K25" s="5">
        <f t="shared" si="6"/>
        <v>30506.358565798666</v>
      </c>
    </row>
    <row r="26" spans="1:11">
      <c r="A26" s="3">
        <f t="shared" si="7"/>
        <v>15</v>
      </c>
      <c r="B26" s="5">
        <f t="shared" si="8"/>
        <v>1250138.3596563735</v>
      </c>
      <c r="C26" s="8">
        <f t="shared" si="0"/>
        <v>1.4999999999999999E-2</v>
      </c>
      <c r="D26" s="39">
        <f t="shared" si="1"/>
        <v>38671.874559182448</v>
      </c>
      <c r="E26" s="4">
        <f t="shared" si="2"/>
        <v>18752.0753948456</v>
      </c>
      <c r="F26" s="38">
        <f t="shared" si="3"/>
        <v>19919.799164336848</v>
      </c>
      <c r="G26" s="5">
        <f t="shared" si="4"/>
        <v>1230218.5604920366</v>
      </c>
      <c r="H26" s="5"/>
      <c r="I26" s="5"/>
      <c r="J26" s="38">
        <f t="shared" si="5"/>
        <v>38671.874559182448</v>
      </c>
      <c r="K26" s="5">
        <f t="shared" si="6"/>
        <v>29993.89598164089</v>
      </c>
    </row>
    <row r="27" spans="1:11">
      <c r="A27" s="3">
        <f t="shared" si="7"/>
        <v>16</v>
      </c>
      <c r="B27" s="5">
        <f t="shared" si="8"/>
        <v>1230218.5604920366</v>
      </c>
      <c r="C27" s="8">
        <f t="shared" si="0"/>
        <v>1.4999999999999999E-2</v>
      </c>
      <c r="D27" s="39">
        <f t="shared" si="1"/>
        <v>38671.874559182448</v>
      </c>
      <c r="E27" s="4">
        <f t="shared" si="2"/>
        <v>18453.278407380549</v>
      </c>
      <c r="F27" s="38">
        <f t="shared" si="3"/>
        <v>20218.596151801899</v>
      </c>
      <c r="G27" s="5">
        <f t="shared" si="4"/>
        <v>1209999.9643402346</v>
      </c>
      <c r="H27" s="5"/>
      <c r="I27" s="5"/>
      <c r="J27" s="38">
        <f t="shared" si="5"/>
        <v>38671.874559182448</v>
      </c>
      <c r="K27" s="5">
        <f t="shared" si="6"/>
        <v>29490.042025733357</v>
      </c>
    </row>
    <row r="28" spans="1:11">
      <c r="A28" s="3">
        <f t="shared" si="7"/>
        <v>17</v>
      </c>
      <c r="B28" s="5">
        <f t="shared" si="8"/>
        <v>1209999.9643402346</v>
      </c>
      <c r="C28" s="8">
        <f t="shared" si="0"/>
        <v>1.4999999999999999E-2</v>
      </c>
      <c r="D28" s="39">
        <f t="shared" si="1"/>
        <v>38671.874559182448</v>
      </c>
      <c r="E28" s="4">
        <f t="shared" si="2"/>
        <v>18149.999465103519</v>
      </c>
      <c r="F28" s="38">
        <f t="shared" si="3"/>
        <v>20521.875094078929</v>
      </c>
      <c r="G28" s="5">
        <f t="shared" si="4"/>
        <v>1189478.0892461557</v>
      </c>
      <c r="H28" s="5"/>
      <c r="I28" s="5"/>
      <c r="J28" s="38">
        <f t="shared" si="5"/>
        <v>38671.874559182448</v>
      </c>
      <c r="K28" s="5">
        <f t="shared" si="6"/>
        <v>28994.652085605536</v>
      </c>
    </row>
    <row r="29" spans="1:11">
      <c r="A29" s="3">
        <f t="shared" si="7"/>
        <v>18</v>
      </c>
      <c r="B29" s="5">
        <f t="shared" si="8"/>
        <v>1189478.0892461557</v>
      </c>
      <c r="C29" s="8">
        <f t="shared" si="0"/>
        <v>1.4999999999999999E-2</v>
      </c>
      <c r="D29" s="39">
        <f t="shared" si="1"/>
        <v>38671.874559182448</v>
      </c>
      <c r="E29" s="4">
        <f t="shared" si="2"/>
        <v>17842.171338692333</v>
      </c>
      <c r="F29" s="38">
        <f t="shared" si="3"/>
        <v>20829.703220490115</v>
      </c>
      <c r="G29" s="5">
        <f t="shared" si="4"/>
        <v>1168648.3860256656</v>
      </c>
      <c r="H29" s="5"/>
      <c r="I29" s="5"/>
      <c r="J29" s="38">
        <f t="shared" si="5"/>
        <v>38671.874559182448</v>
      </c>
      <c r="K29" s="5">
        <f t="shared" si="6"/>
        <v>28507.58397806669</v>
      </c>
    </row>
    <row r="30" spans="1:11">
      <c r="A30" s="3">
        <f t="shared" si="7"/>
        <v>19</v>
      </c>
      <c r="B30" s="5">
        <f t="shared" si="8"/>
        <v>1168648.3860256656</v>
      </c>
      <c r="C30" s="8">
        <f t="shared" si="0"/>
        <v>1.4999999999999999E-2</v>
      </c>
      <c r="D30" s="39">
        <f t="shared" si="1"/>
        <v>38671.874559182448</v>
      </c>
      <c r="E30" s="4">
        <f t="shared" si="2"/>
        <v>17529.725790384982</v>
      </c>
      <c r="F30" s="38">
        <f t="shared" si="3"/>
        <v>21142.148768797466</v>
      </c>
      <c r="G30" s="5">
        <f t="shared" si="4"/>
        <v>1147506.237256868</v>
      </c>
      <c r="H30" s="5"/>
      <c r="I30" s="5"/>
      <c r="J30" s="38">
        <f t="shared" si="5"/>
        <v>38671.874559182448</v>
      </c>
      <c r="K30" s="5">
        <f t="shared" si="6"/>
        <v>28028.697908397484</v>
      </c>
    </row>
    <row r="31" spans="1:11">
      <c r="A31" s="3">
        <f t="shared" si="7"/>
        <v>20</v>
      </c>
      <c r="B31" s="5">
        <f t="shared" si="8"/>
        <v>1147506.237256868</v>
      </c>
      <c r="C31" s="8">
        <f t="shared" si="0"/>
        <v>1.4999999999999999E-2</v>
      </c>
      <c r="D31" s="39">
        <f t="shared" si="1"/>
        <v>38671.874559182448</v>
      </c>
      <c r="E31" s="4">
        <f t="shared" si="2"/>
        <v>17212.593558853019</v>
      </c>
      <c r="F31" s="38">
        <f t="shared" si="3"/>
        <v>21459.281000329429</v>
      </c>
      <c r="G31" s="5">
        <f t="shared" si="4"/>
        <v>1126046.9562565386</v>
      </c>
      <c r="H31" s="5"/>
      <c r="I31" s="5"/>
      <c r="J31" s="38">
        <f t="shared" si="5"/>
        <v>38671.874559182448</v>
      </c>
      <c r="K31" s="5">
        <f t="shared" si="6"/>
        <v>27557.856430227141</v>
      </c>
    </row>
    <row r="32" spans="1:11">
      <c r="A32" s="3">
        <f t="shared" si="7"/>
        <v>21</v>
      </c>
      <c r="B32" s="5">
        <f t="shared" si="8"/>
        <v>1126046.9562565386</v>
      </c>
      <c r="C32" s="8">
        <f t="shared" si="0"/>
        <v>1.4999999999999999E-2</v>
      </c>
      <c r="D32" s="39">
        <f t="shared" si="1"/>
        <v>38671.874559182448</v>
      </c>
      <c r="E32" s="4">
        <f t="shared" si="2"/>
        <v>16890.70434384808</v>
      </c>
      <c r="F32" s="38">
        <f t="shared" si="3"/>
        <v>21781.170215334369</v>
      </c>
      <c r="G32" s="5">
        <f t="shared" si="4"/>
        <v>1104265.7860412044</v>
      </c>
      <c r="H32" s="5"/>
      <c r="I32" s="5"/>
      <c r="J32" s="38">
        <f t="shared" si="5"/>
        <v>38671.874559182448</v>
      </c>
      <c r="K32" s="5">
        <f t="shared" si="6"/>
        <v>27094.924406084607</v>
      </c>
    </row>
    <row r="33" spans="1:11">
      <c r="A33" s="3">
        <f t="shared" si="7"/>
        <v>22</v>
      </c>
      <c r="B33" s="5">
        <f t="shared" si="8"/>
        <v>1104265.7860412044</v>
      </c>
      <c r="C33" s="8">
        <f t="shared" si="0"/>
        <v>1.4999999999999999E-2</v>
      </c>
      <c r="D33" s="39">
        <f t="shared" si="1"/>
        <v>38671.874559182448</v>
      </c>
      <c r="E33" s="4">
        <f t="shared" si="2"/>
        <v>16563.986790618066</v>
      </c>
      <c r="F33" s="38">
        <f t="shared" si="3"/>
        <v>22107.887768564382</v>
      </c>
      <c r="G33" s="5">
        <f t="shared" si="4"/>
        <v>1082157.8982726401</v>
      </c>
      <c r="H33" s="5"/>
      <c r="I33" s="5"/>
      <c r="J33" s="38">
        <f t="shared" si="5"/>
        <v>38671.874559182448</v>
      </c>
      <c r="K33" s="5">
        <f t="shared" si="6"/>
        <v>26639.768968612345</v>
      </c>
    </row>
    <row r="34" spans="1:11">
      <c r="A34" s="3">
        <f t="shared" si="7"/>
        <v>23</v>
      </c>
      <c r="B34" s="5">
        <f t="shared" si="8"/>
        <v>1082157.8982726401</v>
      </c>
      <c r="C34" s="8">
        <f t="shared" si="0"/>
        <v>1.4999999999999999E-2</v>
      </c>
      <c r="D34" s="39">
        <f t="shared" si="1"/>
        <v>38671.874559182448</v>
      </c>
      <c r="E34" s="4">
        <f t="shared" si="2"/>
        <v>16232.368474089601</v>
      </c>
      <c r="F34" s="38">
        <f t="shared" si="3"/>
        <v>22439.506085092849</v>
      </c>
      <c r="G34" s="5">
        <f t="shared" si="4"/>
        <v>1059718.3921875472</v>
      </c>
      <c r="H34" s="5"/>
      <c r="I34" s="5"/>
      <c r="J34" s="38">
        <f t="shared" si="5"/>
        <v>38671.874559182448</v>
      </c>
      <c r="K34" s="5">
        <f t="shared" si="6"/>
        <v>26192.25948243176</v>
      </c>
    </row>
    <row r="35" spans="1:11">
      <c r="A35" s="3">
        <f t="shared" si="7"/>
        <v>24</v>
      </c>
      <c r="B35" s="5">
        <f t="shared" si="8"/>
        <v>1059718.3921875472</v>
      </c>
      <c r="C35" s="8">
        <f t="shared" si="0"/>
        <v>1.4999999999999999E-2</v>
      </c>
      <c r="D35" s="39">
        <f t="shared" si="1"/>
        <v>38671.874559182448</v>
      </c>
      <c r="E35" s="4">
        <f t="shared" si="2"/>
        <v>15895.775882813206</v>
      </c>
      <c r="F35" s="38">
        <f t="shared" si="3"/>
        <v>22776.098676369242</v>
      </c>
      <c r="G35" s="5">
        <f t="shared" si="4"/>
        <v>1036942.2935111779</v>
      </c>
      <c r="H35" s="5"/>
      <c r="I35" s="5"/>
      <c r="J35" s="38">
        <f t="shared" si="5"/>
        <v>38671.874559182448</v>
      </c>
      <c r="K35" s="5">
        <f t="shared" si="6"/>
        <v>25752.267506649165</v>
      </c>
    </row>
    <row r="36" spans="1:11">
      <c r="A36" s="3">
        <f t="shared" si="7"/>
        <v>25</v>
      </c>
      <c r="B36" s="5">
        <f t="shared" si="8"/>
        <v>1036942.2935111779</v>
      </c>
      <c r="C36" s="8">
        <f t="shared" si="0"/>
        <v>1.4999999999999999E-2</v>
      </c>
      <c r="D36" s="39">
        <f t="shared" si="1"/>
        <v>38671.874559182448</v>
      </c>
      <c r="E36" s="4">
        <f t="shared" si="2"/>
        <v>15554.134402667667</v>
      </c>
      <c r="F36" s="38">
        <f t="shared" si="3"/>
        <v>23117.740156514781</v>
      </c>
      <c r="G36" s="5">
        <f t="shared" si="4"/>
        <v>1013824.5533546631</v>
      </c>
      <c r="H36" s="5"/>
      <c r="I36" s="5">
        <f>I24</f>
        <v>10000</v>
      </c>
      <c r="J36" s="38">
        <f t="shared" si="5"/>
        <v>48671.874559182448</v>
      </c>
      <c r="K36" s="5">
        <f t="shared" si="6"/>
        <v>31866.974600346937</v>
      </c>
    </row>
    <row r="37" spans="1:11">
      <c r="A37" s="3">
        <f t="shared" si="7"/>
        <v>26</v>
      </c>
      <c r="B37" s="5">
        <f t="shared" si="8"/>
        <v>1013824.5533546631</v>
      </c>
      <c r="C37" s="8">
        <f t="shared" si="0"/>
        <v>1.4999999999999999E-2</v>
      </c>
      <c r="D37" s="39">
        <f t="shared" si="1"/>
        <v>38671.874559182448</v>
      </c>
      <c r="E37" s="4">
        <f t="shared" si="2"/>
        <v>15207.368300319946</v>
      </c>
      <c r="F37" s="38">
        <f t="shared" si="3"/>
        <v>23464.506258862501</v>
      </c>
      <c r="G37" s="5">
        <f t="shared" si="4"/>
        <v>990360.04709580052</v>
      </c>
      <c r="H37" s="5"/>
      <c r="I37" s="5"/>
      <c r="J37" s="38">
        <f t="shared" si="5"/>
        <v>38671.874559182448</v>
      </c>
      <c r="K37" s="5">
        <f t="shared" si="6"/>
        <v>24894.333074562062</v>
      </c>
    </row>
    <row r="38" spans="1:11">
      <c r="A38" s="3">
        <f t="shared" si="7"/>
        <v>27</v>
      </c>
      <c r="B38" s="5">
        <f t="shared" si="8"/>
        <v>990360.04709580052</v>
      </c>
      <c r="C38" s="8">
        <f t="shared" si="0"/>
        <v>1.4999999999999999E-2</v>
      </c>
      <c r="D38" s="39">
        <f t="shared" si="1"/>
        <v>38671.874559182448</v>
      </c>
      <c r="E38" s="4">
        <f t="shared" si="2"/>
        <v>14855.400706437007</v>
      </c>
      <c r="F38" s="38">
        <f t="shared" si="3"/>
        <v>23816.473852745439</v>
      </c>
      <c r="G38" s="5">
        <f t="shared" si="4"/>
        <v>966543.57324305503</v>
      </c>
      <c r="H38" s="5"/>
      <c r="I38" s="5"/>
      <c r="J38" s="38">
        <f t="shared" si="5"/>
        <v>38671.874559182448</v>
      </c>
      <c r="K38" s="5">
        <f t="shared" si="6"/>
        <v>24476.144380203208</v>
      </c>
    </row>
    <row r="39" spans="1:11">
      <c r="A39" s="3">
        <f t="shared" si="7"/>
        <v>28</v>
      </c>
      <c r="B39" s="5">
        <f t="shared" si="8"/>
        <v>966543.57324305503</v>
      </c>
      <c r="C39" s="8">
        <f t="shared" si="0"/>
        <v>1.4999999999999999E-2</v>
      </c>
      <c r="D39" s="39">
        <f t="shared" si="1"/>
        <v>38671.874559182448</v>
      </c>
      <c r="E39" s="4">
        <f t="shared" si="2"/>
        <v>14498.153598645826</v>
      </c>
      <c r="F39" s="38">
        <f t="shared" si="3"/>
        <v>24173.720960536622</v>
      </c>
      <c r="G39" s="5">
        <f t="shared" si="4"/>
        <v>942369.8522825184</v>
      </c>
      <c r="H39" s="5"/>
      <c r="I39" s="5"/>
      <c r="J39" s="38">
        <f t="shared" si="5"/>
        <v>38671.874559182448</v>
      </c>
      <c r="K39" s="5">
        <f t="shared" si="6"/>
        <v>24064.980649460194</v>
      </c>
    </row>
    <row r="40" spans="1:11">
      <c r="A40" s="3">
        <f t="shared" si="7"/>
        <v>29</v>
      </c>
      <c r="B40" s="5">
        <f t="shared" si="8"/>
        <v>942369.8522825184</v>
      </c>
      <c r="C40" s="8">
        <f t="shared" si="0"/>
        <v>1.4999999999999999E-2</v>
      </c>
      <c r="D40" s="39">
        <f t="shared" si="1"/>
        <v>38671.874559182448</v>
      </c>
      <c r="E40" s="4">
        <f t="shared" si="2"/>
        <v>14135.547784237775</v>
      </c>
      <c r="F40" s="38">
        <f t="shared" si="3"/>
        <v>24536.326774944675</v>
      </c>
      <c r="G40" s="5">
        <f t="shared" si="4"/>
        <v>917833.52550757374</v>
      </c>
      <c r="H40" s="5"/>
      <c r="I40" s="5"/>
      <c r="J40" s="38">
        <f t="shared" si="5"/>
        <v>38671.874559182448</v>
      </c>
      <c r="K40" s="5">
        <f t="shared" si="6"/>
        <v>23660.723873131752</v>
      </c>
    </row>
    <row r="41" spans="1:11">
      <c r="A41" s="3">
        <f t="shared" si="7"/>
        <v>30</v>
      </c>
      <c r="B41" s="5">
        <f t="shared" si="8"/>
        <v>917833.52550757374</v>
      </c>
      <c r="C41" s="8">
        <f t="shared" si="0"/>
        <v>1.4999999999999999E-2</v>
      </c>
      <c r="D41" s="39">
        <f t="shared" si="1"/>
        <v>38671.874559182448</v>
      </c>
      <c r="E41" s="4">
        <f t="shared" si="2"/>
        <v>13767.502882613606</v>
      </c>
      <c r="F41" s="38">
        <f t="shared" si="3"/>
        <v>24904.371676568844</v>
      </c>
      <c r="G41" s="5">
        <f t="shared" si="4"/>
        <v>892929.15383100486</v>
      </c>
      <c r="H41" s="5"/>
      <c r="I41" s="5"/>
      <c r="J41" s="38">
        <f t="shared" si="5"/>
        <v>38671.874559182448</v>
      </c>
      <c r="K41" s="5">
        <f t="shared" si="6"/>
        <v>23263.258024400056</v>
      </c>
    </row>
    <row r="42" spans="1:11">
      <c r="A42" s="3">
        <f t="shared" si="7"/>
        <v>31</v>
      </c>
      <c r="B42" s="5">
        <f t="shared" si="8"/>
        <v>892929.15383100486</v>
      </c>
      <c r="C42" s="8">
        <f t="shared" si="0"/>
        <v>1.4999999999999999E-2</v>
      </c>
      <c r="D42" s="39">
        <f t="shared" si="1"/>
        <v>38671.874559182448</v>
      </c>
      <c r="E42" s="4">
        <f t="shared" si="2"/>
        <v>13393.937307465072</v>
      </c>
      <c r="F42" s="38">
        <f t="shared" si="3"/>
        <v>25277.937251717376</v>
      </c>
      <c r="G42" s="5">
        <f t="shared" si="4"/>
        <v>867651.21657928755</v>
      </c>
      <c r="H42" s="5"/>
      <c r="I42" s="5"/>
      <c r="J42" s="38">
        <f t="shared" si="5"/>
        <v>38671.874559182448</v>
      </c>
      <c r="K42" s="5">
        <f t="shared" si="6"/>
        <v>22872.46902552955</v>
      </c>
    </row>
    <row r="43" spans="1:11">
      <c r="A43" s="3">
        <f t="shared" si="7"/>
        <v>32</v>
      </c>
      <c r="B43" s="5">
        <f t="shared" si="8"/>
        <v>867651.21657928755</v>
      </c>
      <c r="C43" s="8">
        <f t="shared" si="0"/>
        <v>1.4999999999999999E-2</v>
      </c>
      <c r="D43" s="39">
        <f t="shared" si="1"/>
        <v>38671.874559182448</v>
      </c>
      <c r="E43" s="4">
        <f t="shared" si="2"/>
        <v>13014.768248689312</v>
      </c>
      <c r="F43" s="38">
        <f t="shared" si="3"/>
        <v>25657.106310493138</v>
      </c>
      <c r="G43" s="5">
        <f t="shared" si="4"/>
        <v>841994.11026879447</v>
      </c>
      <c r="H43" s="5"/>
      <c r="I43" s="5"/>
      <c r="J43" s="38">
        <f t="shared" si="5"/>
        <v>38671.874559182448</v>
      </c>
      <c r="K43" s="5">
        <f t="shared" si="6"/>
        <v>22488.244715125209</v>
      </c>
    </row>
    <row r="44" spans="1:11">
      <c r="A44" s="3">
        <f t="shared" si="7"/>
        <v>33</v>
      </c>
      <c r="B44" s="5">
        <f t="shared" si="8"/>
        <v>841994.11026879447</v>
      </c>
      <c r="C44" s="8">
        <f t="shared" si="0"/>
        <v>1.4999999999999999E-2</v>
      </c>
      <c r="D44" s="39">
        <f t="shared" si="1"/>
        <v>38671.874559182448</v>
      </c>
      <c r="E44" s="4">
        <f t="shared" si="2"/>
        <v>12629.911654031917</v>
      </c>
      <c r="F44" s="38">
        <f t="shared" si="3"/>
        <v>26041.962905150533</v>
      </c>
      <c r="G44" s="5">
        <f t="shared" si="4"/>
        <v>815952.14736364398</v>
      </c>
      <c r="H44" s="5"/>
      <c r="I44" s="5"/>
      <c r="J44" s="38">
        <f t="shared" si="5"/>
        <v>38671.874559182448</v>
      </c>
      <c r="K44" s="5">
        <f t="shared" si="6"/>
        <v>22110.474815940786</v>
      </c>
    </row>
    <row r="45" spans="1:11">
      <c r="A45" s="3">
        <f t="shared" si="7"/>
        <v>34</v>
      </c>
      <c r="B45" s="5">
        <f t="shared" si="8"/>
        <v>815952.14736364398</v>
      </c>
      <c r="C45" s="8">
        <f t="shared" si="0"/>
        <v>1.4999999999999999E-2</v>
      </c>
      <c r="D45" s="39">
        <f t="shared" si="1"/>
        <v>38671.874559182448</v>
      </c>
      <c r="E45" s="4">
        <f t="shared" si="2"/>
        <v>12239.282210454659</v>
      </c>
      <c r="F45" s="38">
        <f t="shared" si="3"/>
        <v>26432.592348727791</v>
      </c>
      <c r="G45" s="5">
        <f t="shared" si="4"/>
        <v>789519.55501491623</v>
      </c>
      <c r="H45" s="5"/>
      <c r="I45" s="5"/>
      <c r="J45" s="38">
        <f t="shared" si="5"/>
        <v>38671.874559182448</v>
      </c>
      <c r="K45" s="5">
        <f t="shared" si="6"/>
        <v>21739.050903227861</v>
      </c>
    </row>
    <row r="46" spans="1:11">
      <c r="A46" s="3">
        <f t="shared" si="7"/>
        <v>35</v>
      </c>
      <c r="B46" s="5">
        <f t="shared" si="8"/>
        <v>789519.55501491623</v>
      </c>
      <c r="C46" s="8">
        <f t="shared" si="0"/>
        <v>1.4999999999999999E-2</v>
      </c>
      <c r="D46" s="39">
        <f t="shared" si="1"/>
        <v>38671.874559182448</v>
      </c>
      <c r="E46" s="4">
        <f t="shared" si="2"/>
        <v>11842.793325223744</v>
      </c>
      <c r="F46" s="38">
        <f t="shared" si="3"/>
        <v>26829.081233958706</v>
      </c>
      <c r="G46" s="5">
        <f t="shared" si="4"/>
        <v>762690.47378095752</v>
      </c>
      <c r="H46" s="5"/>
      <c r="I46" s="5"/>
      <c r="J46" s="38">
        <f t="shared" si="5"/>
        <v>38671.874559182448</v>
      </c>
      <c r="K46" s="5">
        <f t="shared" si="6"/>
        <v>21373.866373616536</v>
      </c>
    </row>
    <row r="47" spans="1:11">
      <c r="A47" s="3">
        <f t="shared" si="7"/>
        <v>36</v>
      </c>
      <c r="B47" s="5">
        <f t="shared" si="8"/>
        <v>762690.47378095752</v>
      </c>
      <c r="C47" s="8">
        <f t="shared" si="0"/>
        <v>1.4999999999999999E-2</v>
      </c>
      <c r="D47" s="39">
        <f t="shared" si="1"/>
        <v>38671.874559182448</v>
      </c>
      <c r="E47" s="4">
        <f t="shared" si="2"/>
        <v>11440.357106714362</v>
      </c>
      <c r="F47" s="38">
        <f t="shared" si="3"/>
        <v>27231.517452468084</v>
      </c>
      <c r="G47" s="5">
        <f t="shared" si="4"/>
        <v>735458.95632848947</v>
      </c>
      <c r="H47" s="5"/>
      <c r="I47" s="5"/>
      <c r="J47" s="38">
        <f t="shared" si="5"/>
        <v>38671.874559182448</v>
      </c>
      <c r="K47" s="5">
        <f t="shared" si="6"/>
        <v>21014.81641451894</v>
      </c>
    </row>
    <row r="48" spans="1:11">
      <c r="A48" s="3">
        <f t="shared" si="7"/>
        <v>37</v>
      </c>
      <c r="B48" s="5">
        <f t="shared" si="8"/>
        <v>735458.95632848947</v>
      </c>
      <c r="C48" s="8">
        <f t="shared" si="0"/>
        <v>1.4999999999999999E-2</v>
      </c>
      <c r="D48" s="39">
        <f t="shared" si="1"/>
        <v>38671.874559182448</v>
      </c>
      <c r="E48" s="4">
        <f t="shared" si="2"/>
        <v>11031.884344927341</v>
      </c>
      <c r="F48" s="38">
        <f t="shared" si="3"/>
        <v>27639.990214255107</v>
      </c>
      <c r="G48" s="5">
        <f t="shared" si="4"/>
        <v>707818.96611423441</v>
      </c>
      <c r="H48" s="5"/>
      <c r="I48" s="5">
        <f>I36</f>
        <v>10000</v>
      </c>
      <c r="J48" s="38">
        <f t="shared" si="5"/>
        <v>48671.874559182448</v>
      </c>
      <c r="K48" s="5">
        <f t="shared" si="6"/>
        <v>26004.646803995798</v>
      </c>
    </row>
    <row r="49" spans="1:11">
      <c r="A49" s="3">
        <f t="shared" si="7"/>
        <v>38</v>
      </c>
      <c r="B49" s="5">
        <f t="shared" si="8"/>
        <v>707818.96611423441</v>
      </c>
      <c r="C49" s="8">
        <f t="shared" si="0"/>
        <v>1.4999999999999999E-2</v>
      </c>
      <c r="D49" s="39">
        <f t="shared" si="1"/>
        <v>38671.874559182448</v>
      </c>
      <c r="E49" s="4">
        <f t="shared" si="2"/>
        <v>10617.284491713515</v>
      </c>
      <c r="F49" s="38">
        <f t="shared" si="3"/>
        <v>28054.590067468933</v>
      </c>
      <c r="G49" s="5">
        <f t="shared" si="4"/>
        <v>679764.37604676548</v>
      </c>
      <c r="H49" s="5"/>
      <c r="I49" s="5"/>
      <c r="J49" s="38">
        <f t="shared" si="5"/>
        <v>38671.874559182448</v>
      </c>
      <c r="K49" s="5">
        <f t="shared" si="6"/>
        <v>20314.709731433661</v>
      </c>
    </row>
    <row r="50" spans="1:11">
      <c r="A50" s="3">
        <f t="shared" si="7"/>
        <v>39</v>
      </c>
      <c r="B50" s="5">
        <f t="shared" si="8"/>
        <v>679764.37604676548</v>
      </c>
      <c r="C50" s="8">
        <f t="shared" si="0"/>
        <v>1.4999999999999999E-2</v>
      </c>
      <c r="D50" s="39">
        <f t="shared" si="1"/>
        <v>38671.874559182448</v>
      </c>
      <c r="E50" s="4">
        <f t="shared" si="2"/>
        <v>10196.465640701483</v>
      </c>
      <c r="F50" s="38">
        <f t="shared" si="3"/>
        <v>28475.408918480964</v>
      </c>
      <c r="G50" s="5">
        <f t="shared" si="4"/>
        <v>651288.96712828451</v>
      </c>
      <c r="H50" s="5"/>
      <c r="I50" s="5"/>
      <c r="J50" s="38">
        <f t="shared" si="5"/>
        <v>38671.874559182448</v>
      </c>
      <c r="K50" s="5">
        <f t="shared" si="6"/>
        <v>19973.452067955692</v>
      </c>
    </row>
    <row r="51" spans="1:11">
      <c r="A51" s="3">
        <f t="shared" si="7"/>
        <v>40</v>
      </c>
      <c r="B51" s="5">
        <f t="shared" si="8"/>
        <v>651288.96712828451</v>
      </c>
      <c r="C51" s="8">
        <f t="shared" si="0"/>
        <v>1.4999999999999999E-2</v>
      </c>
      <c r="D51" s="39">
        <f t="shared" si="1"/>
        <v>38671.874559182448</v>
      </c>
      <c r="E51" s="4">
        <f t="shared" si="2"/>
        <v>9769.3345069242678</v>
      </c>
      <c r="F51" s="38">
        <f t="shared" si="3"/>
        <v>28902.54005225818</v>
      </c>
      <c r="G51" s="5">
        <f t="shared" si="4"/>
        <v>622386.42707602633</v>
      </c>
      <c r="H51" s="5"/>
      <c r="I51" s="5"/>
      <c r="J51" s="38">
        <f t="shared" si="5"/>
        <v>38671.874559182448</v>
      </c>
      <c r="K51" s="5">
        <f t="shared" si="6"/>
        <v>19637.927038338701</v>
      </c>
    </row>
    <row r="52" spans="1:11">
      <c r="A52" s="3">
        <f t="shared" si="7"/>
        <v>41</v>
      </c>
      <c r="B52" s="5">
        <f t="shared" si="8"/>
        <v>622386.42707602633</v>
      </c>
      <c r="C52" s="8">
        <f t="shared" si="0"/>
        <v>1.4999999999999999E-2</v>
      </c>
      <c r="D52" s="39">
        <f t="shared" si="1"/>
        <v>38671.874559182448</v>
      </c>
      <c r="E52" s="4">
        <f t="shared" si="2"/>
        <v>9335.7964061403945</v>
      </c>
      <c r="F52" s="38">
        <f t="shared" si="3"/>
        <v>29336.078153042054</v>
      </c>
      <c r="G52" s="5">
        <f t="shared" si="4"/>
        <v>593050.34892298433</v>
      </c>
      <c r="H52" s="5"/>
      <c r="I52" s="5"/>
      <c r="J52" s="38">
        <f t="shared" si="5"/>
        <v>38671.874559182448</v>
      </c>
      <c r="K52" s="5">
        <f t="shared" si="6"/>
        <v>19308.038342647185</v>
      </c>
    </row>
    <row r="53" spans="1:11">
      <c r="A53" s="3">
        <f t="shared" si="7"/>
        <v>42</v>
      </c>
      <c r="B53" s="5">
        <f t="shared" si="8"/>
        <v>593050.34892298433</v>
      </c>
      <c r="C53" s="8">
        <f t="shared" si="0"/>
        <v>1.4999999999999999E-2</v>
      </c>
      <c r="D53" s="39">
        <f t="shared" si="1"/>
        <v>38671.874559182448</v>
      </c>
      <c r="E53" s="4">
        <f t="shared" si="2"/>
        <v>8895.755233844764</v>
      </c>
      <c r="F53" s="38">
        <f t="shared" si="3"/>
        <v>29776.119325337684</v>
      </c>
      <c r="G53" s="5">
        <f t="shared" si="4"/>
        <v>563274.22959764663</v>
      </c>
      <c r="H53" s="5"/>
      <c r="I53" s="5"/>
      <c r="J53" s="38">
        <f t="shared" si="5"/>
        <v>38671.874559182448</v>
      </c>
      <c r="K53" s="5">
        <f t="shared" si="6"/>
        <v>18983.691298644906</v>
      </c>
    </row>
    <row r="54" spans="1:11">
      <c r="A54" s="3">
        <f t="shared" si="7"/>
        <v>43</v>
      </c>
      <c r="B54" s="5">
        <f t="shared" si="8"/>
        <v>563274.22959764663</v>
      </c>
      <c r="C54" s="8">
        <f t="shared" si="0"/>
        <v>1.4999999999999999E-2</v>
      </c>
      <c r="D54" s="39">
        <f t="shared" si="1"/>
        <v>38671.874559182448</v>
      </c>
      <c r="E54" s="4">
        <f t="shared" si="2"/>
        <v>8449.1134439646994</v>
      </c>
      <c r="F54" s="38">
        <f t="shared" si="3"/>
        <v>30222.761115217749</v>
      </c>
      <c r="G54" s="5">
        <f t="shared" si="4"/>
        <v>533051.46848242893</v>
      </c>
      <c r="H54" s="5"/>
      <c r="I54" s="5"/>
      <c r="J54" s="38">
        <f t="shared" si="5"/>
        <v>38671.874559182448</v>
      </c>
      <c r="K54" s="5">
        <f t="shared" si="6"/>
        <v>18664.792814619883</v>
      </c>
    </row>
    <row r="55" spans="1:11">
      <c r="A55" s="3">
        <f t="shared" si="7"/>
        <v>44</v>
      </c>
      <c r="B55" s="5">
        <f t="shared" si="8"/>
        <v>533051.46848242893</v>
      </c>
      <c r="C55" s="8">
        <f t="shared" si="0"/>
        <v>1.4999999999999999E-2</v>
      </c>
      <c r="D55" s="39">
        <f t="shared" si="1"/>
        <v>38671.874559182448</v>
      </c>
      <c r="E55" s="4">
        <f t="shared" si="2"/>
        <v>7995.772027236434</v>
      </c>
      <c r="F55" s="38">
        <f t="shared" si="3"/>
        <v>30676.102531946013</v>
      </c>
      <c r="G55" s="5">
        <f t="shared" si="4"/>
        <v>502375.3659504829</v>
      </c>
      <c r="H55" s="5"/>
      <c r="I55" s="5"/>
      <c r="J55" s="38">
        <f t="shared" si="5"/>
        <v>38671.874559182448</v>
      </c>
      <c r="K55" s="5">
        <f t="shared" si="6"/>
        <v>18351.251362665887</v>
      </c>
    </row>
    <row r="56" spans="1:11">
      <c r="A56" s="3">
        <f t="shared" si="7"/>
        <v>45</v>
      </c>
      <c r="B56" s="5">
        <f t="shared" si="8"/>
        <v>502375.3659504829</v>
      </c>
      <c r="C56" s="8">
        <f t="shared" si="0"/>
        <v>1.4999999999999999E-2</v>
      </c>
      <c r="D56" s="39">
        <f t="shared" si="1"/>
        <v>38671.874559182448</v>
      </c>
      <c r="E56" s="4">
        <f t="shared" si="2"/>
        <v>7535.6304892572434</v>
      </c>
      <c r="F56" s="38">
        <f t="shared" si="3"/>
        <v>31136.244069925204</v>
      </c>
      <c r="G56" s="5">
        <f t="shared" si="4"/>
        <v>471239.12188055768</v>
      </c>
      <c r="H56" s="5"/>
      <c r="I56" s="5"/>
      <c r="J56" s="38">
        <f t="shared" si="5"/>
        <v>38671.874559182448</v>
      </c>
      <c r="K56" s="5">
        <f t="shared" si="6"/>
        <v>18042.976952412806</v>
      </c>
    </row>
    <row r="57" spans="1:11">
      <c r="A57" s="3">
        <f t="shared" si="7"/>
        <v>46</v>
      </c>
      <c r="B57" s="5">
        <f t="shared" si="8"/>
        <v>471239.12188055768</v>
      </c>
      <c r="C57" s="8">
        <f t="shared" si="0"/>
        <v>1.4999999999999999E-2</v>
      </c>
      <c r="D57" s="39">
        <f t="shared" si="1"/>
        <v>38671.874559182448</v>
      </c>
      <c r="E57" s="4">
        <f t="shared" si="2"/>
        <v>7068.5868282083648</v>
      </c>
      <c r="F57" s="38">
        <f t="shared" si="3"/>
        <v>31603.287730974083</v>
      </c>
      <c r="G57" s="5">
        <f t="shared" si="4"/>
        <v>439635.83414958359</v>
      </c>
      <c r="H57" s="5"/>
      <c r="I57" s="5"/>
      <c r="J57" s="38">
        <f t="shared" si="5"/>
        <v>38671.874559182448</v>
      </c>
      <c r="K57" s="5">
        <f t="shared" si="6"/>
        <v>17739.881105198219</v>
      </c>
    </row>
    <row r="58" spans="1:11">
      <c r="A58" s="3">
        <f t="shared" si="7"/>
        <v>47</v>
      </c>
      <c r="B58" s="5">
        <f t="shared" si="8"/>
        <v>439635.83414958359</v>
      </c>
      <c r="C58" s="8">
        <f t="shared" si="0"/>
        <v>1.4999999999999999E-2</v>
      </c>
      <c r="D58" s="39">
        <f t="shared" si="1"/>
        <v>38671.874559182448</v>
      </c>
      <c r="E58" s="4">
        <f t="shared" si="2"/>
        <v>6594.5375122437536</v>
      </c>
      <c r="F58" s="38">
        <f t="shared" si="3"/>
        <v>32077.337046938694</v>
      </c>
      <c r="G58" s="5">
        <f t="shared" si="4"/>
        <v>407558.49710264488</v>
      </c>
      <c r="H58" s="5"/>
      <c r="I58" s="5"/>
      <c r="J58" s="38">
        <f t="shared" si="5"/>
        <v>38671.874559182448</v>
      </c>
      <c r="K58" s="5">
        <f t="shared" si="6"/>
        <v>17441.876828672943</v>
      </c>
    </row>
    <row r="59" spans="1:11">
      <c r="A59" s="3">
        <f t="shared" si="7"/>
        <v>48</v>
      </c>
      <c r="B59" s="5">
        <f t="shared" si="8"/>
        <v>407558.49710264488</v>
      </c>
      <c r="C59" s="8">
        <f t="shared" si="0"/>
        <v>1.4999999999999999E-2</v>
      </c>
      <c r="D59" s="40">
        <f>$B$9+B4</f>
        <v>413671.87455918244</v>
      </c>
      <c r="E59" s="4">
        <f t="shared" si="2"/>
        <v>6113.3774565396725</v>
      </c>
      <c r="F59" s="38">
        <f>D59-E59</f>
        <v>407558.49710264278</v>
      </c>
      <c r="G59" s="5">
        <f>B59-F59</f>
        <v>2.0954757928848267E-9</v>
      </c>
      <c r="H59" s="5"/>
      <c r="I59" s="5"/>
      <c r="J59" s="38">
        <f t="shared" si="5"/>
        <v>413671.87455918244</v>
      </c>
      <c r="K59" s="5">
        <f t="shared" si="6"/>
        <v>183441.03652940164</v>
      </c>
    </row>
  </sheetData>
  <mergeCells count="1">
    <mergeCell ref="A1:J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20CF-5D1C-47AF-888C-C37330AD9B03}">
  <sheetPr codeName="Sheet5">
    <tabColor theme="9"/>
  </sheetPr>
  <dimension ref="A1:L60"/>
  <sheetViews>
    <sheetView showGridLines="0" zoomScale="102" zoomScaleNormal="146" workbookViewId="0">
      <selection activeCell="H59" sqref="H59:H60"/>
    </sheetView>
  </sheetViews>
  <sheetFormatPr baseColWidth="10" defaultColWidth="8.85546875" defaultRowHeight="15"/>
  <cols>
    <col min="1" max="1" width="17.7109375" customWidth="1"/>
    <col min="2" max="2" width="12.7109375" customWidth="1"/>
    <col min="3" max="3" width="16.7109375" customWidth="1"/>
    <col min="4" max="4" width="13.28515625" customWidth="1"/>
    <col min="8" max="8" width="20.7109375" customWidth="1"/>
    <col min="12" max="12" width="10" customWidth="1"/>
  </cols>
  <sheetData>
    <row r="1" spans="1:12">
      <c r="A1" s="17" t="s">
        <v>35</v>
      </c>
      <c r="B1" s="29">
        <v>1</v>
      </c>
      <c r="F1" s="48" t="s">
        <v>28</v>
      </c>
      <c r="G1" s="49"/>
      <c r="H1" s="49"/>
      <c r="I1" s="49"/>
      <c r="J1" s="50"/>
    </row>
    <row r="2" spans="1:12">
      <c r="A2" s="17" t="s">
        <v>27</v>
      </c>
      <c r="B2" s="16">
        <f>+'Crédito Pagos Constantes'!K7</f>
        <v>0.20502674989796138</v>
      </c>
      <c r="F2" s="51"/>
      <c r="G2" s="52"/>
      <c r="H2" s="53"/>
      <c r="I2" s="53"/>
      <c r="J2" s="54"/>
    </row>
    <row r="3" spans="1:12">
      <c r="H3" s="55" t="s">
        <v>29</v>
      </c>
      <c r="I3" s="56"/>
      <c r="J3" s="56"/>
      <c r="K3" s="57"/>
    </row>
    <row r="4" spans="1:12" ht="23.25">
      <c r="A4" s="1" t="s">
        <v>0</v>
      </c>
      <c r="H4" s="58"/>
      <c r="I4" s="59"/>
      <c r="J4" s="59"/>
      <c r="K4" s="60"/>
      <c r="L4" s="18"/>
    </row>
    <row r="5" spans="1:12" ht="15.75" thickBot="1">
      <c r="E5" s="14" t="s">
        <v>24</v>
      </c>
      <c r="G5" s="14" t="s">
        <v>24</v>
      </c>
      <c r="I5" s="18"/>
      <c r="J5" s="18"/>
      <c r="K5" s="18"/>
      <c r="L5" s="18"/>
    </row>
    <row r="6" spans="1:12" ht="38.450000000000003" customHeight="1" thickBot="1">
      <c r="A6" s="2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K6" s="15"/>
    </row>
    <row r="7" spans="1:12" ht="15.75" thickBot="1">
      <c r="A7" s="24">
        <v>1</v>
      </c>
      <c r="B7" s="19">
        <f xml:space="preserve"> $B$2 /12</f>
        <v>1.7085562491496783E-2</v>
      </c>
      <c r="C7" s="20">
        <f>'Crédito Pagos Constantes'!B12</f>
        <v>1500000</v>
      </c>
      <c r="D7" s="21">
        <f>1/(1+B7)^A7</f>
        <v>0.98320145018119887</v>
      </c>
      <c r="E7" s="22">
        <v>0.05</v>
      </c>
      <c r="F7" s="25">
        <f>1-E7</f>
        <v>0.95</v>
      </c>
      <c r="G7" s="22">
        <v>0.45</v>
      </c>
      <c r="H7" s="23">
        <f>E7*F7*G7*D7*C7</f>
        <v>31523.896496434692</v>
      </c>
    </row>
    <row r="8" spans="1:12" ht="15.75" thickBot="1">
      <c r="A8" s="24">
        <f>+A7+1</f>
        <v>2</v>
      </c>
      <c r="B8" s="19">
        <f t="shared" ref="B8:B54" si="0" xml:space="preserve"> $B$2 /12</f>
        <v>1.7085562491496783E-2</v>
      </c>
      <c r="C8" s="20">
        <f>'Crédito Pagos Constantes'!B13</f>
        <v>1483828.1254408176</v>
      </c>
      <c r="D8" s="21">
        <f t="shared" ref="D8:D54" si="1">1/(1+B8)^A8</f>
        <v>0.96668509163841265</v>
      </c>
      <c r="E8" s="22">
        <v>0.05</v>
      </c>
      <c r="F8" s="25">
        <f>F7*(1-E8)</f>
        <v>0.90249999999999997</v>
      </c>
      <c r="G8" s="22">
        <v>0.45</v>
      </c>
      <c r="H8" s="23">
        <f t="shared" ref="H8:H54" si="2">E8*F8*G8*D8*C8</f>
        <v>29127.1738723698</v>
      </c>
    </row>
    <row r="9" spans="1:12" ht="15.75" thickBot="1">
      <c r="A9" s="24">
        <f t="shared" ref="A9:A54" si="3">+A8+1</f>
        <v>3</v>
      </c>
      <c r="B9" s="19">
        <f t="shared" si="0"/>
        <v>1.7085562491496783E-2</v>
      </c>
      <c r="C9" s="20">
        <f>'Crédito Pagos Constantes'!B14</f>
        <v>1467413.6727632473</v>
      </c>
      <c r="D9" s="21">
        <f t="shared" si="1"/>
        <v>0.95044618396743263</v>
      </c>
      <c r="E9" s="22">
        <v>0.05</v>
      </c>
      <c r="F9" s="25">
        <f t="shared" ref="F9:F54" si="4">F8*(1-E9)</f>
        <v>0.85737499999999989</v>
      </c>
      <c r="G9" s="22">
        <v>0.45</v>
      </c>
      <c r="H9" s="23">
        <f t="shared" si="2"/>
        <v>26905.026655545578</v>
      </c>
    </row>
    <row r="10" spans="1:12" ht="15.75" thickBot="1">
      <c r="A10" s="24">
        <f t="shared" si="3"/>
        <v>4</v>
      </c>
      <c r="B10" s="19">
        <f t="shared" si="0"/>
        <v>1.7085562491496783E-2</v>
      </c>
      <c r="C10" s="20">
        <f>'Crédito Pagos Constantes'!B15</f>
        <v>1450753.0032955136</v>
      </c>
      <c r="D10" s="21">
        <f t="shared" si="1"/>
        <v>0.93448006639596626</v>
      </c>
      <c r="E10" s="22">
        <v>0.05</v>
      </c>
      <c r="F10" s="25">
        <f t="shared" si="4"/>
        <v>0.81450624999999988</v>
      </c>
      <c r="G10" s="22">
        <v>0.45</v>
      </c>
      <c r="H10" s="23">
        <f t="shared" si="2"/>
        <v>24845.083424094224</v>
      </c>
      <c r="K10" s="7"/>
    </row>
    <row r="11" spans="1:12" ht="15.75" thickBot="1">
      <c r="A11" s="24">
        <f t="shared" si="3"/>
        <v>5</v>
      </c>
      <c r="B11" s="19">
        <f t="shared" si="0"/>
        <v>1.7085562491496783E-2</v>
      </c>
      <c r="C11" s="20">
        <f>'Crédito Pagos Constantes'!B16</f>
        <v>1433842.4237857638</v>
      </c>
      <c r="D11" s="21">
        <f t="shared" si="1"/>
        <v>0.91878215644593697</v>
      </c>
      <c r="E11" s="22">
        <v>0.05</v>
      </c>
      <c r="F11" s="25">
        <f t="shared" si="4"/>
        <v>0.77378093749999988</v>
      </c>
      <c r="G11" s="22">
        <v>0.45</v>
      </c>
      <c r="H11" s="23">
        <f t="shared" si="2"/>
        <v>22935.83326030794</v>
      </c>
    </row>
    <row r="12" spans="1:12" ht="15.75" thickBot="1">
      <c r="A12" s="24">
        <f t="shared" si="3"/>
        <v>6</v>
      </c>
      <c r="B12" s="19">
        <f t="shared" si="0"/>
        <v>1.7085562491496783E-2</v>
      </c>
      <c r="C12" s="20">
        <f>'Crédito Pagos Constantes'!B17</f>
        <v>1416678.1855833677</v>
      </c>
      <c r="D12" s="21">
        <f t="shared" si="1"/>
        <v>0.90334794861825463</v>
      </c>
      <c r="E12" s="22">
        <v>0.05</v>
      </c>
      <c r="F12" s="25">
        <f t="shared" si="4"/>
        <v>0.7350918906249998</v>
      </c>
      <c r="G12" s="22">
        <v>0.45</v>
      </c>
      <c r="H12" s="23">
        <f t="shared" si="2"/>
        <v>21166.566681168828</v>
      </c>
    </row>
    <row r="13" spans="1:12" ht="15.75" thickBot="1">
      <c r="A13" s="24">
        <f t="shared" si="3"/>
        <v>7</v>
      </c>
      <c r="B13" s="19">
        <f t="shared" si="0"/>
        <v>1.7085562491496783E-2</v>
      </c>
      <c r="C13" s="20">
        <f>'Crédito Pagos Constantes'!B18</f>
        <v>1399256.4838079358</v>
      </c>
      <c r="D13" s="21">
        <f t="shared" si="1"/>
        <v>0.88817301309967911</v>
      </c>
      <c r="E13" s="22">
        <v>0.05</v>
      </c>
      <c r="F13" s="25">
        <f t="shared" si="4"/>
        <v>0.69833729609374973</v>
      </c>
      <c r="G13" s="22">
        <v>0.45</v>
      </c>
      <c r="H13" s="23">
        <f t="shared" si="2"/>
        <v>19527.320585112953</v>
      </c>
    </row>
    <row r="14" spans="1:12" ht="15.75" thickBot="1">
      <c r="A14" s="24">
        <f t="shared" si="3"/>
        <v>8</v>
      </c>
      <c r="B14" s="19">
        <f t="shared" si="0"/>
        <v>1.7085562491496783E-2</v>
      </c>
      <c r="C14" s="20">
        <f>'Crédito Pagos Constantes'!B19</f>
        <v>1381573.4565058725</v>
      </c>
      <c r="D14" s="21">
        <f t="shared" si="1"/>
        <v>0.87325299449140947</v>
      </c>
      <c r="E14" s="22">
        <v>0.05</v>
      </c>
      <c r="F14" s="25">
        <f t="shared" si="4"/>
        <v>0.66342043128906225</v>
      </c>
      <c r="G14" s="22">
        <v>0.45</v>
      </c>
      <c r="H14" s="23">
        <f t="shared" si="2"/>
        <v>18008.826943885033</v>
      </c>
    </row>
    <row r="15" spans="1:12" ht="15.75" thickBot="1">
      <c r="A15" s="24">
        <f t="shared" si="3"/>
        <v>9</v>
      </c>
      <c r="B15" s="19">
        <f t="shared" si="0"/>
        <v>1.7085562491496783E-2</v>
      </c>
      <c r="C15" s="20">
        <f>'Crédito Pagos Constantes'!B20</f>
        <v>1363625.1837942782</v>
      </c>
      <c r="D15" s="21">
        <f t="shared" si="1"/>
        <v>0.85858361055902821</v>
      </c>
      <c r="E15" s="22">
        <v>0.05</v>
      </c>
      <c r="F15" s="25">
        <f t="shared" si="4"/>
        <v>0.63024940972460908</v>
      </c>
      <c r="G15" s="22">
        <v>0.45</v>
      </c>
      <c r="H15" s="23">
        <f t="shared" si="2"/>
        <v>16602.464986547875</v>
      </c>
    </row>
    <row r="16" spans="1:12" ht="15.75" thickBot="1">
      <c r="A16" s="24">
        <f t="shared" si="3"/>
        <v>10</v>
      </c>
      <c r="B16" s="19">
        <f t="shared" si="0"/>
        <v>1.7085562491496783E-2</v>
      </c>
      <c r="C16" s="20">
        <f>'Crédito Pagos Constantes'!B21</f>
        <v>1345407.6869920099</v>
      </c>
      <c r="D16" s="21">
        <f t="shared" si="1"/>
        <v>0.84416065100344628</v>
      </c>
      <c r="E16" s="22">
        <v>0.05</v>
      </c>
      <c r="F16" s="25">
        <f t="shared" si="4"/>
        <v>0.59873693923837856</v>
      </c>
      <c r="G16" s="22">
        <v>0.45</v>
      </c>
      <c r="H16" s="23">
        <f t="shared" si="2"/>
        <v>15300.216639701788</v>
      </c>
    </row>
    <row r="17" spans="1:8" ht="15.75" thickBot="1">
      <c r="A17" s="24">
        <f t="shared" si="3"/>
        <v>11</v>
      </c>
      <c r="B17" s="19">
        <f t="shared" si="0"/>
        <v>1.7085562491496783E-2</v>
      </c>
      <c r="C17" s="20">
        <f>'Crédito Pagos Constantes'!B22</f>
        <v>1326916.9277377075</v>
      </c>
      <c r="D17" s="21">
        <f t="shared" si="1"/>
        <v>0.82997997625249353</v>
      </c>
      <c r="E17" s="22">
        <v>0.05</v>
      </c>
      <c r="F17" s="25">
        <f t="shared" si="4"/>
        <v>0.56880009227645956</v>
      </c>
      <c r="G17" s="22">
        <v>0.45</v>
      </c>
      <c r="H17" s="23">
        <f t="shared" si="2"/>
        <v>14094.62500382269</v>
      </c>
    </row>
    <row r="18" spans="1:8" ht="15.75" thickBot="1">
      <c r="A18" s="24">
        <f t="shared" si="3"/>
        <v>12</v>
      </c>
      <c r="B18" s="19">
        <f t="shared" si="0"/>
        <v>1.7085562491496783E-2</v>
      </c>
      <c r="C18" s="20">
        <f>'Crédito Pagos Constantes'!B23</f>
        <v>1308148.8070945907</v>
      </c>
      <c r="D18" s="21">
        <f t="shared" si="1"/>
        <v>0.81603751627280863</v>
      </c>
      <c r="E18" s="22">
        <v>0.05</v>
      </c>
      <c r="F18" s="25">
        <f t="shared" si="4"/>
        <v>0.54036008766263655</v>
      </c>
      <c r="G18" s="22">
        <v>0.45</v>
      </c>
      <c r="H18" s="23">
        <f t="shared" si="2"/>
        <v>12978.755660420995</v>
      </c>
    </row>
    <row r="19" spans="1:8" ht="15.75" thickBot="1">
      <c r="A19" s="24">
        <f t="shared" si="3"/>
        <v>13</v>
      </c>
      <c r="B19" s="19">
        <f t="shared" si="0"/>
        <v>1.7085562491496783E-2</v>
      </c>
      <c r="C19" s="20">
        <f>'Crédito Pagos Constantes'!B24</f>
        <v>1289099.1646418271</v>
      </c>
      <c r="D19" s="21">
        <f t="shared" si="1"/>
        <v>0.80232926940168914</v>
      </c>
      <c r="E19" s="22">
        <v>0.05</v>
      </c>
      <c r="F19" s="25">
        <f t="shared" si="4"/>
        <v>0.5133420832795047</v>
      </c>
      <c r="G19" s="22">
        <v>0.45</v>
      </c>
      <c r="H19" s="23">
        <f t="shared" si="2"/>
        <v>11946.160618526132</v>
      </c>
    </row>
    <row r="20" spans="1:8" ht="15.75" thickBot="1">
      <c r="A20" s="24">
        <f t="shared" si="3"/>
        <v>14</v>
      </c>
      <c r="B20" s="19">
        <f t="shared" si="0"/>
        <v>1.7085562491496783E-2</v>
      </c>
      <c r="C20" s="20">
        <f>'Crédito Pagos Constantes'!B25</f>
        <v>1269763.777552272</v>
      </c>
      <c r="D20" s="21">
        <f t="shared" si="1"/>
        <v>0.78885130119856273</v>
      </c>
      <c r="E20" s="22">
        <v>0.05</v>
      </c>
      <c r="F20" s="25">
        <f t="shared" si="4"/>
        <v>0.48767497911552943</v>
      </c>
      <c r="G20" s="22">
        <v>0.45</v>
      </c>
      <c r="H20" s="23">
        <f t="shared" si="2"/>
        <v>10990.844721880612</v>
      </c>
    </row>
    <row r="21" spans="1:8" ht="15.75" thickBot="1">
      <c r="A21" s="24">
        <f t="shared" si="3"/>
        <v>15</v>
      </c>
      <c r="B21" s="19">
        <f t="shared" si="0"/>
        <v>1.7085562491496783E-2</v>
      </c>
      <c r="C21" s="20">
        <f>'Crédito Pagos Constantes'!B26</f>
        <v>1250138.3596563735</v>
      </c>
      <c r="D21" s="21">
        <f t="shared" si="1"/>
        <v>0.77559974331575265</v>
      </c>
      <c r="E21" s="22">
        <v>0.05</v>
      </c>
      <c r="F21" s="25">
        <f t="shared" si="4"/>
        <v>0.46329123015975293</v>
      </c>
      <c r="G21" s="22">
        <v>0.45</v>
      </c>
      <c r="H21" s="23">
        <f t="shared" si="2"/>
        <v>10107.234350244105</v>
      </c>
    </row>
    <row r="22" spans="1:8" ht="15.75" thickBot="1">
      <c r="A22" s="24">
        <f t="shared" si="3"/>
        <v>16</v>
      </c>
      <c r="B22" s="19">
        <f t="shared" si="0"/>
        <v>1.7085562491496783E-2</v>
      </c>
      <c r="C22" s="20">
        <f>'Crédito Pagos Constantes'!B27</f>
        <v>1230218.5604920366</v>
      </c>
      <c r="D22" s="21">
        <f t="shared" si="1"/>
        <v>0.76257079238821357</v>
      </c>
      <c r="E22" s="22">
        <v>0.05</v>
      </c>
      <c r="F22" s="25">
        <f t="shared" si="4"/>
        <v>0.44012666865176525</v>
      </c>
      <c r="G22" s="22">
        <v>0.45</v>
      </c>
      <c r="H22" s="23">
        <f t="shared" si="2"/>
        <v>9290.1482594198278</v>
      </c>
    </row>
    <row r="23" spans="1:8" ht="15.75" thickBot="1">
      <c r="A23" s="24">
        <f t="shared" si="3"/>
        <v>17</v>
      </c>
      <c r="B23" s="19">
        <f t="shared" si="0"/>
        <v>1.7085562491496783E-2</v>
      </c>
      <c r="C23" s="20">
        <f>'Crédito Pagos Constantes'!B28</f>
        <v>1209999.9643402346</v>
      </c>
      <c r="D23" s="21">
        <f t="shared" si="1"/>
        <v>0.7497607089419176</v>
      </c>
      <c r="E23" s="22">
        <v>0.05</v>
      </c>
      <c r="F23" s="25">
        <f t="shared" si="4"/>
        <v>0.41812033521917696</v>
      </c>
      <c r="G23" s="22">
        <v>0.45</v>
      </c>
      <c r="H23" s="23">
        <f t="shared" si="2"/>
        <v>8534.7704150760947</v>
      </c>
    </row>
    <row r="24" spans="1:8" ht="15.75" thickBot="1">
      <c r="A24" s="24">
        <f t="shared" si="3"/>
        <v>18</v>
      </c>
      <c r="B24" s="19">
        <f t="shared" si="0"/>
        <v>1.7085562491496783E-2</v>
      </c>
      <c r="C24" s="20">
        <f>'Crédito Pagos Constantes'!B29</f>
        <v>1189478.0892461557</v>
      </c>
      <c r="D24" s="21">
        <f t="shared" si="1"/>
        <v>0.73716581632057721</v>
      </c>
      <c r="E24" s="22">
        <v>0.05</v>
      </c>
      <c r="F24" s="25">
        <f t="shared" si="4"/>
        <v>0.39721431845821809</v>
      </c>
      <c r="G24" s="22">
        <v>0.45</v>
      </c>
      <c r="H24" s="23">
        <f t="shared" si="2"/>
        <v>7836.6246851956757</v>
      </c>
    </row>
    <row r="25" spans="1:8" ht="15.75" thickBot="1">
      <c r="A25" s="24">
        <f t="shared" si="3"/>
        <v>19</v>
      </c>
      <c r="B25" s="19">
        <f t="shared" si="0"/>
        <v>1.7085562491496783E-2</v>
      </c>
      <c r="C25" s="20">
        <f>'Crédito Pagos Constantes'!B30</f>
        <v>1168648.3860256656</v>
      </c>
      <c r="D25" s="21">
        <f t="shared" si="1"/>
        <v>0.72478249963039887</v>
      </c>
      <c r="E25" s="22">
        <v>0.05</v>
      </c>
      <c r="F25" s="25">
        <f t="shared" si="4"/>
        <v>0.37735360253530714</v>
      </c>
      <c r="G25" s="22">
        <v>0.45</v>
      </c>
      <c r="H25" s="23">
        <f t="shared" si="2"/>
        <v>7191.5512650911351</v>
      </c>
    </row>
    <row r="26" spans="1:8" ht="15.75" thickBot="1">
      <c r="A26" s="24">
        <f t="shared" si="3"/>
        <v>20</v>
      </c>
      <c r="B26" s="19">
        <f t="shared" si="0"/>
        <v>1.7085562491496783E-2</v>
      </c>
      <c r="C26" s="20">
        <f>'Crédito Pagos Constantes'!B31</f>
        <v>1147506.237256868</v>
      </c>
      <c r="D26" s="21">
        <f t="shared" si="1"/>
        <v>0.71260720470256245</v>
      </c>
      <c r="E26" s="22">
        <v>0.05</v>
      </c>
      <c r="F26" s="25">
        <f t="shared" si="4"/>
        <v>0.35848592240854177</v>
      </c>
      <c r="G26" s="22">
        <v>0.45</v>
      </c>
      <c r="H26" s="23">
        <f t="shared" si="2"/>
        <v>6595.6847174193954</v>
      </c>
    </row>
    <row r="27" spans="1:8" ht="15.75" thickBot="1">
      <c r="A27" s="24">
        <f t="shared" si="3"/>
        <v>21</v>
      </c>
      <c r="B27" s="19">
        <f t="shared" si="0"/>
        <v>1.7085562491496783E-2</v>
      </c>
      <c r="C27" s="20">
        <f>'Crédito Pagos Constantes'!B32</f>
        <v>1126046.9562565386</v>
      </c>
      <c r="D27" s="21">
        <f t="shared" si="1"/>
        <v>0.70063643707312984</v>
      </c>
      <c r="E27" s="22">
        <v>0.05</v>
      </c>
      <c r="F27" s="25">
        <f t="shared" si="4"/>
        <v>0.34056162628811465</v>
      </c>
      <c r="G27" s="22">
        <v>0.45</v>
      </c>
      <c r="H27" s="23">
        <f t="shared" si="2"/>
        <v>6045.4335175542092</v>
      </c>
    </row>
    <row r="28" spans="1:8" ht="15.75" thickBot="1">
      <c r="A28" s="24">
        <f t="shared" si="3"/>
        <v>22</v>
      </c>
      <c r="B28" s="19">
        <f t="shared" si="0"/>
        <v>1.7085562491496783E-2</v>
      </c>
      <c r="C28" s="20">
        <f>'Crédito Pagos Constantes'!B33</f>
        <v>1104265.7860412044</v>
      </c>
      <c r="D28" s="21">
        <f t="shared" si="1"/>
        <v>0.68886676098008959</v>
      </c>
      <c r="E28" s="22">
        <v>0.05</v>
      </c>
      <c r="F28" s="25">
        <f t="shared" si="4"/>
        <v>0.3235335449737089</v>
      </c>
      <c r="G28" s="22">
        <v>0.45</v>
      </c>
      <c r="H28" s="23">
        <f t="shared" si="2"/>
        <v>5537.4610020689288</v>
      </c>
    </row>
    <row r="29" spans="1:8" ht="15.75" thickBot="1">
      <c r="A29" s="24">
        <f t="shared" si="3"/>
        <v>23</v>
      </c>
      <c r="B29" s="19">
        <f t="shared" si="0"/>
        <v>1.7085562491496783E-2</v>
      </c>
      <c r="C29" s="20">
        <f>'Crédito Pagos Constantes'!B34</f>
        <v>1082157.8982726401</v>
      </c>
      <c r="D29" s="21">
        <f t="shared" si="1"/>
        <v>0.67729479837724949</v>
      </c>
      <c r="E29" s="22">
        <v>0.05</v>
      </c>
      <c r="F29" s="25">
        <f t="shared" si="4"/>
        <v>0.30735686772502346</v>
      </c>
      <c r="G29" s="22">
        <v>0.45</v>
      </c>
      <c r="H29" s="23">
        <f t="shared" si="2"/>
        <v>5068.667624979752</v>
      </c>
    </row>
    <row r="30" spans="1:8" ht="15.75" thickBot="1">
      <c r="A30" s="24">
        <f t="shared" si="3"/>
        <v>24</v>
      </c>
      <c r="B30" s="19">
        <f t="shared" si="0"/>
        <v>1.7085562491496783E-2</v>
      </c>
      <c r="C30" s="20">
        <f>'Crédito Pagos Constantes'!B35</f>
        <v>1059718.3921875472</v>
      </c>
      <c r="D30" s="21">
        <f t="shared" si="1"/>
        <v>0.66591722796469444</v>
      </c>
      <c r="E30" s="22">
        <v>0.05</v>
      </c>
      <c r="F30" s="25">
        <f t="shared" si="4"/>
        <v>0.29198902433877227</v>
      </c>
      <c r="G30" s="22">
        <v>0.45</v>
      </c>
      <c r="H30" s="23">
        <f t="shared" si="2"/>
        <v>4636.1744328342347</v>
      </c>
    </row>
    <row r="31" spans="1:8" ht="15.75" thickBot="1">
      <c r="A31" s="24">
        <f t="shared" si="3"/>
        <v>25</v>
      </c>
      <c r="B31" s="19">
        <f t="shared" si="0"/>
        <v>1.7085562491496783E-2</v>
      </c>
      <c r="C31" s="20">
        <f>'Crédito Pagos Constantes'!B36</f>
        <v>1036942.2935111779</v>
      </c>
      <c r="D31" s="21">
        <f t="shared" si="1"/>
        <v>0.65473078423553155</v>
      </c>
      <c r="E31" s="22">
        <v>0.05</v>
      </c>
      <c r="F31" s="25">
        <f t="shared" si="4"/>
        <v>0.27738957312183365</v>
      </c>
      <c r="G31" s="22">
        <v>0.45</v>
      </c>
      <c r="H31" s="23">
        <f t="shared" si="2"/>
        <v>4237.3076757327335</v>
      </c>
    </row>
    <row r="32" spans="1:8" ht="15.75" thickBot="1">
      <c r="A32" s="24">
        <f t="shared" si="3"/>
        <v>26</v>
      </c>
      <c r="B32" s="19">
        <f t="shared" si="0"/>
        <v>1.7085562491496783E-2</v>
      </c>
      <c r="C32" s="20">
        <f>'Crédito Pagos Constantes'!B37</f>
        <v>1013824.5533546631</v>
      </c>
      <c r="D32" s="21">
        <f t="shared" si="1"/>
        <v>0.6437322565386483</v>
      </c>
      <c r="E32" s="22">
        <v>0.05</v>
      </c>
      <c r="F32" s="25">
        <f t="shared" si="4"/>
        <v>0.26352009446574198</v>
      </c>
      <c r="G32" s="22">
        <v>0.45</v>
      </c>
      <c r="H32" s="23">
        <f t="shared" si="2"/>
        <v>3869.5844769699838</v>
      </c>
    </row>
    <row r="33" spans="1:8" ht="15.75" thickBot="1">
      <c r="A33" s="24">
        <f t="shared" si="3"/>
        <v>27</v>
      </c>
      <c r="B33" s="19">
        <f t="shared" si="0"/>
        <v>1.7085562491496783E-2</v>
      </c>
      <c r="C33" s="20">
        <f>'Crédito Pagos Constantes'!B38</f>
        <v>990360.04709580052</v>
      </c>
      <c r="D33" s="21">
        <f t="shared" si="1"/>
        <v>0.63291848815721463</v>
      </c>
      <c r="E33" s="22">
        <v>0.05</v>
      </c>
      <c r="F33" s="25">
        <f t="shared" si="4"/>
        <v>0.25034408974245487</v>
      </c>
      <c r="G33" s="22">
        <v>0.45</v>
      </c>
      <c r="H33" s="23">
        <f t="shared" si="2"/>
        <v>3530.6994892075786</v>
      </c>
    </row>
    <row r="34" spans="1:8" ht="15.75" thickBot="1">
      <c r="A34" s="24">
        <f t="shared" si="3"/>
        <v>28</v>
      </c>
      <c r="B34" s="19">
        <f t="shared" si="0"/>
        <v>1.7085562491496783E-2</v>
      </c>
      <c r="C34" s="20">
        <f>'Crédito Pagos Constantes'!B39</f>
        <v>966543.57324305503</v>
      </c>
      <c r="D34" s="21">
        <f t="shared" si="1"/>
        <v>0.6222863754026654</v>
      </c>
      <c r="E34" s="22">
        <v>0.05</v>
      </c>
      <c r="F34" s="25">
        <f t="shared" si="4"/>
        <v>0.2378268852553321</v>
      </c>
      <c r="G34" s="22">
        <v>0.45</v>
      </c>
      <c r="H34" s="23">
        <f t="shared" si="2"/>
        <v>3218.5124699606536</v>
      </c>
    </row>
    <row r="35" spans="1:8" ht="15.75" thickBot="1">
      <c r="A35" s="24">
        <f t="shared" si="3"/>
        <v>29</v>
      </c>
      <c r="B35" s="19">
        <f t="shared" si="0"/>
        <v>1.7085562491496783E-2</v>
      </c>
      <c r="C35" s="20">
        <f>'Crédito Pagos Constantes'!B40</f>
        <v>942369.8522825184</v>
      </c>
      <c r="D35" s="21">
        <f t="shared" si="1"/>
        <v>0.61183286672390258</v>
      </c>
      <c r="E35" s="22">
        <v>0.05</v>
      </c>
      <c r="F35" s="25">
        <f t="shared" si="4"/>
        <v>0.22593554099256549</v>
      </c>
      <c r="G35" s="22">
        <v>0.45</v>
      </c>
      <c r="H35" s="23">
        <f t="shared" si="2"/>
        <v>2931.0367137270487</v>
      </c>
    </row>
    <row r="36" spans="1:8" ht="15.75" thickBot="1">
      <c r="A36" s="24">
        <f t="shared" si="3"/>
        <v>30</v>
      </c>
      <c r="B36" s="19">
        <f t="shared" si="0"/>
        <v>1.7085562491496783E-2</v>
      </c>
      <c r="C36" s="20">
        <f>'Crédito Pagos Constantes'!B41</f>
        <v>917833.52550757374</v>
      </c>
      <c r="D36" s="21">
        <f t="shared" si="1"/>
        <v>0.60155496183146129</v>
      </c>
      <c r="E36" s="22">
        <v>0.05</v>
      </c>
      <c r="F36" s="25">
        <f t="shared" si="4"/>
        <v>0.21463876394293721</v>
      </c>
      <c r="G36" s="22">
        <v>0.45</v>
      </c>
      <c r="H36" s="23">
        <f t="shared" si="2"/>
        <v>2666.4282823267263</v>
      </c>
    </row>
    <row r="37" spans="1:8" ht="15.75" thickBot="1">
      <c r="A37" s="24">
        <f t="shared" si="3"/>
        <v>31</v>
      </c>
      <c r="B37" s="19">
        <f t="shared" si="0"/>
        <v>1.7085562491496783E-2</v>
      </c>
      <c r="C37" s="20">
        <f>'Crédito Pagos Constantes'!B42</f>
        <v>892929.15383100486</v>
      </c>
      <c r="D37" s="21">
        <f t="shared" si="1"/>
        <v>0.59144971083638853</v>
      </c>
      <c r="E37" s="22">
        <v>0.05</v>
      </c>
      <c r="F37" s="25">
        <f t="shared" si="4"/>
        <v>0.20390682574579033</v>
      </c>
      <c r="G37" s="22">
        <v>0.45</v>
      </c>
      <c r="H37" s="23">
        <f t="shared" si="2"/>
        <v>2422.9759789735317</v>
      </c>
    </row>
    <row r="38" spans="1:8" ht="15.75" thickBot="1">
      <c r="A38" s="24">
        <f t="shared" si="3"/>
        <v>32</v>
      </c>
      <c r="B38" s="19">
        <f t="shared" si="0"/>
        <v>1.7085562491496783E-2</v>
      </c>
      <c r="C38" s="20">
        <f>'Crédito Pagos Constantes'!B43</f>
        <v>867651.21657928755</v>
      </c>
      <c r="D38" s="21">
        <f t="shared" si="1"/>
        <v>0.581514213403588</v>
      </c>
      <c r="E38" s="22">
        <v>0.05</v>
      </c>
      <c r="F38" s="25">
        <f t="shared" si="4"/>
        <v>0.19371148445850081</v>
      </c>
      <c r="G38" s="22">
        <v>0.45</v>
      </c>
      <c r="H38" s="23">
        <f t="shared" si="2"/>
        <v>2199.0920152897006</v>
      </c>
    </row>
    <row r="39" spans="1:8" ht="15.75" thickBot="1">
      <c r="A39" s="24">
        <f t="shared" si="3"/>
        <v>33</v>
      </c>
      <c r="B39" s="19">
        <f t="shared" si="0"/>
        <v>1.7085562491496783E-2</v>
      </c>
      <c r="C39" s="20">
        <f>'Crédito Pagos Constantes'!B44</f>
        <v>841994.11026879447</v>
      </c>
      <c r="D39" s="21">
        <f t="shared" si="1"/>
        <v>0.57174561791938694</v>
      </c>
      <c r="E39" s="22">
        <v>0.05</v>
      </c>
      <c r="F39" s="25">
        <f t="shared" si="4"/>
        <v>0.18402591023557577</v>
      </c>
      <c r="G39" s="22">
        <v>0.45</v>
      </c>
      <c r="H39" s="23">
        <f t="shared" si="2"/>
        <v>1993.3033239135814</v>
      </c>
    </row>
    <row r="40" spans="1:8" ht="15.75" thickBot="1">
      <c r="A40" s="24">
        <f t="shared" si="3"/>
        <v>34</v>
      </c>
      <c r="B40" s="19">
        <f t="shared" si="0"/>
        <v>1.7085562491496783E-2</v>
      </c>
      <c r="C40" s="20">
        <f>'Crédito Pagos Constantes'!B45</f>
        <v>815952.14736364398</v>
      </c>
      <c r="D40" s="21">
        <f t="shared" si="1"/>
        <v>0.56214112067308697</v>
      </c>
      <c r="E40" s="22">
        <v>0.05</v>
      </c>
      <c r="F40" s="25">
        <f t="shared" si="4"/>
        <v>0.17482461472379698</v>
      </c>
      <c r="G40" s="22">
        <v>0.45</v>
      </c>
      <c r="H40" s="23">
        <f t="shared" si="2"/>
        <v>1804.2434725595947</v>
      </c>
    </row>
    <row r="41" spans="1:8" ht="15.75" thickBot="1">
      <c r="A41" s="24">
        <f t="shared" si="3"/>
        <v>35</v>
      </c>
      <c r="B41" s="19">
        <f t="shared" si="0"/>
        <v>1.7085562491496783E-2</v>
      </c>
      <c r="C41" s="20">
        <f>'Crédito Pagos Constantes'!B46</f>
        <v>789519.55501491623</v>
      </c>
      <c r="D41" s="21">
        <f t="shared" si="1"/>
        <v>0.55269796505226343</v>
      </c>
      <c r="E41" s="22">
        <v>0.05</v>
      </c>
      <c r="F41" s="25">
        <f t="shared" si="4"/>
        <v>0.16608338398760714</v>
      </c>
      <c r="G41" s="22">
        <v>0.45</v>
      </c>
      <c r="H41" s="23">
        <f t="shared" si="2"/>
        <v>1630.6451383818551</v>
      </c>
    </row>
    <row r="42" spans="1:8" ht="15.75" thickBot="1">
      <c r="A42" s="24">
        <f t="shared" si="3"/>
        <v>36</v>
      </c>
      <c r="B42" s="19">
        <f t="shared" si="0"/>
        <v>1.7085562491496783E-2</v>
      </c>
      <c r="C42" s="20">
        <f>'Crédito Pagos Constantes'!B47</f>
        <v>762690.47378095752</v>
      </c>
      <c r="D42" s="21">
        <f t="shared" si="1"/>
        <v>0.54341344075158304</v>
      </c>
      <c r="E42" s="22">
        <v>0.05</v>
      </c>
      <c r="F42" s="25">
        <f t="shared" si="4"/>
        <v>0.15777921478822676</v>
      </c>
      <c r="G42" s="22">
        <v>0.45</v>
      </c>
      <c r="H42" s="23">
        <f t="shared" si="2"/>
        <v>1471.3331042837572</v>
      </c>
    </row>
    <row r="43" spans="1:8" ht="15.75" thickBot="1">
      <c r="A43" s="24">
        <f t="shared" si="3"/>
        <v>37</v>
      </c>
      <c r="B43" s="19">
        <f t="shared" si="0"/>
        <v>1.7085562491496783E-2</v>
      </c>
      <c r="C43" s="20">
        <f>'Crédito Pagos Constantes'!B48</f>
        <v>735458.95632848947</v>
      </c>
      <c r="D43" s="21">
        <f t="shared" si="1"/>
        <v>0.53428488299491139</v>
      </c>
      <c r="E43" s="22">
        <v>0.05</v>
      </c>
      <c r="F43" s="25">
        <f t="shared" si="4"/>
        <v>0.14989025404881542</v>
      </c>
      <c r="G43" s="22">
        <v>0.45</v>
      </c>
      <c r="H43" s="23">
        <f t="shared" si="2"/>
        <v>1325.2177414186317</v>
      </c>
    </row>
    <row r="44" spans="1:8" ht="15.75" thickBot="1">
      <c r="A44" s="24">
        <f t="shared" si="3"/>
        <v>38</v>
      </c>
      <c r="B44" s="19">
        <f t="shared" si="0"/>
        <v>1.7085562491496783E-2</v>
      </c>
      <c r="C44" s="20">
        <f>'Crédito Pagos Constantes'!B49</f>
        <v>707818.96611423441</v>
      </c>
      <c r="D44" s="21">
        <f t="shared" si="1"/>
        <v>0.52530967177048915</v>
      </c>
      <c r="E44" s="22">
        <v>0.05</v>
      </c>
      <c r="F44" s="25">
        <f t="shared" si="4"/>
        <v>0.14239574134637464</v>
      </c>
      <c r="G44" s="22">
        <v>0.45</v>
      </c>
      <c r="H44" s="23">
        <f t="shared" si="2"/>
        <v>1191.2889445538851</v>
      </c>
    </row>
    <row r="45" spans="1:8" ht="15.75" thickBot="1">
      <c r="A45" s="24">
        <f t="shared" si="3"/>
        <v>39</v>
      </c>
      <c r="B45" s="19">
        <f t="shared" si="0"/>
        <v>1.7085562491496783E-2</v>
      </c>
      <c r="C45" s="20">
        <f>'Crédito Pagos Constantes'!B50</f>
        <v>679764.37604676548</v>
      </c>
      <c r="D45" s="21">
        <f t="shared" si="1"/>
        <v>0.5164852310789545</v>
      </c>
      <c r="E45" s="22">
        <v>0.05</v>
      </c>
      <c r="F45" s="25">
        <f t="shared" si="4"/>
        <v>0.13527595427905589</v>
      </c>
      <c r="G45" s="22">
        <v>0.45</v>
      </c>
      <c r="H45" s="23">
        <f t="shared" si="2"/>
        <v>1068.6104892347062</v>
      </c>
    </row>
    <row r="46" spans="1:8" ht="15.75" thickBot="1">
      <c r="A46" s="24">
        <f t="shared" si="3"/>
        <v>40</v>
      </c>
      <c r="B46" s="19">
        <f t="shared" si="0"/>
        <v>1.7085562491496783E-2</v>
      </c>
      <c r="C46" s="20">
        <f>'Crédito Pagos Constantes'!B51</f>
        <v>651288.96712828451</v>
      </c>
      <c r="D46" s="21">
        <f t="shared" si="1"/>
        <v>0.50780902819399976</v>
      </c>
      <c r="E46" s="22">
        <v>0.05</v>
      </c>
      <c r="F46" s="25">
        <f t="shared" si="4"/>
        <v>0.12851215656510309</v>
      </c>
      <c r="G46" s="22">
        <v>0.45</v>
      </c>
      <c r="H46" s="23">
        <f t="shared" si="2"/>
        <v>956.3147817943651</v>
      </c>
    </row>
    <row r="47" spans="1:8" ht="15.75" thickBot="1">
      <c r="A47" s="24">
        <f t="shared" si="3"/>
        <v>41</v>
      </c>
      <c r="B47" s="19">
        <f t="shared" si="0"/>
        <v>1.7085562491496783E-2</v>
      </c>
      <c r="C47" s="20">
        <f>'Crédito Pagos Constantes'!B52</f>
        <v>622386.42707602633</v>
      </c>
      <c r="D47" s="21">
        <f t="shared" si="1"/>
        <v>0.49927857293544586</v>
      </c>
      <c r="E47" s="22">
        <v>0.05</v>
      </c>
      <c r="F47" s="25">
        <f t="shared" si="4"/>
        <v>0.12208654873684793</v>
      </c>
      <c r="G47" s="22">
        <v>0.45</v>
      </c>
      <c r="H47" s="23">
        <f t="shared" si="2"/>
        <v>853.59797522658948</v>
      </c>
    </row>
    <row r="48" spans="1:8" ht="15.75" thickBot="1">
      <c r="A48" s="24">
        <f t="shared" si="3"/>
        <v>42</v>
      </c>
      <c r="B48" s="19">
        <f t="shared" si="0"/>
        <v>1.7085562491496783E-2</v>
      </c>
      <c r="C48" s="20">
        <f>'Crédito Pagos Constantes'!B53</f>
        <v>593050.34892298433</v>
      </c>
      <c r="D48" s="21">
        <f t="shared" si="1"/>
        <v>0.49089141695452981</v>
      </c>
      <c r="E48" s="22">
        <v>0.05</v>
      </c>
      <c r="F48" s="25">
        <f t="shared" si="4"/>
        <v>0.11598222130000553</v>
      </c>
      <c r="G48" s="22">
        <v>0.45</v>
      </c>
      <c r="H48" s="23">
        <f t="shared" si="2"/>
        <v>759.71542577113928</v>
      </c>
    </row>
    <row r="49" spans="1:8" ht="15.75" thickBot="1">
      <c r="A49" s="24">
        <f t="shared" si="3"/>
        <v>43</v>
      </c>
      <c r="B49" s="19">
        <f t="shared" si="0"/>
        <v>1.7085562491496783E-2</v>
      </c>
      <c r="C49" s="20">
        <f>'Crédito Pagos Constantes'!B54</f>
        <v>563274.22959764663</v>
      </c>
      <c r="D49" s="21">
        <f t="shared" si="1"/>
        <v>0.48264515303119743</v>
      </c>
      <c r="E49" s="22">
        <v>0.05</v>
      </c>
      <c r="F49" s="25">
        <f t="shared" si="4"/>
        <v>0.11018311023500525</v>
      </c>
      <c r="G49" s="22">
        <v>0.45</v>
      </c>
      <c r="H49" s="23">
        <f t="shared" si="2"/>
        <v>673.97746677528846</v>
      </c>
    </row>
    <row r="50" spans="1:8" ht="15.75" thickBot="1">
      <c r="A50" s="24">
        <f t="shared" si="3"/>
        <v>44</v>
      </c>
      <c r="B50" s="19">
        <f t="shared" si="0"/>
        <v>1.7085562491496783E-2</v>
      </c>
      <c r="C50" s="20">
        <f>'Crédito Pagos Constantes'!B55</f>
        <v>533051.46848242893</v>
      </c>
      <c r="D50" s="21">
        <f t="shared" si="1"/>
        <v>0.47453741438319996</v>
      </c>
      <c r="E50" s="22">
        <v>0.05</v>
      </c>
      <c r="F50" s="25">
        <f t="shared" si="4"/>
        <v>0.10467395472325498</v>
      </c>
      <c r="G50" s="22">
        <v>0.45</v>
      </c>
      <c r="H50" s="23">
        <f t="shared" si="2"/>
        <v>595.74547798992819</v>
      </c>
    </row>
    <row r="51" spans="1:8" ht="15.75" thickBot="1">
      <c r="A51" s="24">
        <f t="shared" si="3"/>
        <v>45</v>
      </c>
      <c r="B51" s="19">
        <f t="shared" si="0"/>
        <v>1.7085562491496783E-2</v>
      </c>
      <c r="C51" s="20">
        <f>'Crédito Pagos Constantes'!B56</f>
        <v>502375.3659504829</v>
      </c>
      <c r="D51" s="21">
        <f t="shared" si="1"/>
        <v>0.46656587398679872</v>
      </c>
      <c r="E51" s="22">
        <v>0.05</v>
      </c>
      <c r="F51" s="25">
        <f t="shared" si="4"/>
        <v>9.9440256987092232E-2</v>
      </c>
      <c r="G51" s="22">
        <v>0.45</v>
      </c>
      <c r="H51" s="23">
        <f t="shared" si="2"/>
        <v>524.42822994711184</v>
      </c>
    </row>
    <row r="52" spans="1:8" ht="15.75" thickBot="1">
      <c r="A52" s="24">
        <f t="shared" si="3"/>
        <v>46</v>
      </c>
      <c r="B52" s="19">
        <f t="shared" si="0"/>
        <v>1.7085562491496783E-2</v>
      </c>
      <c r="C52" s="20">
        <f>'Crédito Pagos Constantes'!B57</f>
        <v>471239.12188055768</v>
      </c>
      <c r="D52" s="21">
        <f t="shared" si="1"/>
        <v>0.45872824390887906</v>
      </c>
      <c r="E52" s="22">
        <v>0.05</v>
      </c>
      <c r="F52" s="25">
        <f t="shared" si="4"/>
        <v>9.446824413773762E-2</v>
      </c>
      <c r="G52" s="22">
        <v>0.45</v>
      </c>
      <c r="H52" s="23">
        <f t="shared" si="2"/>
        <v>459.47848445335421</v>
      </c>
    </row>
    <row r="53" spans="1:8" ht="15.75" thickBot="1">
      <c r="A53" s="24">
        <f t="shared" si="3"/>
        <v>47</v>
      </c>
      <c r="B53" s="19">
        <f t="shared" si="0"/>
        <v>1.7085562491496783E-2</v>
      </c>
      <c r="C53" s="20">
        <f>'Crédito Pagos Constantes'!B58</f>
        <v>439635.83414958359</v>
      </c>
      <c r="D53" s="21">
        <f t="shared" si="1"/>
        <v>0.45102227465028466</v>
      </c>
      <c r="E53" s="22">
        <v>0.05</v>
      </c>
      <c r="F53" s="25">
        <f t="shared" si="4"/>
        <v>8.9744831930850741E-2</v>
      </c>
      <c r="G53" s="22">
        <v>0.45</v>
      </c>
      <c r="H53" s="23">
        <f t="shared" si="2"/>
        <v>400.38983352663354</v>
      </c>
    </row>
    <row r="54" spans="1:8" ht="15.75" thickBot="1">
      <c r="A54" s="24">
        <f t="shared" si="3"/>
        <v>48</v>
      </c>
      <c r="B54" s="19">
        <f t="shared" si="0"/>
        <v>1.7085562491496783E-2</v>
      </c>
      <c r="C54" s="20">
        <f>'Crédito Pagos Constantes'!B59</f>
        <v>407558.49710264488</v>
      </c>
      <c r="D54" s="21">
        <f t="shared" si="1"/>
        <v>0.44344575450018286</v>
      </c>
      <c r="E54" s="22">
        <v>0.05</v>
      </c>
      <c r="F54" s="25">
        <f t="shared" si="4"/>
        <v>8.52575903343082E-2</v>
      </c>
      <c r="G54" s="22">
        <v>0.45</v>
      </c>
      <c r="H54" s="23">
        <f t="shared" si="2"/>
        <v>346.69376031113802</v>
      </c>
    </row>
    <row r="55" spans="1:8" ht="15.75" thickBot="1">
      <c r="A55" s="30"/>
      <c r="B55" s="31"/>
      <c r="C55" s="32"/>
      <c r="D55" s="33"/>
      <c r="E55" s="34"/>
      <c r="F55" s="34"/>
      <c r="G55" s="34"/>
      <c r="H55" s="35"/>
    </row>
    <row r="56" spans="1:8" ht="14.45" customHeight="1">
      <c r="F56" s="44" t="s">
        <v>25</v>
      </c>
      <c r="G56" s="45"/>
      <c r="H56" s="46">
        <f>SUM(H7:H54)</f>
        <v>387927.16657203209</v>
      </c>
    </row>
    <row r="57" spans="1:8" ht="15.75" thickBot="1">
      <c r="F57" s="44"/>
      <c r="G57" s="45"/>
      <c r="H57" s="47"/>
    </row>
    <row r="58" spans="1:8" ht="15.75" thickBot="1"/>
    <row r="59" spans="1:8">
      <c r="F59" s="44" t="s">
        <v>26</v>
      </c>
      <c r="G59" s="45"/>
      <c r="H59" s="46">
        <f>SUM(H7:H18)</f>
        <v>253015.79020941243</v>
      </c>
    </row>
    <row r="60" spans="1:8" ht="15.75" thickBot="1">
      <c r="F60" s="44"/>
      <c r="G60" s="45"/>
      <c r="H60" s="47"/>
    </row>
  </sheetData>
  <mergeCells count="6">
    <mergeCell ref="F59:G60"/>
    <mergeCell ref="H59:H60"/>
    <mergeCell ref="H56:H57"/>
    <mergeCell ref="F56:G57"/>
    <mergeCell ref="F1:J2"/>
    <mergeCell ref="H3:K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2831-16D2-45F5-9A81-240B2F7F623B}">
  <sheetPr codeName="Hoja1">
    <tabColor theme="7"/>
  </sheetPr>
  <dimension ref="A1:L46"/>
  <sheetViews>
    <sheetView zoomScale="103" zoomScaleNormal="160" workbookViewId="0">
      <selection activeCell="K11" sqref="K11"/>
    </sheetView>
  </sheetViews>
  <sheetFormatPr baseColWidth="10" defaultColWidth="8.85546875" defaultRowHeight="15"/>
  <cols>
    <col min="1" max="1" width="21.28515625" customWidth="1"/>
    <col min="2" max="2" width="13.140625" bestFit="1" customWidth="1"/>
    <col min="4" max="4" width="20.7109375" bestFit="1" customWidth="1"/>
    <col min="5" max="5" width="11.28515625" bestFit="1" customWidth="1"/>
    <col min="6" max="6" width="12.5703125" bestFit="1" customWidth="1"/>
    <col min="7" max="7" width="13.140625" bestFit="1" customWidth="1"/>
    <col min="8" max="8" width="12.7109375" customWidth="1"/>
    <col min="9" max="9" width="11.28515625" customWidth="1"/>
    <col min="10" max="10" width="12.140625" customWidth="1"/>
    <col min="11" max="11" width="12.85546875" bestFit="1" customWidth="1"/>
  </cols>
  <sheetData>
    <row r="1" spans="1:12" ht="24" thickBot="1">
      <c r="A1" s="61" t="s">
        <v>31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2" ht="15.75" thickTop="1"/>
    <row r="3" spans="1:12" ht="30">
      <c r="A3" s="62" t="s">
        <v>13</v>
      </c>
      <c r="B3" s="75">
        <v>1200000</v>
      </c>
    </row>
    <row r="4" spans="1:12" ht="30">
      <c r="A4" s="62" t="s">
        <v>14</v>
      </c>
      <c r="B4" s="64">
        <v>0.15</v>
      </c>
    </row>
    <row r="5" spans="1:12">
      <c r="A5" s="63" t="s">
        <v>15</v>
      </c>
      <c r="B5" s="76">
        <v>36</v>
      </c>
      <c r="C5" s="7" t="s">
        <v>16</v>
      </c>
    </row>
    <row r="6" spans="1:12" ht="30">
      <c r="A6" s="62" t="s">
        <v>17</v>
      </c>
      <c r="B6" s="64">
        <v>0.01</v>
      </c>
      <c r="C6" s="7"/>
      <c r="J6" s="13" t="s">
        <v>22</v>
      </c>
      <c r="K6" s="27">
        <v>0.17704984528479056</v>
      </c>
      <c r="L6" s="26"/>
    </row>
    <row r="7" spans="1:12">
      <c r="A7" s="63" t="s">
        <v>18</v>
      </c>
      <c r="B7" s="70">
        <v>12000</v>
      </c>
      <c r="C7" s="7"/>
    </row>
    <row r="8" spans="1:12">
      <c r="A8" s="63" t="s">
        <v>43</v>
      </c>
      <c r="B8" s="41">
        <f>B3/B5</f>
        <v>33333.333333333336</v>
      </c>
      <c r="C8" s="7"/>
      <c r="K8" s="73" t="s">
        <v>42</v>
      </c>
    </row>
    <row r="9" spans="1:12">
      <c r="B9" s="6"/>
      <c r="K9" s="74">
        <f>+SUM(K11:K46)</f>
        <v>1200000.0005932122</v>
      </c>
    </row>
    <row r="10" spans="1:12" ht="30">
      <c r="A10" s="9" t="s">
        <v>8</v>
      </c>
      <c r="B10" s="9" t="s">
        <v>9</v>
      </c>
      <c r="C10" s="9" t="s">
        <v>10</v>
      </c>
      <c r="D10" s="9" t="s">
        <v>46</v>
      </c>
      <c r="E10" s="9" t="s">
        <v>45</v>
      </c>
      <c r="F10" s="9" t="s">
        <v>11</v>
      </c>
      <c r="G10" s="9" t="s">
        <v>12</v>
      </c>
      <c r="H10" s="10" t="s">
        <v>19</v>
      </c>
      <c r="I10" s="12" t="s">
        <v>20</v>
      </c>
      <c r="J10" s="11" t="s">
        <v>21</v>
      </c>
      <c r="K10" s="11" t="s">
        <v>23</v>
      </c>
    </row>
    <row r="11" spans="1:12">
      <c r="A11" s="3">
        <v>1</v>
      </c>
      <c r="B11" s="4">
        <f>B3</f>
        <v>1200000</v>
      </c>
      <c r="C11" s="8">
        <f>$B$4/12</f>
        <v>1.2499999999999999E-2</v>
      </c>
      <c r="D11" s="39">
        <f>F11+E11</f>
        <v>48333.333333333336</v>
      </c>
      <c r="E11" s="4">
        <f>B11*C11</f>
        <v>14999.999999999998</v>
      </c>
      <c r="F11" s="38">
        <f>$B$8</f>
        <v>33333.333333333336</v>
      </c>
      <c r="G11" s="5">
        <f>B11-F11</f>
        <v>1166666.6666666667</v>
      </c>
      <c r="H11" s="5">
        <f>B11*$B$6</f>
        <v>12000</v>
      </c>
      <c r="I11" s="5">
        <f>B7</f>
        <v>12000</v>
      </c>
      <c r="J11" s="38">
        <f>D11+H11+I11</f>
        <v>72333.333333333343</v>
      </c>
      <c r="K11" s="5">
        <f>J11/(1+$K$6/12)^A11</f>
        <v>71281.633156499549</v>
      </c>
    </row>
    <row r="12" spans="1:12">
      <c r="A12" s="3">
        <f>+A11+1</f>
        <v>2</v>
      </c>
      <c r="B12" s="5">
        <f>G11</f>
        <v>1166666.6666666667</v>
      </c>
      <c r="C12" s="8">
        <f t="shared" ref="C12:C46" si="0">$B$4/12</f>
        <v>1.2499999999999999E-2</v>
      </c>
      <c r="D12" s="39">
        <f t="shared" ref="D12:D46" si="1">F12+E12</f>
        <v>47916.666666666672</v>
      </c>
      <c r="E12" s="4">
        <f t="shared" ref="E12:E46" si="2">B12*C12</f>
        <v>14583.333333333334</v>
      </c>
      <c r="F12" s="38">
        <f t="shared" ref="F12:F46" si="3">$B$8</f>
        <v>33333.333333333336</v>
      </c>
      <c r="G12" s="5">
        <f t="shared" ref="G12:G45" si="4">B12-F12</f>
        <v>1133333.3333333335</v>
      </c>
      <c r="H12" s="5"/>
      <c r="I12" s="5"/>
      <c r="J12" s="38">
        <f t="shared" ref="J12:J46" si="5">D12+H12+I12</f>
        <v>47916.666666666672</v>
      </c>
      <c r="K12" s="5">
        <f t="shared" ref="K12:K46" si="6">J12/(1+$K$6/12)^A12</f>
        <v>46533.414724854338</v>
      </c>
    </row>
    <row r="13" spans="1:12">
      <c r="A13" s="3">
        <f t="shared" ref="A13:A46" si="7">+A12+1</f>
        <v>3</v>
      </c>
      <c r="B13" s="5">
        <f t="shared" ref="B13:B46" si="8">G12</f>
        <v>1133333.3333333335</v>
      </c>
      <c r="C13" s="8">
        <f t="shared" si="0"/>
        <v>1.2499999999999999E-2</v>
      </c>
      <c r="D13" s="39">
        <f t="shared" si="1"/>
        <v>47500</v>
      </c>
      <c r="E13" s="4">
        <f t="shared" si="2"/>
        <v>14166.666666666668</v>
      </c>
      <c r="F13" s="38">
        <f t="shared" si="3"/>
        <v>33333.333333333336</v>
      </c>
      <c r="G13" s="5">
        <f t="shared" si="4"/>
        <v>1100000.0000000002</v>
      </c>
      <c r="H13" s="5"/>
      <c r="I13" s="5"/>
      <c r="J13" s="38">
        <f t="shared" si="5"/>
        <v>47500</v>
      </c>
      <c r="K13" s="5">
        <f t="shared" si="6"/>
        <v>45458.080821247109</v>
      </c>
    </row>
    <row r="14" spans="1:12">
      <c r="A14" s="3">
        <f t="shared" si="7"/>
        <v>4</v>
      </c>
      <c r="B14" s="5">
        <f t="shared" si="8"/>
        <v>1100000.0000000002</v>
      </c>
      <c r="C14" s="8">
        <f t="shared" si="0"/>
        <v>1.2499999999999999E-2</v>
      </c>
      <c r="D14" s="39">
        <f t="shared" si="1"/>
        <v>47083.333333333336</v>
      </c>
      <c r="E14" s="4">
        <f t="shared" si="2"/>
        <v>13750.000000000002</v>
      </c>
      <c r="F14" s="38">
        <f t="shared" si="3"/>
        <v>33333.333333333336</v>
      </c>
      <c r="G14" s="5">
        <f t="shared" si="4"/>
        <v>1066666.666666667</v>
      </c>
      <c r="H14" s="5"/>
      <c r="I14" s="5"/>
      <c r="J14" s="38">
        <f t="shared" si="5"/>
        <v>47083.333333333336</v>
      </c>
      <c r="K14" s="5">
        <f t="shared" si="6"/>
        <v>44404.179631839295</v>
      </c>
    </row>
    <row r="15" spans="1:12">
      <c r="A15" s="3">
        <f t="shared" si="7"/>
        <v>5</v>
      </c>
      <c r="B15" s="5">
        <f t="shared" si="8"/>
        <v>1066666.666666667</v>
      </c>
      <c r="C15" s="8">
        <f t="shared" si="0"/>
        <v>1.2499999999999999E-2</v>
      </c>
      <c r="D15" s="39">
        <f t="shared" si="1"/>
        <v>46666.666666666672</v>
      </c>
      <c r="E15" s="4">
        <f t="shared" si="2"/>
        <v>13333.333333333336</v>
      </c>
      <c r="F15" s="38">
        <f t="shared" si="3"/>
        <v>33333.333333333336</v>
      </c>
      <c r="G15" s="5">
        <f t="shared" si="4"/>
        <v>1033333.3333333336</v>
      </c>
      <c r="H15" s="5"/>
      <c r="I15" s="5"/>
      <c r="J15" s="38">
        <f t="shared" si="5"/>
        <v>46666.666666666672</v>
      </c>
      <c r="K15" s="5">
        <f t="shared" si="6"/>
        <v>43371.3152356094</v>
      </c>
    </row>
    <row r="16" spans="1:12">
      <c r="A16" s="3">
        <f t="shared" si="7"/>
        <v>6</v>
      </c>
      <c r="B16" s="5">
        <f t="shared" si="8"/>
        <v>1033333.3333333336</v>
      </c>
      <c r="C16" s="8">
        <f t="shared" si="0"/>
        <v>1.2499999999999999E-2</v>
      </c>
      <c r="D16" s="39">
        <f t="shared" si="1"/>
        <v>46250.000000000007</v>
      </c>
      <c r="E16" s="4">
        <f t="shared" si="2"/>
        <v>12916.66666666667</v>
      </c>
      <c r="F16" s="38">
        <f t="shared" si="3"/>
        <v>33333.333333333336</v>
      </c>
      <c r="G16" s="5">
        <f t="shared" si="4"/>
        <v>1000000.0000000002</v>
      </c>
      <c r="H16" s="5"/>
      <c r="I16" s="5"/>
      <c r="J16" s="38">
        <f t="shared" si="5"/>
        <v>46250.000000000007</v>
      </c>
      <c r="K16" s="5">
        <f t="shared" si="6"/>
        <v>42359.098693733125</v>
      </c>
    </row>
    <row r="17" spans="1:11">
      <c r="A17" s="3">
        <f t="shared" si="7"/>
        <v>7</v>
      </c>
      <c r="B17" s="5">
        <f t="shared" si="8"/>
        <v>1000000.0000000002</v>
      </c>
      <c r="C17" s="8">
        <f t="shared" si="0"/>
        <v>1.2499999999999999E-2</v>
      </c>
      <c r="D17" s="39">
        <f t="shared" si="1"/>
        <v>45833.333333333336</v>
      </c>
      <c r="E17" s="4">
        <f t="shared" si="2"/>
        <v>12500.000000000002</v>
      </c>
      <c r="F17" s="38">
        <f t="shared" si="3"/>
        <v>33333.333333333336</v>
      </c>
      <c r="G17" s="5">
        <f t="shared" si="4"/>
        <v>966666.66666666686</v>
      </c>
      <c r="H17" s="5"/>
      <c r="I17" s="5"/>
      <c r="J17" s="38">
        <f t="shared" si="5"/>
        <v>45833.333333333336</v>
      </c>
      <c r="K17" s="5">
        <f t="shared" si="6"/>
        <v>41367.147930244209</v>
      </c>
    </row>
    <row r="18" spans="1:11">
      <c r="A18" s="3">
        <f t="shared" si="7"/>
        <v>8</v>
      </c>
      <c r="B18" s="5">
        <f t="shared" si="8"/>
        <v>966666.66666666686</v>
      </c>
      <c r="C18" s="8">
        <f t="shared" si="0"/>
        <v>1.2499999999999999E-2</v>
      </c>
      <c r="D18" s="39">
        <f t="shared" si="1"/>
        <v>45416.666666666672</v>
      </c>
      <c r="E18" s="4">
        <f t="shared" si="2"/>
        <v>12083.333333333334</v>
      </c>
      <c r="F18" s="38">
        <f t="shared" si="3"/>
        <v>33333.333333333336</v>
      </c>
      <c r="G18" s="5">
        <f t="shared" si="4"/>
        <v>933333.33333333349</v>
      </c>
      <c r="H18" s="5"/>
      <c r="I18" s="5"/>
      <c r="J18" s="38">
        <f t="shared" si="5"/>
        <v>45416.666666666672</v>
      </c>
      <c r="K18" s="5">
        <f t="shared" si="6"/>
        <v>40395.087614689641</v>
      </c>
    </row>
    <row r="19" spans="1:11">
      <c r="A19" s="3">
        <f t="shared" si="7"/>
        <v>9</v>
      </c>
      <c r="B19" s="5">
        <f t="shared" si="8"/>
        <v>933333.33333333349</v>
      </c>
      <c r="C19" s="8">
        <f t="shared" si="0"/>
        <v>1.2499999999999999E-2</v>
      </c>
      <c r="D19" s="39">
        <f t="shared" si="1"/>
        <v>45000</v>
      </c>
      <c r="E19" s="4">
        <f t="shared" si="2"/>
        <v>11666.666666666668</v>
      </c>
      <c r="F19" s="38">
        <f t="shared" si="3"/>
        <v>33333.333333333336</v>
      </c>
      <c r="G19" s="5">
        <f t="shared" si="4"/>
        <v>900000.00000000012</v>
      </c>
      <c r="H19" s="5"/>
      <c r="I19" s="5"/>
      <c r="J19" s="38">
        <f t="shared" si="5"/>
        <v>45000</v>
      </c>
      <c r="K19" s="5">
        <f t="shared" si="6"/>
        <v>39442.549046746237</v>
      </c>
    </row>
    <row r="20" spans="1:11">
      <c r="A20" s="3">
        <f t="shared" si="7"/>
        <v>10</v>
      </c>
      <c r="B20" s="5">
        <f t="shared" si="8"/>
        <v>900000.00000000012</v>
      </c>
      <c r="C20" s="8">
        <f t="shared" si="0"/>
        <v>1.2499999999999999E-2</v>
      </c>
      <c r="D20" s="39">
        <f t="shared" si="1"/>
        <v>44583.333333333336</v>
      </c>
      <c r="E20" s="4">
        <f t="shared" si="2"/>
        <v>11250</v>
      </c>
      <c r="F20" s="38">
        <f t="shared" si="3"/>
        <v>33333.333333333336</v>
      </c>
      <c r="G20" s="5">
        <f t="shared" si="4"/>
        <v>866666.66666666674</v>
      </c>
      <c r="H20" s="5"/>
      <c r="I20" s="5"/>
      <c r="J20" s="38">
        <f t="shared" si="5"/>
        <v>44583.333333333336</v>
      </c>
      <c r="K20" s="5">
        <f t="shared" si="6"/>
        <v>38509.170042766571</v>
      </c>
    </row>
    <row r="21" spans="1:11">
      <c r="A21" s="3">
        <f t="shared" si="7"/>
        <v>11</v>
      </c>
      <c r="B21" s="5">
        <f t="shared" si="8"/>
        <v>866666.66666666674</v>
      </c>
      <c r="C21" s="8">
        <f t="shared" si="0"/>
        <v>1.2499999999999999E-2</v>
      </c>
      <c r="D21" s="39">
        <f t="shared" si="1"/>
        <v>44166.666666666672</v>
      </c>
      <c r="E21" s="4">
        <f t="shared" si="2"/>
        <v>10833.333333333334</v>
      </c>
      <c r="F21" s="38">
        <f t="shared" si="3"/>
        <v>33333.333333333336</v>
      </c>
      <c r="G21" s="5">
        <f t="shared" si="4"/>
        <v>833333.33333333337</v>
      </c>
      <c r="H21" s="5"/>
      <c r="I21" s="5"/>
      <c r="J21" s="38">
        <f t="shared" si="5"/>
        <v>44166.666666666672</v>
      </c>
      <c r="K21" s="5">
        <f t="shared" si="6"/>
        <v>37594.594824222411</v>
      </c>
    </row>
    <row r="22" spans="1:11">
      <c r="A22" s="3">
        <f t="shared" si="7"/>
        <v>12</v>
      </c>
      <c r="B22" s="5">
        <f t="shared" si="8"/>
        <v>833333.33333333337</v>
      </c>
      <c r="C22" s="8">
        <f t="shared" si="0"/>
        <v>1.2499999999999999E-2</v>
      </c>
      <c r="D22" s="39">
        <f t="shared" si="1"/>
        <v>43750</v>
      </c>
      <c r="E22" s="4">
        <f t="shared" si="2"/>
        <v>10416.666666666666</v>
      </c>
      <c r="F22" s="38">
        <f t="shared" si="3"/>
        <v>33333.333333333336</v>
      </c>
      <c r="G22" s="5">
        <f t="shared" si="4"/>
        <v>800000</v>
      </c>
      <c r="H22" s="5"/>
      <c r="I22" s="5"/>
      <c r="J22" s="38">
        <f t="shared" si="5"/>
        <v>43750</v>
      </c>
      <c r="K22" s="5">
        <f t="shared" si="6"/>
        <v>36698.473908014494</v>
      </c>
    </row>
    <row r="23" spans="1:11">
      <c r="A23" s="3">
        <f t="shared" si="7"/>
        <v>13</v>
      </c>
      <c r="B23" s="5">
        <f t="shared" si="8"/>
        <v>800000</v>
      </c>
      <c r="C23" s="8">
        <f t="shared" si="0"/>
        <v>1.2499999999999999E-2</v>
      </c>
      <c r="D23" s="39">
        <f t="shared" si="1"/>
        <v>43333.333333333336</v>
      </c>
      <c r="E23" s="4">
        <f t="shared" si="2"/>
        <v>10000</v>
      </c>
      <c r="F23" s="38">
        <f t="shared" si="3"/>
        <v>33333.333333333336</v>
      </c>
      <c r="G23" s="5">
        <f t="shared" si="4"/>
        <v>766666.66666666663</v>
      </c>
      <c r="H23" s="5"/>
      <c r="I23" s="5">
        <f>I11</f>
        <v>12000</v>
      </c>
      <c r="J23" s="38">
        <f t="shared" si="5"/>
        <v>55333.333333333336</v>
      </c>
      <c r="K23" s="5">
        <f t="shared" si="6"/>
        <v>45739.97710592761</v>
      </c>
    </row>
    <row r="24" spans="1:11">
      <c r="A24" s="3">
        <f t="shared" si="7"/>
        <v>14</v>
      </c>
      <c r="B24" s="5">
        <f t="shared" si="8"/>
        <v>766666.66666666663</v>
      </c>
      <c r="C24" s="8">
        <f t="shared" si="0"/>
        <v>1.2499999999999999E-2</v>
      </c>
      <c r="D24" s="39">
        <f t="shared" si="1"/>
        <v>42916.666666666672</v>
      </c>
      <c r="E24" s="4">
        <f t="shared" si="2"/>
        <v>9583.3333333333321</v>
      </c>
      <c r="F24" s="38">
        <f t="shared" si="3"/>
        <v>33333.333333333336</v>
      </c>
      <c r="G24" s="5">
        <f t="shared" si="4"/>
        <v>733333.33333333326</v>
      </c>
      <c r="H24" s="5"/>
      <c r="I24" s="5"/>
      <c r="J24" s="38">
        <f t="shared" si="5"/>
        <v>42916.666666666672</v>
      </c>
      <c r="K24" s="5">
        <f t="shared" si="6"/>
        <v>34960.227882033505</v>
      </c>
    </row>
    <row r="25" spans="1:11">
      <c r="A25" s="3">
        <f t="shared" si="7"/>
        <v>15</v>
      </c>
      <c r="B25" s="5">
        <f t="shared" si="8"/>
        <v>733333.33333333326</v>
      </c>
      <c r="C25" s="8">
        <f t="shared" si="0"/>
        <v>1.2499999999999999E-2</v>
      </c>
      <c r="D25" s="39">
        <f t="shared" si="1"/>
        <v>42500</v>
      </c>
      <c r="E25" s="4">
        <f t="shared" si="2"/>
        <v>9166.6666666666642</v>
      </c>
      <c r="F25" s="38">
        <f t="shared" si="3"/>
        <v>33333.333333333336</v>
      </c>
      <c r="G25" s="5">
        <f t="shared" si="4"/>
        <v>699999.99999999988</v>
      </c>
      <c r="H25" s="5"/>
      <c r="I25" s="5"/>
      <c r="J25" s="38">
        <f t="shared" si="5"/>
        <v>42500</v>
      </c>
      <c r="K25" s="5">
        <f t="shared" si="6"/>
        <v>34117.434321513581</v>
      </c>
    </row>
    <row r="26" spans="1:11">
      <c r="A26" s="3">
        <f t="shared" si="7"/>
        <v>16</v>
      </c>
      <c r="B26" s="5">
        <f t="shared" si="8"/>
        <v>699999.99999999988</v>
      </c>
      <c r="C26" s="8">
        <f t="shared" si="0"/>
        <v>1.2499999999999999E-2</v>
      </c>
      <c r="D26" s="39">
        <f t="shared" si="1"/>
        <v>42083.333333333336</v>
      </c>
      <c r="E26" s="4">
        <f t="shared" si="2"/>
        <v>8749.9999999999982</v>
      </c>
      <c r="F26" s="38">
        <f t="shared" si="3"/>
        <v>33333.333333333336</v>
      </c>
      <c r="G26" s="5">
        <f t="shared" si="4"/>
        <v>666666.66666666651</v>
      </c>
      <c r="H26" s="5"/>
      <c r="I26" s="5"/>
      <c r="J26" s="38">
        <f t="shared" si="5"/>
        <v>42083.333333333336</v>
      </c>
      <c r="K26" s="5">
        <f t="shared" si="6"/>
        <v>33291.757955036177</v>
      </c>
    </row>
    <row r="27" spans="1:11">
      <c r="A27" s="3">
        <f t="shared" si="7"/>
        <v>17</v>
      </c>
      <c r="B27" s="5">
        <f t="shared" si="8"/>
        <v>666666.66666666651</v>
      </c>
      <c r="C27" s="8">
        <f t="shared" si="0"/>
        <v>1.2499999999999999E-2</v>
      </c>
      <c r="D27" s="39">
        <f t="shared" si="1"/>
        <v>41666.666666666664</v>
      </c>
      <c r="E27" s="4">
        <f t="shared" si="2"/>
        <v>8333.3333333333303</v>
      </c>
      <c r="F27" s="38">
        <f t="shared" si="3"/>
        <v>33333.333333333336</v>
      </c>
      <c r="G27" s="5">
        <f t="shared" si="4"/>
        <v>633333.33333333314</v>
      </c>
      <c r="H27" s="5"/>
      <c r="I27" s="5"/>
      <c r="J27" s="38">
        <f t="shared" si="5"/>
        <v>41666.666666666664</v>
      </c>
      <c r="K27" s="5">
        <f t="shared" si="6"/>
        <v>32482.879194495563</v>
      </c>
    </row>
    <row r="28" spans="1:11">
      <c r="A28" s="3">
        <f t="shared" si="7"/>
        <v>18</v>
      </c>
      <c r="B28" s="5">
        <f t="shared" si="8"/>
        <v>633333.33333333314</v>
      </c>
      <c r="C28" s="8">
        <f t="shared" si="0"/>
        <v>1.2499999999999999E-2</v>
      </c>
      <c r="D28" s="39">
        <f t="shared" si="1"/>
        <v>41250</v>
      </c>
      <c r="E28" s="4">
        <f t="shared" si="2"/>
        <v>7916.6666666666633</v>
      </c>
      <c r="F28" s="38">
        <f t="shared" si="3"/>
        <v>33333.333333333336</v>
      </c>
      <c r="G28" s="5">
        <f t="shared" si="4"/>
        <v>599999.99999999977</v>
      </c>
      <c r="H28" s="5"/>
      <c r="I28" s="5"/>
      <c r="J28" s="38">
        <f t="shared" si="5"/>
        <v>41250</v>
      </c>
      <c r="K28" s="5">
        <f t="shared" si="6"/>
        <v>31690.484126582978</v>
      </c>
    </row>
    <row r="29" spans="1:11">
      <c r="A29" s="3">
        <f t="shared" si="7"/>
        <v>19</v>
      </c>
      <c r="B29" s="5">
        <f t="shared" si="8"/>
        <v>599999.99999999977</v>
      </c>
      <c r="C29" s="8">
        <f t="shared" si="0"/>
        <v>1.2499999999999999E-2</v>
      </c>
      <c r="D29" s="39">
        <f t="shared" si="1"/>
        <v>40833.333333333328</v>
      </c>
      <c r="E29" s="4">
        <f t="shared" si="2"/>
        <v>7499.9999999999964</v>
      </c>
      <c r="F29" s="38">
        <f t="shared" si="3"/>
        <v>33333.333333333336</v>
      </c>
      <c r="G29" s="5">
        <f t="shared" si="4"/>
        <v>566666.6666666664</v>
      </c>
      <c r="H29" s="5"/>
      <c r="I29" s="5"/>
      <c r="J29" s="38">
        <f t="shared" si="5"/>
        <v>40833.333333333328</v>
      </c>
      <c r="K29" s="5">
        <f t="shared" si="6"/>
        <v>30914.26441532886</v>
      </c>
    </row>
    <row r="30" spans="1:11">
      <c r="A30" s="3">
        <f t="shared" si="7"/>
        <v>20</v>
      </c>
      <c r="B30" s="5">
        <f t="shared" si="8"/>
        <v>566666.6666666664</v>
      </c>
      <c r="C30" s="8">
        <f t="shared" si="0"/>
        <v>1.2499999999999999E-2</v>
      </c>
      <c r="D30" s="39">
        <f t="shared" si="1"/>
        <v>40416.666666666664</v>
      </c>
      <c r="E30" s="4">
        <f t="shared" si="2"/>
        <v>7083.3333333333294</v>
      </c>
      <c r="F30" s="38">
        <f t="shared" si="3"/>
        <v>33333.333333333336</v>
      </c>
      <c r="G30" s="5">
        <f t="shared" si="4"/>
        <v>533333.33333333302</v>
      </c>
      <c r="H30" s="5"/>
      <c r="I30" s="5"/>
      <c r="J30" s="38">
        <f t="shared" si="5"/>
        <v>40416.666666666664</v>
      </c>
      <c r="K30" s="5">
        <f t="shared" si="6"/>
        <v>30153.917206279577</v>
      </c>
    </row>
    <row r="31" spans="1:11">
      <c r="A31" s="3">
        <f t="shared" si="7"/>
        <v>21</v>
      </c>
      <c r="B31" s="5">
        <f t="shared" si="8"/>
        <v>533333.33333333302</v>
      </c>
      <c r="C31" s="8">
        <f t="shared" si="0"/>
        <v>1.2499999999999999E-2</v>
      </c>
      <c r="D31" s="39">
        <f t="shared" si="1"/>
        <v>40000</v>
      </c>
      <c r="E31" s="4">
        <f t="shared" si="2"/>
        <v>6666.6666666666624</v>
      </c>
      <c r="F31" s="38">
        <f t="shared" si="3"/>
        <v>33333.333333333336</v>
      </c>
      <c r="G31" s="5">
        <f t="shared" si="4"/>
        <v>499999.99999999971</v>
      </c>
      <c r="H31" s="5"/>
      <c r="I31" s="5"/>
      <c r="J31" s="38">
        <f t="shared" si="5"/>
        <v>40000</v>
      </c>
      <c r="K31" s="5">
        <f t="shared" si="6"/>
        <v>29409.145032281362</v>
      </c>
    </row>
    <row r="32" spans="1:11">
      <c r="A32" s="3">
        <f t="shared" si="7"/>
        <v>22</v>
      </c>
      <c r="B32" s="5">
        <f t="shared" si="8"/>
        <v>499999.99999999971</v>
      </c>
      <c r="C32" s="8">
        <f t="shared" si="0"/>
        <v>1.2499999999999999E-2</v>
      </c>
      <c r="D32" s="39">
        <f t="shared" si="1"/>
        <v>39583.333333333328</v>
      </c>
      <c r="E32" s="4">
        <f t="shared" si="2"/>
        <v>6249.9999999999955</v>
      </c>
      <c r="F32" s="38">
        <f t="shared" si="3"/>
        <v>33333.333333333336</v>
      </c>
      <c r="G32" s="5">
        <f t="shared" si="4"/>
        <v>466666.6666666664</v>
      </c>
      <c r="H32" s="5"/>
      <c r="I32" s="5"/>
      <c r="J32" s="38">
        <f t="shared" si="5"/>
        <v>39583.333333333328</v>
      </c>
      <c r="K32" s="5">
        <f t="shared" si="6"/>
        <v>28679.655720845374</v>
      </c>
    </row>
    <row r="33" spans="1:11">
      <c r="A33" s="3">
        <f t="shared" si="7"/>
        <v>23</v>
      </c>
      <c r="B33" s="5">
        <f t="shared" si="8"/>
        <v>466666.6666666664</v>
      </c>
      <c r="C33" s="8">
        <f t="shared" si="0"/>
        <v>1.2499999999999999E-2</v>
      </c>
      <c r="D33" s="39">
        <f t="shared" si="1"/>
        <v>39166.666666666664</v>
      </c>
      <c r="E33" s="4">
        <f t="shared" si="2"/>
        <v>5833.3333333333294</v>
      </c>
      <c r="F33" s="38">
        <f t="shared" si="3"/>
        <v>33333.333333333336</v>
      </c>
      <c r="G33" s="5">
        <f t="shared" si="4"/>
        <v>433333.33333333308</v>
      </c>
      <c r="H33" s="5"/>
      <c r="I33" s="5"/>
      <c r="J33" s="38">
        <f t="shared" si="5"/>
        <v>39166.666666666664</v>
      </c>
      <c r="K33" s="5">
        <f t="shared" si="6"/>
        <v>27965.162303067522</v>
      </c>
    </row>
    <row r="34" spans="1:11">
      <c r="A34" s="3">
        <f t="shared" si="7"/>
        <v>24</v>
      </c>
      <c r="B34" s="5">
        <f t="shared" si="8"/>
        <v>433333.33333333308</v>
      </c>
      <c r="C34" s="8">
        <f t="shared" si="0"/>
        <v>1.2499999999999999E-2</v>
      </c>
      <c r="D34" s="39">
        <f t="shared" si="1"/>
        <v>38750</v>
      </c>
      <c r="E34" s="4">
        <f t="shared" si="2"/>
        <v>5416.6666666666633</v>
      </c>
      <c r="F34" s="38">
        <f t="shared" si="3"/>
        <v>33333.333333333336</v>
      </c>
      <c r="G34" s="5">
        <f t="shared" si="4"/>
        <v>399999.99999999977</v>
      </c>
      <c r="H34" s="5"/>
      <c r="I34" s="5"/>
      <c r="J34" s="38">
        <f t="shared" si="5"/>
        <v>38750</v>
      </c>
      <c r="K34" s="5">
        <f t="shared" si="6"/>
        <v>27265.382924077603</v>
      </c>
    </row>
    <row r="35" spans="1:11">
      <c r="A35" s="3">
        <f t="shared" si="7"/>
        <v>25</v>
      </c>
      <c r="B35" s="5">
        <f t="shared" si="8"/>
        <v>399999.99999999977</v>
      </c>
      <c r="C35" s="8">
        <f t="shared" si="0"/>
        <v>1.2499999999999999E-2</v>
      </c>
      <c r="D35" s="39">
        <f t="shared" si="1"/>
        <v>38333.333333333328</v>
      </c>
      <c r="E35" s="4">
        <f t="shared" si="2"/>
        <v>4999.9999999999964</v>
      </c>
      <c r="F35" s="38">
        <f t="shared" si="3"/>
        <v>33333.333333333336</v>
      </c>
      <c r="G35" s="5">
        <f t="shared" si="4"/>
        <v>366666.66666666645</v>
      </c>
      <c r="H35" s="5"/>
      <c r="I35" s="5">
        <f>I23</f>
        <v>12000</v>
      </c>
      <c r="J35" s="38">
        <f t="shared" si="5"/>
        <v>50333.333333333328</v>
      </c>
      <c r="K35" s="5">
        <f t="shared" si="6"/>
        <v>34900.749165250905</v>
      </c>
    </row>
    <row r="36" spans="1:11">
      <c r="A36" s="3">
        <f t="shared" si="7"/>
        <v>26</v>
      </c>
      <c r="B36" s="5">
        <f t="shared" si="8"/>
        <v>366666.66666666645</v>
      </c>
      <c r="C36" s="8">
        <f t="shared" si="0"/>
        <v>1.2499999999999999E-2</v>
      </c>
      <c r="D36" s="39">
        <f t="shared" si="1"/>
        <v>37916.666666666664</v>
      </c>
      <c r="E36" s="4">
        <f t="shared" si="2"/>
        <v>4583.3333333333303</v>
      </c>
      <c r="F36" s="38">
        <f t="shared" si="3"/>
        <v>33333.333333333336</v>
      </c>
      <c r="G36" s="5">
        <f t="shared" si="4"/>
        <v>333333.33333333314</v>
      </c>
      <c r="H36" s="5"/>
      <c r="I36" s="5"/>
      <c r="J36" s="38">
        <f t="shared" si="5"/>
        <v>37916.666666666664</v>
      </c>
      <c r="K36" s="5">
        <f t="shared" si="6"/>
        <v>25908.863906348135</v>
      </c>
    </row>
    <row r="37" spans="1:11">
      <c r="A37" s="3">
        <f t="shared" si="7"/>
        <v>27</v>
      </c>
      <c r="B37" s="5">
        <f t="shared" si="8"/>
        <v>333333.33333333314</v>
      </c>
      <c r="C37" s="8">
        <f t="shared" si="0"/>
        <v>1.2499999999999999E-2</v>
      </c>
      <c r="D37" s="39">
        <f t="shared" si="1"/>
        <v>37500</v>
      </c>
      <c r="E37" s="4">
        <f t="shared" si="2"/>
        <v>4166.6666666666642</v>
      </c>
      <c r="F37" s="38">
        <f t="shared" si="3"/>
        <v>33333.333333333336</v>
      </c>
      <c r="G37" s="5">
        <f t="shared" si="4"/>
        <v>299999.99999999983</v>
      </c>
      <c r="H37" s="5"/>
      <c r="I37" s="5"/>
      <c r="J37" s="38">
        <f t="shared" si="5"/>
        <v>37500</v>
      </c>
      <c r="K37" s="5">
        <f t="shared" si="6"/>
        <v>25251.585342987517</v>
      </c>
    </row>
    <row r="38" spans="1:11">
      <c r="A38" s="3">
        <f t="shared" si="7"/>
        <v>28</v>
      </c>
      <c r="B38" s="5">
        <f t="shared" si="8"/>
        <v>299999.99999999983</v>
      </c>
      <c r="C38" s="8">
        <f t="shared" si="0"/>
        <v>1.2499999999999999E-2</v>
      </c>
      <c r="D38" s="39">
        <f t="shared" si="1"/>
        <v>37083.333333333336</v>
      </c>
      <c r="E38" s="4">
        <f t="shared" si="2"/>
        <v>3749.9999999999977</v>
      </c>
      <c r="F38" s="38">
        <f t="shared" si="3"/>
        <v>33333.333333333336</v>
      </c>
      <c r="G38" s="5">
        <f t="shared" si="4"/>
        <v>266666.66666666651</v>
      </c>
      <c r="H38" s="5"/>
      <c r="I38" s="5"/>
      <c r="J38" s="38">
        <f t="shared" si="5"/>
        <v>37083.333333333336</v>
      </c>
      <c r="K38" s="5">
        <f t="shared" si="6"/>
        <v>24607.942800377888</v>
      </c>
    </row>
    <row r="39" spans="1:11">
      <c r="A39" s="3">
        <f t="shared" si="7"/>
        <v>29</v>
      </c>
      <c r="B39" s="5">
        <f t="shared" si="8"/>
        <v>266666.66666666651</v>
      </c>
      <c r="C39" s="8">
        <f t="shared" si="0"/>
        <v>1.2499999999999999E-2</v>
      </c>
      <c r="D39" s="39">
        <f t="shared" si="1"/>
        <v>36666.666666666664</v>
      </c>
      <c r="E39" s="4">
        <f t="shared" si="2"/>
        <v>3333.3333333333312</v>
      </c>
      <c r="F39" s="38">
        <f t="shared" si="3"/>
        <v>33333.333333333336</v>
      </c>
      <c r="G39" s="5">
        <f t="shared" si="4"/>
        <v>233333.33333333317</v>
      </c>
      <c r="H39" s="5"/>
      <c r="I39" s="5"/>
      <c r="J39" s="38">
        <f t="shared" si="5"/>
        <v>36666.666666666664</v>
      </c>
      <c r="K39" s="5">
        <f t="shared" si="6"/>
        <v>23977.678702336372</v>
      </c>
    </row>
    <row r="40" spans="1:11">
      <c r="A40" s="3">
        <f t="shared" si="7"/>
        <v>30</v>
      </c>
      <c r="B40" s="5">
        <f t="shared" si="8"/>
        <v>233333.33333333317</v>
      </c>
      <c r="C40" s="8">
        <f t="shared" si="0"/>
        <v>1.2499999999999999E-2</v>
      </c>
      <c r="D40" s="39">
        <f t="shared" si="1"/>
        <v>36250</v>
      </c>
      <c r="E40" s="4">
        <f t="shared" si="2"/>
        <v>2916.6666666666642</v>
      </c>
      <c r="F40" s="38">
        <f t="shared" si="3"/>
        <v>33333.333333333336</v>
      </c>
      <c r="G40" s="5">
        <f t="shared" si="4"/>
        <v>199999.99999999983</v>
      </c>
      <c r="H40" s="5"/>
      <c r="I40" s="5"/>
      <c r="J40" s="38">
        <f t="shared" si="5"/>
        <v>36250</v>
      </c>
      <c r="K40" s="5">
        <f t="shared" si="6"/>
        <v>23360.540080139104</v>
      </c>
    </row>
    <row r="41" spans="1:11">
      <c r="A41" s="3">
        <f t="shared" si="7"/>
        <v>31</v>
      </c>
      <c r="B41" s="5">
        <f t="shared" si="8"/>
        <v>199999.99999999983</v>
      </c>
      <c r="C41" s="8">
        <f t="shared" si="0"/>
        <v>1.2499999999999999E-2</v>
      </c>
      <c r="D41" s="39">
        <f t="shared" si="1"/>
        <v>35833.333333333336</v>
      </c>
      <c r="E41" s="4">
        <f t="shared" si="2"/>
        <v>2499.9999999999977</v>
      </c>
      <c r="F41" s="38">
        <f t="shared" si="3"/>
        <v>33333.333333333336</v>
      </c>
      <c r="G41" s="5">
        <f t="shared" si="4"/>
        <v>166666.66666666648</v>
      </c>
      <c r="H41" s="5"/>
      <c r="I41" s="5"/>
      <c r="J41" s="38">
        <f t="shared" si="5"/>
        <v>35833.333333333336</v>
      </c>
      <c r="K41" s="5">
        <f t="shared" si="6"/>
        <v>22756.278492991492</v>
      </c>
    </row>
    <row r="42" spans="1:11">
      <c r="A42" s="3">
        <f t="shared" si="7"/>
        <v>32</v>
      </c>
      <c r="B42" s="5">
        <f t="shared" si="8"/>
        <v>166666.66666666648</v>
      </c>
      <c r="C42" s="8">
        <f t="shared" si="0"/>
        <v>1.2499999999999999E-2</v>
      </c>
      <c r="D42" s="39">
        <f t="shared" si="1"/>
        <v>35416.666666666664</v>
      </c>
      <c r="E42" s="4">
        <f t="shared" si="2"/>
        <v>2083.3333333333308</v>
      </c>
      <c r="F42" s="38">
        <f t="shared" si="3"/>
        <v>33333.333333333336</v>
      </c>
      <c r="G42" s="5">
        <f t="shared" si="4"/>
        <v>133333.33333333314</v>
      </c>
      <c r="H42" s="5"/>
      <c r="I42" s="5"/>
      <c r="J42" s="38">
        <f t="shared" si="5"/>
        <v>35416.666666666664</v>
      </c>
      <c r="K42" s="5">
        <f t="shared" si="6"/>
        <v>22164.649949837247</v>
      </c>
    </row>
    <row r="43" spans="1:11">
      <c r="A43" s="3">
        <f t="shared" si="7"/>
        <v>33</v>
      </c>
      <c r="B43" s="5">
        <f t="shared" si="8"/>
        <v>133333.33333333314</v>
      </c>
      <c r="C43" s="8">
        <f t="shared" si="0"/>
        <v>1.2499999999999999E-2</v>
      </c>
      <c r="D43" s="39">
        <f t="shared" si="1"/>
        <v>35000</v>
      </c>
      <c r="E43" s="4">
        <f t="shared" si="2"/>
        <v>1666.666666666664</v>
      </c>
      <c r="F43" s="38">
        <f t="shared" si="3"/>
        <v>33333.333333333336</v>
      </c>
      <c r="G43" s="5">
        <f t="shared" si="4"/>
        <v>99999.999999999796</v>
      </c>
      <c r="H43" s="5"/>
      <c r="I43" s="5"/>
      <c r="J43" s="38">
        <f t="shared" si="5"/>
        <v>35000</v>
      </c>
      <c r="K43" s="5">
        <f t="shared" si="6"/>
        <v>21585.414832483832</v>
      </c>
    </row>
    <row r="44" spans="1:11">
      <c r="A44" s="3">
        <f t="shared" si="7"/>
        <v>34</v>
      </c>
      <c r="B44" s="5">
        <f t="shared" si="8"/>
        <v>99999.999999999796</v>
      </c>
      <c r="C44" s="8">
        <f t="shared" si="0"/>
        <v>1.2499999999999999E-2</v>
      </c>
      <c r="D44" s="39">
        <f t="shared" si="1"/>
        <v>34583.333333333336</v>
      </c>
      <c r="E44" s="4">
        <f t="shared" si="2"/>
        <v>1249.9999999999973</v>
      </c>
      <c r="F44" s="38">
        <f t="shared" si="3"/>
        <v>33333.333333333336</v>
      </c>
      <c r="G44" s="5">
        <f t="shared" si="4"/>
        <v>66666.666666666453</v>
      </c>
      <c r="H44" s="5"/>
      <c r="I44" s="5"/>
      <c r="J44" s="38">
        <f t="shared" si="5"/>
        <v>34583.333333333336</v>
      </c>
      <c r="K44" s="5">
        <f t="shared" si="6"/>
        <v>21018.337820022723</v>
      </c>
    </row>
    <row r="45" spans="1:11">
      <c r="A45" s="3">
        <f t="shared" si="7"/>
        <v>35</v>
      </c>
      <c r="B45" s="5">
        <f t="shared" si="8"/>
        <v>66666.666666666453</v>
      </c>
      <c r="C45" s="8">
        <f t="shared" si="0"/>
        <v>1.2499999999999999E-2</v>
      </c>
      <c r="D45" s="39">
        <f t="shared" si="1"/>
        <v>34166.666666666664</v>
      </c>
      <c r="E45" s="4">
        <f t="shared" si="2"/>
        <v>833.33333333333064</v>
      </c>
      <c r="F45" s="38">
        <f t="shared" si="3"/>
        <v>33333.333333333336</v>
      </c>
      <c r="G45" s="5">
        <f t="shared" si="4"/>
        <v>33333.333333333117</v>
      </c>
      <c r="H45" s="5"/>
      <c r="I45" s="5"/>
      <c r="J45" s="38">
        <f t="shared" si="5"/>
        <v>34166.666666666664</v>
      </c>
      <c r="K45" s="5">
        <f t="shared" si="6"/>
        <v>20463.187814523069</v>
      </c>
    </row>
    <row r="46" spans="1:11">
      <c r="A46" s="3">
        <f t="shared" si="7"/>
        <v>36</v>
      </c>
      <c r="B46" s="5">
        <f t="shared" si="8"/>
        <v>33333.333333333117</v>
      </c>
      <c r="C46" s="8">
        <f t="shared" si="0"/>
        <v>1.2499999999999999E-2</v>
      </c>
      <c r="D46" s="39">
        <f t="shared" si="1"/>
        <v>33750</v>
      </c>
      <c r="E46" s="4">
        <f t="shared" si="2"/>
        <v>416.66666666666396</v>
      </c>
      <c r="F46" s="38">
        <f t="shared" si="3"/>
        <v>33333.333333333336</v>
      </c>
      <c r="G46" s="5">
        <f>B46-F46</f>
        <v>-2.1827872842550278E-10</v>
      </c>
      <c r="H46" s="5"/>
      <c r="I46" s="5"/>
      <c r="J46" s="38">
        <f t="shared" si="5"/>
        <v>33750</v>
      </c>
      <c r="K46" s="5">
        <f t="shared" si="6"/>
        <v>19919.737867977667</v>
      </c>
    </row>
  </sheetData>
  <mergeCells count="1">
    <mergeCell ref="A1:K1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A65F-357F-4FB4-8788-B09FC7762348}">
  <sheetPr codeName="Hoja2">
    <tabColor theme="7"/>
  </sheetPr>
  <dimension ref="A1:L48"/>
  <sheetViews>
    <sheetView showGridLines="0" zoomScaleNormal="146" workbookViewId="0"/>
  </sheetViews>
  <sheetFormatPr baseColWidth="10" defaultColWidth="8.85546875" defaultRowHeight="15"/>
  <cols>
    <col min="1" max="1" width="17.140625" customWidth="1"/>
    <col min="2" max="2" width="12.7109375" customWidth="1"/>
    <col min="3" max="3" width="16.7109375" customWidth="1"/>
    <col min="4" max="4" width="13.28515625" customWidth="1"/>
    <col min="8" max="8" width="20.7109375" customWidth="1"/>
    <col min="12" max="12" width="10" customWidth="1"/>
  </cols>
  <sheetData>
    <row r="1" spans="1:12">
      <c r="A1" s="17" t="s">
        <v>35</v>
      </c>
      <c r="B1" s="36">
        <v>2</v>
      </c>
      <c r="F1" s="48" t="s">
        <v>28</v>
      </c>
      <c r="G1" s="49"/>
      <c r="H1" s="49"/>
      <c r="I1" s="49"/>
      <c r="J1" s="50"/>
    </row>
    <row r="2" spans="1:12">
      <c r="A2" s="17" t="s">
        <v>27</v>
      </c>
      <c r="B2" s="16">
        <f>+'Crédito Pagos Decrecientes'!K6</f>
        <v>0.17704984528479056</v>
      </c>
      <c r="F2" s="51"/>
      <c r="G2" s="52"/>
      <c r="H2" s="53"/>
      <c r="I2" s="53"/>
      <c r="J2" s="54"/>
    </row>
    <row r="3" spans="1:12">
      <c r="H3" s="55" t="s">
        <v>29</v>
      </c>
      <c r="I3" s="56"/>
      <c r="J3" s="56"/>
      <c r="K3" s="57"/>
    </row>
    <row r="4" spans="1:12" ht="23.25">
      <c r="A4" s="1" t="s">
        <v>0</v>
      </c>
      <c r="H4" s="58"/>
      <c r="I4" s="59"/>
      <c r="J4" s="59"/>
      <c r="K4" s="60"/>
      <c r="L4" s="18"/>
    </row>
    <row r="5" spans="1:12" ht="15.75" thickBot="1">
      <c r="E5" s="14" t="s">
        <v>24</v>
      </c>
      <c r="G5" s="14" t="s">
        <v>24</v>
      </c>
      <c r="I5" s="18"/>
      <c r="J5" s="18"/>
      <c r="K5" s="18"/>
      <c r="L5" s="18"/>
    </row>
    <row r="6" spans="1:12" ht="38.450000000000003" customHeight="1" thickBot="1">
      <c r="A6" s="2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K6" s="15"/>
    </row>
    <row r="7" spans="1:12" ht="15.75" thickBot="1">
      <c r="A7" s="24">
        <v>1</v>
      </c>
      <c r="B7" s="19">
        <f xml:space="preserve"> $B$2 /12</f>
        <v>1.4754153773732548E-2</v>
      </c>
      <c r="C7" s="20">
        <f>'Crédito Pagos Decrecientes'!B11</f>
        <v>1200000</v>
      </c>
      <c r="D7" s="21">
        <f>1/(1+B7)^A7</f>
        <v>0.98546036621888766</v>
      </c>
      <c r="E7" s="22">
        <v>0.12</v>
      </c>
      <c r="F7" s="25">
        <f>1-E7</f>
        <v>0.88</v>
      </c>
      <c r="G7" s="22">
        <v>0.45</v>
      </c>
      <c r="H7" s="23">
        <f>PRODUCT(C7:G7)</f>
        <v>56194.891923265852</v>
      </c>
    </row>
    <row r="8" spans="1:12" ht="15.75" thickBot="1">
      <c r="A8" s="24">
        <f>+A7+1</f>
        <v>2</v>
      </c>
      <c r="B8" s="19">
        <f t="shared" ref="B8:B42" si="0" xml:space="preserve"> $B$2 /12</f>
        <v>1.4754153773732548E-2</v>
      </c>
      <c r="C8" s="20">
        <f>'Crédito Pagos Decrecientes'!B12</f>
        <v>1166666.6666666667</v>
      </c>
      <c r="D8" s="21">
        <f t="shared" ref="D8:D42" si="1">1/(1+B8)^A8</f>
        <v>0.97113213338826432</v>
      </c>
      <c r="E8" s="22">
        <v>0.12</v>
      </c>
      <c r="F8" s="25">
        <f>F7*(1-E8)</f>
        <v>0.77439999999999998</v>
      </c>
      <c r="G8" s="22">
        <v>0.45</v>
      </c>
      <c r="H8" s="23">
        <f t="shared" ref="H8:H42" si="2">PRODUCT(C8:G8)</f>
        <v>47378.817618039924</v>
      </c>
    </row>
    <row r="9" spans="1:12" ht="15.75" thickBot="1">
      <c r="A9" s="24">
        <f t="shared" ref="A9:A42" si="3">+A8+1</f>
        <v>3</v>
      </c>
      <c r="B9" s="19">
        <f t="shared" si="0"/>
        <v>1.4754153773732548E-2</v>
      </c>
      <c r="C9" s="20">
        <f>'Crédito Pagos Decrecientes'!B13</f>
        <v>1133333.3333333335</v>
      </c>
      <c r="D9" s="21">
        <f t="shared" si="1"/>
        <v>0.95701222781572859</v>
      </c>
      <c r="E9" s="22">
        <v>0.12</v>
      </c>
      <c r="F9" s="25">
        <f t="shared" ref="F9:F42" si="4">F8*(1-E9)</f>
        <v>0.68147199999999997</v>
      </c>
      <c r="G9" s="22">
        <v>0.45</v>
      </c>
      <c r="H9" s="23">
        <f t="shared" si="2"/>
        <v>39913.234659139271</v>
      </c>
    </row>
    <row r="10" spans="1:12" ht="15.75" thickBot="1">
      <c r="A10" s="24">
        <f t="shared" si="3"/>
        <v>4</v>
      </c>
      <c r="B10" s="19">
        <f t="shared" si="0"/>
        <v>1.4754153773732548E-2</v>
      </c>
      <c r="C10" s="20">
        <f>'Crédito Pagos Decrecientes'!B14</f>
        <v>1100000.0000000002</v>
      </c>
      <c r="D10" s="21">
        <f t="shared" si="1"/>
        <v>0.94309762049924162</v>
      </c>
      <c r="E10" s="22">
        <v>0.12</v>
      </c>
      <c r="F10" s="25">
        <f t="shared" si="4"/>
        <v>0.59969536000000001</v>
      </c>
      <c r="G10" s="22">
        <v>0.45</v>
      </c>
      <c r="H10" s="23">
        <f t="shared" si="2"/>
        <v>33594.933262201906</v>
      </c>
      <c r="K10" s="7"/>
    </row>
    <row r="11" spans="1:12" ht="15.75" thickBot="1">
      <c r="A11" s="24">
        <f t="shared" si="3"/>
        <v>5</v>
      </c>
      <c r="B11" s="19">
        <f t="shared" si="0"/>
        <v>1.4754153773732548E-2</v>
      </c>
      <c r="C11" s="20">
        <f>'Crédito Pagos Decrecientes'!B15</f>
        <v>1066666.666666667</v>
      </c>
      <c r="D11" s="21">
        <f t="shared" si="1"/>
        <v>0.92938532647734418</v>
      </c>
      <c r="E11" s="22">
        <v>0.12</v>
      </c>
      <c r="F11" s="25">
        <f t="shared" si="4"/>
        <v>0.52773191679999998</v>
      </c>
      <c r="G11" s="22">
        <v>0.45</v>
      </c>
      <c r="H11" s="23">
        <f t="shared" si="2"/>
        <v>28250.858867770527</v>
      </c>
    </row>
    <row r="12" spans="1:12" ht="15.75" thickBot="1">
      <c r="A12" s="24">
        <f t="shared" si="3"/>
        <v>6</v>
      </c>
      <c r="B12" s="19">
        <f t="shared" si="0"/>
        <v>1.4754153773732548E-2</v>
      </c>
      <c r="C12" s="20">
        <f>'Crédito Pagos Decrecientes'!B16</f>
        <v>1033333.3333333336</v>
      </c>
      <c r="D12" s="21">
        <f t="shared" si="1"/>
        <v>0.91587240418882421</v>
      </c>
      <c r="E12" s="22">
        <v>0.12</v>
      </c>
      <c r="F12" s="25">
        <f t="shared" si="4"/>
        <v>0.46440408678399997</v>
      </c>
      <c r="G12" s="22">
        <v>0.45</v>
      </c>
      <c r="H12" s="23">
        <f t="shared" si="2"/>
        <v>23733.686721271144</v>
      </c>
    </row>
    <row r="13" spans="1:12" ht="15.75" thickBot="1">
      <c r="A13" s="24">
        <f t="shared" si="3"/>
        <v>7</v>
      </c>
      <c r="B13" s="19">
        <f t="shared" si="0"/>
        <v>1.4754153773732548E-2</v>
      </c>
      <c r="C13" s="20">
        <f>'Crédito Pagos Decrecientes'!B17</f>
        <v>1000000.0000000002</v>
      </c>
      <c r="D13" s="21">
        <f t="shared" si="1"/>
        <v>0.90255595484169182</v>
      </c>
      <c r="E13" s="22">
        <v>0.12</v>
      </c>
      <c r="F13" s="25">
        <f t="shared" si="4"/>
        <v>0.40867559636991996</v>
      </c>
      <c r="G13" s="22">
        <v>0.45</v>
      </c>
      <c r="H13" s="23">
        <f t="shared" si="2"/>
        <v>19918.040027516156</v>
      </c>
    </row>
    <row r="14" spans="1:12" ht="15.75" thickBot="1">
      <c r="A14" s="24">
        <f t="shared" si="3"/>
        <v>8</v>
      </c>
      <c r="B14" s="19">
        <f t="shared" si="0"/>
        <v>1.4754153773732548E-2</v>
      </c>
      <c r="C14" s="20">
        <f>'Crédito Pagos Decrecientes'!B18</f>
        <v>966666.66666666686</v>
      </c>
      <c r="D14" s="21">
        <f t="shared" si="1"/>
        <v>0.88943312179133149</v>
      </c>
      <c r="E14" s="22">
        <v>0.12</v>
      </c>
      <c r="F14" s="25">
        <f t="shared" si="4"/>
        <v>0.35963452480552954</v>
      </c>
      <c r="G14" s="22">
        <v>0.45</v>
      </c>
      <c r="H14" s="23">
        <f t="shared" si="2"/>
        <v>16697.258792910005</v>
      </c>
    </row>
    <row r="15" spans="1:12" ht="15.75" thickBot="1">
      <c r="A15" s="24">
        <f t="shared" si="3"/>
        <v>9</v>
      </c>
      <c r="B15" s="19">
        <f t="shared" si="0"/>
        <v>1.4754153773732548E-2</v>
      </c>
      <c r="C15" s="20">
        <f>'Crédito Pagos Decrecientes'!B19</f>
        <v>933333.33333333349</v>
      </c>
      <c r="D15" s="21">
        <f t="shared" si="1"/>
        <v>0.87650108992769415</v>
      </c>
      <c r="E15" s="22">
        <v>0.12</v>
      </c>
      <c r="F15" s="25">
        <f t="shared" si="4"/>
        <v>0.31647838182886601</v>
      </c>
      <c r="G15" s="22">
        <v>0.45</v>
      </c>
      <c r="H15" s="23">
        <f t="shared" si="2"/>
        <v>13980.639789222323</v>
      </c>
    </row>
    <row r="16" spans="1:12" ht="15.75" thickBot="1">
      <c r="A16" s="24">
        <f t="shared" si="3"/>
        <v>10</v>
      </c>
      <c r="B16" s="19">
        <f t="shared" si="0"/>
        <v>1.4754153773732548E-2</v>
      </c>
      <c r="C16" s="20">
        <f>'Crédito Pagos Decrecientes'!B20</f>
        <v>900000.00000000012</v>
      </c>
      <c r="D16" s="21">
        <f t="shared" si="1"/>
        <v>0.8637570850713997</v>
      </c>
      <c r="E16" s="22">
        <v>0.12</v>
      </c>
      <c r="F16" s="25">
        <f t="shared" si="4"/>
        <v>0.2785009760094021</v>
      </c>
      <c r="G16" s="22">
        <v>0.45</v>
      </c>
      <c r="H16" s="23">
        <f t="shared" si="2"/>
        <v>11691.079493652662</v>
      </c>
    </row>
    <row r="17" spans="1:8" ht="15.75" thickBot="1">
      <c r="A17" s="24">
        <f t="shared" si="3"/>
        <v>11</v>
      </c>
      <c r="B17" s="19">
        <f t="shared" si="0"/>
        <v>1.4754153773732548E-2</v>
      </c>
      <c r="C17" s="20">
        <f>'Crédito Pagos Decrecientes'!B21</f>
        <v>866666.66666666674</v>
      </c>
      <c r="D17" s="21">
        <f t="shared" si="1"/>
        <v>0.85119837337862048</v>
      </c>
      <c r="E17" s="22">
        <v>0.12</v>
      </c>
      <c r="F17" s="25">
        <f t="shared" si="4"/>
        <v>0.24508085888827386</v>
      </c>
      <c r="G17" s="22">
        <v>0.45</v>
      </c>
      <c r="H17" s="23">
        <f t="shared" si="2"/>
        <v>9763.0616506145088</v>
      </c>
    </row>
    <row r="18" spans="1:8" ht="15.75" thickBot="1">
      <c r="A18" s="24">
        <f t="shared" si="3"/>
        <v>12</v>
      </c>
      <c r="B18" s="19">
        <f t="shared" si="0"/>
        <v>1.4754153773732548E-2</v>
      </c>
      <c r="C18" s="20">
        <f>'Crédito Pagos Decrecientes'!B22</f>
        <v>833333.33333333337</v>
      </c>
      <c r="D18" s="21">
        <f t="shared" si="1"/>
        <v>0.83882226075461697</v>
      </c>
      <c r="E18" s="22">
        <v>0.12</v>
      </c>
      <c r="F18" s="25">
        <f t="shared" si="4"/>
        <v>0.215671155821681</v>
      </c>
      <c r="G18" s="22">
        <v>0.45</v>
      </c>
      <c r="H18" s="23">
        <f t="shared" si="2"/>
        <v>8140.9394927656695</v>
      </c>
    </row>
    <row r="19" spans="1:8" ht="15.75" thickBot="1">
      <c r="A19" s="24">
        <f t="shared" si="3"/>
        <v>13</v>
      </c>
      <c r="B19" s="19">
        <f t="shared" si="0"/>
        <v>1.4754153773732548E-2</v>
      </c>
      <c r="C19" s="20">
        <f>'Crédito Pagos Decrecientes'!B23</f>
        <v>800000</v>
      </c>
      <c r="D19" s="21">
        <f t="shared" si="1"/>
        <v>0.82662609227580008</v>
      </c>
      <c r="E19" s="22">
        <v>0.12</v>
      </c>
      <c r="F19" s="25">
        <f t="shared" si="4"/>
        <v>0.18979061712307929</v>
      </c>
      <c r="G19" s="22">
        <v>0.45</v>
      </c>
      <c r="H19" s="23">
        <f t="shared" si="2"/>
        <v>6777.4698511083461</v>
      </c>
    </row>
    <row r="20" spans="1:8" ht="15.75" thickBot="1">
      <c r="A20" s="24">
        <f t="shared" si="3"/>
        <v>14</v>
      </c>
      <c r="B20" s="19">
        <f t="shared" si="0"/>
        <v>1.4754153773732548E-2</v>
      </c>
      <c r="C20" s="20">
        <f>'Crédito Pagos Decrecientes'!B24</f>
        <v>766666.66666666663</v>
      </c>
      <c r="D20" s="21">
        <f t="shared" si="1"/>
        <v>0.8146072516201982</v>
      </c>
      <c r="E20" s="22">
        <v>0.12</v>
      </c>
      <c r="F20" s="25">
        <f t="shared" si="4"/>
        <v>0.16701574306830977</v>
      </c>
      <c r="G20" s="22">
        <v>0.45</v>
      </c>
      <c r="H20" s="23">
        <f t="shared" si="2"/>
        <v>5632.5625471406929</v>
      </c>
    </row>
    <row r="21" spans="1:8" ht="15.75" thickBot="1">
      <c r="A21" s="24">
        <f t="shared" si="3"/>
        <v>15</v>
      </c>
      <c r="B21" s="19">
        <f t="shared" si="0"/>
        <v>1.4754153773732548E-2</v>
      </c>
      <c r="C21" s="20">
        <f>'Crédito Pagos Decrecientes'!B25</f>
        <v>733333.33333333326</v>
      </c>
      <c r="D21" s="21">
        <f t="shared" si="1"/>
        <v>0.802763160506202</v>
      </c>
      <c r="E21" s="22">
        <v>0.12</v>
      </c>
      <c r="F21" s="25">
        <f t="shared" si="4"/>
        <v>0.14697385390011261</v>
      </c>
      <c r="G21" s="22">
        <v>0.45</v>
      </c>
      <c r="H21" s="23">
        <f t="shared" si="2"/>
        <v>4672.2137405577942</v>
      </c>
    </row>
    <row r="22" spans="1:8" ht="15.75" thickBot="1">
      <c r="A22" s="24">
        <f t="shared" si="3"/>
        <v>16</v>
      </c>
      <c r="B22" s="19">
        <f t="shared" si="0"/>
        <v>1.4754153773732548E-2</v>
      </c>
      <c r="C22" s="20">
        <f>'Crédito Pagos Decrecientes'!B26</f>
        <v>699999.99999999988</v>
      </c>
      <c r="D22" s="21">
        <f t="shared" si="1"/>
        <v>0.79109127813947355</v>
      </c>
      <c r="E22" s="22">
        <v>0.12</v>
      </c>
      <c r="F22" s="25">
        <f t="shared" si="4"/>
        <v>0.12933699143209909</v>
      </c>
      <c r="G22" s="22">
        <v>0.45</v>
      </c>
      <c r="H22" s="23">
        <f t="shared" si="2"/>
        <v>3867.596429611322</v>
      </c>
    </row>
    <row r="23" spans="1:8" ht="15.75" thickBot="1">
      <c r="A23" s="24">
        <f t="shared" si="3"/>
        <v>17</v>
      </c>
      <c r="B23" s="19">
        <f t="shared" si="0"/>
        <v>1.4754153773732548E-2</v>
      </c>
      <c r="C23" s="20">
        <f>'Crédito Pagos Decrecientes'!B27</f>
        <v>666666.66666666651</v>
      </c>
      <c r="D23" s="21">
        <f t="shared" si="1"/>
        <v>0.77958910066789355</v>
      </c>
      <c r="E23" s="22">
        <v>0.12</v>
      </c>
      <c r="F23" s="25">
        <f t="shared" si="4"/>
        <v>0.1138165524602472</v>
      </c>
      <c r="G23" s="22">
        <v>0.45</v>
      </c>
      <c r="H23" s="23">
        <f t="shared" si="2"/>
        <v>3194.2851758497518</v>
      </c>
    </row>
    <row r="24" spans="1:8" ht="15.75" thickBot="1">
      <c r="A24" s="24">
        <f t="shared" si="3"/>
        <v>18</v>
      </c>
      <c r="B24" s="19">
        <f t="shared" si="0"/>
        <v>1.4754153773732548E-2</v>
      </c>
      <c r="C24" s="20">
        <f>'Crédito Pagos Decrecientes'!B28</f>
        <v>633333.33333333314</v>
      </c>
      <c r="D24" s="21">
        <f t="shared" si="1"/>
        <v>0.76825416064443586</v>
      </c>
      <c r="E24" s="22">
        <v>0.12</v>
      </c>
      <c r="F24" s="25">
        <f t="shared" si="4"/>
        <v>0.10015856616501755</v>
      </c>
      <c r="G24" s="22">
        <v>0.45</v>
      </c>
      <c r="H24" s="23">
        <f t="shared" si="2"/>
        <v>2631.5954431715859</v>
      </c>
    </row>
    <row r="25" spans="1:8" ht="15.75" thickBot="1">
      <c r="A25" s="24">
        <f t="shared" si="3"/>
        <v>19</v>
      </c>
      <c r="B25" s="19">
        <f t="shared" si="0"/>
        <v>1.4754153773732548E-2</v>
      </c>
      <c r="C25" s="20">
        <f>'Crédito Pagos Decrecientes'!B29</f>
        <v>599999.99999999977</v>
      </c>
      <c r="D25" s="21">
        <f t="shared" si="1"/>
        <v>0.75708402649784978</v>
      </c>
      <c r="E25" s="22">
        <v>0.12</v>
      </c>
      <c r="F25" s="25">
        <f t="shared" si="4"/>
        <v>8.8139538225215447E-2</v>
      </c>
      <c r="G25" s="22">
        <v>0.45</v>
      </c>
      <c r="H25" s="23">
        <f t="shared" si="2"/>
        <v>2162.0207823799142</v>
      </c>
    </row>
    <row r="26" spans="1:8" ht="15.75" thickBot="1">
      <c r="A26" s="24">
        <f t="shared" si="3"/>
        <v>20</v>
      </c>
      <c r="B26" s="19">
        <f t="shared" si="0"/>
        <v>1.4754153773732548E-2</v>
      </c>
      <c r="C26" s="20">
        <f>'Crédito Pagos Decrecientes'!B30</f>
        <v>566666.6666666664</v>
      </c>
      <c r="D26" s="21">
        <f t="shared" si="1"/>
        <v>0.74607630201104114</v>
      </c>
      <c r="E26" s="22">
        <v>0.12</v>
      </c>
      <c r="F26" s="25">
        <f t="shared" si="4"/>
        <v>7.7562793638189589E-2</v>
      </c>
      <c r="G26" s="22">
        <v>0.45</v>
      </c>
      <c r="H26" s="23">
        <f t="shared" si="2"/>
        <v>1770.7535248875147</v>
      </c>
    </row>
    <row r="27" spans="1:8" ht="15.75" thickBot="1">
      <c r="A27" s="24">
        <f t="shared" si="3"/>
        <v>21</v>
      </c>
      <c r="B27" s="19">
        <f t="shared" si="0"/>
        <v>1.4754153773732548E-2</v>
      </c>
      <c r="C27" s="20">
        <f>'Crédito Pagos Decrecientes'!B31</f>
        <v>533333.33333333302</v>
      </c>
      <c r="D27" s="21">
        <f t="shared" si="1"/>
        <v>0.73522862580703408</v>
      </c>
      <c r="E27" s="22">
        <v>0.12</v>
      </c>
      <c r="F27" s="25">
        <f t="shared" si="4"/>
        <v>6.8255258401606844E-2</v>
      </c>
      <c r="G27" s="22">
        <v>0.45</v>
      </c>
      <c r="H27" s="23">
        <f t="shared" si="2"/>
        <v>1445.2767313550607</v>
      </c>
    </row>
    <row r="28" spans="1:8" ht="15.75" thickBot="1">
      <c r="A28" s="24">
        <f t="shared" si="3"/>
        <v>22</v>
      </c>
      <c r="B28" s="19">
        <f t="shared" si="0"/>
        <v>1.4754153773732548E-2</v>
      </c>
      <c r="C28" s="20">
        <f>'Crédito Pagos Decrecientes'!B32</f>
        <v>499999.99999999971</v>
      </c>
      <c r="D28" s="21">
        <f t="shared" si="1"/>
        <v>0.72453867084240953</v>
      </c>
      <c r="E28" s="22">
        <v>0.12</v>
      </c>
      <c r="F28" s="25">
        <f t="shared" si="4"/>
        <v>6.0064627393414026E-2</v>
      </c>
      <c r="G28" s="22">
        <v>0.45</v>
      </c>
      <c r="H28" s="23">
        <f t="shared" si="2"/>
        <v>1175.0169229992564</v>
      </c>
    </row>
    <row r="29" spans="1:8" ht="15.75" thickBot="1">
      <c r="A29" s="24">
        <f t="shared" si="3"/>
        <v>23</v>
      </c>
      <c r="B29" s="19">
        <f t="shared" si="0"/>
        <v>1.4754153773732548E-2</v>
      </c>
      <c r="C29" s="20">
        <f>'Crédito Pagos Decrecientes'!B33</f>
        <v>466666.6666666664</v>
      </c>
      <c r="D29" s="21">
        <f t="shared" si="1"/>
        <v>0.71400414390810696</v>
      </c>
      <c r="E29" s="22">
        <v>0.12</v>
      </c>
      <c r="F29" s="25">
        <f t="shared" si="4"/>
        <v>5.2856872106204343E-2</v>
      </c>
      <c r="G29" s="22">
        <v>0.45</v>
      </c>
      <c r="H29" s="23">
        <f t="shared" si="2"/>
        <v>951.0486480898378</v>
      </c>
    </row>
    <row r="30" spans="1:8" ht="15.75" thickBot="1">
      <c r="A30" s="24">
        <f t="shared" si="3"/>
        <v>24</v>
      </c>
      <c r="B30" s="19">
        <f t="shared" si="0"/>
        <v>1.4754153773732548E-2</v>
      </c>
      <c r="C30" s="20">
        <f>'Crédito Pagos Decrecientes'!B34</f>
        <v>433333.33333333308</v>
      </c>
      <c r="D30" s="21">
        <f t="shared" si="1"/>
        <v>0.70362278513748644</v>
      </c>
      <c r="E30" s="22">
        <v>0.12</v>
      </c>
      <c r="F30" s="25">
        <f t="shared" si="4"/>
        <v>4.6514047453459821E-2</v>
      </c>
      <c r="G30" s="22">
        <v>0.45</v>
      </c>
      <c r="H30" s="23">
        <f t="shared" si="2"/>
        <v>765.84324064296175</v>
      </c>
    </row>
    <row r="31" spans="1:8" ht="15.75" thickBot="1">
      <c r="A31" s="24">
        <f t="shared" si="3"/>
        <v>25</v>
      </c>
      <c r="B31" s="19">
        <f t="shared" si="0"/>
        <v>1.4754153773732548E-2</v>
      </c>
      <c r="C31" s="20">
        <f>'Crédito Pagos Decrecientes'!B35</f>
        <v>399999.99999999977</v>
      </c>
      <c r="D31" s="21">
        <f t="shared" si="1"/>
        <v>0.69339236752154121</v>
      </c>
      <c r="E31" s="22">
        <v>0.12</v>
      </c>
      <c r="F31" s="25">
        <f t="shared" si="4"/>
        <v>4.093236175904464E-2</v>
      </c>
      <c r="G31" s="22">
        <v>0.45</v>
      </c>
      <c r="H31" s="23">
        <f t="shared" si="2"/>
        <v>613.05524413240641</v>
      </c>
    </row>
    <row r="32" spans="1:8" ht="15.75" thickBot="1">
      <c r="A32" s="24">
        <f t="shared" si="3"/>
        <v>26</v>
      </c>
      <c r="B32" s="19">
        <f t="shared" si="0"/>
        <v>1.4754153773732548E-2</v>
      </c>
      <c r="C32" s="20">
        <f>'Crédito Pagos Decrecientes'!B36</f>
        <v>366666.66666666645</v>
      </c>
      <c r="D32" s="21">
        <f t="shared" si="1"/>
        <v>0.6833106964311596</v>
      </c>
      <c r="E32" s="22">
        <v>0.12</v>
      </c>
      <c r="F32" s="25">
        <f t="shared" si="4"/>
        <v>3.6020478347959281E-2</v>
      </c>
      <c r="G32" s="22">
        <v>0.45</v>
      </c>
      <c r="H32" s="23">
        <f t="shared" si="2"/>
        <v>487.34092728540543</v>
      </c>
    </row>
    <row r="33" spans="1:8" ht="15.75" thickBot="1">
      <c r="A33" s="24">
        <f t="shared" si="3"/>
        <v>27</v>
      </c>
      <c r="B33" s="19">
        <f t="shared" si="0"/>
        <v>1.4754153773732548E-2</v>
      </c>
      <c r="C33" s="20">
        <f>'Crédito Pagos Decrecientes'!B37</f>
        <v>333333.33333333314</v>
      </c>
      <c r="D33" s="21">
        <f t="shared" si="1"/>
        <v>0.67337560914633376</v>
      </c>
      <c r="E33" s="22">
        <v>0.12</v>
      </c>
      <c r="F33" s="25">
        <f t="shared" si="4"/>
        <v>3.1698020946204171E-2</v>
      </c>
      <c r="G33" s="22">
        <v>0.45</v>
      </c>
      <c r="H33" s="23">
        <f t="shared" si="2"/>
        <v>384.20413494090246</v>
      </c>
    </row>
    <row r="34" spans="1:8" ht="15.75" thickBot="1">
      <c r="A34" s="24">
        <f t="shared" si="3"/>
        <v>28</v>
      </c>
      <c r="B34" s="19">
        <f t="shared" si="0"/>
        <v>1.4754153773732548E-2</v>
      </c>
      <c r="C34" s="20">
        <f>'Crédito Pagos Decrecientes'!B38</f>
        <v>299999.99999999983</v>
      </c>
      <c r="D34" s="21">
        <f t="shared" si="1"/>
        <v>0.66358497439221265</v>
      </c>
      <c r="E34" s="22">
        <v>0.12</v>
      </c>
      <c r="F34" s="25">
        <f t="shared" si="4"/>
        <v>2.789425843265967E-2</v>
      </c>
      <c r="G34" s="22">
        <v>0.45</v>
      </c>
      <c r="H34" s="23">
        <f t="shared" si="2"/>
        <v>299.86541443716476</v>
      </c>
    </row>
    <row r="35" spans="1:8" ht="15.75" thickBot="1">
      <c r="A35" s="24">
        <f t="shared" si="3"/>
        <v>29</v>
      </c>
      <c r="B35" s="19">
        <f t="shared" si="0"/>
        <v>1.4754153773732548E-2</v>
      </c>
      <c r="C35" s="20">
        <f>'Crédito Pagos Decrecientes'!B39</f>
        <v>266666.66666666651</v>
      </c>
      <c r="D35" s="21">
        <f t="shared" si="1"/>
        <v>0.65393669188190118</v>
      </c>
      <c r="E35" s="22">
        <v>0.12</v>
      </c>
      <c r="F35" s="25">
        <f t="shared" si="4"/>
        <v>2.4546947420740511E-2</v>
      </c>
      <c r="G35" s="22">
        <v>0.45</v>
      </c>
      <c r="H35" s="23">
        <f t="shared" si="2"/>
        <v>231.15095412649936</v>
      </c>
    </row>
    <row r="36" spans="1:8" ht="15.75" thickBot="1">
      <c r="A36" s="24">
        <f t="shared" si="3"/>
        <v>30</v>
      </c>
      <c r="B36" s="19">
        <f t="shared" si="0"/>
        <v>1.4754153773732548E-2</v>
      </c>
      <c r="C36" s="20">
        <f>'Crédito Pagos Decrecientes'!B40</f>
        <v>233333.33333333317</v>
      </c>
      <c r="D36" s="21">
        <f t="shared" si="1"/>
        <v>0.64442869186590634</v>
      </c>
      <c r="E36" s="22">
        <v>0.12</v>
      </c>
      <c r="F36" s="25">
        <f t="shared" si="4"/>
        <v>2.1601313730251651E-2</v>
      </c>
      <c r="G36" s="22">
        <v>0.45</v>
      </c>
      <c r="H36" s="23">
        <f t="shared" si="2"/>
        <v>175.39838000711589</v>
      </c>
    </row>
    <row r="37" spans="1:8" ht="15.75" thickBot="1">
      <c r="A37" s="24">
        <f t="shared" si="3"/>
        <v>31</v>
      </c>
      <c r="B37" s="19">
        <f t="shared" si="0"/>
        <v>1.4754153773732548E-2</v>
      </c>
      <c r="C37" s="20">
        <f>'Crédito Pagos Decrecientes'!B41</f>
        <v>199999.99999999983</v>
      </c>
      <c r="D37" s="21">
        <f t="shared" si="1"/>
        <v>0.63505893468813468</v>
      </c>
      <c r="E37" s="22">
        <v>0.12</v>
      </c>
      <c r="F37" s="25">
        <f t="shared" si="4"/>
        <v>1.9009156082621454E-2</v>
      </c>
      <c r="G37" s="22">
        <v>0.45</v>
      </c>
      <c r="H37" s="23">
        <f t="shared" si="2"/>
        <v>130.37689164042047</v>
      </c>
    </row>
    <row r="38" spans="1:8" ht="15.75" thickBot="1">
      <c r="A38" s="24">
        <f t="shared" si="3"/>
        <v>32</v>
      </c>
      <c r="B38" s="19">
        <f t="shared" si="0"/>
        <v>1.4754153773732548E-2</v>
      </c>
      <c r="C38" s="20">
        <f>'Crédito Pagos Decrecientes'!B42</f>
        <v>166666.66666666648</v>
      </c>
      <c r="D38" s="21">
        <f t="shared" si="1"/>
        <v>0.62582541034834582</v>
      </c>
      <c r="E38" s="22">
        <v>0.12</v>
      </c>
      <c r="F38" s="25">
        <f t="shared" si="4"/>
        <v>1.6728057352706879E-2</v>
      </c>
      <c r="G38" s="22">
        <v>0.45</v>
      </c>
      <c r="H38" s="23">
        <f t="shared" si="2"/>
        <v>94.219590213795897</v>
      </c>
    </row>
    <row r="39" spans="1:8" ht="15.75" thickBot="1">
      <c r="A39" s="24">
        <f t="shared" si="3"/>
        <v>33</v>
      </c>
      <c r="B39" s="19">
        <f t="shared" si="0"/>
        <v>1.4754153773732548E-2</v>
      </c>
      <c r="C39" s="20">
        <f>'Crédito Pagos Decrecientes'!B43</f>
        <v>133333.33333333314</v>
      </c>
      <c r="D39" s="21">
        <f t="shared" si="1"/>
        <v>0.61672613807096666</v>
      </c>
      <c r="E39" s="22">
        <v>0.12</v>
      </c>
      <c r="F39" s="25">
        <f t="shared" si="4"/>
        <v>1.4720690470382053E-2</v>
      </c>
      <c r="G39" s="22">
        <v>0.45</v>
      </c>
      <c r="H39" s="23">
        <f t="shared" si="2"/>
        <v>65.366169001464911</v>
      </c>
    </row>
    <row r="40" spans="1:8" ht="15.75" thickBot="1">
      <c r="A40" s="24">
        <f t="shared" si="3"/>
        <v>34</v>
      </c>
      <c r="B40" s="19">
        <f t="shared" si="0"/>
        <v>1.4754153773732548E-2</v>
      </c>
      <c r="C40" s="20">
        <f>'Crédito Pagos Decrecientes'!B44</f>
        <v>99999.999999999796</v>
      </c>
      <c r="D40" s="21">
        <f t="shared" si="1"/>
        <v>0.60775916588017509</v>
      </c>
      <c r="E40" s="22">
        <v>0.12</v>
      </c>
      <c r="F40" s="25">
        <f t="shared" si="4"/>
        <v>1.2954207613936206E-2</v>
      </c>
      <c r="G40" s="22">
        <v>0.45</v>
      </c>
      <c r="H40" s="23">
        <f t="shared" si="2"/>
        <v>42.514407436056118</v>
      </c>
    </row>
    <row r="41" spans="1:8" ht="15.75" thickBot="1">
      <c r="A41" s="24">
        <f t="shared" si="3"/>
        <v>35</v>
      </c>
      <c r="B41" s="19">
        <f t="shared" si="0"/>
        <v>1.4754153773732548E-2</v>
      </c>
      <c r="C41" s="20">
        <f>'Crédito Pagos Decrecientes'!B45</f>
        <v>66666.666666666453</v>
      </c>
      <c r="D41" s="21">
        <f t="shared" si="1"/>
        <v>0.59892257018116302</v>
      </c>
      <c r="E41" s="22">
        <v>0.12</v>
      </c>
      <c r="F41" s="25">
        <f t="shared" si="4"/>
        <v>1.1399702700263862E-2</v>
      </c>
      <c r="G41" s="22">
        <v>0.45</v>
      </c>
      <c r="H41" s="23">
        <f t="shared" si="2"/>
        <v>24.579141265955354</v>
      </c>
    </row>
    <row r="42" spans="1:8" ht="15.75" thickBot="1">
      <c r="A42" s="24">
        <f t="shared" si="3"/>
        <v>36</v>
      </c>
      <c r="B42" s="19">
        <f t="shared" si="0"/>
        <v>1.4754153773732548E-2</v>
      </c>
      <c r="C42" s="20">
        <f>'Crédito Pagos Decrecientes'!B46</f>
        <v>33333.333333333117</v>
      </c>
      <c r="D42" s="21">
        <f t="shared" si="1"/>
        <v>0.5902144553474864</v>
      </c>
      <c r="E42" s="22">
        <v>0.12</v>
      </c>
      <c r="F42" s="25">
        <f t="shared" si="4"/>
        <v>1.0031738376232198E-2</v>
      </c>
      <c r="G42" s="22">
        <v>0.45</v>
      </c>
      <c r="H42" s="23">
        <f t="shared" si="2"/>
        <v>10.657578603449387</v>
      </c>
    </row>
    <row r="43" spans="1:8" ht="15.75" thickBot="1"/>
    <row r="44" spans="1:8" ht="14.45" customHeight="1">
      <c r="F44" s="44" t="s">
        <v>25</v>
      </c>
      <c r="G44" s="45"/>
      <c r="H44" s="46">
        <f>SUM(H7:H42)</f>
        <v>346861.85416925454</v>
      </c>
    </row>
    <row r="45" spans="1:8" ht="15.75" thickBot="1">
      <c r="F45" s="44"/>
      <c r="G45" s="45"/>
      <c r="H45" s="47"/>
    </row>
    <row r="46" spans="1:8" ht="15.75" thickBot="1"/>
    <row r="47" spans="1:8">
      <c r="F47" s="44" t="s">
        <v>26</v>
      </c>
      <c r="G47" s="45"/>
      <c r="H47" s="46"/>
    </row>
    <row r="48" spans="1:8" ht="15.75" thickBot="1">
      <c r="F48" s="44"/>
      <c r="G48" s="45"/>
      <c r="H48" s="47"/>
    </row>
  </sheetData>
  <mergeCells count="6">
    <mergeCell ref="F1:J2"/>
    <mergeCell ref="H3:K4"/>
    <mergeCell ref="F44:G45"/>
    <mergeCell ref="H44:H45"/>
    <mergeCell ref="F47:G48"/>
    <mergeCell ref="H47:H48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C8C5-D244-432A-9E93-F574D3DE332E}">
  <sheetPr>
    <tabColor theme="8" tint="0.39997558519241921"/>
  </sheetPr>
  <dimension ref="A1:L45"/>
  <sheetViews>
    <sheetView zoomScale="111" zoomScaleNormal="160" workbookViewId="0">
      <selection activeCell="H47" sqref="H47"/>
    </sheetView>
  </sheetViews>
  <sheetFormatPr baseColWidth="10" defaultColWidth="8.85546875" defaultRowHeight="15"/>
  <cols>
    <col min="1" max="1" width="20.42578125" customWidth="1"/>
    <col min="2" max="2" width="18.42578125" customWidth="1"/>
    <col min="4" max="4" width="20.7109375" bestFit="1" customWidth="1"/>
    <col min="5" max="5" width="11.28515625" bestFit="1" customWidth="1"/>
    <col min="6" max="7" width="13.140625" bestFit="1" customWidth="1"/>
    <col min="8" max="8" width="12.7109375" customWidth="1"/>
    <col min="9" max="9" width="11.28515625" customWidth="1"/>
    <col min="10" max="11" width="12.85546875" bestFit="1" customWidth="1"/>
  </cols>
  <sheetData>
    <row r="1" spans="1:12" ht="23.25">
      <c r="A1" s="77" t="s">
        <v>36</v>
      </c>
      <c r="B1" s="77"/>
      <c r="C1" s="77"/>
      <c r="D1" s="77"/>
      <c r="E1" s="77"/>
      <c r="F1" s="77"/>
      <c r="G1" s="77"/>
    </row>
    <row r="3" spans="1:12" ht="30">
      <c r="A3" s="62" t="s">
        <v>13</v>
      </c>
      <c r="B3" s="75">
        <v>1000000</v>
      </c>
    </row>
    <row r="4" spans="1:12" ht="30">
      <c r="A4" s="62" t="s">
        <v>14</v>
      </c>
      <c r="B4" s="64">
        <v>0.12</v>
      </c>
    </row>
    <row r="5" spans="1:12">
      <c r="A5" s="63" t="s">
        <v>15</v>
      </c>
      <c r="B5" s="76">
        <v>36</v>
      </c>
      <c r="C5" s="7" t="s">
        <v>16</v>
      </c>
    </row>
    <row r="6" spans="1:12" ht="30">
      <c r="A6" s="62" t="s">
        <v>17</v>
      </c>
      <c r="B6" s="64">
        <v>0.02</v>
      </c>
      <c r="C6" s="7"/>
      <c r="J6" s="13" t="s">
        <v>22</v>
      </c>
      <c r="K6" s="27">
        <v>0.13873862129981784</v>
      </c>
      <c r="L6" s="26"/>
    </row>
    <row r="7" spans="1:12">
      <c r="A7" s="63" t="s">
        <v>18</v>
      </c>
      <c r="B7" s="70">
        <v>10000</v>
      </c>
      <c r="C7" s="7"/>
    </row>
    <row r="8" spans="1:12">
      <c r="B8" s="42"/>
      <c r="K8" s="37">
        <f>+SUM(K10:K45)</f>
        <v>1000000.0000000293</v>
      </c>
    </row>
    <row r="9" spans="1:12" ht="30">
      <c r="A9" s="9" t="s">
        <v>8</v>
      </c>
      <c r="B9" s="9" t="s">
        <v>9</v>
      </c>
      <c r="C9" s="9" t="s">
        <v>10</v>
      </c>
      <c r="D9" s="9" t="s">
        <v>46</v>
      </c>
      <c r="E9" s="9" t="s">
        <v>48</v>
      </c>
      <c r="F9" s="9" t="s">
        <v>11</v>
      </c>
      <c r="G9" s="9" t="s">
        <v>12</v>
      </c>
      <c r="H9" s="10" t="s">
        <v>19</v>
      </c>
      <c r="I9" s="12" t="s">
        <v>20</v>
      </c>
      <c r="J9" s="11" t="s">
        <v>21</v>
      </c>
      <c r="K9" s="11" t="s">
        <v>23</v>
      </c>
    </row>
    <row r="10" spans="1:12">
      <c r="A10" s="3">
        <v>1</v>
      </c>
      <c r="B10" s="4">
        <f>B3</f>
        <v>1000000</v>
      </c>
      <c r="C10" s="8">
        <f>$B$4/12</f>
        <v>0.01</v>
      </c>
      <c r="D10" s="39">
        <f>F10+E10</f>
        <v>10000</v>
      </c>
      <c r="E10" s="4">
        <f>B10*C10</f>
        <v>10000</v>
      </c>
      <c r="F10" s="38">
        <f>0</f>
        <v>0</v>
      </c>
      <c r="G10" s="5">
        <f>B10-F10</f>
        <v>1000000</v>
      </c>
      <c r="H10" s="5">
        <f>B10*B6</f>
        <v>20000</v>
      </c>
      <c r="I10" s="5">
        <f>B7</f>
        <v>10000</v>
      </c>
      <c r="J10" s="38">
        <f>D10+H10+I10</f>
        <v>40000</v>
      </c>
      <c r="K10" s="5">
        <f>J10/(1+$K$6/12)^A10</f>
        <v>39542.823597646719</v>
      </c>
    </row>
    <row r="11" spans="1:12">
      <c r="A11" s="3">
        <f>+A10+1</f>
        <v>2</v>
      </c>
      <c r="B11" s="5">
        <f>G10</f>
        <v>1000000</v>
      </c>
      <c r="C11" s="8">
        <f t="shared" ref="C11:C45" si="0">$B$4/12</f>
        <v>0.01</v>
      </c>
      <c r="D11" s="39">
        <f t="shared" ref="D11:D45" si="1">F11+E11</f>
        <v>10000</v>
      </c>
      <c r="E11" s="4">
        <f t="shared" ref="E11:E45" si="2">B11*C11</f>
        <v>10000</v>
      </c>
      <c r="F11" s="38">
        <f>0</f>
        <v>0</v>
      </c>
      <c r="G11" s="5">
        <f t="shared" ref="G11:G45" si="3">B11-F11</f>
        <v>1000000</v>
      </c>
      <c r="H11" s="5"/>
      <c r="I11" s="5"/>
      <c r="J11" s="38">
        <f t="shared" ref="J11:J45" si="4">D11+H11+I11</f>
        <v>10000</v>
      </c>
      <c r="K11" s="5">
        <f t="shared" ref="K11:K45" si="5">J11/(1+$K$6/12)^A11</f>
        <v>9772.7181129662895</v>
      </c>
    </row>
    <row r="12" spans="1:12">
      <c r="A12" s="3">
        <f t="shared" ref="A12:A45" si="6">+A11+1</f>
        <v>3</v>
      </c>
      <c r="B12" s="5">
        <f t="shared" ref="B12:B45" si="7">G11</f>
        <v>1000000</v>
      </c>
      <c r="C12" s="8">
        <f t="shared" si="0"/>
        <v>0.01</v>
      </c>
      <c r="D12" s="39">
        <f t="shared" si="1"/>
        <v>10000</v>
      </c>
      <c r="E12" s="4">
        <f t="shared" si="2"/>
        <v>10000</v>
      </c>
      <c r="F12" s="38">
        <f>0</f>
        <v>0</v>
      </c>
      <c r="G12" s="5">
        <f t="shared" si="3"/>
        <v>1000000</v>
      </c>
      <c r="H12" s="5"/>
      <c r="I12" s="5"/>
      <c r="J12" s="38">
        <f t="shared" si="4"/>
        <v>10000</v>
      </c>
      <c r="K12" s="5">
        <f t="shared" si="5"/>
        <v>9661.0217102638235</v>
      </c>
    </row>
    <row r="13" spans="1:12">
      <c r="A13" s="3">
        <f t="shared" si="6"/>
        <v>4</v>
      </c>
      <c r="B13" s="5">
        <f t="shared" si="7"/>
        <v>1000000</v>
      </c>
      <c r="C13" s="8">
        <f t="shared" si="0"/>
        <v>0.01</v>
      </c>
      <c r="D13" s="39">
        <f t="shared" si="1"/>
        <v>10000</v>
      </c>
      <c r="E13" s="4">
        <f t="shared" si="2"/>
        <v>10000</v>
      </c>
      <c r="F13" s="38">
        <f>0</f>
        <v>0</v>
      </c>
      <c r="G13" s="5">
        <f t="shared" si="3"/>
        <v>1000000</v>
      </c>
      <c r="H13" s="5"/>
      <c r="I13" s="5"/>
      <c r="J13" s="38">
        <f t="shared" si="4"/>
        <v>10000</v>
      </c>
      <c r="K13" s="5">
        <f t="shared" si="5"/>
        <v>9550.6019315499398</v>
      </c>
    </row>
    <row r="14" spans="1:12">
      <c r="A14" s="3">
        <f t="shared" si="6"/>
        <v>5</v>
      </c>
      <c r="B14" s="5">
        <f t="shared" si="7"/>
        <v>1000000</v>
      </c>
      <c r="C14" s="8">
        <f t="shared" si="0"/>
        <v>0.01</v>
      </c>
      <c r="D14" s="39">
        <f t="shared" si="1"/>
        <v>10000</v>
      </c>
      <c r="E14" s="4">
        <f t="shared" si="2"/>
        <v>10000</v>
      </c>
      <c r="F14" s="38">
        <f>0</f>
        <v>0</v>
      </c>
      <c r="G14" s="5">
        <f t="shared" si="3"/>
        <v>1000000</v>
      </c>
      <c r="H14" s="5"/>
      <c r="I14" s="5"/>
      <c r="J14" s="38">
        <f t="shared" si="4"/>
        <v>10000</v>
      </c>
      <c r="K14" s="5">
        <f t="shared" si="5"/>
        <v>9441.444185765582</v>
      </c>
    </row>
    <row r="15" spans="1:12">
      <c r="A15" s="3">
        <f t="shared" si="6"/>
        <v>6</v>
      </c>
      <c r="B15" s="5">
        <f t="shared" si="7"/>
        <v>1000000</v>
      </c>
      <c r="C15" s="8">
        <f t="shared" si="0"/>
        <v>0.01</v>
      </c>
      <c r="D15" s="39">
        <f t="shared" si="1"/>
        <v>10000</v>
      </c>
      <c r="E15" s="4">
        <f t="shared" si="2"/>
        <v>10000</v>
      </c>
      <c r="F15" s="38">
        <f>0</f>
        <v>0</v>
      </c>
      <c r="G15" s="5">
        <f t="shared" si="3"/>
        <v>1000000</v>
      </c>
      <c r="H15" s="5"/>
      <c r="I15" s="5"/>
      <c r="J15" s="38">
        <f t="shared" si="4"/>
        <v>10000</v>
      </c>
      <c r="K15" s="5">
        <f t="shared" si="5"/>
        <v>9333.5340486188925</v>
      </c>
    </row>
    <row r="16" spans="1:12">
      <c r="A16" s="3">
        <f t="shared" si="6"/>
        <v>7</v>
      </c>
      <c r="B16" s="5">
        <f t="shared" si="7"/>
        <v>1000000</v>
      </c>
      <c r="C16" s="8">
        <f t="shared" si="0"/>
        <v>0.01</v>
      </c>
      <c r="D16" s="39">
        <f t="shared" si="1"/>
        <v>10000</v>
      </c>
      <c r="E16" s="4">
        <f t="shared" si="2"/>
        <v>10000</v>
      </c>
      <c r="F16" s="38">
        <f>0</f>
        <v>0</v>
      </c>
      <c r="G16" s="5">
        <f t="shared" si="3"/>
        <v>1000000</v>
      </c>
      <c r="H16" s="5"/>
      <c r="I16" s="5"/>
      <c r="J16" s="38">
        <f t="shared" si="4"/>
        <v>10000</v>
      </c>
      <c r="K16" s="5">
        <f t="shared" si="5"/>
        <v>9226.8572606791568</v>
      </c>
    </row>
    <row r="17" spans="1:11">
      <c r="A17" s="3">
        <f t="shared" si="6"/>
        <v>8</v>
      </c>
      <c r="B17" s="5">
        <f t="shared" si="7"/>
        <v>1000000</v>
      </c>
      <c r="C17" s="8">
        <f t="shared" si="0"/>
        <v>0.01</v>
      </c>
      <c r="D17" s="39">
        <f t="shared" si="1"/>
        <v>10000</v>
      </c>
      <c r="E17" s="4">
        <f t="shared" si="2"/>
        <v>10000</v>
      </c>
      <c r="F17" s="38">
        <f>0</f>
        <v>0</v>
      </c>
      <c r="G17" s="5">
        <f t="shared" si="3"/>
        <v>1000000</v>
      </c>
      <c r="H17" s="5"/>
      <c r="I17" s="5"/>
      <c r="J17" s="38">
        <f t="shared" si="4"/>
        <v>10000</v>
      </c>
      <c r="K17" s="5">
        <f t="shared" si="5"/>
        <v>9121.3997254925434</v>
      </c>
    </row>
    <row r="18" spans="1:11">
      <c r="A18" s="3">
        <f t="shared" si="6"/>
        <v>9</v>
      </c>
      <c r="B18" s="5">
        <f t="shared" si="7"/>
        <v>1000000</v>
      </c>
      <c r="C18" s="8">
        <f t="shared" si="0"/>
        <v>0.01</v>
      </c>
      <c r="D18" s="39">
        <f t="shared" si="1"/>
        <v>10000</v>
      </c>
      <c r="E18" s="4">
        <f t="shared" si="2"/>
        <v>10000</v>
      </c>
      <c r="F18" s="38">
        <f>0</f>
        <v>0</v>
      </c>
      <c r="G18" s="5">
        <f t="shared" si="3"/>
        <v>1000000</v>
      </c>
      <c r="H18" s="5"/>
      <c r="I18" s="5"/>
      <c r="J18" s="38">
        <f t="shared" si="4"/>
        <v>10000</v>
      </c>
      <c r="K18" s="5">
        <f t="shared" si="5"/>
        <v>9017.14750771937</v>
      </c>
    </row>
    <row r="19" spans="1:11">
      <c r="A19" s="3">
        <f t="shared" si="6"/>
        <v>10</v>
      </c>
      <c r="B19" s="5">
        <f t="shared" si="7"/>
        <v>1000000</v>
      </c>
      <c r="C19" s="8">
        <f t="shared" si="0"/>
        <v>0.01</v>
      </c>
      <c r="D19" s="39">
        <f t="shared" si="1"/>
        <v>10000</v>
      </c>
      <c r="E19" s="4">
        <f t="shared" si="2"/>
        <v>10000</v>
      </c>
      <c r="F19" s="38">
        <f>0</f>
        <v>0</v>
      </c>
      <c r="G19" s="5">
        <f t="shared" si="3"/>
        <v>1000000</v>
      </c>
      <c r="H19" s="5"/>
      <c r="I19" s="5"/>
      <c r="J19" s="38">
        <f t="shared" si="4"/>
        <v>10000</v>
      </c>
      <c r="K19" s="5">
        <f t="shared" si="5"/>
        <v>8914.0868312926723</v>
      </c>
    </row>
    <row r="20" spans="1:11">
      <c r="A20" s="3">
        <f t="shared" si="6"/>
        <v>11</v>
      </c>
      <c r="B20" s="5">
        <f t="shared" si="7"/>
        <v>1000000</v>
      </c>
      <c r="C20" s="8">
        <f t="shared" si="0"/>
        <v>0.01</v>
      </c>
      <c r="D20" s="39">
        <f t="shared" si="1"/>
        <v>10000</v>
      </c>
      <c r="E20" s="4">
        <f t="shared" si="2"/>
        <v>10000</v>
      </c>
      <c r="F20" s="38">
        <f>0</f>
        <v>0</v>
      </c>
      <c r="G20" s="5">
        <f t="shared" si="3"/>
        <v>1000000</v>
      </c>
      <c r="H20" s="5"/>
      <c r="I20" s="5"/>
      <c r="J20" s="38">
        <f t="shared" si="4"/>
        <v>10000</v>
      </c>
      <c r="K20" s="5">
        <f t="shared" si="5"/>
        <v>8812.204077597793</v>
      </c>
    </row>
    <row r="21" spans="1:11">
      <c r="A21" s="3">
        <f t="shared" si="6"/>
        <v>12</v>
      </c>
      <c r="B21" s="5">
        <f t="shared" si="7"/>
        <v>1000000</v>
      </c>
      <c r="C21" s="8">
        <f t="shared" si="0"/>
        <v>0.01</v>
      </c>
      <c r="D21" s="39">
        <f t="shared" si="1"/>
        <v>10000</v>
      </c>
      <c r="E21" s="4">
        <f t="shared" si="2"/>
        <v>10000</v>
      </c>
      <c r="F21" s="38">
        <f>0</f>
        <v>0</v>
      </c>
      <c r="G21" s="5">
        <f t="shared" si="3"/>
        <v>1000000</v>
      </c>
      <c r="H21" s="5"/>
      <c r="I21" s="5"/>
      <c r="J21" s="38">
        <f t="shared" si="4"/>
        <v>10000</v>
      </c>
      <c r="K21" s="5">
        <f t="shared" si="5"/>
        <v>8711.485783672817</v>
      </c>
    </row>
    <row r="22" spans="1:11">
      <c r="A22" s="3">
        <f t="shared" si="6"/>
        <v>13</v>
      </c>
      <c r="B22" s="5">
        <f t="shared" si="7"/>
        <v>1000000</v>
      </c>
      <c r="C22" s="8">
        <f t="shared" si="0"/>
        <v>0.01</v>
      </c>
      <c r="D22" s="39">
        <f t="shared" si="1"/>
        <v>10000</v>
      </c>
      <c r="E22" s="4">
        <f t="shared" si="2"/>
        <v>10000</v>
      </c>
      <c r="F22" s="38">
        <f>0</f>
        <v>0</v>
      </c>
      <c r="G22" s="5">
        <f t="shared" si="3"/>
        <v>1000000</v>
      </c>
      <c r="H22" s="5"/>
      <c r="I22" s="5">
        <f>I10</f>
        <v>10000</v>
      </c>
      <c r="J22" s="38">
        <f t="shared" si="4"/>
        <v>20000</v>
      </c>
      <c r="K22" s="5">
        <f t="shared" si="5"/>
        <v>17223.837280859072</v>
      </c>
    </row>
    <row r="23" spans="1:11">
      <c r="A23" s="3">
        <f t="shared" si="6"/>
        <v>14</v>
      </c>
      <c r="B23" s="5">
        <f t="shared" si="7"/>
        <v>1000000</v>
      </c>
      <c r="C23" s="8">
        <f t="shared" si="0"/>
        <v>0.01</v>
      </c>
      <c r="D23" s="39">
        <f t="shared" si="1"/>
        <v>10000</v>
      </c>
      <c r="E23" s="4">
        <f t="shared" si="2"/>
        <v>10000</v>
      </c>
      <c r="F23" s="38">
        <f>0</f>
        <v>0</v>
      </c>
      <c r="G23" s="5">
        <f t="shared" si="3"/>
        <v>1000000</v>
      </c>
      <c r="H23" s="5"/>
      <c r="I23" s="5"/>
      <c r="J23" s="38">
        <f t="shared" si="4"/>
        <v>10000</v>
      </c>
      <c r="K23" s="5">
        <f t="shared" si="5"/>
        <v>8513.4894908947681</v>
      </c>
    </row>
    <row r="24" spans="1:11">
      <c r="A24" s="3">
        <f t="shared" si="6"/>
        <v>15</v>
      </c>
      <c r="B24" s="5">
        <f t="shared" si="7"/>
        <v>1000000</v>
      </c>
      <c r="C24" s="8">
        <f t="shared" si="0"/>
        <v>0.01</v>
      </c>
      <c r="D24" s="39">
        <f t="shared" si="1"/>
        <v>10000</v>
      </c>
      <c r="E24" s="4">
        <f t="shared" si="2"/>
        <v>10000</v>
      </c>
      <c r="F24" s="38">
        <f>0</f>
        <v>0</v>
      </c>
      <c r="G24" s="5">
        <f t="shared" si="3"/>
        <v>1000000</v>
      </c>
      <c r="H24" s="5"/>
      <c r="I24" s="5"/>
      <c r="J24" s="38">
        <f t="shared" si="4"/>
        <v>10000</v>
      </c>
      <c r="K24" s="5">
        <f t="shared" si="5"/>
        <v>8416.1853284717727</v>
      </c>
    </row>
    <row r="25" spans="1:11">
      <c r="A25" s="3">
        <f t="shared" si="6"/>
        <v>16</v>
      </c>
      <c r="B25" s="5">
        <f t="shared" si="7"/>
        <v>1000000</v>
      </c>
      <c r="C25" s="8">
        <f t="shared" si="0"/>
        <v>0.01</v>
      </c>
      <c r="D25" s="39">
        <f t="shared" si="1"/>
        <v>10000</v>
      </c>
      <c r="E25" s="4">
        <f t="shared" si="2"/>
        <v>10000</v>
      </c>
      <c r="F25" s="38">
        <f>0</f>
        <v>0</v>
      </c>
      <c r="G25" s="5">
        <f t="shared" si="3"/>
        <v>1000000</v>
      </c>
      <c r="H25" s="5"/>
      <c r="I25" s="5"/>
      <c r="J25" s="38">
        <f t="shared" si="4"/>
        <v>10000</v>
      </c>
      <c r="K25" s="5">
        <f t="shared" si="5"/>
        <v>8319.993295221544</v>
      </c>
    </row>
    <row r="26" spans="1:11">
      <c r="A26" s="3">
        <f t="shared" si="6"/>
        <v>17</v>
      </c>
      <c r="B26" s="5">
        <f t="shared" si="7"/>
        <v>1000000</v>
      </c>
      <c r="C26" s="8">
        <f t="shared" si="0"/>
        <v>0.01</v>
      </c>
      <c r="D26" s="39">
        <f t="shared" si="1"/>
        <v>10000</v>
      </c>
      <c r="E26" s="4">
        <f t="shared" si="2"/>
        <v>10000</v>
      </c>
      <c r="F26" s="38">
        <f>0</f>
        <v>0</v>
      </c>
      <c r="G26" s="5">
        <f t="shared" si="3"/>
        <v>1000000</v>
      </c>
      <c r="H26" s="5"/>
      <c r="I26" s="5"/>
      <c r="J26" s="38">
        <f t="shared" si="4"/>
        <v>10000</v>
      </c>
      <c r="K26" s="5">
        <f t="shared" si="5"/>
        <v>8224.9006801637242</v>
      </c>
    </row>
    <row r="27" spans="1:11">
      <c r="A27" s="3">
        <f t="shared" si="6"/>
        <v>18</v>
      </c>
      <c r="B27" s="5">
        <f t="shared" si="7"/>
        <v>1000000</v>
      </c>
      <c r="C27" s="8">
        <f t="shared" si="0"/>
        <v>0.01</v>
      </c>
      <c r="D27" s="39">
        <f t="shared" si="1"/>
        <v>10000</v>
      </c>
      <c r="E27" s="4">
        <f t="shared" si="2"/>
        <v>10000</v>
      </c>
      <c r="F27" s="38">
        <f>0</f>
        <v>0</v>
      </c>
      <c r="G27" s="5">
        <f t="shared" si="3"/>
        <v>1000000</v>
      </c>
      <c r="H27" s="5"/>
      <c r="I27" s="5"/>
      <c r="J27" s="38">
        <f t="shared" si="4"/>
        <v>10000</v>
      </c>
      <c r="K27" s="5">
        <f t="shared" si="5"/>
        <v>8130.8949175969674</v>
      </c>
    </row>
    <row r="28" spans="1:11">
      <c r="A28" s="3">
        <f t="shared" si="6"/>
        <v>19</v>
      </c>
      <c r="B28" s="5">
        <f t="shared" si="7"/>
        <v>1000000</v>
      </c>
      <c r="C28" s="8">
        <f t="shared" si="0"/>
        <v>0.01</v>
      </c>
      <c r="D28" s="39">
        <f t="shared" si="1"/>
        <v>10000</v>
      </c>
      <c r="E28" s="4">
        <f t="shared" si="2"/>
        <v>10000</v>
      </c>
      <c r="F28" s="38">
        <f>0</f>
        <v>0</v>
      </c>
      <c r="G28" s="5">
        <f t="shared" si="3"/>
        <v>1000000</v>
      </c>
      <c r="H28" s="5"/>
      <c r="I28" s="5"/>
      <c r="J28" s="38">
        <f t="shared" si="4"/>
        <v>10000</v>
      </c>
      <c r="K28" s="5">
        <f t="shared" si="5"/>
        <v>8037.9635854384787</v>
      </c>
    </row>
    <row r="29" spans="1:11">
      <c r="A29" s="3">
        <f t="shared" si="6"/>
        <v>20</v>
      </c>
      <c r="B29" s="5">
        <f t="shared" si="7"/>
        <v>1000000</v>
      </c>
      <c r="C29" s="8">
        <f t="shared" si="0"/>
        <v>0.01</v>
      </c>
      <c r="D29" s="39">
        <f t="shared" si="1"/>
        <v>10000</v>
      </c>
      <c r="E29" s="4">
        <f t="shared" si="2"/>
        <v>10000</v>
      </c>
      <c r="F29" s="38">
        <f>0</f>
        <v>0</v>
      </c>
      <c r="G29" s="5">
        <f t="shared" si="3"/>
        <v>1000000</v>
      </c>
      <c r="H29" s="5"/>
      <c r="I29" s="5"/>
      <c r="J29" s="38">
        <f t="shared" si="4"/>
        <v>10000</v>
      </c>
      <c r="K29" s="5">
        <f t="shared" si="5"/>
        <v>7946.0944035825432</v>
      </c>
    </row>
    <row r="30" spans="1:11">
      <c r="A30" s="3">
        <f t="shared" si="6"/>
        <v>21</v>
      </c>
      <c r="B30" s="5">
        <f t="shared" si="7"/>
        <v>1000000</v>
      </c>
      <c r="C30" s="8">
        <f t="shared" si="0"/>
        <v>0.01</v>
      </c>
      <c r="D30" s="39">
        <f t="shared" si="1"/>
        <v>10000</v>
      </c>
      <c r="E30" s="4">
        <f t="shared" si="2"/>
        <v>10000</v>
      </c>
      <c r="F30" s="38">
        <f>0</f>
        <v>0</v>
      </c>
      <c r="G30" s="5">
        <f t="shared" si="3"/>
        <v>1000000</v>
      </c>
      <c r="H30" s="5"/>
      <c r="I30" s="5"/>
      <c r="J30" s="38">
        <f t="shared" si="4"/>
        <v>10000</v>
      </c>
      <c r="K30" s="5">
        <f t="shared" si="5"/>
        <v>7855.2752322778088</v>
      </c>
    </row>
    <row r="31" spans="1:11">
      <c r="A31" s="3">
        <f t="shared" si="6"/>
        <v>22</v>
      </c>
      <c r="B31" s="5">
        <f t="shared" si="7"/>
        <v>1000000</v>
      </c>
      <c r="C31" s="8">
        <f t="shared" si="0"/>
        <v>0.01</v>
      </c>
      <c r="D31" s="39">
        <f t="shared" si="1"/>
        <v>10000</v>
      </c>
      <c r="E31" s="4">
        <f t="shared" si="2"/>
        <v>10000</v>
      </c>
      <c r="F31" s="38">
        <f>0</f>
        <v>0</v>
      </c>
      <c r="G31" s="5">
        <f t="shared" si="3"/>
        <v>1000000</v>
      </c>
      <c r="H31" s="5"/>
      <c r="I31" s="5"/>
      <c r="J31" s="38">
        <f t="shared" si="4"/>
        <v>10000</v>
      </c>
      <c r="K31" s="5">
        <f t="shared" si="5"/>
        <v>7765.4940705231184</v>
      </c>
    </row>
    <row r="32" spans="1:11">
      <c r="A32" s="3">
        <f t="shared" si="6"/>
        <v>23</v>
      </c>
      <c r="B32" s="5">
        <f t="shared" si="7"/>
        <v>1000000</v>
      </c>
      <c r="C32" s="8">
        <f t="shared" si="0"/>
        <v>0.01</v>
      </c>
      <c r="D32" s="39">
        <f t="shared" si="1"/>
        <v>10000</v>
      </c>
      <c r="E32" s="4">
        <f t="shared" si="2"/>
        <v>10000</v>
      </c>
      <c r="F32" s="38">
        <f>0</f>
        <v>0</v>
      </c>
      <c r="G32" s="5">
        <f t="shared" si="3"/>
        <v>1000000</v>
      </c>
      <c r="H32" s="5"/>
      <c r="I32" s="5"/>
      <c r="J32" s="38">
        <f t="shared" si="4"/>
        <v>10000</v>
      </c>
      <c r="K32" s="5">
        <f t="shared" si="5"/>
        <v>7676.7390544816817</v>
      </c>
    </row>
    <row r="33" spans="1:11">
      <c r="A33" s="3">
        <f t="shared" si="6"/>
        <v>24</v>
      </c>
      <c r="B33" s="5">
        <f t="shared" si="7"/>
        <v>1000000</v>
      </c>
      <c r="C33" s="8">
        <f t="shared" si="0"/>
        <v>0.01</v>
      </c>
      <c r="D33" s="39">
        <f t="shared" si="1"/>
        <v>10000</v>
      </c>
      <c r="E33" s="4">
        <f t="shared" si="2"/>
        <v>10000</v>
      </c>
      <c r="F33" s="38">
        <f>0</f>
        <v>0</v>
      </c>
      <c r="G33" s="5">
        <f t="shared" si="3"/>
        <v>1000000</v>
      </c>
      <c r="H33" s="5"/>
      <c r="I33" s="5"/>
      <c r="J33" s="38">
        <f t="shared" si="4"/>
        <v>10000</v>
      </c>
      <c r="K33" s="5">
        <f t="shared" si="5"/>
        <v>7588.9984559133609</v>
      </c>
    </row>
    <row r="34" spans="1:11">
      <c r="A34" s="3">
        <f t="shared" si="6"/>
        <v>25</v>
      </c>
      <c r="B34" s="5">
        <f t="shared" si="7"/>
        <v>1000000</v>
      </c>
      <c r="C34" s="8">
        <f t="shared" si="0"/>
        <v>0.01</v>
      </c>
      <c r="D34" s="39">
        <f t="shared" si="1"/>
        <v>10000</v>
      </c>
      <c r="E34" s="4">
        <f t="shared" si="2"/>
        <v>10000</v>
      </c>
      <c r="F34" s="38">
        <f>0</f>
        <v>0</v>
      </c>
      <c r="G34" s="5">
        <f t="shared" si="3"/>
        <v>1000000</v>
      </c>
      <c r="H34" s="5"/>
      <c r="I34" s="5">
        <f>I22</f>
        <v>10000</v>
      </c>
      <c r="J34" s="38">
        <f t="shared" si="4"/>
        <v>20000</v>
      </c>
      <c r="K34" s="5">
        <f t="shared" si="5"/>
        <v>15004.521361249765</v>
      </c>
    </row>
    <row r="35" spans="1:11">
      <c r="A35" s="3">
        <f t="shared" si="6"/>
        <v>26</v>
      </c>
      <c r="B35" s="5">
        <f t="shared" si="7"/>
        <v>1000000</v>
      </c>
      <c r="C35" s="8">
        <f t="shared" si="0"/>
        <v>0.01</v>
      </c>
      <c r="D35" s="39">
        <f t="shared" si="1"/>
        <v>10000</v>
      </c>
      <c r="E35" s="4">
        <f t="shared" si="2"/>
        <v>10000</v>
      </c>
      <c r="F35" s="38">
        <f>0</f>
        <v>0</v>
      </c>
      <c r="G35" s="5">
        <f t="shared" si="3"/>
        <v>1000000</v>
      </c>
      <c r="H35" s="5"/>
      <c r="I35" s="5"/>
      <c r="J35" s="38">
        <f t="shared" si="4"/>
        <v>10000</v>
      </c>
      <c r="K35" s="5">
        <f t="shared" si="5"/>
        <v>7416.5142669377701</v>
      </c>
    </row>
    <row r="36" spans="1:11">
      <c r="A36" s="3">
        <f t="shared" si="6"/>
        <v>27</v>
      </c>
      <c r="B36" s="5">
        <f t="shared" si="7"/>
        <v>1000000</v>
      </c>
      <c r="C36" s="8">
        <f t="shared" si="0"/>
        <v>0.01</v>
      </c>
      <c r="D36" s="39">
        <f t="shared" si="1"/>
        <v>10000</v>
      </c>
      <c r="E36" s="4">
        <f t="shared" si="2"/>
        <v>10000</v>
      </c>
      <c r="F36" s="38">
        <f>0</f>
        <v>0</v>
      </c>
      <c r="G36" s="5">
        <f t="shared" si="3"/>
        <v>1000000</v>
      </c>
      <c r="H36" s="5"/>
      <c r="I36" s="5"/>
      <c r="J36" s="38">
        <f t="shared" si="4"/>
        <v>10000</v>
      </c>
      <c r="K36" s="5">
        <f t="shared" si="5"/>
        <v>7331.7478841737602</v>
      </c>
    </row>
    <row r="37" spans="1:11">
      <c r="A37" s="3">
        <f t="shared" si="6"/>
        <v>28</v>
      </c>
      <c r="B37" s="5">
        <f t="shared" si="7"/>
        <v>1000000</v>
      </c>
      <c r="C37" s="8">
        <f t="shared" si="0"/>
        <v>0.01</v>
      </c>
      <c r="D37" s="39">
        <f t="shared" si="1"/>
        <v>10000</v>
      </c>
      <c r="E37" s="4">
        <f t="shared" si="2"/>
        <v>10000</v>
      </c>
      <c r="F37" s="38">
        <f>0</f>
        <v>0</v>
      </c>
      <c r="G37" s="5">
        <f t="shared" si="3"/>
        <v>1000000</v>
      </c>
      <c r="H37" s="5"/>
      <c r="I37" s="5"/>
      <c r="J37" s="38">
        <f t="shared" si="4"/>
        <v>10000</v>
      </c>
      <c r="K37" s="5">
        <f t="shared" si="5"/>
        <v>7247.9503311575636</v>
      </c>
    </row>
    <row r="38" spans="1:11">
      <c r="A38" s="3">
        <f t="shared" si="6"/>
        <v>29</v>
      </c>
      <c r="B38" s="5">
        <f t="shared" si="7"/>
        <v>1000000</v>
      </c>
      <c r="C38" s="8">
        <f t="shared" si="0"/>
        <v>0.01</v>
      </c>
      <c r="D38" s="39">
        <f t="shared" si="1"/>
        <v>10000</v>
      </c>
      <c r="E38" s="4">
        <f t="shared" si="2"/>
        <v>10000</v>
      </c>
      <c r="F38" s="38">
        <f>0</f>
        <v>0</v>
      </c>
      <c r="G38" s="5">
        <f t="shared" si="3"/>
        <v>1000000</v>
      </c>
      <c r="H38" s="5"/>
      <c r="I38" s="5"/>
      <c r="J38" s="38">
        <f t="shared" si="4"/>
        <v>10000</v>
      </c>
      <c r="K38" s="5">
        <f t="shared" si="5"/>
        <v>7165.1105347367184</v>
      </c>
    </row>
    <row r="39" spans="1:11">
      <c r="A39" s="3">
        <f t="shared" si="6"/>
        <v>30</v>
      </c>
      <c r="B39" s="5">
        <f t="shared" si="7"/>
        <v>1000000</v>
      </c>
      <c r="C39" s="8">
        <f t="shared" si="0"/>
        <v>0.01</v>
      </c>
      <c r="D39" s="39">
        <f t="shared" si="1"/>
        <v>10000</v>
      </c>
      <c r="E39" s="4">
        <f t="shared" si="2"/>
        <v>10000</v>
      </c>
      <c r="F39" s="38">
        <f>0</f>
        <v>0</v>
      </c>
      <c r="G39" s="5">
        <f t="shared" si="3"/>
        <v>1000000</v>
      </c>
      <c r="H39" s="5"/>
      <c r="I39" s="5"/>
      <c r="J39" s="38">
        <f t="shared" si="4"/>
        <v>10000</v>
      </c>
      <c r="K39" s="5">
        <f t="shared" si="5"/>
        <v>7083.2175483183546</v>
      </c>
    </row>
    <row r="40" spans="1:11">
      <c r="A40" s="3">
        <f t="shared" si="6"/>
        <v>31</v>
      </c>
      <c r="B40" s="5">
        <f t="shared" si="7"/>
        <v>1000000</v>
      </c>
      <c r="C40" s="8">
        <f t="shared" si="0"/>
        <v>0.01</v>
      </c>
      <c r="D40" s="39">
        <f t="shared" si="1"/>
        <v>10000</v>
      </c>
      <c r="E40" s="4">
        <f t="shared" si="2"/>
        <v>10000</v>
      </c>
      <c r="F40" s="38">
        <f>0</f>
        <v>0</v>
      </c>
      <c r="G40" s="5">
        <f t="shared" si="3"/>
        <v>1000000</v>
      </c>
      <c r="H40" s="5"/>
      <c r="I40" s="5"/>
      <c r="J40" s="38">
        <f t="shared" si="4"/>
        <v>10000</v>
      </c>
      <c r="K40" s="5">
        <f t="shared" si="5"/>
        <v>7002.2605504227095</v>
      </c>
    </row>
    <row r="41" spans="1:11">
      <c r="A41" s="3">
        <f t="shared" si="6"/>
        <v>32</v>
      </c>
      <c r="B41" s="5">
        <f t="shared" si="7"/>
        <v>1000000</v>
      </c>
      <c r="C41" s="8">
        <f t="shared" si="0"/>
        <v>0.01</v>
      </c>
      <c r="D41" s="39">
        <f t="shared" si="1"/>
        <v>10000</v>
      </c>
      <c r="E41" s="4">
        <f t="shared" si="2"/>
        <v>10000</v>
      </c>
      <c r="F41" s="38">
        <f>0</f>
        <v>0</v>
      </c>
      <c r="G41" s="5">
        <f t="shared" si="3"/>
        <v>1000000</v>
      </c>
      <c r="H41" s="5"/>
      <c r="I41" s="5"/>
      <c r="J41" s="38">
        <f t="shared" si="4"/>
        <v>10000</v>
      </c>
      <c r="K41" s="5">
        <f t="shared" si="5"/>
        <v>6922.2288432531459</v>
      </c>
    </row>
    <row r="42" spans="1:11">
      <c r="A42" s="3">
        <f t="shared" si="6"/>
        <v>33</v>
      </c>
      <c r="B42" s="5">
        <f t="shared" si="7"/>
        <v>1000000</v>
      </c>
      <c r="C42" s="8">
        <f t="shared" si="0"/>
        <v>0.01</v>
      </c>
      <c r="D42" s="39">
        <f t="shared" si="1"/>
        <v>10000</v>
      </c>
      <c r="E42" s="4">
        <f t="shared" si="2"/>
        <v>10000</v>
      </c>
      <c r="F42" s="38">
        <f>0</f>
        <v>0</v>
      </c>
      <c r="G42" s="5">
        <f t="shared" si="3"/>
        <v>1000000</v>
      </c>
      <c r="H42" s="5"/>
      <c r="I42" s="5"/>
      <c r="J42" s="38">
        <f t="shared" si="4"/>
        <v>10000</v>
      </c>
      <c r="K42" s="5">
        <f t="shared" si="5"/>
        <v>6843.1118512825315</v>
      </c>
    </row>
    <row r="43" spans="1:11">
      <c r="A43" s="3">
        <f t="shared" si="6"/>
        <v>34</v>
      </c>
      <c r="B43" s="5">
        <f t="shared" si="7"/>
        <v>1000000</v>
      </c>
      <c r="C43" s="8">
        <f t="shared" si="0"/>
        <v>0.01</v>
      </c>
      <c r="D43" s="39">
        <f t="shared" si="1"/>
        <v>10000</v>
      </c>
      <c r="E43" s="4">
        <f t="shared" si="2"/>
        <v>10000</v>
      </c>
      <c r="F43" s="38">
        <f>0</f>
        <v>0</v>
      </c>
      <c r="G43" s="5">
        <f t="shared" si="3"/>
        <v>1000000</v>
      </c>
      <c r="H43" s="5"/>
      <c r="I43" s="5"/>
      <c r="J43" s="38">
        <f t="shared" si="4"/>
        <v>10000</v>
      </c>
      <c r="K43" s="5">
        <f t="shared" si="5"/>
        <v>6764.8991198557706</v>
      </c>
    </row>
    <row r="44" spans="1:11">
      <c r="A44" s="3">
        <f t="shared" si="6"/>
        <v>35</v>
      </c>
      <c r="B44" s="5">
        <f t="shared" si="7"/>
        <v>1000000</v>
      </c>
      <c r="C44" s="8">
        <f t="shared" si="0"/>
        <v>0.01</v>
      </c>
      <c r="D44" s="39">
        <f t="shared" si="1"/>
        <v>10000</v>
      </c>
      <c r="E44" s="4">
        <f t="shared" si="2"/>
        <v>10000</v>
      </c>
      <c r="F44" s="38">
        <f>0</f>
        <v>0</v>
      </c>
      <c r="G44" s="5">
        <f t="shared" si="3"/>
        <v>1000000</v>
      </c>
      <c r="H44" s="5"/>
      <c r="I44" s="5"/>
      <c r="J44" s="38">
        <f t="shared" si="4"/>
        <v>10000</v>
      </c>
      <c r="K44" s="5">
        <f t="shared" si="5"/>
        <v>6687.5803138083083</v>
      </c>
    </row>
    <row r="45" spans="1:11">
      <c r="A45" s="3">
        <f t="shared" si="6"/>
        <v>36</v>
      </c>
      <c r="B45" s="5">
        <f t="shared" si="7"/>
        <v>1000000</v>
      </c>
      <c r="C45" s="8">
        <f t="shared" si="0"/>
        <v>0.01</v>
      </c>
      <c r="D45" s="40">
        <f t="shared" si="1"/>
        <v>1010000</v>
      </c>
      <c r="E45" s="4">
        <f t="shared" si="2"/>
        <v>10000</v>
      </c>
      <c r="F45" s="5">
        <f>B3</f>
        <v>1000000</v>
      </c>
      <c r="G45" s="5">
        <f t="shared" si="3"/>
        <v>0</v>
      </c>
      <c r="H45" s="5"/>
      <c r="I45" s="5"/>
      <c r="J45" s="38">
        <f t="shared" si="4"/>
        <v>1010000</v>
      </c>
      <c r="K45" s="5">
        <f t="shared" si="5"/>
        <v>667725.66682614246</v>
      </c>
    </row>
  </sheetData>
  <mergeCells count="1">
    <mergeCell ref="A1:G1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6784-9344-4BC0-8D22-8A37A4D8EF7B}">
  <sheetPr>
    <tabColor theme="8" tint="0.39997558519241921"/>
  </sheetPr>
  <dimension ref="A1:L48"/>
  <sheetViews>
    <sheetView showGridLines="0" zoomScale="108" zoomScaleNormal="146" workbookViewId="0">
      <selection activeCell="B17" sqref="B17"/>
    </sheetView>
  </sheetViews>
  <sheetFormatPr baseColWidth="10" defaultColWidth="8.85546875" defaultRowHeight="15"/>
  <cols>
    <col min="1" max="1" width="17.140625" customWidth="1"/>
    <col min="2" max="2" width="12.7109375" customWidth="1"/>
    <col min="3" max="3" width="16.7109375" customWidth="1"/>
    <col min="4" max="4" width="13.28515625" customWidth="1"/>
    <col min="8" max="8" width="20.7109375" customWidth="1"/>
    <col min="12" max="12" width="10" customWidth="1"/>
  </cols>
  <sheetData>
    <row r="1" spans="1:12">
      <c r="A1" s="17" t="s">
        <v>35</v>
      </c>
      <c r="B1" s="36">
        <v>2</v>
      </c>
      <c r="F1" s="48" t="s">
        <v>28</v>
      </c>
      <c r="G1" s="49"/>
      <c r="H1" s="49"/>
      <c r="I1" s="49"/>
      <c r="J1" s="50"/>
    </row>
    <row r="2" spans="1:12">
      <c r="A2" s="17" t="s">
        <v>27</v>
      </c>
      <c r="B2" s="16">
        <f>+'Crédito Bullet'!K6</f>
        <v>0.13873862129981784</v>
      </c>
      <c r="F2" s="51"/>
      <c r="G2" s="52"/>
      <c r="H2" s="53"/>
      <c r="I2" s="53"/>
      <c r="J2" s="54"/>
    </row>
    <row r="3" spans="1:12">
      <c r="H3" s="55" t="s">
        <v>29</v>
      </c>
      <c r="I3" s="56"/>
      <c r="J3" s="56"/>
      <c r="K3" s="57"/>
    </row>
    <row r="4" spans="1:12" ht="23.25">
      <c r="A4" s="1" t="s">
        <v>0</v>
      </c>
      <c r="H4" s="58"/>
      <c r="I4" s="59"/>
      <c r="J4" s="59"/>
      <c r="K4" s="60"/>
      <c r="L4" s="18"/>
    </row>
    <row r="5" spans="1:12" ht="15.75" thickBot="1">
      <c r="E5" s="14" t="s">
        <v>24</v>
      </c>
      <c r="G5" s="14" t="s">
        <v>24</v>
      </c>
      <c r="I5" s="18"/>
      <c r="J5" s="18"/>
      <c r="K5" s="18"/>
      <c r="L5" s="18"/>
    </row>
    <row r="6" spans="1:12" ht="38.450000000000003" customHeight="1" thickBot="1">
      <c r="A6" s="2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K6" s="15"/>
    </row>
    <row r="7" spans="1:12" ht="15.75" thickBot="1">
      <c r="A7" s="24">
        <v>1</v>
      </c>
      <c r="B7" s="19">
        <f>$B$2  /12</f>
        <v>1.1561551774984821E-2</v>
      </c>
      <c r="C7" s="20">
        <f>'Crédito Bullet'!B10</f>
        <v>1000000</v>
      </c>
      <c r="D7" s="21">
        <f>1/(1+B7)^A7</f>
        <v>0.98857058994116798</v>
      </c>
      <c r="E7" s="22">
        <v>0.2</v>
      </c>
      <c r="F7" s="25">
        <f>1-E7</f>
        <v>0.8</v>
      </c>
      <c r="G7" s="22">
        <v>0.45</v>
      </c>
      <c r="H7" s="23">
        <f>PRODUCT(C7:G7)</f>
        <v>71177.082475764109</v>
      </c>
    </row>
    <row r="8" spans="1:12" ht="15.75" thickBot="1">
      <c r="A8" s="24">
        <f>+A7+1</f>
        <v>2</v>
      </c>
      <c r="B8" s="19">
        <f t="shared" ref="B8:B42" si="0">$B$2  /12</f>
        <v>1.1561551774984821E-2</v>
      </c>
      <c r="C8" s="20">
        <f>'Crédito Bullet'!B11</f>
        <v>1000000</v>
      </c>
      <c r="D8" s="21">
        <f t="shared" ref="D8:D42" si="1">1/(1+B8)^A8</f>
        <v>0.97727181129662888</v>
      </c>
      <c r="E8" s="22">
        <v>0.2</v>
      </c>
      <c r="F8" s="25">
        <f>F7*(1-E8)</f>
        <v>0.64000000000000012</v>
      </c>
      <c r="G8" s="22">
        <v>0.45</v>
      </c>
      <c r="H8" s="23">
        <f t="shared" ref="H8:H42" si="2">PRODUCT(C8:G8)</f>
        <v>56290.856330685849</v>
      </c>
    </row>
    <row r="9" spans="1:12" ht="15.75" thickBot="1">
      <c r="A9" s="24">
        <f t="shared" ref="A9:A42" si="3">+A8+1</f>
        <v>3</v>
      </c>
      <c r="B9" s="19">
        <f t="shared" si="0"/>
        <v>1.1561551774984821E-2</v>
      </c>
      <c r="C9" s="20">
        <f>'Crédito Bullet'!B12</f>
        <v>1000000</v>
      </c>
      <c r="D9" s="21">
        <f t="shared" si="1"/>
        <v>0.96610217102638229</v>
      </c>
      <c r="E9" s="22">
        <v>0.2</v>
      </c>
      <c r="F9" s="25">
        <f t="shared" ref="F9:F42" si="4">F8*(1-E9)</f>
        <v>0.51200000000000012</v>
      </c>
      <c r="G9" s="22">
        <v>0.45</v>
      </c>
      <c r="H9" s="23">
        <f t="shared" si="2"/>
        <v>44517.988040895703</v>
      </c>
    </row>
    <row r="10" spans="1:12" ht="15.75" thickBot="1">
      <c r="A10" s="24">
        <f t="shared" si="3"/>
        <v>4</v>
      </c>
      <c r="B10" s="19">
        <f t="shared" si="0"/>
        <v>1.1561551774984821E-2</v>
      </c>
      <c r="C10" s="20">
        <f>'Crédito Bullet'!B13</f>
        <v>1000000</v>
      </c>
      <c r="D10" s="21">
        <f t="shared" si="1"/>
        <v>0.95506019315499391</v>
      </c>
      <c r="E10" s="22">
        <v>0.2</v>
      </c>
      <c r="F10" s="25">
        <f t="shared" si="4"/>
        <v>0.40960000000000013</v>
      </c>
      <c r="G10" s="22">
        <v>0.45</v>
      </c>
      <c r="H10" s="23">
        <f t="shared" si="2"/>
        <v>35207.338960465713</v>
      </c>
      <c r="K10" s="7"/>
    </row>
    <row r="11" spans="1:12" ht="15.75" thickBot="1">
      <c r="A11" s="24">
        <f t="shared" si="3"/>
        <v>5</v>
      </c>
      <c r="B11" s="19">
        <f t="shared" si="0"/>
        <v>1.1561551774984821E-2</v>
      </c>
      <c r="C11" s="20">
        <f>'Crédito Bullet'!B14</f>
        <v>1000000</v>
      </c>
      <c r="D11" s="21">
        <f t="shared" si="1"/>
        <v>0.94414441857655818</v>
      </c>
      <c r="E11" s="22">
        <v>0.2</v>
      </c>
      <c r="F11" s="25">
        <f t="shared" si="4"/>
        <v>0.32768000000000014</v>
      </c>
      <c r="G11" s="22">
        <v>0.45</v>
      </c>
      <c r="H11" s="23">
        <f t="shared" si="2"/>
        <v>27843.951877125008</v>
      </c>
    </row>
    <row r="12" spans="1:12" ht="15.75" thickBot="1">
      <c r="A12" s="24">
        <f t="shared" si="3"/>
        <v>6</v>
      </c>
      <c r="B12" s="19">
        <f t="shared" si="0"/>
        <v>1.1561551774984821E-2</v>
      </c>
      <c r="C12" s="20">
        <f>'Crédito Bullet'!B15</f>
        <v>1000000</v>
      </c>
      <c r="D12" s="21">
        <f t="shared" si="1"/>
        <v>0.93335340486188922</v>
      </c>
      <c r="E12" s="22">
        <v>0.2</v>
      </c>
      <c r="F12" s="25">
        <f t="shared" si="4"/>
        <v>0.2621440000000001</v>
      </c>
      <c r="G12" s="22">
        <v>0.45</v>
      </c>
      <c r="H12" s="23">
        <f t="shared" si="2"/>
        <v>22020.56954677037</v>
      </c>
    </row>
    <row r="13" spans="1:12" ht="15.75" thickBot="1">
      <c r="A13" s="24">
        <f t="shared" si="3"/>
        <v>7</v>
      </c>
      <c r="B13" s="19">
        <f t="shared" si="0"/>
        <v>1.1561551774984821E-2</v>
      </c>
      <c r="C13" s="20">
        <f>'Crédito Bullet'!B16</f>
        <v>1000000</v>
      </c>
      <c r="D13" s="21">
        <f t="shared" si="1"/>
        <v>0.92268572606791566</v>
      </c>
      <c r="E13" s="22">
        <v>0.2</v>
      </c>
      <c r="F13" s="25">
        <f t="shared" si="4"/>
        <v>0.2097152000000001</v>
      </c>
      <c r="G13" s="22">
        <v>0.45</v>
      </c>
      <c r="H13" s="23">
        <f t="shared" si="2"/>
        <v>17415.109942153045</v>
      </c>
    </row>
    <row r="14" spans="1:12" ht="15.75" thickBot="1">
      <c r="A14" s="24">
        <f t="shared" si="3"/>
        <v>8</v>
      </c>
      <c r="B14" s="19">
        <f t="shared" si="0"/>
        <v>1.1561551774984821E-2</v>
      </c>
      <c r="C14" s="20">
        <f>'Crédito Bullet'!B17</f>
        <v>1000000</v>
      </c>
      <c r="D14" s="21">
        <f t="shared" si="1"/>
        <v>0.91213997254925439</v>
      </c>
      <c r="E14" s="22">
        <v>0.2</v>
      </c>
      <c r="F14" s="25">
        <f t="shared" si="4"/>
        <v>0.16777216000000009</v>
      </c>
      <c r="G14" s="22">
        <v>0.45</v>
      </c>
      <c r="H14" s="23">
        <f t="shared" si="2"/>
        <v>13772.852407523629</v>
      </c>
    </row>
    <row r="15" spans="1:12" ht="15.75" thickBot="1">
      <c r="A15" s="24">
        <f t="shared" si="3"/>
        <v>9</v>
      </c>
      <c r="B15" s="19">
        <f t="shared" si="0"/>
        <v>1.1561551774984821E-2</v>
      </c>
      <c r="C15" s="20">
        <f>'Crédito Bullet'!B18</f>
        <v>1000000</v>
      </c>
      <c r="D15" s="21">
        <f t="shared" si="1"/>
        <v>0.90171475077193708</v>
      </c>
      <c r="E15" s="22">
        <v>0.2</v>
      </c>
      <c r="F15" s="25">
        <f t="shared" si="4"/>
        <v>0.13421772800000006</v>
      </c>
      <c r="G15" s="22">
        <v>0.45</v>
      </c>
      <c r="H15" s="23">
        <f t="shared" si="2"/>
        <v>10892.349463742614</v>
      </c>
    </row>
    <row r="16" spans="1:12" ht="15.75" thickBot="1">
      <c r="A16" s="24">
        <f t="shared" si="3"/>
        <v>10</v>
      </c>
      <c r="B16" s="19">
        <f t="shared" si="0"/>
        <v>1.1561551774984821E-2</v>
      </c>
      <c r="C16" s="20">
        <f>'Crédito Bullet'!B19</f>
        <v>1000000</v>
      </c>
      <c r="D16" s="21">
        <f t="shared" si="1"/>
        <v>0.89140868312926724</v>
      </c>
      <c r="E16" s="22">
        <v>0.2</v>
      </c>
      <c r="F16" s="25">
        <f t="shared" si="4"/>
        <v>0.10737418240000006</v>
      </c>
      <c r="G16" s="22">
        <v>0.45</v>
      </c>
      <c r="H16" s="23">
        <f t="shared" si="2"/>
        <v>8614.2850681739219</v>
      </c>
    </row>
    <row r="17" spans="1:8" ht="15.75" thickBot="1">
      <c r="A17" s="24">
        <f t="shared" si="3"/>
        <v>11</v>
      </c>
      <c r="B17" s="19">
        <f t="shared" si="0"/>
        <v>1.1561551774984821E-2</v>
      </c>
      <c r="C17" s="20">
        <f>'Crédito Bullet'!B20</f>
        <v>1000000</v>
      </c>
      <c r="D17" s="21">
        <f t="shared" si="1"/>
        <v>0.88122040775977939</v>
      </c>
      <c r="E17" s="22">
        <v>0.2</v>
      </c>
      <c r="F17" s="25">
        <f t="shared" si="4"/>
        <v>8.589934592000005E-2</v>
      </c>
      <c r="G17" s="22">
        <v>0.45</v>
      </c>
      <c r="H17" s="23">
        <f t="shared" si="2"/>
        <v>6812.663097412872</v>
      </c>
    </row>
    <row r="18" spans="1:8" ht="15.75" thickBot="1">
      <c r="A18" s="24">
        <f t="shared" si="3"/>
        <v>12</v>
      </c>
      <c r="B18" s="19">
        <f t="shared" si="0"/>
        <v>1.1561551774984821E-2</v>
      </c>
      <c r="C18" s="20">
        <f>'Crédito Bullet'!B21</f>
        <v>1000000</v>
      </c>
      <c r="D18" s="21">
        <f t="shared" si="1"/>
        <v>0.87114857836728166</v>
      </c>
      <c r="E18" s="22">
        <v>0.2</v>
      </c>
      <c r="F18" s="25">
        <f t="shared" si="4"/>
        <v>6.871947673600004E-2</v>
      </c>
      <c r="G18" s="22">
        <v>0.45</v>
      </c>
      <c r="H18" s="23">
        <f t="shared" si="2"/>
        <v>5387.8387018238936</v>
      </c>
    </row>
    <row r="19" spans="1:8" ht="15.75" thickBot="1">
      <c r="A19" s="24">
        <f t="shared" si="3"/>
        <v>13</v>
      </c>
      <c r="B19" s="19">
        <f t="shared" si="0"/>
        <v>1.1561551774984821E-2</v>
      </c>
      <c r="C19" s="20">
        <f>'Crédito Bullet'!B22</f>
        <v>1000000</v>
      </c>
      <c r="D19" s="21">
        <f t="shared" si="1"/>
        <v>0.86119186404295356</v>
      </c>
      <c r="E19" s="22">
        <v>0.2</v>
      </c>
      <c r="F19" s="25">
        <f t="shared" si="4"/>
        <v>5.4975581388800036E-2</v>
      </c>
      <c r="G19" s="22">
        <v>0.45</v>
      </c>
      <c r="H19" s="23">
        <f t="shared" si="2"/>
        <v>4261.0071071759239</v>
      </c>
    </row>
    <row r="20" spans="1:8" ht="15.75" thickBot="1">
      <c r="A20" s="24">
        <f t="shared" si="3"/>
        <v>14</v>
      </c>
      <c r="B20" s="19">
        <f t="shared" si="0"/>
        <v>1.1561551774984821E-2</v>
      </c>
      <c r="C20" s="20">
        <f>'Crédito Bullet'!B23</f>
        <v>1000000</v>
      </c>
      <c r="D20" s="21">
        <f t="shared" si="1"/>
        <v>0.85134894908947678</v>
      </c>
      <c r="E20" s="22">
        <v>0.2</v>
      </c>
      <c r="F20" s="25">
        <f t="shared" si="4"/>
        <v>4.3980465111040035E-2</v>
      </c>
      <c r="G20" s="22">
        <v>0.45</v>
      </c>
      <c r="H20" s="23">
        <f t="shared" si="2"/>
        <v>3369.8450477475308</v>
      </c>
    </row>
    <row r="21" spans="1:8" ht="15.75" thickBot="1">
      <c r="A21" s="24">
        <f t="shared" si="3"/>
        <v>15</v>
      </c>
      <c r="B21" s="19">
        <f t="shared" si="0"/>
        <v>1.1561551774984821E-2</v>
      </c>
      <c r="C21" s="20">
        <f>'Crédito Bullet'!B24</f>
        <v>1000000</v>
      </c>
      <c r="D21" s="21">
        <f t="shared" si="1"/>
        <v>0.84161853284717736</v>
      </c>
      <c r="E21" s="22">
        <v>0.2</v>
      </c>
      <c r="F21" s="25">
        <f t="shared" si="4"/>
        <v>3.518437208883203E-2</v>
      </c>
      <c r="G21" s="22">
        <v>0.45</v>
      </c>
      <c r="H21" s="23">
        <f t="shared" si="2"/>
        <v>2665.0637654896796</v>
      </c>
    </row>
    <row r="22" spans="1:8" ht="15.75" thickBot="1">
      <c r="A22" s="24">
        <f t="shared" si="3"/>
        <v>16</v>
      </c>
      <c r="B22" s="19">
        <f t="shared" si="0"/>
        <v>1.1561551774984821E-2</v>
      </c>
      <c r="C22" s="20">
        <f>'Crédito Bullet'!B25</f>
        <v>1000000</v>
      </c>
      <c r="D22" s="21">
        <f t="shared" si="1"/>
        <v>0.8319993295221545</v>
      </c>
      <c r="E22" s="22">
        <v>0.2</v>
      </c>
      <c r="F22" s="25">
        <f t="shared" si="4"/>
        <v>2.8147497671065627E-2</v>
      </c>
      <c r="G22" s="22">
        <v>0.45</v>
      </c>
      <c r="H22" s="23">
        <f t="shared" si="2"/>
        <v>2107.6829271047709</v>
      </c>
    </row>
    <row r="23" spans="1:8" ht="15.75" thickBot="1">
      <c r="A23" s="24">
        <f t="shared" si="3"/>
        <v>17</v>
      </c>
      <c r="B23" s="19">
        <f t="shared" si="0"/>
        <v>1.1561551774984821E-2</v>
      </c>
      <c r="C23" s="20">
        <f>'Crédito Bullet'!B26</f>
        <v>1000000</v>
      </c>
      <c r="D23" s="21">
        <f t="shared" si="1"/>
        <v>0.82249006801637237</v>
      </c>
      <c r="E23" s="22">
        <v>0.2</v>
      </c>
      <c r="F23" s="25">
        <f t="shared" si="4"/>
        <v>2.2517998136852502E-2</v>
      </c>
      <c r="G23" s="22">
        <v>0.45</v>
      </c>
      <c r="H23" s="23">
        <f t="shared" si="2"/>
        <v>1666.8746837255126</v>
      </c>
    </row>
    <row r="24" spans="1:8" ht="15.75" thickBot="1">
      <c r="A24" s="24">
        <f t="shared" si="3"/>
        <v>18</v>
      </c>
      <c r="B24" s="19">
        <f t="shared" si="0"/>
        <v>1.1561551774984821E-2</v>
      </c>
      <c r="C24" s="20">
        <f>'Crédito Bullet'!B27</f>
        <v>1000000</v>
      </c>
      <c r="D24" s="21">
        <f t="shared" si="1"/>
        <v>0.8130894917596968</v>
      </c>
      <c r="E24" s="22">
        <v>0.2</v>
      </c>
      <c r="F24" s="25">
        <f t="shared" si="4"/>
        <v>1.8014398509482003E-2</v>
      </c>
      <c r="G24" s="22">
        <v>0.45</v>
      </c>
      <c r="H24" s="23">
        <f t="shared" si="2"/>
        <v>1318.2586315588228</v>
      </c>
    </row>
    <row r="25" spans="1:8" ht="15.75" thickBot="1">
      <c r="A25" s="24">
        <f t="shared" si="3"/>
        <v>19</v>
      </c>
      <c r="B25" s="19">
        <f t="shared" si="0"/>
        <v>1.1561551774984821E-2</v>
      </c>
      <c r="C25" s="20">
        <f>'Crédito Bullet'!B28</f>
        <v>1000000</v>
      </c>
      <c r="D25" s="21">
        <f t="shared" si="1"/>
        <v>0.8037963585438479</v>
      </c>
      <c r="E25" s="22">
        <v>0.2</v>
      </c>
      <c r="F25" s="25">
        <f t="shared" si="4"/>
        <v>1.4411518807585602E-2</v>
      </c>
      <c r="G25" s="22">
        <v>0.45</v>
      </c>
      <c r="H25" s="23">
        <f t="shared" si="2"/>
        <v>1042.553370476114</v>
      </c>
    </row>
    <row r="26" spans="1:8" ht="15.75" thickBot="1">
      <c r="A26" s="24">
        <f t="shared" si="3"/>
        <v>20</v>
      </c>
      <c r="B26" s="19">
        <f t="shared" si="0"/>
        <v>1.1561551774984821E-2</v>
      </c>
      <c r="C26" s="20">
        <f>'Crédito Bullet'!B29</f>
        <v>1000000</v>
      </c>
      <c r="D26" s="21">
        <f t="shared" si="1"/>
        <v>0.79460944035825432</v>
      </c>
      <c r="E26" s="22">
        <v>0.2</v>
      </c>
      <c r="F26" s="25">
        <f t="shared" si="4"/>
        <v>1.1529215046068483E-2</v>
      </c>
      <c r="G26" s="22">
        <v>0.45</v>
      </c>
      <c r="H26" s="23">
        <f t="shared" si="2"/>
        <v>824.51008039737985</v>
      </c>
    </row>
    <row r="27" spans="1:8" ht="15.75" thickBot="1">
      <c r="A27" s="24">
        <f t="shared" si="3"/>
        <v>21</v>
      </c>
      <c r="B27" s="19">
        <f t="shared" si="0"/>
        <v>1.1561551774984821E-2</v>
      </c>
      <c r="C27" s="20">
        <f>'Crédito Bullet'!B30</f>
        <v>1000000</v>
      </c>
      <c r="D27" s="21">
        <f t="shared" si="1"/>
        <v>0.78552752322778086</v>
      </c>
      <c r="E27" s="22">
        <v>0.2</v>
      </c>
      <c r="F27" s="25">
        <f t="shared" si="4"/>
        <v>9.2233720368547871E-3</v>
      </c>
      <c r="G27" s="22">
        <v>0.45</v>
      </c>
      <c r="H27" s="23">
        <f t="shared" si="2"/>
        <v>652.06913327270217</v>
      </c>
    </row>
    <row r="28" spans="1:8" ht="15.75" thickBot="1">
      <c r="A28" s="24">
        <f t="shared" si="3"/>
        <v>22</v>
      </c>
      <c r="B28" s="19">
        <f t="shared" si="0"/>
        <v>1.1561551774984821E-2</v>
      </c>
      <c r="C28" s="20">
        <f>'Crédito Bullet'!B31</f>
        <v>1000000</v>
      </c>
      <c r="D28" s="21">
        <f t="shared" si="1"/>
        <v>0.77654940705231179</v>
      </c>
      <c r="E28" s="22">
        <v>0.2</v>
      </c>
      <c r="F28" s="25">
        <f t="shared" si="4"/>
        <v>7.3786976294838297E-3</v>
      </c>
      <c r="G28" s="22">
        <v>0.45</v>
      </c>
      <c r="H28" s="23">
        <f t="shared" si="2"/>
        <v>515.69309420945706</v>
      </c>
    </row>
    <row r="29" spans="1:8" ht="15.75" thickBot="1">
      <c r="A29" s="24">
        <f t="shared" si="3"/>
        <v>23</v>
      </c>
      <c r="B29" s="19">
        <f t="shared" si="0"/>
        <v>1.1561551774984821E-2</v>
      </c>
      <c r="C29" s="20">
        <f>'Crédito Bullet'!B32</f>
        <v>1000000</v>
      </c>
      <c r="D29" s="21">
        <f t="shared" si="1"/>
        <v>0.76767390544816816</v>
      </c>
      <c r="E29" s="22">
        <v>0.2</v>
      </c>
      <c r="F29" s="25">
        <f t="shared" si="4"/>
        <v>5.9029581035870641E-3</v>
      </c>
      <c r="G29" s="22">
        <v>0.45</v>
      </c>
      <c r="H29" s="23">
        <f t="shared" si="2"/>
        <v>407.83922109698352</v>
      </c>
    </row>
    <row r="30" spans="1:8" ht="15.75" thickBot="1">
      <c r="A30" s="24">
        <f t="shared" si="3"/>
        <v>24</v>
      </c>
      <c r="B30" s="19">
        <f t="shared" si="0"/>
        <v>1.1561551774984821E-2</v>
      </c>
      <c r="C30" s="20">
        <f>'Crédito Bullet'!B33</f>
        <v>1000000</v>
      </c>
      <c r="D30" s="21">
        <f t="shared" si="1"/>
        <v>0.75889984559133605</v>
      </c>
      <c r="E30" s="22">
        <v>0.2</v>
      </c>
      <c r="F30" s="25">
        <f t="shared" si="4"/>
        <v>4.7223664828696518E-3</v>
      </c>
      <c r="G30" s="22">
        <v>0.45</v>
      </c>
      <c r="H30" s="23">
        <f t="shared" si="2"/>
        <v>322.5422875207932</v>
      </c>
    </row>
    <row r="31" spans="1:8" ht="15.75" thickBot="1">
      <c r="A31" s="24">
        <f t="shared" si="3"/>
        <v>25</v>
      </c>
      <c r="B31" s="19">
        <f t="shared" si="0"/>
        <v>1.1561551774984821E-2</v>
      </c>
      <c r="C31" s="20">
        <f>'Crédito Bullet'!B34</f>
        <v>1000000</v>
      </c>
      <c r="D31" s="21">
        <f t="shared" si="1"/>
        <v>0.75022606806248826</v>
      </c>
      <c r="E31" s="22">
        <v>0.2</v>
      </c>
      <c r="F31" s="25">
        <f t="shared" si="4"/>
        <v>3.7778931862957215E-3</v>
      </c>
      <c r="G31" s="22">
        <v>0.45</v>
      </c>
      <c r="H31" s="23">
        <f t="shared" si="2"/>
        <v>255.08465556432338</v>
      </c>
    </row>
    <row r="32" spans="1:8" ht="15.75" thickBot="1">
      <c r="A32" s="24">
        <f t="shared" si="3"/>
        <v>26</v>
      </c>
      <c r="B32" s="19">
        <f t="shared" si="0"/>
        <v>1.1561551774984821E-2</v>
      </c>
      <c r="C32" s="20">
        <f>'Crédito Bullet'!B35</f>
        <v>1000000</v>
      </c>
      <c r="D32" s="21">
        <f t="shared" si="1"/>
        <v>0.74165142669377704</v>
      </c>
      <c r="E32" s="22">
        <v>0.2</v>
      </c>
      <c r="F32" s="25">
        <f t="shared" si="4"/>
        <v>3.0223145490365774E-3</v>
      </c>
      <c r="G32" s="22">
        <v>0.45</v>
      </c>
      <c r="H32" s="23">
        <f t="shared" si="2"/>
        <v>201.73535074893039</v>
      </c>
    </row>
    <row r="33" spans="1:8" ht="15.75" thickBot="1">
      <c r="A33" s="24">
        <f t="shared" si="3"/>
        <v>27</v>
      </c>
      <c r="B33" s="19">
        <f t="shared" si="0"/>
        <v>1.1561551774984821E-2</v>
      </c>
      <c r="C33" s="20">
        <f>'Crédito Bullet'!B36</f>
        <v>1000000</v>
      </c>
      <c r="D33" s="21">
        <f t="shared" si="1"/>
        <v>0.73317478841737604</v>
      </c>
      <c r="E33" s="22">
        <v>0.2</v>
      </c>
      <c r="F33" s="25">
        <f t="shared" si="4"/>
        <v>2.4178516392292619E-3</v>
      </c>
      <c r="G33" s="22">
        <v>0.45</v>
      </c>
      <c r="H33" s="23">
        <f t="shared" si="2"/>
        <v>159.54370776148679</v>
      </c>
    </row>
    <row r="34" spans="1:8" ht="15.75" thickBot="1">
      <c r="A34" s="24">
        <f t="shared" si="3"/>
        <v>28</v>
      </c>
      <c r="B34" s="19">
        <f t="shared" si="0"/>
        <v>1.1561551774984821E-2</v>
      </c>
      <c r="C34" s="20">
        <f>'Crédito Bullet'!B37</f>
        <v>1000000</v>
      </c>
      <c r="D34" s="21">
        <f t="shared" si="1"/>
        <v>0.72479503311575644</v>
      </c>
      <c r="E34" s="22">
        <v>0.2</v>
      </c>
      <c r="F34" s="25">
        <f t="shared" si="4"/>
        <v>1.9342813113834097E-3</v>
      </c>
      <c r="G34" s="22">
        <v>0.45</v>
      </c>
      <c r="H34" s="23">
        <f t="shared" si="2"/>
        <v>126.17617384253947</v>
      </c>
    </row>
    <row r="35" spans="1:8" ht="15.75" thickBot="1">
      <c r="A35" s="24">
        <f t="shared" si="3"/>
        <v>29</v>
      </c>
      <c r="B35" s="19">
        <f t="shared" si="0"/>
        <v>1.1561551774984821E-2</v>
      </c>
      <c r="C35" s="20">
        <f>'Crédito Bullet'!B38</f>
        <v>1000000</v>
      </c>
      <c r="D35" s="21">
        <f t="shared" si="1"/>
        <v>0.71651105347367183</v>
      </c>
      <c r="E35" s="22">
        <v>0.2</v>
      </c>
      <c r="F35" s="25">
        <f t="shared" si="4"/>
        <v>1.5474250491067279E-3</v>
      </c>
      <c r="G35" s="22">
        <v>0.45</v>
      </c>
      <c r="H35" s="23">
        <f t="shared" si="2"/>
        <v>99.787243689630884</v>
      </c>
    </row>
    <row r="36" spans="1:8" ht="15.75" thickBot="1">
      <c r="A36" s="24">
        <f t="shared" si="3"/>
        <v>30</v>
      </c>
      <c r="B36" s="19">
        <f t="shared" si="0"/>
        <v>1.1561551774984821E-2</v>
      </c>
      <c r="C36" s="20">
        <f>'Crédito Bullet'!B39</f>
        <v>1000000</v>
      </c>
      <c r="D36" s="21">
        <f t="shared" si="1"/>
        <v>0.70832175483183546</v>
      </c>
      <c r="E36" s="22">
        <v>0.2</v>
      </c>
      <c r="F36" s="25">
        <f t="shared" si="4"/>
        <v>1.2379400392853823E-3</v>
      </c>
      <c r="G36" s="22">
        <v>0.45</v>
      </c>
      <c r="H36" s="23">
        <f t="shared" si="2"/>
        <v>78.917387490289215</v>
      </c>
    </row>
    <row r="37" spans="1:8" ht="15.75" thickBot="1">
      <c r="A37" s="24">
        <f t="shared" si="3"/>
        <v>31</v>
      </c>
      <c r="B37" s="19">
        <f t="shared" si="0"/>
        <v>1.1561551774984821E-2</v>
      </c>
      <c r="C37" s="20">
        <f>'Crédito Bullet'!B40</f>
        <v>1000000</v>
      </c>
      <c r="D37" s="21">
        <f t="shared" si="1"/>
        <v>0.70022605504227098</v>
      </c>
      <c r="E37" s="22">
        <v>0.2</v>
      </c>
      <c r="F37" s="25">
        <f t="shared" si="4"/>
        <v>9.9035203142830582E-4</v>
      </c>
      <c r="G37" s="22">
        <v>0.45</v>
      </c>
      <c r="H37" s="23">
        <f t="shared" si="2"/>
        <v>62.412326646312749</v>
      </c>
    </row>
    <row r="38" spans="1:8" ht="15.75" thickBot="1">
      <c r="A38" s="24">
        <f t="shared" si="3"/>
        <v>32</v>
      </c>
      <c r="B38" s="19">
        <f t="shared" si="0"/>
        <v>1.1561551774984821E-2</v>
      </c>
      <c r="C38" s="20">
        <f>'Crédito Bullet'!B41</f>
        <v>1000000</v>
      </c>
      <c r="D38" s="21">
        <f t="shared" si="1"/>
        <v>0.69222288432531465</v>
      </c>
      <c r="E38" s="22">
        <v>0.2</v>
      </c>
      <c r="F38" s="25">
        <f t="shared" si="4"/>
        <v>7.9228162514264472E-4</v>
      </c>
      <c r="G38" s="22">
        <v>0.45</v>
      </c>
      <c r="H38" s="23">
        <f t="shared" si="2"/>
        <v>49.359192457877036</v>
      </c>
    </row>
    <row r="39" spans="1:8" ht="15.75" thickBot="1">
      <c r="A39" s="24">
        <f t="shared" si="3"/>
        <v>33</v>
      </c>
      <c r="B39" s="19">
        <f t="shared" si="0"/>
        <v>1.1561551774984821E-2</v>
      </c>
      <c r="C39" s="20">
        <f>'Crédito Bullet'!B42</f>
        <v>1000000</v>
      </c>
      <c r="D39" s="21">
        <f t="shared" si="1"/>
        <v>0.68431118512825317</v>
      </c>
      <c r="E39" s="22">
        <v>0.2</v>
      </c>
      <c r="F39" s="25">
        <f t="shared" si="4"/>
        <v>6.3382530011411582E-4</v>
      </c>
      <c r="G39" s="22">
        <v>0.45</v>
      </c>
      <c r="H39" s="23">
        <f t="shared" si="2"/>
        <v>39.036036805682528</v>
      </c>
    </row>
    <row r="40" spans="1:8" ht="15.75" thickBot="1">
      <c r="A40" s="24">
        <f t="shared" si="3"/>
        <v>34</v>
      </c>
      <c r="B40" s="19">
        <f t="shared" si="0"/>
        <v>1.1561551774984821E-2</v>
      </c>
      <c r="C40" s="20">
        <f>'Crédito Bullet'!B43</f>
        <v>1000000</v>
      </c>
      <c r="D40" s="21">
        <f t="shared" si="1"/>
        <v>0.67648991198557706</v>
      </c>
      <c r="E40" s="22">
        <v>0.2</v>
      </c>
      <c r="F40" s="25">
        <f t="shared" si="4"/>
        <v>5.070602400912927E-4</v>
      </c>
      <c r="G40" s="22">
        <v>0.45</v>
      </c>
      <c r="H40" s="23">
        <f t="shared" si="2"/>
        <v>30.87190234716698</v>
      </c>
    </row>
    <row r="41" spans="1:8" ht="15.75" thickBot="1">
      <c r="A41" s="24">
        <f t="shared" si="3"/>
        <v>35</v>
      </c>
      <c r="B41" s="19">
        <f t="shared" si="0"/>
        <v>1.1561551774984821E-2</v>
      </c>
      <c r="C41" s="20">
        <f>'Crédito Bullet'!B44</f>
        <v>1000000</v>
      </c>
      <c r="D41" s="21">
        <f t="shared" si="1"/>
        <v>0.66875803138083079</v>
      </c>
      <c r="E41" s="22">
        <v>0.2</v>
      </c>
      <c r="F41" s="25">
        <f t="shared" si="4"/>
        <v>4.0564819207303417E-4</v>
      </c>
      <c r="G41" s="22">
        <v>0.45</v>
      </c>
      <c r="H41" s="23">
        <f t="shared" si="2"/>
        <v>24.415243772755993</v>
      </c>
    </row>
    <row r="42" spans="1:8" ht="15.75" thickBot="1">
      <c r="A42" s="24">
        <f t="shared" si="3"/>
        <v>36</v>
      </c>
      <c r="B42" s="19">
        <f t="shared" si="0"/>
        <v>1.1561551774984821E-2</v>
      </c>
      <c r="C42" s="20">
        <f>'Crédito Bullet'!B45</f>
        <v>1000000</v>
      </c>
      <c r="D42" s="21">
        <f t="shared" si="1"/>
        <v>0.66111452161004203</v>
      </c>
      <c r="E42" s="22">
        <v>0.2</v>
      </c>
      <c r="F42" s="25">
        <f t="shared" si="4"/>
        <v>3.2451855365842736E-4</v>
      </c>
      <c r="G42" s="22">
        <v>0.45</v>
      </c>
      <c r="H42" s="23">
        <f t="shared" si="2"/>
        <v>19.308953551992659</v>
      </c>
    </row>
    <row r="43" spans="1:8" ht="15.75" thickBot="1"/>
    <row r="44" spans="1:8" ht="14.45" customHeight="1">
      <c r="F44" s="44" t="s">
        <v>25</v>
      </c>
      <c r="G44" s="45"/>
      <c r="H44" s="46">
        <f>SUM(H7:H42)</f>
        <v>340253.47343699139</v>
      </c>
    </row>
    <row r="45" spans="1:8" ht="15.75" thickBot="1">
      <c r="F45" s="44"/>
      <c r="G45" s="45"/>
      <c r="H45" s="47"/>
    </row>
    <row r="46" spans="1:8" ht="15.75" thickBot="1"/>
    <row r="47" spans="1:8">
      <c r="F47" s="44" t="s">
        <v>26</v>
      </c>
      <c r="G47" s="45"/>
      <c r="H47" s="46"/>
    </row>
    <row r="48" spans="1:8" ht="15.75" thickBot="1">
      <c r="F48" s="44"/>
      <c r="G48" s="45"/>
      <c r="H48" s="47"/>
    </row>
  </sheetData>
  <mergeCells count="6">
    <mergeCell ref="F1:J2"/>
    <mergeCell ref="H3:K4"/>
    <mergeCell ref="F44:G45"/>
    <mergeCell ref="H44:H45"/>
    <mergeCell ref="F47:G48"/>
    <mergeCell ref="H47:H48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INTEGRANTES</vt:lpstr>
      <vt:lpstr>Crédito Pagos Constantes</vt:lpstr>
      <vt:lpstr>M. Supervivencia Pago Const.</vt:lpstr>
      <vt:lpstr>Crédito Pagos Decrecientes</vt:lpstr>
      <vt:lpstr>M. Supervivencia Pago Dec.</vt:lpstr>
      <vt:lpstr>Crédito Bullet</vt:lpstr>
      <vt:lpstr>M. Supervivencia Bullet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MENDIETA LOPEZ</cp:lastModifiedBy>
  <dcterms:created xsi:type="dcterms:W3CDTF">2022-05-13T01:13:41Z</dcterms:created>
  <dcterms:modified xsi:type="dcterms:W3CDTF">2024-04-25T22:13:41Z</dcterms:modified>
</cp:coreProperties>
</file>