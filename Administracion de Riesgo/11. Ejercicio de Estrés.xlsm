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iblioteca\Descargas\Administracion de Riesgo\"/>
    </mc:Choice>
  </mc:AlternateContent>
  <xr:revisionPtr revIDLastSave="0" documentId="13_ncr:1_{ACEA092F-4E3F-4BB3-ACCB-24752E19BBF7}" xr6:coauthVersionLast="47" xr6:coauthVersionMax="47" xr10:uidLastSave="{00000000-0000-0000-0000-000000000000}"/>
  <bookViews>
    <workbookView xWindow="-120" yWindow="-120" windowWidth="20730" windowHeight="11040" xr2:uid="{D8FC3E20-C60A-4A4A-897C-52143311204D}"/>
  </bookViews>
  <sheets>
    <sheet name="Factores" sheetId="3" r:id="rId1"/>
    <sheet name="Mercado Accionario y TC" sheetId="10" r:id="rId2"/>
    <sheet name="Portafolio Base" sheetId="9" r:id="rId3"/>
    <sheet name="Portafolio Impactos" sheetId="11" r:id="rId4"/>
  </sheets>
  <functionGroups builtInGroupCount="19"/>
  <definedNames>
    <definedName name="CURVA">Factores!$C$11:$F$32</definedName>
    <definedName name="CURVA_IMP">Factores!$K$15:$N$36</definedName>
    <definedName name="Curva_Impactada">Factores!$K$15:$N$36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6" i="11" l="1"/>
  <c r="O5" i="11"/>
  <c r="O4" i="11"/>
  <c r="O2" i="11"/>
  <c r="J18" i="11"/>
  <c r="J17" i="11"/>
  <c r="J16" i="11"/>
  <c r="J15" i="11"/>
  <c r="J14" i="11"/>
  <c r="J13" i="11"/>
  <c r="J12" i="11"/>
  <c r="J11" i="11"/>
  <c r="J8" i="11" a="1"/>
  <c r="J10" i="11" a="1"/>
  <c r="J9" i="11" a="1"/>
  <c r="J7" i="11" a="1"/>
  <c r="J4" i="11" a="1"/>
  <c r="J5" i="11" a="1"/>
  <c r="J3" i="11" a="1"/>
  <c r="J6" i="11" a="1"/>
  <c r="J2" i="11" a="1"/>
  <c r="J9" i="11" l="1"/>
  <c r="J10" i="11"/>
  <c r="J8" i="11"/>
  <c r="J7" i="11"/>
  <c r="J6" i="11"/>
  <c r="J3" i="11"/>
  <c r="J5" i="11"/>
  <c r="J4" i="11"/>
  <c r="J2" i="11"/>
  <c r="I17" i="9" l="1"/>
  <c r="H11" i="11"/>
  <c r="H12" i="11"/>
  <c r="H13" i="11"/>
  <c r="H14" i="11"/>
  <c r="H15" i="11"/>
  <c r="H16" i="11"/>
  <c r="H17" i="11"/>
  <c r="H18" i="11"/>
  <c r="S20" i="3" a="1"/>
  <c r="S20" i="3" s="1"/>
  <c r="I18" i="11" s="1"/>
  <c r="S19" i="3" a="1"/>
  <c r="S19" i="3" s="1"/>
  <c r="I17" i="11" s="1"/>
  <c r="S18" i="3" a="1"/>
  <c r="S18" i="3" s="1"/>
  <c r="I16" i="11" s="1"/>
  <c r="L16" i="11" s="1"/>
  <c r="S17" i="3" a="1"/>
  <c r="S17" i="3" s="1"/>
  <c r="I15" i="11" s="1"/>
  <c r="L15" i="11" s="1"/>
  <c r="S16" i="3" a="1"/>
  <c r="S16" i="3" s="1"/>
  <c r="I14" i="11" s="1"/>
  <c r="L14" i="11" s="1"/>
  <c r="S15" i="3" a="1"/>
  <c r="S15" i="3" s="1"/>
  <c r="I13" i="11" s="1"/>
  <c r="S14" i="3" a="1"/>
  <c r="S14" i="3" s="1"/>
  <c r="I12" i="11" s="1"/>
  <c r="L12" i="11" s="1"/>
  <c r="S13" i="3" a="1"/>
  <c r="S13" i="3" s="1"/>
  <c r="I11" i="11" s="1"/>
  <c r="J12" i="9"/>
  <c r="J13" i="9"/>
  <c r="J14" i="9"/>
  <c r="J15" i="9"/>
  <c r="J16" i="9"/>
  <c r="J11" i="9"/>
  <c r="H18" i="9"/>
  <c r="H17" i="9"/>
  <c r="H16" i="9"/>
  <c r="H15" i="9"/>
  <c r="H14" i="9"/>
  <c r="H13" i="9"/>
  <c r="H12" i="9"/>
  <c r="H11" i="9"/>
  <c r="E10" i="9"/>
  <c r="E9" i="9"/>
  <c r="E8" i="9"/>
  <c r="E7" i="9"/>
  <c r="E6" i="9"/>
  <c r="E5" i="9"/>
  <c r="E4" i="9"/>
  <c r="E3" i="9"/>
  <c r="E2" i="9"/>
  <c r="H9" i="9" a="1"/>
  <c r="H7" i="9" a="1"/>
  <c r="H5" i="9" a="1"/>
  <c r="H3" i="9" a="1"/>
  <c r="H2" i="9" a="1"/>
  <c r="H10" i="9" a="1"/>
  <c r="H4" i="9" a="1"/>
  <c r="H6" i="9" a="1"/>
  <c r="H8" i="9" a="1"/>
  <c r="L13" i="11" l="1"/>
  <c r="O3" i="11"/>
  <c r="L11" i="11"/>
  <c r="H9" i="9"/>
  <c r="H10" i="9"/>
  <c r="H8" i="9"/>
  <c r="H7" i="9"/>
  <c r="H5" i="9"/>
  <c r="H6" i="9"/>
  <c r="H4" i="9"/>
  <c r="H3" i="9"/>
  <c r="H2" i="9"/>
  <c r="P4" i="10"/>
  <c r="H10" i="11" l="1"/>
  <c r="J10" i="9"/>
  <c r="H4" i="11"/>
  <c r="J4" i="9"/>
  <c r="H9" i="11"/>
  <c r="J9" i="9"/>
  <c r="H8" i="11"/>
  <c r="J8" i="9"/>
  <c r="H6" i="11"/>
  <c r="J6" i="9"/>
  <c r="H2" i="11"/>
  <c r="J2" i="9"/>
  <c r="H5" i="11"/>
  <c r="J5" i="9"/>
  <c r="H3" i="11"/>
  <c r="J3" i="9"/>
  <c r="H7" i="11"/>
  <c r="J7" i="9"/>
  <c r="Y5" i="10"/>
  <c r="Y6" i="10"/>
  <c r="Y7" i="10"/>
  <c r="Y8" i="10"/>
  <c r="Y9" i="10"/>
  <c r="Y10" i="10"/>
  <c r="Y11" i="10"/>
  <c r="Y12" i="10"/>
  <c r="Y13" i="10"/>
  <c r="Y14" i="10"/>
  <c r="Y15" i="10"/>
  <c r="Y16" i="10"/>
  <c r="Y17" i="10"/>
  <c r="Y18" i="10"/>
  <c r="Y19" i="10"/>
  <c r="Y20" i="10"/>
  <c r="Y21" i="10"/>
  <c r="Y22" i="10"/>
  <c r="Y23" i="10"/>
  <c r="Y24" i="10"/>
  <c r="Y25" i="10"/>
  <c r="Y26" i="10"/>
  <c r="Y27" i="10"/>
  <c r="Y28" i="10"/>
  <c r="Y29" i="10"/>
  <c r="Y30" i="10"/>
  <c r="Y31" i="10"/>
  <c r="Y32" i="10"/>
  <c r="Y33" i="10"/>
  <c r="Y34" i="10"/>
  <c r="Y35" i="10"/>
  <c r="Y36" i="10"/>
  <c r="Y37" i="10"/>
  <c r="Y38" i="10"/>
  <c r="Y39" i="10"/>
  <c r="Y40" i="10"/>
  <c r="Y41" i="10"/>
  <c r="Y42" i="10"/>
  <c r="Y43" i="10"/>
  <c r="Y44" i="10"/>
  <c r="Y45" i="10"/>
  <c r="Y46" i="10"/>
  <c r="Y47" i="10"/>
  <c r="Y48" i="10"/>
  <c r="Y49" i="10"/>
  <c r="Y50" i="10"/>
  <c r="Y51" i="10"/>
  <c r="Y52" i="10"/>
  <c r="Y53" i="10"/>
  <c r="Y54" i="10"/>
  <c r="Y55" i="10"/>
  <c r="Y56" i="10"/>
  <c r="Y57" i="10"/>
  <c r="Y58" i="10"/>
  <c r="Y59" i="10"/>
  <c r="Y60" i="10"/>
  <c r="Y61" i="10"/>
  <c r="Y62" i="10"/>
  <c r="Y63" i="10"/>
  <c r="Y64" i="10"/>
  <c r="Y65" i="10"/>
  <c r="Y66" i="10"/>
  <c r="Y67" i="10"/>
  <c r="Y68" i="10"/>
  <c r="Y69" i="10"/>
  <c r="Y70" i="10"/>
  <c r="Y71" i="10"/>
  <c r="Y72" i="10"/>
  <c r="Y73" i="10"/>
  <c r="Y74" i="10"/>
  <c r="Y75" i="10"/>
  <c r="Y76" i="10"/>
  <c r="Y77" i="10"/>
  <c r="Y78" i="10"/>
  <c r="Y79" i="10"/>
  <c r="Y80" i="10"/>
  <c r="Y81" i="10"/>
  <c r="Y82" i="10"/>
  <c r="Y83" i="10"/>
  <c r="Y84" i="10"/>
  <c r="Y85" i="10"/>
  <c r="Y86" i="10"/>
  <c r="Y87" i="10"/>
  <c r="Y88" i="10"/>
  <c r="Y89" i="10"/>
  <c r="Y90" i="10"/>
  <c r="Y91" i="10"/>
  <c r="Y92" i="10"/>
  <c r="Y93" i="10"/>
  <c r="Y94" i="10"/>
  <c r="Y95" i="10"/>
  <c r="Y96" i="10"/>
  <c r="Y97" i="10"/>
  <c r="Y98" i="10"/>
  <c r="Y99" i="10"/>
  <c r="Y100" i="10"/>
  <c r="Y101" i="10"/>
  <c r="Y102" i="10"/>
  <c r="Y103" i="10"/>
  <c r="Y104" i="10"/>
  <c r="Y105" i="10"/>
  <c r="Y106" i="10"/>
  <c r="Y107" i="10"/>
  <c r="Y108" i="10"/>
  <c r="Y109" i="10"/>
  <c r="Y110" i="10"/>
  <c r="Y111" i="10"/>
  <c r="Y112" i="10"/>
  <c r="Y113" i="10"/>
  <c r="Y114" i="10"/>
  <c r="Y115" i="10"/>
  <c r="Y116" i="10"/>
  <c r="Y117" i="10"/>
  <c r="Y118" i="10"/>
  <c r="Y119" i="10"/>
  <c r="Y120" i="10"/>
  <c r="Y121" i="10"/>
  <c r="Y122" i="10"/>
  <c r="Y123" i="10"/>
  <c r="Y124" i="10"/>
  <c r="Y125" i="10"/>
  <c r="Y126" i="10"/>
  <c r="Y127" i="10"/>
  <c r="Y128" i="10"/>
  <c r="Y129" i="10"/>
  <c r="Y130" i="10"/>
  <c r="Y131" i="10"/>
  <c r="Y132" i="10"/>
  <c r="Y133" i="10"/>
  <c r="Y134" i="10"/>
  <c r="Y135" i="10"/>
  <c r="Y136" i="10"/>
  <c r="Y137" i="10"/>
  <c r="Y138" i="10"/>
  <c r="Y139" i="10"/>
  <c r="Y140" i="10"/>
  <c r="Y141" i="10"/>
  <c r="Y142" i="10"/>
  <c r="Y143" i="10"/>
  <c r="Y144" i="10"/>
  <c r="Y145" i="10"/>
  <c r="Y146" i="10"/>
  <c r="Y147" i="10"/>
  <c r="Y148" i="10"/>
  <c r="Y149" i="10"/>
  <c r="Y150" i="10"/>
  <c r="Y151" i="10"/>
  <c r="Y152" i="10"/>
  <c r="Y153" i="10"/>
  <c r="Y154" i="10"/>
  <c r="Y155" i="10"/>
  <c r="Y156" i="10"/>
  <c r="Y157" i="10"/>
  <c r="Y158" i="10"/>
  <c r="Y159" i="10"/>
  <c r="Y160" i="10"/>
  <c r="Y161" i="10"/>
  <c r="Y162" i="10"/>
  <c r="Y163" i="10"/>
  <c r="Y164" i="10"/>
  <c r="Y165" i="10"/>
  <c r="Y166" i="10"/>
  <c r="Y167" i="10"/>
  <c r="Y168" i="10"/>
  <c r="Y169" i="10"/>
  <c r="Y170" i="10"/>
  <c r="Y171" i="10"/>
  <c r="Y172" i="10"/>
  <c r="Y173" i="10"/>
  <c r="Y174" i="10"/>
  <c r="Y175" i="10"/>
  <c r="Y176" i="10"/>
  <c r="Y177" i="10"/>
  <c r="Y178" i="10"/>
  <c r="Y179" i="10"/>
  <c r="Y180" i="10"/>
  <c r="Y181" i="10"/>
  <c r="Y182" i="10"/>
  <c r="Y183" i="10"/>
  <c r="Y184" i="10"/>
  <c r="Y185" i="10"/>
  <c r="Y186" i="10"/>
  <c r="Y187" i="10"/>
  <c r="Y188" i="10"/>
  <c r="Y189" i="10"/>
  <c r="Y190" i="10"/>
  <c r="Y191" i="10"/>
  <c r="Y192" i="10"/>
  <c r="Y193" i="10"/>
  <c r="Y194" i="10"/>
  <c r="Y195" i="10"/>
  <c r="Y196" i="10"/>
  <c r="Y197" i="10"/>
  <c r="Y198" i="10"/>
  <c r="Y199" i="10"/>
  <c r="Y200" i="10"/>
  <c r="Y201" i="10"/>
  <c r="Y202" i="10"/>
  <c r="Y203" i="10"/>
  <c r="Y204" i="10"/>
  <c r="Y205" i="10"/>
  <c r="Y206" i="10"/>
  <c r="Y207" i="10"/>
  <c r="Y208" i="10"/>
  <c r="Y209" i="10"/>
  <c r="Y210" i="10"/>
  <c r="Y211" i="10"/>
  <c r="Y212" i="10"/>
  <c r="Y213" i="10"/>
  <c r="Y214" i="10"/>
  <c r="Y215" i="10"/>
  <c r="Y216" i="10"/>
  <c r="Y217" i="10"/>
  <c r="Y218" i="10"/>
  <c r="Y219" i="10"/>
  <c r="Y220" i="10"/>
  <c r="Y221" i="10"/>
  <c r="Y222" i="10"/>
  <c r="Y223" i="10"/>
  <c r="Y224" i="10"/>
  <c r="Y225" i="10"/>
  <c r="Y226" i="10"/>
  <c r="Y227" i="10"/>
  <c r="Y228" i="10"/>
  <c r="Y229" i="10"/>
  <c r="Y230" i="10"/>
  <c r="Y231" i="10"/>
  <c r="Y232" i="10"/>
  <c r="Y233" i="10"/>
  <c r="Y234" i="10"/>
  <c r="Y235" i="10"/>
  <c r="Y236" i="10"/>
  <c r="Y237" i="10"/>
  <c r="Y238" i="10"/>
  <c r="Y239" i="10"/>
  <c r="Y240" i="10"/>
  <c r="Y241" i="10"/>
  <c r="Y242" i="10"/>
  <c r="Y243" i="10"/>
  <c r="Y244" i="10"/>
  <c r="Y245" i="10"/>
  <c r="Y246" i="10"/>
  <c r="Y247" i="10"/>
  <c r="Y248" i="10"/>
  <c r="Y249" i="10"/>
  <c r="Y250" i="10"/>
  <c r="Y251" i="10"/>
  <c r="Y252" i="10"/>
  <c r="Y253" i="10"/>
  <c r="Y254" i="10"/>
  <c r="Y255" i="10"/>
  <c r="Y4" i="10"/>
  <c r="V4" i="10"/>
  <c r="X4" i="10"/>
  <c r="F6" i="3"/>
  <c r="F5" i="3"/>
  <c r="C5" i="3"/>
  <c r="I18" i="9" l="1"/>
  <c r="J18" i="9" s="1"/>
  <c r="J17" i="9"/>
  <c r="P5" i="10"/>
  <c r="Q5" i="10"/>
  <c r="R5" i="10"/>
  <c r="S5" i="10"/>
  <c r="T5" i="10"/>
  <c r="U5" i="10"/>
  <c r="V5" i="10"/>
  <c r="W5" i="10"/>
  <c r="X5" i="10"/>
  <c r="P6" i="10"/>
  <c r="Q6" i="10"/>
  <c r="R6" i="10"/>
  <c r="S6" i="10"/>
  <c r="T6" i="10"/>
  <c r="U6" i="10"/>
  <c r="V6" i="10"/>
  <c r="W6" i="10"/>
  <c r="X6" i="10"/>
  <c r="P7" i="10"/>
  <c r="Q7" i="10"/>
  <c r="R7" i="10"/>
  <c r="S7" i="10"/>
  <c r="T7" i="10"/>
  <c r="U7" i="10"/>
  <c r="V7" i="10"/>
  <c r="W7" i="10"/>
  <c r="X7" i="10"/>
  <c r="P8" i="10"/>
  <c r="Q8" i="10"/>
  <c r="R8" i="10"/>
  <c r="S8" i="10"/>
  <c r="T8" i="10"/>
  <c r="U8" i="10"/>
  <c r="V8" i="10"/>
  <c r="W8" i="10"/>
  <c r="X8" i="10"/>
  <c r="P9" i="10"/>
  <c r="Q9" i="10"/>
  <c r="R9" i="10"/>
  <c r="S9" i="10"/>
  <c r="T9" i="10"/>
  <c r="U9" i="10"/>
  <c r="V9" i="10"/>
  <c r="W9" i="10"/>
  <c r="X9" i="10"/>
  <c r="P10" i="10"/>
  <c r="Q10" i="10"/>
  <c r="R10" i="10"/>
  <c r="S10" i="10"/>
  <c r="T10" i="10"/>
  <c r="U10" i="10"/>
  <c r="V10" i="10"/>
  <c r="W10" i="10"/>
  <c r="X10" i="10"/>
  <c r="P11" i="10"/>
  <c r="Q11" i="10"/>
  <c r="R11" i="10"/>
  <c r="S11" i="10"/>
  <c r="T11" i="10"/>
  <c r="U11" i="10"/>
  <c r="V11" i="10"/>
  <c r="W11" i="10"/>
  <c r="X11" i="10"/>
  <c r="P12" i="10"/>
  <c r="Q12" i="10"/>
  <c r="R12" i="10"/>
  <c r="S12" i="10"/>
  <c r="T12" i="10"/>
  <c r="U12" i="10"/>
  <c r="V12" i="10"/>
  <c r="W12" i="10"/>
  <c r="X12" i="10"/>
  <c r="P13" i="10"/>
  <c r="Q13" i="10"/>
  <c r="R13" i="10"/>
  <c r="S13" i="10"/>
  <c r="T13" i="10"/>
  <c r="U13" i="10"/>
  <c r="V13" i="10"/>
  <c r="W13" i="10"/>
  <c r="X13" i="10"/>
  <c r="P14" i="10"/>
  <c r="Q14" i="10"/>
  <c r="R14" i="10"/>
  <c r="S14" i="10"/>
  <c r="T14" i="10"/>
  <c r="U14" i="10"/>
  <c r="V14" i="10"/>
  <c r="W14" i="10"/>
  <c r="X14" i="10"/>
  <c r="P15" i="10"/>
  <c r="Q15" i="10"/>
  <c r="R15" i="10"/>
  <c r="S15" i="10"/>
  <c r="T15" i="10"/>
  <c r="U15" i="10"/>
  <c r="V15" i="10"/>
  <c r="W15" i="10"/>
  <c r="X15" i="10"/>
  <c r="P16" i="10"/>
  <c r="Q16" i="10"/>
  <c r="R16" i="10"/>
  <c r="S16" i="10"/>
  <c r="T16" i="10"/>
  <c r="U16" i="10"/>
  <c r="V16" i="10"/>
  <c r="W16" i="10"/>
  <c r="X16" i="10"/>
  <c r="P17" i="10"/>
  <c r="Q17" i="10"/>
  <c r="R17" i="10"/>
  <c r="S17" i="10"/>
  <c r="T17" i="10"/>
  <c r="U17" i="10"/>
  <c r="V17" i="10"/>
  <c r="W17" i="10"/>
  <c r="X17" i="10"/>
  <c r="P18" i="10"/>
  <c r="Q18" i="10"/>
  <c r="R18" i="10"/>
  <c r="S18" i="10"/>
  <c r="T18" i="10"/>
  <c r="U18" i="10"/>
  <c r="V18" i="10"/>
  <c r="W18" i="10"/>
  <c r="X18" i="10"/>
  <c r="P19" i="10"/>
  <c r="Q19" i="10"/>
  <c r="R19" i="10"/>
  <c r="S19" i="10"/>
  <c r="T19" i="10"/>
  <c r="U19" i="10"/>
  <c r="V19" i="10"/>
  <c r="W19" i="10"/>
  <c r="X19" i="10"/>
  <c r="P20" i="10"/>
  <c r="Q20" i="10"/>
  <c r="R20" i="10"/>
  <c r="S20" i="10"/>
  <c r="T20" i="10"/>
  <c r="U20" i="10"/>
  <c r="V20" i="10"/>
  <c r="W20" i="10"/>
  <c r="X20" i="10"/>
  <c r="P21" i="10"/>
  <c r="Q21" i="10"/>
  <c r="R21" i="10"/>
  <c r="S21" i="10"/>
  <c r="T21" i="10"/>
  <c r="U21" i="10"/>
  <c r="V21" i="10"/>
  <c r="W21" i="10"/>
  <c r="X21" i="10"/>
  <c r="P22" i="10"/>
  <c r="Q22" i="10"/>
  <c r="R22" i="10"/>
  <c r="S22" i="10"/>
  <c r="T22" i="10"/>
  <c r="U22" i="10"/>
  <c r="V22" i="10"/>
  <c r="W22" i="10"/>
  <c r="X22" i="10"/>
  <c r="P23" i="10"/>
  <c r="Q23" i="10"/>
  <c r="R23" i="10"/>
  <c r="S23" i="10"/>
  <c r="T23" i="10"/>
  <c r="U23" i="10"/>
  <c r="V23" i="10"/>
  <c r="W23" i="10"/>
  <c r="X23" i="10"/>
  <c r="P24" i="10"/>
  <c r="Q24" i="10"/>
  <c r="R24" i="10"/>
  <c r="S24" i="10"/>
  <c r="T24" i="10"/>
  <c r="U24" i="10"/>
  <c r="V24" i="10"/>
  <c r="W24" i="10"/>
  <c r="X24" i="10"/>
  <c r="P25" i="10"/>
  <c r="Q25" i="10"/>
  <c r="R25" i="10"/>
  <c r="S25" i="10"/>
  <c r="T25" i="10"/>
  <c r="U25" i="10"/>
  <c r="V25" i="10"/>
  <c r="W25" i="10"/>
  <c r="X25" i="10"/>
  <c r="P26" i="10"/>
  <c r="Q26" i="10"/>
  <c r="R26" i="10"/>
  <c r="S26" i="10"/>
  <c r="T26" i="10"/>
  <c r="U26" i="10"/>
  <c r="V26" i="10"/>
  <c r="W26" i="10"/>
  <c r="X26" i="10"/>
  <c r="P27" i="10"/>
  <c r="Q27" i="10"/>
  <c r="R27" i="10"/>
  <c r="S27" i="10"/>
  <c r="T27" i="10"/>
  <c r="U27" i="10"/>
  <c r="V27" i="10"/>
  <c r="W27" i="10"/>
  <c r="X27" i="10"/>
  <c r="P28" i="10"/>
  <c r="Q28" i="10"/>
  <c r="R28" i="10"/>
  <c r="S28" i="10"/>
  <c r="T28" i="10"/>
  <c r="U28" i="10"/>
  <c r="V28" i="10"/>
  <c r="W28" i="10"/>
  <c r="X28" i="10"/>
  <c r="P29" i="10"/>
  <c r="Q29" i="10"/>
  <c r="R29" i="10"/>
  <c r="S29" i="10"/>
  <c r="T29" i="10"/>
  <c r="U29" i="10"/>
  <c r="V29" i="10"/>
  <c r="W29" i="10"/>
  <c r="X29" i="10"/>
  <c r="P30" i="10"/>
  <c r="Q30" i="10"/>
  <c r="R30" i="10"/>
  <c r="S30" i="10"/>
  <c r="T30" i="10"/>
  <c r="U30" i="10"/>
  <c r="V30" i="10"/>
  <c r="W30" i="10"/>
  <c r="X30" i="10"/>
  <c r="P31" i="10"/>
  <c r="Q31" i="10"/>
  <c r="R31" i="10"/>
  <c r="S31" i="10"/>
  <c r="T31" i="10"/>
  <c r="U31" i="10"/>
  <c r="V31" i="10"/>
  <c r="W31" i="10"/>
  <c r="X31" i="10"/>
  <c r="P32" i="10"/>
  <c r="Q32" i="10"/>
  <c r="R32" i="10"/>
  <c r="S32" i="10"/>
  <c r="T32" i="10"/>
  <c r="U32" i="10"/>
  <c r="V32" i="10"/>
  <c r="W32" i="10"/>
  <c r="X32" i="10"/>
  <c r="P33" i="10"/>
  <c r="Q33" i="10"/>
  <c r="R33" i="10"/>
  <c r="S33" i="10"/>
  <c r="T33" i="10"/>
  <c r="U33" i="10"/>
  <c r="V33" i="10"/>
  <c r="W33" i="10"/>
  <c r="X33" i="10"/>
  <c r="P34" i="10"/>
  <c r="Q34" i="10"/>
  <c r="R34" i="10"/>
  <c r="S34" i="10"/>
  <c r="T34" i="10"/>
  <c r="U34" i="10"/>
  <c r="V34" i="10"/>
  <c r="W34" i="10"/>
  <c r="X34" i="10"/>
  <c r="P35" i="10"/>
  <c r="Q35" i="10"/>
  <c r="R35" i="10"/>
  <c r="S35" i="10"/>
  <c r="T35" i="10"/>
  <c r="U35" i="10"/>
  <c r="V35" i="10"/>
  <c r="W35" i="10"/>
  <c r="X35" i="10"/>
  <c r="P36" i="10"/>
  <c r="Q36" i="10"/>
  <c r="R36" i="10"/>
  <c r="S36" i="10"/>
  <c r="T36" i="10"/>
  <c r="U36" i="10"/>
  <c r="V36" i="10"/>
  <c r="W36" i="10"/>
  <c r="X36" i="10"/>
  <c r="P37" i="10"/>
  <c r="Q37" i="10"/>
  <c r="R37" i="10"/>
  <c r="S37" i="10"/>
  <c r="T37" i="10"/>
  <c r="U37" i="10"/>
  <c r="V37" i="10"/>
  <c r="W37" i="10"/>
  <c r="X37" i="10"/>
  <c r="P38" i="10"/>
  <c r="Q38" i="10"/>
  <c r="R38" i="10"/>
  <c r="S38" i="10"/>
  <c r="T38" i="10"/>
  <c r="U38" i="10"/>
  <c r="V38" i="10"/>
  <c r="W38" i="10"/>
  <c r="X38" i="10"/>
  <c r="P39" i="10"/>
  <c r="Q39" i="10"/>
  <c r="R39" i="10"/>
  <c r="S39" i="10"/>
  <c r="T39" i="10"/>
  <c r="U39" i="10"/>
  <c r="V39" i="10"/>
  <c r="W39" i="10"/>
  <c r="X39" i="10"/>
  <c r="P40" i="10"/>
  <c r="Q40" i="10"/>
  <c r="R40" i="10"/>
  <c r="S40" i="10"/>
  <c r="T40" i="10"/>
  <c r="U40" i="10"/>
  <c r="V40" i="10"/>
  <c r="W40" i="10"/>
  <c r="X40" i="10"/>
  <c r="P41" i="10"/>
  <c r="Q41" i="10"/>
  <c r="R41" i="10"/>
  <c r="S41" i="10"/>
  <c r="T41" i="10"/>
  <c r="U41" i="10"/>
  <c r="V41" i="10"/>
  <c r="W41" i="10"/>
  <c r="X41" i="10"/>
  <c r="P42" i="10"/>
  <c r="Q42" i="10"/>
  <c r="R42" i="10"/>
  <c r="S42" i="10"/>
  <c r="T42" i="10"/>
  <c r="U42" i="10"/>
  <c r="V42" i="10"/>
  <c r="W42" i="10"/>
  <c r="X42" i="10"/>
  <c r="P43" i="10"/>
  <c r="Q43" i="10"/>
  <c r="R43" i="10"/>
  <c r="S43" i="10"/>
  <c r="T43" i="10"/>
  <c r="U43" i="10"/>
  <c r="V43" i="10"/>
  <c r="W43" i="10"/>
  <c r="X43" i="10"/>
  <c r="P44" i="10"/>
  <c r="Q44" i="10"/>
  <c r="R44" i="10"/>
  <c r="S44" i="10"/>
  <c r="T44" i="10"/>
  <c r="U44" i="10"/>
  <c r="V44" i="10"/>
  <c r="W44" i="10"/>
  <c r="X44" i="10"/>
  <c r="P45" i="10"/>
  <c r="Q45" i="10"/>
  <c r="R45" i="10"/>
  <c r="S45" i="10"/>
  <c r="T45" i="10"/>
  <c r="U45" i="10"/>
  <c r="V45" i="10"/>
  <c r="W45" i="10"/>
  <c r="X45" i="10"/>
  <c r="P46" i="10"/>
  <c r="Q46" i="10"/>
  <c r="R46" i="10"/>
  <c r="S46" i="10"/>
  <c r="T46" i="10"/>
  <c r="U46" i="10"/>
  <c r="V46" i="10"/>
  <c r="W46" i="10"/>
  <c r="X46" i="10"/>
  <c r="P47" i="10"/>
  <c r="Q47" i="10"/>
  <c r="R47" i="10"/>
  <c r="S47" i="10"/>
  <c r="T47" i="10"/>
  <c r="U47" i="10"/>
  <c r="V47" i="10"/>
  <c r="W47" i="10"/>
  <c r="X47" i="10"/>
  <c r="P48" i="10"/>
  <c r="Q48" i="10"/>
  <c r="R48" i="10"/>
  <c r="S48" i="10"/>
  <c r="T48" i="10"/>
  <c r="U48" i="10"/>
  <c r="V48" i="10"/>
  <c r="W48" i="10"/>
  <c r="X48" i="10"/>
  <c r="P49" i="10"/>
  <c r="Q49" i="10"/>
  <c r="R49" i="10"/>
  <c r="S49" i="10"/>
  <c r="T49" i="10"/>
  <c r="U49" i="10"/>
  <c r="V49" i="10"/>
  <c r="W49" i="10"/>
  <c r="X49" i="10"/>
  <c r="P50" i="10"/>
  <c r="Q50" i="10"/>
  <c r="R50" i="10"/>
  <c r="S50" i="10"/>
  <c r="T50" i="10"/>
  <c r="U50" i="10"/>
  <c r="V50" i="10"/>
  <c r="W50" i="10"/>
  <c r="X50" i="10"/>
  <c r="P51" i="10"/>
  <c r="Q51" i="10"/>
  <c r="R51" i="10"/>
  <c r="S51" i="10"/>
  <c r="T51" i="10"/>
  <c r="U51" i="10"/>
  <c r="V51" i="10"/>
  <c r="W51" i="10"/>
  <c r="X51" i="10"/>
  <c r="P52" i="10"/>
  <c r="Q52" i="10"/>
  <c r="R52" i="10"/>
  <c r="S52" i="10"/>
  <c r="T52" i="10"/>
  <c r="U52" i="10"/>
  <c r="V52" i="10"/>
  <c r="W52" i="10"/>
  <c r="X52" i="10"/>
  <c r="P53" i="10"/>
  <c r="Q53" i="10"/>
  <c r="R53" i="10"/>
  <c r="S53" i="10"/>
  <c r="T53" i="10"/>
  <c r="U53" i="10"/>
  <c r="V53" i="10"/>
  <c r="W53" i="10"/>
  <c r="X53" i="10"/>
  <c r="P54" i="10"/>
  <c r="Q54" i="10"/>
  <c r="R54" i="10"/>
  <c r="S54" i="10"/>
  <c r="T54" i="10"/>
  <c r="U54" i="10"/>
  <c r="V54" i="10"/>
  <c r="W54" i="10"/>
  <c r="X54" i="10"/>
  <c r="P55" i="10"/>
  <c r="Q55" i="10"/>
  <c r="R55" i="10"/>
  <c r="S55" i="10"/>
  <c r="T55" i="10"/>
  <c r="U55" i="10"/>
  <c r="V55" i="10"/>
  <c r="W55" i="10"/>
  <c r="X55" i="10"/>
  <c r="P56" i="10"/>
  <c r="Q56" i="10"/>
  <c r="R56" i="10"/>
  <c r="S56" i="10"/>
  <c r="T56" i="10"/>
  <c r="U56" i="10"/>
  <c r="V56" i="10"/>
  <c r="W56" i="10"/>
  <c r="X56" i="10"/>
  <c r="P57" i="10"/>
  <c r="Q57" i="10"/>
  <c r="R57" i="10"/>
  <c r="S57" i="10"/>
  <c r="T57" i="10"/>
  <c r="U57" i="10"/>
  <c r="V57" i="10"/>
  <c r="W57" i="10"/>
  <c r="X57" i="10"/>
  <c r="P58" i="10"/>
  <c r="Q58" i="10"/>
  <c r="R58" i="10"/>
  <c r="S58" i="10"/>
  <c r="T58" i="10"/>
  <c r="U58" i="10"/>
  <c r="V58" i="10"/>
  <c r="W58" i="10"/>
  <c r="X58" i="10"/>
  <c r="P59" i="10"/>
  <c r="Q59" i="10"/>
  <c r="R59" i="10"/>
  <c r="S59" i="10"/>
  <c r="T59" i="10"/>
  <c r="U59" i="10"/>
  <c r="V59" i="10"/>
  <c r="W59" i="10"/>
  <c r="X59" i="10"/>
  <c r="P60" i="10"/>
  <c r="Q60" i="10"/>
  <c r="R60" i="10"/>
  <c r="S60" i="10"/>
  <c r="T60" i="10"/>
  <c r="U60" i="10"/>
  <c r="V60" i="10"/>
  <c r="W60" i="10"/>
  <c r="X60" i="10"/>
  <c r="P61" i="10"/>
  <c r="Q61" i="10"/>
  <c r="R61" i="10"/>
  <c r="S61" i="10"/>
  <c r="T61" i="10"/>
  <c r="U61" i="10"/>
  <c r="V61" i="10"/>
  <c r="W61" i="10"/>
  <c r="X61" i="10"/>
  <c r="P62" i="10"/>
  <c r="Q62" i="10"/>
  <c r="R62" i="10"/>
  <c r="S62" i="10"/>
  <c r="T62" i="10"/>
  <c r="U62" i="10"/>
  <c r="V62" i="10"/>
  <c r="W62" i="10"/>
  <c r="X62" i="10"/>
  <c r="P63" i="10"/>
  <c r="Q63" i="10"/>
  <c r="R63" i="10"/>
  <c r="S63" i="10"/>
  <c r="T63" i="10"/>
  <c r="U63" i="10"/>
  <c r="V63" i="10"/>
  <c r="W63" i="10"/>
  <c r="X63" i="10"/>
  <c r="P64" i="10"/>
  <c r="Q64" i="10"/>
  <c r="R64" i="10"/>
  <c r="S64" i="10"/>
  <c r="T64" i="10"/>
  <c r="U64" i="10"/>
  <c r="V64" i="10"/>
  <c r="W64" i="10"/>
  <c r="X64" i="10"/>
  <c r="P65" i="10"/>
  <c r="Q65" i="10"/>
  <c r="R65" i="10"/>
  <c r="S65" i="10"/>
  <c r="T65" i="10"/>
  <c r="U65" i="10"/>
  <c r="V65" i="10"/>
  <c r="W65" i="10"/>
  <c r="X65" i="10"/>
  <c r="P66" i="10"/>
  <c r="Q66" i="10"/>
  <c r="R66" i="10"/>
  <c r="S66" i="10"/>
  <c r="T66" i="10"/>
  <c r="U66" i="10"/>
  <c r="V66" i="10"/>
  <c r="W66" i="10"/>
  <c r="X66" i="10"/>
  <c r="P67" i="10"/>
  <c r="Q67" i="10"/>
  <c r="R67" i="10"/>
  <c r="S67" i="10"/>
  <c r="T67" i="10"/>
  <c r="U67" i="10"/>
  <c r="V67" i="10"/>
  <c r="W67" i="10"/>
  <c r="X67" i="10"/>
  <c r="P68" i="10"/>
  <c r="Q68" i="10"/>
  <c r="R68" i="10"/>
  <c r="S68" i="10"/>
  <c r="T68" i="10"/>
  <c r="U68" i="10"/>
  <c r="V68" i="10"/>
  <c r="W68" i="10"/>
  <c r="X68" i="10"/>
  <c r="P69" i="10"/>
  <c r="Q69" i="10"/>
  <c r="R69" i="10"/>
  <c r="S69" i="10"/>
  <c r="T69" i="10"/>
  <c r="U69" i="10"/>
  <c r="V69" i="10"/>
  <c r="W69" i="10"/>
  <c r="X69" i="10"/>
  <c r="P70" i="10"/>
  <c r="Q70" i="10"/>
  <c r="R70" i="10"/>
  <c r="S70" i="10"/>
  <c r="T70" i="10"/>
  <c r="U70" i="10"/>
  <c r="V70" i="10"/>
  <c r="W70" i="10"/>
  <c r="X70" i="10"/>
  <c r="P71" i="10"/>
  <c r="Q71" i="10"/>
  <c r="R71" i="10"/>
  <c r="S71" i="10"/>
  <c r="T71" i="10"/>
  <c r="U71" i="10"/>
  <c r="V71" i="10"/>
  <c r="W71" i="10"/>
  <c r="X71" i="10"/>
  <c r="P72" i="10"/>
  <c r="Q72" i="10"/>
  <c r="R72" i="10"/>
  <c r="S72" i="10"/>
  <c r="T72" i="10"/>
  <c r="U72" i="10"/>
  <c r="V72" i="10"/>
  <c r="W72" i="10"/>
  <c r="X72" i="10"/>
  <c r="P73" i="10"/>
  <c r="Q73" i="10"/>
  <c r="R73" i="10"/>
  <c r="S73" i="10"/>
  <c r="T73" i="10"/>
  <c r="U73" i="10"/>
  <c r="V73" i="10"/>
  <c r="W73" i="10"/>
  <c r="X73" i="10"/>
  <c r="P74" i="10"/>
  <c r="Q74" i="10"/>
  <c r="R74" i="10"/>
  <c r="S74" i="10"/>
  <c r="T74" i="10"/>
  <c r="U74" i="10"/>
  <c r="V74" i="10"/>
  <c r="W74" i="10"/>
  <c r="X74" i="10"/>
  <c r="P75" i="10"/>
  <c r="Q75" i="10"/>
  <c r="R75" i="10"/>
  <c r="S75" i="10"/>
  <c r="T75" i="10"/>
  <c r="U75" i="10"/>
  <c r="V75" i="10"/>
  <c r="W75" i="10"/>
  <c r="X75" i="10"/>
  <c r="P76" i="10"/>
  <c r="Q76" i="10"/>
  <c r="R76" i="10"/>
  <c r="S76" i="10"/>
  <c r="T76" i="10"/>
  <c r="U76" i="10"/>
  <c r="V76" i="10"/>
  <c r="W76" i="10"/>
  <c r="X76" i="10"/>
  <c r="P77" i="10"/>
  <c r="Q77" i="10"/>
  <c r="R77" i="10"/>
  <c r="S77" i="10"/>
  <c r="T77" i="10"/>
  <c r="U77" i="10"/>
  <c r="V77" i="10"/>
  <c r="W77" i="10"/>
  <c r="X77" i="10"/>
  <c r="P78" i="10"/>
  <c r="Q78" i="10"/>
  <c r="R78" i="10"/>
  <c r="S78" i="10"/>
  <c r="T78" i="10"/>
  <c r="U78" i="10"/>
  <c r="V78" i="10"/>
  <c r="W78" i="10"/>
  <c r="X78" i="10"/>
  <c r="P79" i="10"/>
  <c r="Q79" i="10"/>
  <c r="R79" i="10"/>
  <c r="S79" i="10"/>
  <c r="T79" i="10"/>
  <c r="U79" i="10"/>
  <c r="V79" i="10"/>
  <c r="W79" i="10"/>
  <c r="X79" i="10"/>
  <c r="P80" i="10"/>
  <c r="Q80" i="10"/>
  <c r="R80" i="10"/>
  <c r="S80" i="10"/>
  <c r="T80" i="10"/>
  <c r="U80" i="10"/>
  <c r="V80" i="10"/>
  <c r="W80" i="10"/>
  <c r="X80" i="10"/>
  <c r="P81" i="10"/>
  <c r="Q81" i="10"/>
  <c r="R81" i="10"/>
  <c r="S81" i="10"/>
  <c r="T81" i="10"/>
  <c r="U81" i="10"/>
  <c r="V81" i="10"/>
  <c r="W81" i="10"/>
  <c r="X81" i="10"/>
  <c r="P82" i="10"/>
  <c r="Q82" i="10"/>
  <c r="R82" i="10"/>
  <c r="S82" i="10"/>
  <c r="T82" i="10"/>
  <c r="U82" i="10"/>
  <c r="V82" i="10"/>
  <c r="W82" i="10"/>
  <c r="X82" i="10"/>
  <c r="P83" i="10"/>
  <c r="Q83" i="10"/>
  <c r="R83" i="10"/>
  <c r="S83" i="10"/>
  <c r="T83" i="10"/>
  <c r="U83" i="10"/>
  <c r="V83" i="10"/>
  <c r="W83" i="10"/>
  <c r="X83" i="10"/>
  <c r="P84" i="10"/>
  <c r="Q84" i="10"/>
  <c r="R84" i="10"/>
  <c r="S84" i="10"/>
  <c r="T84" i="10"/>
  <c r="U84" i="10"/>
  <c r="V84" i="10"/>
  <c r="W84" i="10"/>
  <c r="X84" i="10"/>
  <c r="P85" i="10"/>
  <c r="Q85" i="10"/>
  <c r="R85" i="10"/>
  <c r="S85" i="10"/>
  <c r="T85" i="10"/>
  <c r="U85" i="10"/>
  <c r="V85" i="10"/>
  <c r="W85" i="10"/>
  <c r="X85" i="10"/>
  <c r="P86" i="10"/>
  <c r="Q86" i="10"/>
  <c r="R86" i="10"/>
  <c r="S86" i="10"/>
  <c r="T86" i="10"/>
  <c r="U86" i="10"/>
  <c r="V86" i="10"/>
  <c r="W86" i="10"/>
  <c r="X86" i="10"/>
  <c r="P87" i="10"/>
  <c r="Q87" i="10"/>
  <c r="R87" i="10"/>
  <c r="S87" i="10"/>
  <c r="T87" i="10"/>
  <c r="U87" i="10"/>
  <c r="V87" i="10"/>
  <c r="W87" i="10"/>
  <c r="X87" i="10"/>
  <c r="P88" i="10"/>
  <c r="Q88" i="10"/>
  <c r="R88" i="10"/>
  <c r="S88" i="10"/>
  <c r="T88" i="10"/>
  <c r="U88" i="10"/>
  <c r="V88" i="10"/>
  <c r="W88" i="10"/>
  <c r="X88" i="10"/>
  <c r="P89" i="10"/>
  <c r="Q89" i="10"/>
  <c r="R89" i="10"/>
  <c r="S89" i="10"/>
  <c r="T89" i="10"/>
  <c r="U89" i="10"/>
  <c r="V89" i="10"/>
  <c r="W89" i="10"/>
  <c r="X89" i="10"/>
  <c r="P90" i="10"/>
  <c r="Q90" i="10"/>
  <c r="R90" i="10"/>
  <c r="S90" i="10"/>
  <c r="T90" i="10"/>
  <c r="U90" i="10"/>
  <c r="V90" i="10"/>
  <c r="W90" i="10"/>
  <c r="X90" i="10"/>
  <c r="P91" i="10"/>
  <c r="Q91" i="10"/>
  <c r="R91" i="10"/>
  <c r="S91" i="10"/>
  <c r="T91" i="10"/>
  <c r="U91" i="10"/>
  <c r="V91" i="10"/>
  <c r="W91" i="10"/>
  <c r="X91" i="10"/>
  <c r="P92" i="10"/>
  <c r="Q92" i="10"/>
  <c r="R92" i="10"/>
  <c r="S92" i="10"/>
  <c r="T92" i="10"/>
  <c r="U92" i="10"/>
  <c r="V92" i="10"/>
  <c r="W92" i="10"/>
  <c r="X92" i="10"/>
  <c r="P93" i="10"/>
  <c r="Q93" i="10"/>
  <c r="R93" i="10"/>
  <c r="S93" i="10"/>
  <c r="T93" i="10"/>
  <c r="U93" i="10"/>
  <c r="V93" i="10"/>
  <c r="W93" i="10"/>
  <c r="X93" i="10"/>
  <c r="P94" i="10"/>
  <c r="Q94" i="10"/>
  <c r="R94" i="10"/>
  <c r="S94" i="10"/>
  <c r="T94" i="10"/>
  <c r="U94" i="10"/>
  <c r="V94" i="10"/>
  <c r="W94" i="10"/>
  <c r="X94" i="10"/>
  <c r="P95" i="10"/>
  <c r="Q95" i="10"/>
  <c r="R95" i="10"/>
  <c r="S95" i="10"/>
  <c r="T95" i="10"/>
  <c r="U95" i="10"/>
  <c r="V95" i="10"/>
  <c r="W95" i="10"/>
  <c r="X95" i="10"/>
  <c r="P96" i="10"/>
  <c r="Q96" i="10"/>
  <c r="R96" i="10"/>
  <c r="S96" i="10"/>
  <c r="T96" i="10"/>
  <c r="U96" i="10"/>
  <c r="V96" i="10"/>
  <c r="W96" i="10"/>
  <c r="X96" i="10"/>
  <c r="P97" i="10"/>
  <c r="Q97" i="10"/>
  <c r="R97" i="10"/>
  <c r="S97" i="10"/>
  <c r="T97" i="10"/>
  <c r="U97" i="10"/>
  <c r="V97" i="10"/>
  <c r="W97" i="10"/>
  <c r="X97" i="10"/>
  <c r="P98" i="10"/>
  <c r="Q98" i="10"/>
  <c r="R98" i="10"/>
  <c r="S98" i="10"/>
  <c r="T98" i="10"/>
  <c r="U98" i="10"/>
  <c r="V98" i="10"/>
  <c r="W98" i="10"/>
  <c r="X98" i="10"/>
  <c r="P99" i="10"/>
  <c r="Q99" i="10"/>
  <c r="R99" i="10"/>
  <c r="S99" i="10"/>
  <c r="T99" i="10"/>
  <c r="U99" i="10"/>
  <c r="V99" i="10"/>
  <c r="W99" i="10"/>
  <c r="X99" i="10"/>
  <c r="P100" i="10"/>
  <c r="Q100" i="10"/>
  <c r="R100" i="10"/>
  <c r="S100" i="10"/>
  <c r="T100" i="10"/>
  <c r="U100" i="10"/>
  <c r="V100" i="10"/>
  <c r="W100" i="10"/>
  <c r="X100" i="10"/>
  <c r="P101" i="10"/>
  <c r="Q101" i="10"/>
  <c r="R101" i="10"/>
  <c r="S101" i="10"/>
  <c r="T101" i="10"/>
  <c r="U101" i="10"/>
  <c r="V101" i="10"/>
  <c r="W101" i="10"/>
  <c r="X101" i="10"/>
  <c r="P102" i="10"/>
  <c r="Q102" i="10"/>
  <c r="R102" i="10"/>
  <c r="S102" i="10"/>
  <c r="T102" i="10"/>
  <c r="U102" i="10"/>
  <c r="V102" i="10"/>
  <c r="W102" i="10"/>
  <c r="X102" i="10"/>
  <c r="P103" i="10"/>
  <c r="Q103" i="10"/>
  <c r="R103" i="10"/>
  <c r="S103" i="10"/>
  <c r="T103" i="10"/>
  <c r="U103" i="10"/>
  <c r="V103" i="10"/>
  <c r="W103" i="10"/>
  <c r="X103" i="10"/>
  <c r="P104" i="10"/>
  <c r="Q104" i="10"/>
  <c r="R104" i="10"/>
  <c r="S104" i="10"/>
  <c r="T104" i="10"/>
  <c r="U104" i="10"/>
  <c r="V104" i="10"/>
  <c r="W104" i="10"/>
  <c r="X104" i="10"/>
  <c r="P105" i="10"/>
  <c r="Q105" i="10"/>
  <c r="R105" i="10"/>
  <c r="S105" i="10"/>
  <c r="T105" i="10"/>
  <c r="U105" i="10"/>
  <c r="V105" i="10"/>
  <c r="W105" i="10"/>
  <c r="X105" i="10"/>
  <c r="P106" i="10"/>
  <c r="Q106" i="10"/>
  <c r="R106" i="10"/>
  <c r="S106" i="10"/>
  <c r="T106" i="10"/>
  <c r="U106" i="10"/>
  <c r="V106" i="10"/>
  <c r="W106" i="10"/>
  <c r="X106" i="10"/>
  <c r="P107" i="10"/>
  <c r="Q107" i="10"/>
  <c r="R107" i="10"/>
  <c r="S107" i="10"/>
  <c r="T107" i="10"/>
  <c r="U107" i="10"/>
  <c r="V107" i="10"/>
  <c r="W107" i="10"/>
  <c r="X107" i="10"/>
  <c r="P108" i="10"/>
  <c r="Q108" i="10"/>
  <c r="R108" i="10"/>
  <c r="S108" i="10"/>
  <c r="T108" i="10"/>
  <c r="U108" i="10"/>
  <c r="V108" i="10"/>
  <c r="W108" i="10"/>
  <c r="X108" i="10"/>
  <c r="P109" i="10"/>
  <c r="Q109" i="10"/>
  <c r="R109" i="10"/>
  <c r="S109" i="10"/>
  <c r="T109" i="10"/>
  <c r="U109" i="10"/>
  <c r="V109" i="10"/>
  <c r="W109" i="10"/>
  <c r="X109" i="10"/>
  <c r="P110" i="10"/>
  <c r="Q110" i="10"/>
  <c r="R110" i="10"/>
  <c r="S110" i="10"/>
  <c r="T110" i="10"/>
  <c r="U110" i="10"/>
  <c r="V110" i="10"/>
  <c r="W110" i="10"/>
  <c r="X110" i="10"/>
  <c r="P111" i="10"/>
  <c r="Q111" i="10"/>
  <c r="R111" i="10"/>
  <c r="S111" i="10"/>
  <c r="T111" i="10"/>
  <c r="U111" i="10"/>
  <c r="V111" i="10"/>
  <c r="W111" i="10"/>
  <c r="X111" i="10"/>
  <c r="P112" i="10"/>
  <c r="Q112" i="10"/>
  <c r="R112" i="10"/>
  <c r="S112" i="10"/>
  <c r="T112" i="10"/>
  <c r="U112" i="10"/>
  <c r="V112" i="10"/>
  <c r="W112" i="10"/>
  <c r="X112" i="10"/>
  <c r="P113" i="10"/>
  <c r="Q113" i="10"/>
  <c r="R113" i="10"/>
  <c r="S113" i="10"/>
  <c r="T113" i="10"/>
  <c r="U113" i="10"/>
  <c r="V113" i="10"/>
  <c r="W113" i="10"/>
  <c r="X113" i="10"/>
  <c r="P114" i="10"/>
  <c r="Q114" i="10"/>
  <c r="R114" i="10"/>
  <c r="S114" i="10"/>
  <c r="T114" i="10"/>
  <c r="U114" i="10"/>
  <c r="V114" i="10"/>
  <c r="W114" i="10"/>
  <c r="X114" i="10"/>
  <c r="P115" i="10"/>
  <c r="Q115" i="10"/>
  <c r="R115" i="10"/>
  <c r="S115" i="10"/>
  <c r="T115" i="10"/>
  <c r="U115" i="10"/>
  <c r="V115" i="10"/>
  <c r="W115" i="10"/>
  <c r="X115" i="10"/>
  <c r="P116" i="10"/>
  <c r="Q116" i="10"/>
  <c r="R116" i="10"/>
  <c r="S116" i="10"/>
  <c r="T116" i="10"/>
  <c r="U116" i="10"/>
  <c r="V116" i="10"/>
  <c r="W116" i="10"/>
  <c r="X116" i="10"/>
  <c r="P117" i="10"/>
  <c r="Q117" i="10"/>
  <c r="R117" i="10"/>
  <c r="S117" i="10"/>
  <c r="T117" i="10"/>
  <c r="U117" i="10"/>
  <c r="V117" i="10"/>
  <c r="W117" i="10"/>
  <c r="X117" i="10"/>
  <c r="P118" i="10"/>
  <c r="Q118" i="10"/>
  <c r="R118" i="10"/>
  <c r="S118" i="10"/>
  <c r="T118" i="10"/>
  <c r="U118" i="10"/>
  <c r="V118" i="10"/>
  <c r="W118" i="10"/>
  <c r="X118" i="10"/>
  <c r="P119" i="10"/>
  <c r="Q119" i="10"/>
  <c r="R119" i="10"/>
  <c r="S119" i="10"/>
  <c r="T119" i="10"/>
  <c r="U119" i="10"/>
  <c r="V119" i="10"/>
  <c r="W119" i="10"/>
  <c r="X119" i="10"/>
  <c r="P120" i="10"/>
  <c r="Q120" i="10"/>
  <c r="R120" i="10"/>
  <c r="S120" i="10"/>
  <c r="T120" i="10"/>
  <c r="U120" i="10"/>
  <c r="V120" i="10"/>
  <c r="W120" i="10"/>
  <c r="X120" i="10"/>
  <c r="P121" i="10"/>
  <c r="Q121" i="10"/>
  <c r="R121" i="10"/>
  <c r="S121" i="10"/>
  <c r="T121" i="10"/>
  <c r="U121" i="10"/>
  <c r="V121" i="10"/>
  <c r="W121" i="10"/>
  <c r="X121" i="10"/>
  <c r="P122" i="10"/>
  <c r="Q122" i="10"/>
  <c r="R122" i="10"/>
  <c r="S122" i="10"/>
  <c r="T122" i="10"/>
  <c r="U122" i="10"/>
  <c r="V122" i="10"/>
  <c r="W122" i="10"/>
  <c r="X122" i="10"/>
  <c r="P123" i="10"/>
  <c r="Q123" i="10"/>
  <c r="R123" i="10"/>
  <c r="S123" i="10"/>
  <c r="T123" i="10"/>
  <c r="U123" i="10"/>
  <c r="V123" i="10"/>
  <c r="W123" i="10"/>
  <c r="X123" i="10"/>
  <c r="P124" i="10"/>
  <c r="Q124" i="10"/>
  <c r="R124" i="10"/>
  <c r="S124" i="10"/>
  <c r="T124" i="10"/>
  <c r="U124" i="10"/>
  <c r="V124" i="10"/>
  <c r="W124" i="10"/>
  <c r="X124" i="10"/>
  <c r="P125" i="10"/>
  <c r="Q125" i="10"/>
  <c r="R125" i="10"/>
  <c r="S125" i="10"/>
  <c r="T125" i="10"/>
  <c r="U125" i="10"/>
  <c r="V125" i="10"/>
  <c r="W125" i="10"/>
  <c r="X125" i="10"/>
  <c r="P126" i="10"/>
  <c r="Q126" i="10"/>
  <c r="R126" i="10"/>
  <c r="S126" i="10"/>
  <c r="T126" i="10"/>
  <c r="U126" i="10"/>
  <c r="V126" i="10"/>
  <c r="W126" i="10"/>
  <c r="X126" i="10"/>
  <c r="P127" i="10"/>
  <c r="Q127" i="10"/>
  <c r="R127" i="10"/>
  <c r="S127" i="10"/>
  <c r="T127" i="10"/>
  <c r="U127" i="10"/>
  <c r="V127" i="10"/>
  <c r="W127" i="10"/>
  <c r="X127" i="10"/>
  <c r="P128" i="10"/>
  <c r="Q128" i="10"/>
  <c r="R128" i="10"/>
  <c r="S128" i="10"/>
  <c r="T128" i="10"/>
  <c r="U128" i="10"/>
  <c r="V128" i="10"/>
  <c r="W128" i="10"/>
  <c r="X128" i="10"/>
  <c r="P129" i="10"/>
  <c r="Q129" i="10"/>
  <c r="R129" i="10"/>
  <c r="S129" i="10"/>
  <c r="T129" i="10"/>
  <c r="U129" i="10"/>
  <c r="V129" i="10"/>
  <c r="W129" i="10"/>
  <c r="X129" i="10"/>
  <c r="P130" i="10"/>
  <c r="Q130" i="10"/>
  <c r="R130" i="10"/>
  <c r="S130" i="10"/>
  <c r="T130" i="10"/>
  <c r="U130" i="10"/>
  <c r="V130" i="10"/>
  <c r="W130" i="10"/>
  <c r="X130" i="10"/>
  <c r="P131" i="10"/>
  <c r="Q131" i="10"/>
  <c r="R131" i="10"/>
  <c r="S131" i="10"/>
  <c r="T131" i="10"/>
  <c r="U131" i="10"/>
  <c r="V131" i="10"/>
  <c r="W131" i="10"/>
  <c r="X131" i="10"/>
  <c r="P132" i="10"/>
  <c r="Q132" i="10"/>
  <c r="R132" i="10"/>
  <c r="S132" i="10"/>
  <c r="T132" i="10"/>
  <c r="U132" i="10"/>
  <c r="V132" i="10"/>
  <c r="W132" i="10"/>
  <c r="X132" i="10"/>
  <c r="P133" i="10"/>
  <c r="Q133" i="10"/>
  <c r="R133" i="10"/>
  <c r="S133" i="10"/>
  <c r="T133" i="10"/>
  <c r="U133" i="10"/>
  <c r="V133" i="10"/>
  <c r="W133" i="10"/>
  <c r="X133" i="10"/>
  <c r="P134" i="10"/>
  <c r="Q134" i="10"/>
  <c r="R134" i="10"/>
  <c r="S134" i="10"/>
  <c r="T134" i="10"/>
  <c r="U134" i="10"/>
  <c r="V134" i="10"/>
  <c r="W134" i="10"/>
  <c r="X134" i="10"/>
  <c r="P135" i="10"/>
  <c r="Q135" i="10"/>
  <c r="R135" i="10"/>
  <c r="S135" i="10"/>
  <c r="T135" i="10"/>
  <c r="U135" i="10"/>
  <c r="V135" i="10"/>
  <c r="W135" i="10"/>
  <c r="X135" i="10"/>
  <c r="P136" i="10"/>
  <c r="Q136" i="10"/>
  <c r="R136" i="10"/>
  <c r="S136" i="10"/>
  <c r="T136" i="10"/>
  <c r="U136" i="10"/>
  <c r="V136" i="10"/>
  <c r="W136" i="10"/>
  <c r="X136" i="10"/>
  <c r="P137" i="10"/>
  <c r="Q137" i="10"/>
  <c r="R137" i="10"/>
  <c r="S137" i="10"/>
  <c r="T137" i="10"/>
  <c r="U137" i="10"/>
  <c r="V137" i="10"/>
  <c r="W137" i="10"/>
  <c r="X137" i="10"/>
  <c r="P138" i="10"/>
  <c r="Q138" i="10"/>
  <c r="R138" i="10"/>
  <c r="S138" i="10"/>
  <c r="T138" i="10"/>
  <c r="U138" i="10"/>
  <c r="V138" i="10"/>
  <c r="W138" i="10"/>
  <c r="X138" i="10"/>
  <c r="P139" i="10"/>
  <c r="Q139" i="10"/>
  <c r="R139" i="10"/>
  <c r="S139" i="10"/>
  <c r="T139" i="10"/>
  <c r="U139" i="10"/>
  <c r="V139" i="10"/>
  <c r="W139" i="10"/>
  <c r="X139" i="10"/>
  <c r="P140" i="10"/>
  <c r="Q140" i="10"/>
  <c r="R140" i="10"/>
  <c r="S140" i="10"/>
  <c r="T140" i="10"/>
  <c r="U140" i="10"/>
  <c r="V140" i="10"/>
  <c r="W140" i="10"/>
  <c r="X140" i="10"/>
  <c r="P141" i="10"/>
  <c r="Q141" i="10"/>
  <c r="R141" i="10"/>
  <c r="S141" i="10"/>
  <c r="T141" i="10"/>
  <c r="U141" i="10"/>
  <c r="V141" i="10"/>
  <c r="W141" i="10"/>
  <c r="X141" i="10"/>
  <c r="P142" i="10"/>
  <c r="Q142" i="10"/>
  <c r="R142" i="10"/>
  <c r="S142" i="10"/>
  <c r="T142" i="10"/>
  <c r="U142" i="10"/>
  <c r="V142" i="10"/>
  <c r="W142" i="10"/>
  <c r="X142" i="10"/>
  <c r="P143" i="10"/>
  <c r="Q143" i="10"/>
  <c r="R143" i="10"/>
  <c r="S143" i="10"/>
  <c r="T143" i="10"/>
  <c r="U143" i="10"/>
  <c r="V143" i="10"/>
  <c r="W143" i="10"/>
  <c r="X143" i="10"/>
  <c r="P144" i="10"/>
  <c r="Q144" i="10"/>
  <c r="R144" i="10"/>
  <c r="S144" i="10"/>
  <c r="T144" i="10"/>
  <c r="U144" i="10"/>
  <c r="V144" i="10"/>
  <c r="W144" i="10"/>
  <c r="X144" i="10"/>
  <c r="P145" i="10"/>
  <c r="Q145" i="10"/>
  <c r="R145" i="10"/>
  <c r="S145" i="10"/>
  <c r="T145" i="10"/>
  <c r="U145" i="10"/>
  <c r="V145" i="10"/>
  <c r="W145" i="10"/>
  <c r="X145" i="10"/>
  <c r="P146" i="10"/>
  <c r="Q146" i="10"/>
  <c r="R146" i="10"/>
  <c r="S146" i="10"/>
  <c r="T146" i="10"/>
  <c r="U146" i="10"/>
  <c r="V146" i="10"/>
  <c r="W146" i="10"/>
  <c r="X146" i="10"/>
  <c r="P147" i="10"/>
  <c r="Q147" i="10"/>
  <c r="R147" i="10"/>
  <c r="S147" i="10"/>
  <c r="T147" i="10"/>
  <c r="U147" i="10"/>
  <c r="V147" i="10"/>
  <c r="W147" i="10"/>
  <c r="X147" i="10"/>
  <c r="P148" i="10"/>
  <c r="Q148" i="10"/>
  <c r="R148" i="10"/>
  <c r="S148" i="10"/>
  <c r="T148" i="10"/>
  <c r="U148" i="10"/>
  <c r="V148" i="10"/>
  <c r="W148" i="10"/>
  <c r="X148" i="10"/>
  <c r="P149" i="10"/>
  <c r="Q149" i="10"/>
  <c r="R149" i="10"/>
  <c r="S149" i="10"/>
  <c r="T149" i="10"/>
  <c r="U149" i="10"/>
  <c r="V149" i="10"/>
  <c r="W149" i="10"/>
  <c r="X149" i="10"/>
  <c r="P150" i="10"/>
  <c r="Q150" i="10"/>
  <c r="R150" i="10"/>
  <c r="S150" i="10"/>
  <c r="T150" i="10"/>
  <c r="U150" i="10"/>
  <c r="V150" i="10"/>
  <c r="W150" i="10"/>
  <c r="X150" i="10"/>
  <c r="P151" i="10"/>
  <c r="Q151" i="10"/>
  <c r="R151" i="10"/>
  <c r="S151" i="10"/>
  <c r="T151" i="10"/>
  <c r="U151" i="10"/>
  <c r="V151" i="10"/>
  <c r="W151" i="10"/>
  <c r="X151" i="10"/>
  <c r="P152" i="10"/>
  <c r="Q152" i="10"/>
  <c r="R152" i="10"/>
  <c r="S152" i="10"/>
  <c r="T152" i="10"/>
  <c r="U152" i="10"/>
  <c r="V152" i="10"/>
  <c r="W152" i="10"/>
  <c r="X152" i="10"/>
  <c r="P153" i="10"/>
  <c r="Q153" i="10"/>
  <c r="R153" i="10"/>
  <c r="S153" i="10"/>
  <c r="T153" i="10"/>
  <c r="U153" i="10"/>
  <c r="V153" i="10"/>
  <c r="W153" i="10"/>
  <c r="X153" i="10"/>
  <c r="P154" i="10"/>
  <c r="Q154" i="10"/>
  <c r="R154" i="10"/>
  <c r="S154" i="10"/>
  <c r="T154" i="10"/>
  <c r="U154" i="10"/>
  <c r="V154" i="10"/>
  <c r="W154" i="10"/>
  <c r="X154" i="10"/>
  <c r="P155" i="10"/>
  <c r="Q155" i="10"/>
  <c r="R155" i="10"/>
  <c r="S155" i="10"/>
  <c r="T155" i="10"/>
  <c r="U155" i="10"/>
  <c r="V155" i="10"/>
  <c r="W155" i="10"/>
  <c r="X155" i="10"/>
  <c r="P156" i="10"/>
  <c r="Q156" i="10"/>
  <c r="R156" i="10"/>
  <c r="S156" i="10"/>
  <c r="T156" i="10"/>
  <c r="U156" i="10"/>
  <c r="V156" i="10"/>
  <c r="W156" i="10"/>
  <c r="X156" i="10"/>
  <c r="P157" i="10"/>
  <c r="Q157" i="10"/>
  <c r="R157" i="10"/>
  <c r="S157" i="10"/>
  <c r="T157" i="10"/>
  <c r="U157" i="10"/>
  <c r="V157" i="10"/>
  <c r="W157" i="10"/>
  <c r="X157" i="10"/>
  <c r="P158" i="10"/>
  <c r="Q158" i="10"/>
  <c r="R158" i="10"/>
  <c r="S158" i="10"/>
  <c r="T158" i="10"/>
  <c r="U158" i="10"/>
  <c r="V158" i="10"/>
  <c r="W158" i="10"/>
  <c r="X158" i="10"/>
  <c r="P159" i="10"/>
  <c r="Q159" i="10"/>
  <c r="R159" i="10"/>
  <c r="S159" i="10"/>
  <c r="T159" i="10"/>
  <c r="U159" i="10"/>
  <c r="V159" i="10"/>
  <c r="W159" i="10"/>
  <c r="X159" i="10"/>
  <c r="P160" i="10"/>
  <c r="Q160" i="10"/>
  <c r="R160" i="10"/>
  <c r="S160" i="10"/>
  <c r="T160" i="10"/>
  <c r="U160" i="10"/>
  <c r="V160" i="10"/>
  <c r="W160" i="10"/>
  <c r="X160" i="10"/>
  <c r="P161" i="10"/>
  <c r="Q161" i="10"/>
  <c r="R161" i="10"/>
  <c r="S161" i="10"/>
  <c r="T161" i="10"/>
  <c r="U161" i="10"/>
  <c r="V161" i="10"/>
  <c r="W161" i="10"/>
  <c r="X161" i="10"/>
  <c r="P162" i="10"/>
  <c r="Q162" i="10"/>
  <c r="R162" i="10"/>
  <c r="S162" i="10"/>
  <c r="T162" i="10"/>
  <c r="U162" i="10"/>
  <c r="V162" i="10"/>
  <c r="W162" i="10"/>
  <c r="X162" i="10"/>
  <c r="P163" i="10"/>
  <c r="Q163" i="10"/>
  <c r="R163" i="10"/>
  <c r="S163" i="10"/>
  <c r="T163" i="10"/>
  <c r="U163" i="10"/>
  <c r="V163" i="10"/>
  <c r="W163" i="10"/>
  <c r="X163" i="10"/>
  <c r="P164" i="10"/>
  <c r="Q164" i="10"/>
  <c r="R164" i="10"/>
  <c r="S164" i="10"/>
  <c r="T164" i="10"/>
  <c r="U164" i="10"/>
  <c r="V164" i="10"/>
  <c r="W164" i="10"/>
  <c r="X164" i="10"/>
  <c r="P165" i="10"/>
  <c r="Q165" i="10"/>
  <c r="R165" i="10"/>
  <c r="S165" i="10"/>
  <c r="T165" i="10"/>
  <c r="U165" i="10"/>
  <c r="V165" i="10"/>
  <c r="W165" i="10"/>
  <c r="X165" i="10"/>
  <c r="P166" i="10"/>
  <c r="Q166" i="10"/>
  <c r="R166" i="10"/>
  <c r="S166" i="10"/>
  <c r="T166" i="10"/>
  <c r="U166" i="10"/>
  <c r="V166" i="10"/>
  <c r="W166" i="10"/>
  <c r="X166" i="10"/>
  <c r="P167" i="10"/>
  <c r="Q167" i="10"/>
  <c r="R167" i="10"/>
  <c r="S167" i="10"/>
  <c r="T167" i="10"/>
  <c r="U167" i="10"/>
  <c r="V167" i="10"/>
  <c r="W167" i="10"/>
  <c r="X167" i="10"/>
  <c r="P168" i="10"/>
  <c r="Q168" i="10"/>
  <c r="R168" i="10"/>
  <c r="S168" i="10"/>
  <c r="T168" i="10"/>
  <c r="U168" i="10"/>
  <c r="V168" i="10"/>
  <c r="W168" i="10"/>
  <c r="X168" i="10"/>
  <c r="P169" i="10"/>
  <c r="Q169" i="10"/>
  <c r="R169" i="10"/>
  <c r="S169" i="10"/>
  <c r="T169" i="10"/>
  <c r="U169" i="10"/>
  <c r="V169" i="10"/>
  <c r="W169" i="10"/>
  <c r="X169" i="10"/>
  <c r="P170" i="10"/>
  <c r="Q170" i="10"/>
  <c r="R170" i="10"/>
  <c r="S170" i="10"/>
  <c r="T170" i="10"/>
  <c r="U170" i="10"/>
  <c r="V170" i="10"/>
  <c r="W170" i="10"/>
  <c r="X170" i="10"/>
  <c r="P171" i="10"/>
  <c r="Q171" i="10"/>
  <c r="R171" i="10"/>
  <c r="S171" i="10"/>
  <c r="T171" i="10"/>
  <c r="U171" i="10"/>
  <c r="V171" i="10"/>
  <c r="W171" i="10"/>
  <c r="X171" i="10"/>
  <c r="P172" i="10"/>
  <c r="Q172" i="10"/>
  <c r="R172" i="10"/>
  <c r="S172" i="10"/>
  <c r="T172" i="10"/>
  <c r="U172" i="10"/>
  <c r="V172" i="10"/>
  <c r="W172" i="10"/>
  <c r="X172" i="10"/>
  <c r="P173" i="10"/>
  <c r="Q173" i="10"/>
  <c r="R173" i="10"/>
  <c r="S173" i="10"/>
  <c r="T173" i="10"/>
  <c r="U173" i="10"/>
  <c r="V173" i="10"/>
  <c r="W173" i="10"/>
  <c r="X173" i="10"/>
  <c r="P174" i="10"/>
  <c r="Q174" i="10"/>
  <c r="R174" i="10"/>
  <c r="S174" i="10"/>
  <c r="T174" i="10"/>
  <c r="U174" i="10"/>
  <c r="V174" i="10"/>
  <c r="W174" i="10"/>
  <c r="X174" i="10"/>
  <c r="P175" i="10"/>
  <c r="Q175" i="10"/>
  <c r="R175" i="10"/>
  <c r="S175" i="10"/>
  <c r="T175" i="10"/>
  <c r="U175" i="10"/>
  <c r="V175" i="10"/>
  <c r="W175" i="10"/>
  <c r="X175" i="10"/>
  <c r="P176" i="10"/>
  <c r="Q176" i="10"/>
  <c r="R176" i="10"/>
  <c r="S176" i="10"/>
  <c r="T176" i="10"/>
  <c r="U176" i="10"/>
  <c r="V176" i="10"/>
  <c r="W176" i="10"/>
  <c r="X176" i="10"/>
  <c r="P177" i="10"/>
  <c r="Q177" i="10"/>
  <c r="R177" i="10"/>
  <c r="S177" i="10"/>
  <c r="T177" i="10"/>
  <c r="U177" i="10"/>
  <c r="V177" i="10"/>
  <c r="W177" i="10"/>
  <c r="X177" i="10"/>
  <c r="P178" i="10"/>
  <c r="Q178" i="10"/>
  <c r="R178" i="10"/>
  <c r="S178" i="10"/>
  <c r="T178" i="10"/>
  <c r="U178" i="10"/>
  <c r="V178" i="10"/>
  <c r="W178" i="10"/>
  <c r="X178" i="10"/>
  <c r="P179" i="10"/>
  <c r="Q179" i="10"/>
  <c r="R179" i="10"/>
  <c r="S179" i="10"/>
  <c r="T179" i="10"/>
  <c r="U179" i="10"/>
  <c r="V179" i="10"/>
  <c r="W179" i="10"/>
  <c r="X179" i="10"/>
  <c r="P180" i="10"/>
  <c r="Q180" i="10"/>
  <c r="R180" i="10"/>
  <c r="S180" i="10"/>
  <c r="T180" i="10"/>
  <c r="U180" i="10"/>
  <c r="V180" i="10"/>
  <c r="W180" i="10"/>
  <c r="X180" i="10"/>
  <c r="P181" i="10"/>
  <c r="Q181" i="10"/>
  <c r="R181" i="10"/>
  <c r="S181" i="10"/>
  <c r="T181" i="10"/>
  <c r="U181" i="10"/>
  <c r="V181" i="10"/>
  <c r="W181" i="10"/>
  <c r="X181" i="10"/>
  <c r="P182" i="10"/>
  <c r="Q182" i="10"/>
  <c r="R182" i="10"/>
  <c r="S182" i="10"/>
  <c r="T182" i="10"/>
  <c r="U182" i="10"/>
  <c r="V182" i="10"/>
  <c r="W182" i="10"/>
  <c r="X182" i="10"/>
  <c r="P183" i="10"/>
  <c r="Q183" i="10"/>
  <c r="R183" i="10"/>
  <c r="S183" i="10"/>
  <c r="T183" i="10"/>
  <c r="U183" i="10"/>
  <c r="V183" i="10"/>
  <c r="W183" i="10"/>
  <c r="X183" i="10"/>
  <c r="P184" i="10"/>
  <c r="Q184" i="10"/>
  <c r="R184" i="10"/>
  <c r="S184" i="10"/>
  <c r="T184" i="10"/>
  <c r="U184" i="10"/>
  <c r="V184" i="10"/>
  <c r="W184" i="10"/>
  <c r="X184" i="10"/>
  <c r="P185" i="10"/>
  <c r="Q185" i="10"/>
  <c r="R185" i="10"/>
  <c r="S185" i="10"/>
  <c r="T185" i="10"/>
  <c r="U185" i="10"/>
  <c r="V185" i="10"/>
  <c r="W185" i="10"/>
  <c r="X185" i="10"/>
  <c r="P186" i="10"/>
  <c r="Q186" i="10"/>
  <c r="R186" i="10"/>
  <c r="S186" i="10"/>
  <c r="T186" i="10"/>
  <c r="U186" i="10"/>
  <c r="V186" i="10"/>
  <c r="W186" i="10"/>
  <c r="X186" i="10"/>
  <c r="P187" i="10"/>
  <c r="Q187" i="10"/>
  <c r="R187" i="10"/>
  <c r="S187" i="10"/>
  <c r="T187" i="10"/>
  <c r="U187" i="10"/>
  <c r="V187" i="10"/>
  <c r="W187" i="10"/>
  <c r="X187" i="10"/>
  <c r="P188" i="10"/>
  <c r="Q188" i="10"/>
  <c r="R188" i="10"/>
  <c r="S188" i="10"/>
  <c r="T188" i="10"/>
  <c r="U188" i="10"/>
  <c r="V188" i="10"/>
  <c r="W188" i="10"/>
  <c r="X188" i="10"/>
  <c r="P189" i="10"/>
  <c r="Q189" i="10"/>
  <c r="R189" i="10"/>
  <c r="S189" i="10"/>
  <c r="T189" i="10"/>
  <c r="U189" i="10"/>
  <c r="V189" i="10"/>
  <c r="W189" i="10"/>
  <c r="X189" i="10"/>
  <c r="P190" i="10"/>
  <c r="Q190" i="10"/>
  <c r="R190" i="10"/>
  <c r="S190" i="10"/>
  <c r="T190" i="10"/>
  <c r="U190" i="10"/>
  <c r="V190" i="10"/>
  <c r="W190" i="10"/>
  <c r="X190" i="10"/>
  <c r="P191" i="10"/>
  <c r="Q191" i="10"/>
  <c r="R191" i="10"/>
  <c r="S191" i="10"/>
  <c r="T191" i="10"/>
  <c r="U191" i="10"/>
  <c r="V191" i="10"/>
  <c r="W191" i="10"/>
  <c r="X191" i="10"/>
  <c r="P192" i="10"/>
  <c r="Q192" i="10"/>
  <c r="R192" i="10"/>
  <c r="S192" i="10"/>
  <c r="T192" i="10"/>
  <c r="U192" i="10"/>
  <c r="V192" i="10"/>
  <c r="W192" i="10"/>
  <c r="X192" i="10"/>
  <c r="P193" i="10"/>
  <c r="Q193" i="10"/>
  <c r="R193" i="10"/>
  <c r="S193" i="10"/>
  <c r="T193" i="10"/>
  <c r="U193" i="10"/>
  <c r="V193" i="10"/>
  <c r="W193" i="10"/>
  <c r="X193" i="10"/>
  <c r="P194" i="10"/>
  <c r="Q194" i="10"/>
  <c r="R194" i="10"/>
  <c r="S194" i="10"/>
  <c r="T194" i="10"/>
  <c r="U194" i="10"/>
  <c r="V194" i="10"/>
  <c r="W194" i="10"/>
  <c r="X194" i="10"/>
  <c r="P195" i="10"/>
  <c r="Q195" i="10"/>
  <c r="R195" i="10"/>
  <c r="S195" i="10"/>
  <c r="T195" i="10"/>
  <c r="U195" i="10"/>
  <c r="V195" i="10"/>
  <c r="W195" i="10"/>
  <c r="X195" i="10"/>
  <c r="P196" i="10"/>
  <c r="Q196" i="10"/>
  <c r="R196" i="10"/>
  <c r="S196" i="10"/>
  <c r="T196" i="10"/>
  <c r="U196" i="10"/>
  <c r="V196" i="10"/>
  <c r="W196" i="10"/>
  <c r="X196" i="10"/>
  <c r="P197" i="10"/>
  <c r="Q197" i="10"/>
  <c r="R197" i="10"/>
  <c r="S197" i="10"/>
  <c r="T197" i="10"/>
  <c r="U197" i="10"/>
  <c r="V197" i="10"/>
  <c r="W197" i="10"/>
  <c r="X197" i="10"/>
  <c r="P198" i="10"/>
  <c r="Q198" i="10"/>
  <c r="R198" i="10"/>
  <c r="S198" i="10"/>
  <c r="T198" i="10"/>
  <c r="U198" i="10"/>
  <c r="V198" i="10"/>
  <c r="W198" i="10"/>
  <c r="X198" i="10"/>
  <c r="P199" i="10"/>
  <c r="Q199" i="10"/>
  <c r="R199" i="10"/>
  <c r="S199" i="10"/>
  <c r="T199" i="10"/>
  <c r="U199" i="10"/>
  <c r="V199" i="10"/>
  <c r="W199" i="10"/>
  <c r="X199" i="10"/>
  <c r="P200" i="10"/>
  <c r="Q200" i="10"/>
  <c r="R200" i="10"/>
  <c r="S200" i="10"/>
  <c r="T200" i="10"/>
  <c r="U200" i="10"/>
  <c r="V200" i="10"/>
  <c r="W200" i="10"/>
  <c r="X200" i="10"/>
  <c r="P201" i="10"/>
  <c r="Q201" i="10"/>
  <c r="R201" i="10"/>
  <c r="S201" i="10"/>
  <c r="T201" i="10"/>
  <c r="U201" i="10"/>
  <c r="V201" i="10"/>
  <c r="W201" i="10"/>
  <c r="X201" i="10"/>
  <c r="P202" i="10"/>
  <c r="Q202" i="10"/>
  <c r="R202" i="10"/>
  <c r="S202" i="10"/>
  <c r="T202" i="10"/>
  <c r="U202" i="10"/>
  <c r="V202" i="10"/>
  <c r="W202" i="10"/>
  <c r="X202" i="10"/>
  <c r="P203" i="10"/>
  <c r="Q203" i="10"/>
  <c r="R203" i="10"/>
  <c r="S203" i="10"/>
  <c r="T203" i="10"/>
  <c r="U203" i="10"/>
  <c r="V203" i="10"/>
  <c r="W203" i="10"/>
  <c r="X203" i="10"/>
  <c r="P204" i="10"/>
  <c r="Q204" i="10"/>
  <c r="R204" i="10"/>
  <c r="S204" i="10"/>
  <c r="T204" i="10"/>
  <c r="U204" i="10"/>
  <c r="V204" i="10"/>
  <c r="W204" i="10"/>
  <c r="X204" i="10"/>
  <c r="P205" i="10"/>
  <c r="Q205" i="10"/>
  <c r="R205" i="10"/>
  <c r="S205" i="10"/>
  <c r="T205" i="10"/>
  <c r="U205" i="10"/>
  <c r="V205" i="10"/>
  <c r="W205" i="10"/>
  <c r="X205" i="10"/>
  <c r="P206" i="10"/>
  <c r="Q206" i="10"/>
  <c r="R206" i="10"/>
  <c r="S206" i="10"/>
  <c r="T206" i="10"/>
  <c r="U206" i="10"/>
  <c r="V206" i="10"/>
  <c r="W206" i="10"/>
  <c r="X206" i="10"/>
  <c r="P207" i="10"/>
  <c r="Q207" i="10"/>
  <c r="R207" i="10"/>
  <c r="S207" i="10"/>
  <c r="T207" i="10"/>
  <c r="U207" i="10"/>
  <c r="V207" i="10"/>
  <c r="W207" i="10"/>
  <c r="X207" i="10"/>
  <c r="P208" i="10"/>
  <c r="Q208" i="10"/>
  <c r="R208" i="10"/>
  <c r="S208" i="10"/>
  <c r="T208" i="10"/>
  <c r="U208" i="10"/>
  <c r="V208" i="10"/>
  <c r="W208" i="10"/>
  <c r="X208" i="10"/>
  <c r="P209" i="10"/>
  <c r="Q209" i="10"/>
  <c r="R209" i="10"/>
  <c r="S209" i="10"/>
  <c r="T209" i="10"/>
  <c r="U209" i="10"/>
  <c r="V209" i="10"/>
  <c r="W209" i="10"/>
  <c r="X209" i="10"/>
  <c r="P210" i="10"/>
  <c r="Q210" i="10"/>
  <c r="R210" i="10"/>
  <c r="S210" i="10"/>
  <c r="T210" i="10"/>
  <c r="U210" i="10"/>
  <c r="V210" i="10"/>
  <c r="W210" i="10"/>
  <c r="X210" i="10"/>
  <c r="P211" i="10"/>
  <c r="Q211" i="10"/>
  <c r="R211" i="10"/>
  <c r="S211" i="10"/>
  <c r="T211" i="10"/>
  <c r="U211" i="10"/>
  <c r="V211" i="10"/>
  <c r="W211" i="10"/>
  <c r="X211" i="10"/>
  <c r="P212" i="10"/>
  <c r="Q212" i="10"/>
  <c r="R212" i="10"/>
  <c r="S212" i="10"/>
  <c r="T212" i="10"/>
  <c r="U212" i="10"/>
  <c r="V212" i="10"/>
  <c r="W212" i="10"/>
  <c r="X212" i="10"/>
  <c r="P213" i="10"/>
  <c r="Q213" i="10"/>
  <c r="R213" i="10"/>
  <c r="S213" i="10"/>
  <c r="T213" i="10"/>
  <c r="U213" i="10"/>
  <c r="V213" i="10"/>
  <c r="W213" i="10"/>
  <c r="X213" i="10"/>
  <c r="P214" i="10"/>
  <c r="Q214" i="10"/>
  <c r="R214" i="10"/>
  <c r="S214" i="10"/>
  <c r="T214" i="10"/>
  <c r="U214" i="10"/>
  <c r="V214" i="10"/>
  <c r="W214" i="10"/>
  <c r="X214" i="10"/>
  <c r="P215" i="10"/>
  <c r="Q215" i="10"/>
  <c r="R215" i="10"/>
  <c r="S215" i="10"/>
  <c r="T215" i="10"/>
  <c r="U215" i="10"/>
  <c r="V215" i="10"/>
  <c r="W215" i="10"/>
  <c r="X215" i="10"/>
  <c r="P216" i="10"/>
  <c r="Q216" i="10"/>
  <c r="R216" i="10"/>
  <c r="S216" i="10"/>
  <c r="T216" i="10"/>
  <c r="U216" i="10"/>
  <c r="V216" i="10"/>
  <c r="W216" i="10"/>
  <c r="X216" i="10"/>
  <c r="P217" i="10"/>
  <c r="Q217" i="10"/>
  <c r="R217" i="10"/>
  <c r="S217" i="10"/>
  <c r="T217" i="10"/>
  <c r="U217" i="10"/>
  <c r="V217" i="10"/>
  <c r="W217" i="10"/>
  <c r="X217" i="10"/>
  <c r="P218" i="10"/>
  <c r="Q218" i="10"/>
  <c r="R218" i="10"/>
  <c r="S218" i="10"/>
  <c r="T218" i="10"/>
  <c r="U218" i="10"/>
  <c r="V218" i="10"/>
  <c r="W218" i="10"/>
  <c r="X218" i="10"/>
  <c r="P219" i="10"/>
  <c r="Q219" i="10"/>
  <c r="R219" i="10"/>
  <c r="S219" i="10"/>
  <c r="T219" i="10"/>
  <c r="U219" i="10"/>
  <c r="V219" i="10"/>
  <c r="W219" i="10"/>
  <c r="X219" i="10"/>
  <c r="P220" i="10"/>
  <c r="Q220" i="10"/>
  <c r="R220" i="10"/>
  <c r="S220" i="10"/>
  <c r="T220" i="10"/>
  <c r="U220" i="10"/>
  <c r="V220" i="10"/>
  <c r="W220" i="10"/>
  <c r="X220" i="10"/>
  <c r="P221" i="10"/>
  <c r="Q221" i="10"/>
  <c r="R221" i="10"/>
  <c r="S221" i="10"/>
  <c r="T221" i="10"/>
  <c r="U221" i="10"/>
  <c r="V221" i="10"/>
  <c r="W221" i="10"/>
  <c r="X221" i="10"/>
  <c r="P222" i="10"/>
  <c r="Q222" i="10"/>
  <c r="R222" i="10"/>
  <c r="S222" i="10"/>
  <c r="T222" i="10"/>
  <c r="U222" i="10"/>
  <c r="V222" i="10"/>
  <c r="W222" i="10"/>
  <c r="X222" i="10"/>
  <c r="P223" i="10"/>
  <c r="Q223" i="10"/>
  <c r="R223" i="10"/>
  <c r="S223" i="10"/>
  <c r="T223" i="10"/>
  <c r="U223" i="10"/>
  <c r="V223" i="10"/>
  <c r="W223" i="10"/>
  <c r="X223" i="10"/>
  <c r="P224" i="10"/>
  <c r="Q224" i="10"/>
  <c r="R224" i="10"/>
  <c r="S224" i="10"/>
  <c r="T224" i="10"/>
  <c r="U224" i="10"/>
  <c r="V224" i="10"/>
  <c r="W224" i="10"/>
  <c r="X224" i="10"/>
  <c r="P225" i="10"/>
  <c r="Q225" i="10"/>
  <c r="R225" i="10"/>
  <c r="S225" i="10"/>
  <c r="T225" i="10"/>
  <c r="U225" i="10"/>
  <c r="V225" i="10"/>
  <c r="W225" i="10"/>
  <c r="X225" i="10"/>
  <c r="P226" i="10"/>
  <c r="Q226" i="10"/>
  <c r="R226" i="10"/>
  <c r="S226" i="10"/>
  <c r="T226" i="10"/>
  <c r="U226" i="10"/>
  <c r="V226" i="10"/>
  <c r="W226" i="10"/>
  <c r="X226" i="10"/>
  <c r="P227" i="10"/>
  <c r="Q227" i="10"/>
  <c r="R227" i="10"/>
  <c r="S227" i="10"/>
  <c r="T227" i="10"/>
  <c r="U227" i="10"/>
  <c r="V227" i="10"/>
  <c r="W227" i="10"/>
  <c r="X227" i="10"/>
  <c r="P228" i="10"/>
  <c r="Q228" i="10"/>
  <c r="R228" i="10"/>
  <c r="S228" i="10"/>
  <c r="T228" i="10"/>
  <c r="U228" i="10"/>
  <c r="V228" i="10"/>
  <c r="W228" i="10"/>
  <c r="X228" i="10"/>
  <c r="P229" i="10"/>
  <c r="Q229" i="10"/>
  <c r="R229" i="10"/>
  <c r="S229" i="10"/>
  <c r="T229" i="10"/>
  <c r="U229" i="10"/>
  <c r="V229" i="10"/>
  <c r="W229" i="10"/>
  <c r="X229" i="10"/>
  <c r="P230" i="10"/>
  <c r="Q230" i="10"/>
  <c r="R230" i="10"/>
  <c r="S230" i="10"/>
  <c r="T230" i="10"/>
  <c r="U230" i="10"/>
  <c r="V230" i="10"/>
  <c r="W230" i="10"/>
  <c r="X230" i="10"/>
  <c r="P231" i="10"/>
  <c r="Q231" i="10"/>
  <c r="R231" i="10"/>
  <c r="S231" i="10"/>
  <c r="T231" i="10"/>
  <c r="U231" i="10"/>
  <c r="V231" i="10"/>
  <c r="W231" i="10"/>
  <c r="X231" i="10"/>
  <c r="P232" i="10"/>
  <c r="Q232" i="10"/>
  <c r="R232" i="10"/>
  <c r="S232" i="10"/>
  <c r="T232" i="10"/>
  <c r="U232" i="10"/>
  <c r="V232" i="10"/>
  <c r="W232" i="10"/>
  <c r="X232" i="10"/>
  <c r="P233" i="10"/>
  <c r="Q233" i="10"/>
  <c r="R233" i="10"/>
  <c r="S233" i="10"/>
  <c r="T233" i="10"/>
  <c r="U233" i="10"/>
  <c r="V233" i="10"/>
  <c r="W233" i="10"/>
  <c r="X233" i="10"/>
  <c r="P234" i="10"/>
  <c r="Q234" i="10"/>
  <c r="R234" i="10"/>
  <c r="S234" i="10"/>
  <c r="T234" i="10"/>
  <c r="U234" i="10"/>
  <c r="V234" i="10"/>
  <c r="W234" i="10"/>
  <c r="X234" i="10"/>
  <c r="P235" i="10"/>
  <c r="Q235" i="10"/>
  <c r="R235" i="10"/>
  <c r="S235" i="10"/>
  <c r="T235" i="10"/>
  <c r="U235" i="10"/>
  <c r="V235" i="10"/>
  <c r="W235" i="10"/>
  <c r="X235" i="10"/>
  <c r="P236" i="10"/>
  <c r="Q236" i="10"/>
  <c r="R236" i="10"/>
  <c r="S236" i="10"/>
  <c r="T236" i="10"/>
  <c r="U236" i="10"/>
  <c r="V236" i="10"/>
  <c r="W236" i="10"/>
  <c r="X236" i="10"/>
  <c r="P237" i="10"/>
  <c r="Q237" i="10"/>
  <c r="R237" i="10"/>
  <c r="S237" i="10"/>
  <c r="T237" i="10"/>
  <c r="U237" i="10"/>
  <c r="V237" i="10"/>
  <c r="W237" i="10"/>
  <c r="X237" i="10"/>
  <c r="P238" i="10"/>
  <c r="Q238" i="10"/>
  <c r="R238" i="10"/>
  <c r="S238" i="10"/>
  <c r="T238" i="10"/>
  <c r="U238" i="10"/>
  <c r="V238" i="10"/>
  <c r="W238" i="10"/>
  <c r="X238" i="10"/>
  <c r="P239" i="10"/>
  <c r="Q239" i="10"/>
  <c r="R239" i="10"/>
  <c r="S239" i="10"/>
  <c r="T239" i="10"/>
  <c r="U239" i="10"/>
  <c r="V239" i="10"/>
  <c r="W239" i="10"/>
  <c r="X239" i="10"/>
  <c r="P240" i="10"/>
  <c r="Q240" i="10"/>
  <c r="R240" i="10"/>
  <c r="S240" i="10"/>
  <c r="T240" i="10"/>
  <c r="U240" i="10"/>
  <c r="V240" i="10"/>
  <c r="W240" i="10"/>
  <c r="X240" i="10"/>
  <c r="P241" i="10"/>
  <c r="Q241" i="10"/>
  <c r="R241" i="10"/>
  <c r="S241" i="10"/>
  <c r="T241" i="10"/>
  <c r="U241" i="10"/>
  <c r="V241" i="10"/>
  <c r="W241" i="10"/>
  <c r="X241" i="10"/>
  <c r="P242" i="10"/>
  <c r="Q242" i="10"/>
  <c r="R242" i="10"/>
  <c r="S242" i="10"/>
  <c r="T242" i="10"/>
  <c r="U242" i="10"/>
  <c r="V242" i="10"/>
  <c r="W242" i="10"/>
  <c r="X242" i="10"/>
  <c r="P243" i="10"/>
  <c r="Q243" i="10"/>
  <c r="R243" i="10"/>
  <c r="S243" i="10"/>
  <c r="T243" i="10"/>
  <c r="U243" i="10"/>
  <c r="V243" i="10"/>
  <c r="W243" i="10"/>
  <c r="X243" i="10"/>
  <c r="P244" i="10"/>
  <c r="Q244" i="10"/>
  <c r="R244" i="10"/>
  <c r="S244" i="10"/>
  <c r="T244" i="10"/>
  <c r="U244" i="10"/>
  <c r="V244" i="10"/>
  <c r="W244" i="10"/>
  <c r="X244" i="10"/>
  <c r="P245" i="10"/>
  <c r="Q245" i="10"/>
  <c r="R245" i="10"/>
  <c r="S245" i="10"/>
  <c r="T245" i="10"/>
  <c r="U245" i="10"/>
  <c r="V245" i="10"/>
  <c r="W245" i="10"/>
  <c r="X245" i="10"/>
  <c r="P246" i="10"/>
  <c r="Q246" i="10"/>
  <c r="R246" i="10"/>
  <c r="S246" i="10"/>
  <c r="T246" i="10"/>
  <c r="U246" i="10"/>
  <c r="V246" i="10"/>
  <c r="W246" i="10"/>
  <c r="X246" i="10"/>
  <c r="P247" i="10"/>
  <c r="Q247" i="10"/>
  <c r="R247" i="10"/>
  <c r="S247" i="10"/>
  <c r="T247" i="10"/>
  <c r="U247" i="10"/>
  <c r="V247" i="10"/>
  <c r="W247" i="10"/>
  <c r="X247" i="10"/>
  <c r="P248" i="10"/>
  <c r="Q248" i="10"/>
  <c r="R248" i="10"/>
  <c r="S248" i="10"/>
  <c r="T248" i="10"/>
  <c r="U248" i="10"/>
  <c r="V248" i="10"/>
  <c r="W248" i="10"/>
  <c r="X248" i="10"/>
  <c r="P249" i="10"/>
  <c r="Q249" i="10"/>
  <c r="R249" i="10"/>
  <c r="S249" i="10"/>
  <c r="T249" i="10"/>
  <c r="U249" i="10"/>
  <c r="V249" i="10"/>
  <c r="W249" i="10"/>
  <c r="X249" i="10"/>
  <c r="P250" i="10"/>
  <c r="Q250" i="10"/>
  <c r="R250" i="10"/>
  <c r="S250" i="10"/>
  <c r="T250" i="10"/>
  <c r="U250" i="10"/>
  <c r="V250" i="10"/>
  <c r="W250" i="10"/>
  <c r="X250" i="10"/>
  <c r="P251" i="10"/>
  <c r="Q251" i="10"/>
  <c r="R251" i="10"/>
  <c r="S251" i="10"/>
  <c r="T251" i="10"/>
  <c r="U251" i="10"/>
  <c r="V251" i="10"/>
  <c r="W251" i="10"/>
  <c r="X251" i="10"/>
  <c r="P252" i="10"/>
  <c r="Q252" i="10"/>
  <c r="R252" i="10"/>
  <c r="S252" i="10"/>
  <c r="T252" i="10"/>
  <c r="U252" i="10"/>
  <c r="V252" i="10"/>
  <c r="W252" i="10"/>
  <c r="X252" i="10"/>
  <c r="P253" i="10"/>
  <c r="Q253" i="10"/>
  <c r="R253" i="10"/>
  <c r="S253" i="10"/>
  <c r="T253" i="10"/>
  <c r="U253" i="10"/>
  <c r="V253" i="10"/>
  <c r="W253" i="10"/>
  <c r="X253" i="10"/>
  <c r="P254" i="10"/>
  <c r="Q254" i="10"/>
  <c r="R254" i="10"/>
  <c r="S254" i="10"/>
  <c r="T254" i="10"/>
  <c r="U254" i="10"/>
  <c r="V254" i="10"/>
  <c r="W254" i="10"/>
  <c r="X254" i="10"/>
  <c r="P255" i="10"/>
  <c r="Q255" i="10"/>
  <c r="R255" i="10"/>
  <c r="S255" i="10"/>
  <c r="T255" i="10"/>
  <c r="U255" i="10"/>
  <c r="V255" i="10"/>
  <c r="W255" i="10"/>
  <c r="X255" i="10"/>
  <c r="U4" i="10"/>
  <c r="W4" i="10"/>
  <c r="Q4" i="10"/>
  <c r="R4" i="10"/>
  <c r="S4" i="10"/>
  <c r="T4" i="10"/>
  <c r="J19" i="9" l="1"/>
  <c r="L21" i="11" s="1"/>
  <c r="L15" i="3"/>
  <c r="D256" i="10" l="1"/>
  <c r="C256" i="10"/>
  <c r="D255" i="10"/>
  <c r="C255" i="10"/>
  <c r="D254" i="10"/>
  <c r="C254" i="10"/>
  <c r="D253" i="10"/>
  <c r="C253" i="10"/>
  <c r="D252" i="10"/>
  <c r="C252" i="10"/>
  <c r="D251" i="10"/>
  <c r="C251" i="10"/>
  <c r="D250" i="10"/>
  <c r="C250" i="10"/>
  <c r="D249" i="10"/>
  <c r="C249" i="10"/>
  <c r="D248" i="10"/>
  <c r="C248" i="10"/>
  <c r="D247" i="10"/>
  <c r="C247" i="10"/>
  <c r="D246" i="10"/>
  <c r="C246" i="10"/>
  <c r="D245" i="10"/>
  <c r="C245" i="10"/>
  <c r="D244" i="10"/>
  <c r="C244" i="10"/>
  <c r="D243" i="10"/>
  <c r="C243" i="10"/>
  <c r="D242" i="10"/>
  <c r="C242" i="10"/>
  <c r="D241" i="10"/>
  <c r="C241" i="10"/>
  <c r="D240" i="10"/>
  <c r="C240" i="10"/>
  <c r="D239" i="10"/>
  <c r="C239" i="10"/>
  <c r="D238" i="10"/>
  <c r="C238" i="10"/>
  <c r="D237" i="10"/>
  <c r="C237" i="10"/>
  <c r="D236" i="10"/>
  <c r="C236" i="10"/>
  <c r="D235" i="10"/>
  <c r="C235" i="10"/>
  <c r="D234" i="10"/>
  <c r="C234" i="10"/>
  <c r="D233" i="10"/>
  <c r="C233" i="10"/>
  <c r="D232" i="10"/>
  <c r="C232" i="10"/>
  <c r="D231" i="10"/>
  <c r="C231" i="10"/>
  <c r="D230" i="10"/>
  <c r="C230" i="10"/>
  <c r="D229" i="10"/>
  <c r="C229" i="10"/>
  <c r="D228" i="10"/>
  <c r="C228" i="10"/>
  <c r="D227" i="10"/>
  <c r="C227" i="10"/>
  <c r="D226" i="10"/>
  <c r="C226" i="10"/>
  <c r="D225" i="10"/>
  <c r="C225" i="10"/>
  <c r="D224" i="10"/>
  <c r="C224" i="10"/>
  <c r="D223" i="10"/>
  <c r="C223" i="10"/>
  <c r="D222" i="10"/>
  <c r="C222" i="10"/>
  <c r="D221" i="10"/>
  <c r="C221" i="10"/>
  <c r="D220" i="10"/>
  <c r="C220" i="10"/>
  <c r="D219" i="10"/>
  <c r="C219" i="10"/>
  <c r="D218" i="10"/>
  <c r="C218" i="10"/>
  <c r="D217" i="10"/>
  <c r="C217" i="10"/>
  <c r="D216" i="10"/>
  <c r="C216" i="10"/>
  <c r="D215" i="10"/>
  <c r="C215" i="10"/>
  <c r="D214" i="10"/>
  <c r="C214" i="10"/>
  <c r="D213" i="10"/>
  <c r="C213" i="10"/>
  <c r="D212" i="10"/>
  <c r="C212" i="10"/>
  <c r="D211" i="10"/>
  <c r="C211" i="10"/>
  <c r="D210" i="10"/>
  <c r="C210" i="10"/>
  <c r="D209" i="10"/>
  <c r="C209" i="10"/>
  <c r="D208" i="10"/>
  <c r="C208" i="10"/>
  <c r="D207" i="10"/>
  <c r="C207" i="10"/>
  <c r="D206" i="10"/>
  <c r="C206" i="10"/>
  <c r="D205" i="10"/>
  <c r="C205" i="10"/>
  <c r="D204" i="10"/>
  <c r="C204" i="10"/>
  <c r="D203" i="10"/>
  <c r="C203" i="10"/>
  <c r="D202" i="10"/>
  <c r="C202" i="10"/>
  <c r="D201" i="10"/>
  <c r="C201" i="10"/>
  <c r="D200" i="10"/>
  <c r="C200" i="10"/>
  <c r="D199" i="10"/>
  <c r="C199" i="10"/>
  <c r="D198" i="10"/>
  <c r="C198" i="10"/>
  <c r="D197" i="10"/>
  <c r="C197" i="10"/>
  <c r="D196" i="10"/>
  <c r="C196" i="10"/>
  <c r="D195" i="10"/>
  <c r="C195" i="10"/>
  <c r="D194" i="10"/>
  <c r="C194" i="10"/>
  <c r="D193" i="10"/>
  <c r="C193" i="10"/>
  <c r="D192" i="10"/>
  <c r="C192" i="10"/>
  <c r="D191" i="10"/>
  <c r="C191" i="10"/>
  <c r="D190" i="10"/>
  <c r="C190" i="10"/>
  <c r="D189" i="10"/>
  <c r="C189" i="10"/>
  <c r="D188" i="10"/>
  <c r="C188" i="10"/>
  <c r="D187" i="10"/>
  <c r="C187" i="10"/>
  <c r="D186" i="10"/>
  <c r="C186" i="10"/>
  <c r="D185" i="10"/>
  <c r="C185" i="10"/>
  <c r="D184" i="10"/>
  <c r="C184" i="10"/>
  <c r="D183" i="10"/>
  <c r="C183" i="10"/>
  <c r="D182" i="10"/>
  <c r="C182" i="10"/>
  <c r="D181" i="10"/>
  <c r="C181" i="10"/>
  <c r="D180" i="10"/>
  <c r="C180" i="10"/>
  <c r="D179" i="10"/>
  <c r="C179" i="10"/>
  <c r="D178" i="10"/>
  <c r="C178" i="10"/>
  <c r="D177" i="10"/>
  <c r="C177" i="10"/>
  <c r="D176" i="10"/>
  <c r="C176" i="10"/>
  <c r="D175" i="10"/>
  <c r="C175" i="10"/>
  <c r="D174" i="10"/>
  <c r="C174" i="10"/>
  <c r="D173" i="10"/>
  <c r="C173" i="10"/>
  <c r="D172" i="10"/>
  <c r="C172" i="10"/>
  <c r="D171" i="10"/>
  <c r="C171" i="10"/>
  <c r="D170" i="10"/>
  <c r="C170" i="10"/>
  <c r="D169" i="10"/>
  <c r="C169" i="10"/>
  <c r="D168" i="10"/>
  <c r="C168" i="10"/>
  <c r="D167" i="10"/>
  <c r="C167" i="10"/>
  <c r="D166" i="10"/>
  <c r="C166" i="10"/>
  <c r="D165" i="10"/>
  <c r="C165" i="10"/>
  <c r="D164" i="10"/>
  <c r="C164" i="10"/>
  <c r="D163" i="10"/>
  <c r="C163" i="10"/>
  <c r="D162" i="10"/>
  <c r="C162" i="10"/>
  <c r="D161" i="10"/>
  <c r="C161" i="10"/>
  <c r="D160" i="10"/>
  <c r="C160" i="10"/>
  <c r="D159" i="10"/>
  <c r="C159" i="10"/>
  <c r="D158" i="10"/>
  <c r="C158" i="10"/>
  <c r="D157" i="10"/>
  <c r="C157" i="10"/>
  <c r="D156" i="10"/>
  <c r="C156" i="10"/>
  <c r="D155" i="10"/>
  <c r="C155" i="10"/>
  <c r="D154" i="10"/>
  <c r="C154" i="10"/>
  <c r="D153" i="10"/>
  <c r="C153" i="10"/>
  <c r="D152" i="10"/>
  <c r="C152" i="10"/>
  <c r="D151" i="10"/>
  <c r="C151" i="10"/>
  <c r="D150" i="10"/>
  <c r="C150" i="10"/>
  <c r="D149" i="10"/>
  <c r="C149" i="10"/>
  <c r="D148" i="10"/>
  <c r="C148" i="10"/>
  <c r="D147" i="10"/>
  <c r="C147" i="10"/>
  <c r="D146" i="10"/>
  <c r="C146" i="10"/>
  <c r="D145" i="10"/>
  <c r="C145" i="10"/>
  <c r="D144" i="10"/>
  <c r="C144" i="10"/>
  <c r="D143" i="10"/>
  <c r="C143" i="10"/>
  <c r="D142" i="10"/>
  <c r="C142" i="10"/>
  <c r="D141" i="10"/>
  <c r="C141" i="10"/>
  <c r="D140" i="10"/>
  <c r="C140" i="10"/>
  <c r="D139" i="10"/>
  <c r="C139" i="10"/>
  <c r="D138" i="10"/>
  <c r="C138" i="10"/>
  <c r="D137" i="10"/>
  <c r="C137" i="10"/>
  <c r="D136" i="10"/>
  <c r="C136" i="10"/>
  <c r="D135" i="10"/>
  <c r="C135" i="10"/>
  <c r="D134" i="10"/>
  <c r="C134" i="10"/>
  <c r="D133" i="10"/>
  <c r="C133" i="10"/>
  <c r="D132" i="10"/>
  <c r="C132" i="10"/>
  <c r="D131" i="10"/>
  <c r="C131" i="10"/>
  <c r="D130" i="10"/>
  <c r="C130" i="10"/>
  <c r="D129" i="10"/>
  <c r="C129" i="10"/>
  <c r="D128" i="10"/>
  <c r="C128" i="10"/>
  <c r="D127" i="10"/>
  <c r="C127" i="10"/>
  <c r="D126" i="10"/>
  <c r="C126" i="10"/>
  <c r="D125" i="10"/>
  <c r="C125" i="10"/>
  <c r="D124" i="10"/>
  <c r="C124" i="10"/>
  <c r="D123" i="10"/>
  <c r="C123" i="10"/>
  <c r="D122" i="10"/>
  <c r="C122" i="10"/>
  <c r="D121" i="10"/>
  <c r="C121" i="10"/>
  <c r="D120" i="10"/>
  <c r="C120" i="10"/>
  <c r="D119" i="10"/>
  <c r="C119" i="10"/>
  <c r="D118" i="10"/>
  <c r="C118" i="10"/>
  <c r="D117" i="10"/>
  <c r="C117" i="10"/>
  <c r="D116" i="10"/>
  <c r="C116" i="10"/>
  <c r="D115" i="10"/>
  <c r="C115" i="10"/>
  <c r="D114" i="10"/>
  <c r="C114" i="10"/>
  <c r="D113" i="10"/>
  <c r="C113" i="10"/>
  <c r="D112" i="10"/>
  <c r="C112" i="10"/>
  <c r="D111" i="10"/>
  <c r="C111" i="10"/>
  <c r="D110" i="10"/>
  <c r="C110" i="10"/>
  <c r="D109" i="10"/>
  <c r="C109" i="10"/>
  <c r="D108" i="10"/>
  <c r="C108" i="10"/>
  <c r="D107" i="10"/>
  <c r="C107" i="10"/>
  <c r="D106" i="10"/>
  <c r="C106" i="10"/>
  <c r="D105" i="10"/>
  <c r="C105" i="10"/>
  <c r="D104" i="10"/>
  <c r="C104" i="10"/>
  <c r="D103" i="10"/>
  <c r="C103" i="10"/>
  <c r="D102" i="10"/>
  <c r="C102" i="10"/>
  <c r="D101" i="10"/>
  <c r="C101" i="10"/>
  <c r="D100" i="10"/>
  <c r="C100" i="10"/>
  <c r="D99" i="10"/>
  <c r="C99" i="10"/>
  <c r="D98" i="10"/>
  <c r="C98" i="10"/>
  <c r="D97" i="10"/>
  <c r="C97" i="10"/>
  <c r="D96" i="10"/>
  <c r="C96" i="10"/>
  <c r="D95" i="10"/>
  <c r="C95" i="10"/>
  <c r="D94" i="10"/>
  <c r="C94" i="10"/>
  <c r="D93" i="10"/>
  <c r="C93" i="10"/>
  <c r="D92" i="10"/>
  <c r="C92" i="10"/>
  <c r="D91" i="10"/>
  <c r="C91" i="10"/>
  <c r="D90" i="10"/>
  <c r="C90" i="10"/>
  <c r="D89" i="10"/>
  <c r="C89" i="10"/>
  <c r="D88" i="10"/>
  <c r="C88" i="10"/>
  <c r="D87" i="10"/>
  <c r="C87" i="10"/>
  <c r="D86" i="10"/>
  <c r="C86" i="10"/>
  <c r="D85" i="10"/>
  <c r="C85" i="10"/>
  <c r="D84" i="10"/>
  <c r="C84" i="10"/>
  <c r="D83" i="10"/>
  <c r="C83" i="10"/>
  <c r="D82" i="10"/>
  <c r="C82" i="10"/>
  <c r="D81" i="10"/>
  <c r="C81" i="10"/>
  <c r="D80" i="10"/>
  <c r="C80" i="10"/>
  <c r="D79" i="10"/>
  <c r="C79" i="10"/>
  <c r="D78" i="10"/>
  <c r="C78" i="10"/>
  <c r="D77" i="10"/>
  <c r="C77" i="10"/>
  <c r="D76" i="10"/>
  <c r="C76" i="10"/>
  <c r="D75" i="10"/>
  <c r="C75" i="10"/>
  <c r="D74" i="10"/>
  <c r="C74" i="10"/>
  <c r="D73" i="10"/>
  <c r="C73" i="10"/>
  <c r="D72" i="10"/>
  <c r="C72" i="10"/>
  <c r="D71" i="10"/>
  <c r="C71" i="10"/>
  <c r="D70" i="10"/>
  <c r="C70" i="10"/>
  <c r="D69" i="10"/>
  <c r="C69" i="10"/>
  <c r="D68" i="10"/>
  <c r="C68" i="10"/>
  <c r="D67" i="10"/>
  <c r="C67" i="10"/>
  <c r="D66" i="10"/>
  <c r="C66" i="10"/>
  <c r="D65" i="10"/>
  <c r="C65" i="10"/>
  <c r="D64" i="10"/>
  <c r="C64" i="10"/>
  <c r="D63" i="10"/>
  <c r="C63" i="10"/>
  <c r="D62" i="10"/>
  <c r="C62" i="10"/>
  <c r="D61" i="10"/>
  <c r="C61" i="10"/>
  <c r="D60" i="10"/>
  <c r="C60" i="10"/>
  <c r="D59" i="10"/>
  <c r="C59" i="10"/>
  <c r="D58" i="10"/>
  <c r="C58" i="10"/>
  <c r="D57" i="10"/>
  <c r="C57" i="10"/>
  <c r="D56" i="10"/>
  <c r="C56" i="10"/>
  <c r="D55" i="10"/>
  <c r="C55" i="10"/>
  <c r="D54" i="10"/>
  <c r="C54" i="10"/>
  <c r="D53" i="10"/>
  <c r="C53" i="10"/>
  <c r="D52" i="10"/>
  <c r="C52" i="10"/>
  <c r="D51" i="10"/>
  <c r="C51" i="10"/>
  <c r="D50" i="10"/>
  <c r="C50" i="10"/>
  <c r="D49" i="10"/>
  <c r="C49" i="10"/>
  <c r="D48" i="10"/>
  <c r="C48" i="10"/>
  <c r="D47" i="10"/>
  <c r="C47" i="10"/>
  <c r="D46" i="10"/>
  <c r="C46" i="10"/>
  <c r="D45" i="10"/>
  <c r="C45" i="10"/>
  <c r="D44" i="10"/>
  <c r="C44" i="10"/>
  <c r="D43" i="10"/>
  <c r="C43" i="10"/>
  <c r="D42" i="10"/>
  <c r="C42" i="10"/>
  <c r="D41" i="10"/>
  <c r="C41" i="10"/>
  <c r="D40" i="10"/>
  <c r="C40" i="10"/>
  <c r="D39" i="10"/>
  <c r="C39" i="10"/>
  <c r="D38" i="10"/>
  <c r="C38" i="10"/>
  <c r="D37" i="10"/>
  <c r="C37" i="10"/>
  <c r="D36" i="10"/>
  <c r="C36" i="10"/>
  <c r="D35" i="10"/>
  <c r="C35" i="10"/>
  <c r="D34" i="10"/>
  <c r="C34" i="10"/>
  <c r="D33" i="10"/>
  <c r="C33" i="10"/>
  <c r="D32" i="10"/>
  <c r="C32" i="10"/>
  <c r="D31" i="10"/>
  <c r="C31" i="10"/>
  <c r="D30" i="10"/>
  <c r="C30" i="10"/>
  <c r="D29" i="10"/>
  <c r="C29" i="10"/>
  <c r="D28" i="10"/>
  <c r="C28" i="10"/>
  <c r="D27" i="10"/>
  <c r="C27" i="10"/>
  <c r="D26" i="10"/>
  <c r="C26" i="10"/>
  <c r="D25" i="10"/>
  <c r="C25" i="10"/>
  <c r="D24" i="10"/>
  <c r="C24" i="10"/>
  <c r="D23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9" i="10"/>
  <c r="C9" i="10"/>
  <c r="D8" i="10"/>
  <c r="C8" i="10"/>
  <c r="D7" i="10"/>
  <c r="C7" i="10"/>
  <c r="D6" i="10"/>
  <c r="C6" i="10"/>
  <c r="D5" i="10"/>
  <c r="C5" i="10"/>
  <c r="D4" i="10"/>
  <c r="C4" i="10"/>
  <c r="E10" i="11"/>
  <c r="E9" i="11"/>
  <c r="E8" i="11"/>
  <c r="E7" i="11"/>
  <c r="E6" i="11"/>
  <c r="E5" i="11"/>
  <c r="E4" i="11"/>
  <c r="E3" i="11"/>
  <c r="E2" i="11"/>
  <c r="N7" i="3" l="1"/>
  <c r="N5" i="3"/>
  <c r="K5" i="3"/>
  <c r="L16" i="3"/>
  <c r="N15" i="3" s="1"/>
  <c r="L17" i="3"/>
  <c r="L18" i="3"/>
  <c r="L19" i="3"/>
  <c r="L20" i="3"/>
  <c r="L21" i="3"/>
  <c r="L22" i="3"/>
  <c r="N21" i="3" s="1"/>
  <c r="L23" i="3"/>
  <c r="N22" i="3" s="1"/>
  <c r="L24" i="3"/>
  <c r="N23" i="3" s="1"/>
  <c r="L25" i="3"/>
  <c r="L26" i="3"/>
  <c r="N25" i="3" s="1"/>
  <c r="L27" i="3"/>
  <c r="L28" i="3"/>
  <c r="N27" i="3" s="1"/>
  <c r="L29" i="3"/>
  <c r="N28" i="3" s="1"/>
  <c r="L30" i="3"/>
  <c r="N29" i="3" s="1"/>
  <c r="L31" i="3"/>
  <c r="N30" i="3" s="1"/>
  <c r="L32" i="3"/>
  <c r="L33" i="3"/>
  <c r="L34" i="3"/>
  <c r="L35" i="3"/>
  <c r="L36" i="3"/>
  <c r="N35" i="3" s="1"/>
  <c r="M36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Y3" i="10"/>
  <c r="X3" i="10"/>
  <c r="W3" i="10"/>
  <c r="V3" i="10"/>
  <c r="P3" i="10"/>
  <c r="Q3" i="10"/>
  <c r="U3" i="10"/>
  <c r="T3" i="10"/>
  <c r="S3" i="10"/>
  <c r="R3" i="10"/>
  <c r="L7" i="11" l="1"/>
  <c r="N31" i="3"/>
  <c r="N24" i="3"/>
  <c r="K17" i="11"/>
  <c r="L17" i="11" s="1"/>
  <c r="K18" i="11"/>
  <c r="L18" i="11" s="1"/>
  <c r="N19" i="3"/>
  <c r="N33" i="3"/>
  <c r="N17" i="3"/>
  <c r="N32" i="3"/>
  <c r="N16" i="3"/>
  <c r="N20" i="3"/>
  <c r="N34" i="3"/>
  <c r="N26" i="3"/>
  <c r="N18" i="3"/>
  <c r="N36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L10" i="11" l="1"/>
  <c r="L6" i="11"/>
  <c r="L5" i="11"/>
  <c r="L9" i="11"/>
  <c r="L3" i="11"/>
  <c r="L4" i="11"/>
  <c r="L8" i="11"/>
  <c r="A255" i="10"/>
  <c r="A254" i="10" s="1"/>
  <c r="A253" i="10" s="1"/>
  <c r="A252" i="10" s="1"/>
  <c r="A251" i="10" s="1"/>
  <c r="A250" i="10" s="1"/>
  <c r="A249" i="10" s="1"/>
  <c r="A248" i="10" s="1"/>
  <c r="A247" i="10" s="1"/>
  <c r="A246" i="10" s="1"/>
  <c r="A245" i="10" s="1"/>
  <c r="A244" i="10" s="1"/>
  <c r="A243" i="10" s="1"/>
  <c r="A242" i="10" s="1"/>
  <c r="A241" i="10" s="1"/>
  <c r="A240" i="10" s="1"/>
  <c r="A239" i="10" s="1"/>
  <c r="A238" i="10" s="1"/>
  <c r="A237" i="10" s="1"/>
  <c r="A236" i="10" s="1"/>
  <c r="A235" i="10" s="1"/>
  <c r="A234" i="10" s="1"/>
  <c r="A233" i="10" s="1"/>
  <c r="A232" i="10" s="1"/>
  <c r="A231" i="10" s="1"/>
  <c r="A230" i="10" s="1"/>
  <c r="A229" i="10" s="1"/>
  <c r="A228" i="10" s="1"/>
  <c r="A227" i="10" s="1"/>
  <c r="A226" i="10" s="1"/>
  <c r="A225" i="10" s="1"/>
  <c r="A224" i="10" s="1"/>
  <c r="A223" i="10" s="1"/>
  <c r="A222" i="10" s="1"/>
  <c r="A221" i="10" s="1"/>
  <c r="A220" i="10" s="1"/>
  <c r="A219" i="10" s="1"/>
  <c r="A218" i="10" s="1"/>
  <c r="A217" i="10" s="1"/>
  <c r="A216" i="10" s="1"/>
  <c r="A215" i="10" s="1"/>
  <c r="A214" i="10" s="1"/>
  <c r="A213" i="10" s="1"/>
  <c r="A212" i="10" s="1"/>
  <c r="A211" i="10" s="1"/>
  <c r="A210" i="10" s="1"/>
  <c r="A209" i="10" s="1"/>
  <c r="A208" i="10" s="1"/>
  <c r="A207" i="10" s="1"/>
  <c r="A206" i="10" s="1"/>
  <c r="A205" i="10" s="1"/>
  <c r="A204" i="10" s="1"/>
  <c r="A203" i="10" s="1"/>
  <c r="A202" i="10" s="1"/>
  <c r="A201" i="10" s="1"/>
  <c r="A200" i="10" s="1"/>
  <c r="A199" i="10" s="1"/>
  <c r="A198" i="10" s="1"/>
  <c r="A197" i="10" s="1"/>
  <c r="A196" i="10" s="1"/>
  <c r="A195" i="10" s="1"/>
  <c r="A194" i="10" s="1"/>
  <c r="A193" i="10" s="1"/>
  <c r="A192" i="10" s="1"/>
  <c r="A191" i="10" s="1"/>
  <c r="A190" i="10" s="1"/>
  <c r="A189" i="10" s="1"/>
  <c r="A188" i="10" s="1"/>
  <c r="A187" i="10" s="1"/>
  <c r="A186" i="10" s="1"/>
  <c r="A185" i="10" s="1"/>
  <c r="A184" i="10" s="1"/>
  <c r="A183" i="10" s="1"/>
  <c r="A182" i="10" s="1"/>
  <c r="A181" i="10" s="1"/>
  <c r="A180" i="10" s="1"/>
  <c r="A179" i="10" s="1"/>
  <c r="A178" i="10" s="1"/>
  <c r="A177" i="10" s="1"/>
  <c r="A176" i="10" s="1"/>
  <c r="A175" i="10" s="1"/>
  <c r="A174" i="10" s="1"/>
  <c r="A173" i="10" s="1"/>
  <c r="A172" i="10" s="1"/>
  <c r="A171" i="10" s="1"/>
  <c r="A170" i="10" s="1"/>
  <c r="A169" i="10" s="1"/>
  <c r="A168" i="10" s="1"/>
  <c r="A167" i="10" s="1"/>
  <c r="A166" i="10" s="1"/>
  <c r="A165" i="10" s="1"/>
  <c r="A164" i="10" s="1"/>
  <c r="A163" i="10" s="1"/>
  <c r="A162" i="10" s="1"/>
  <c r="A161" i="10" s="1"/>
  <c r="A160" i="10" s="1"/>
  <c r="A159" i="10" s="1"/>
  <c r="A158" i="10" s="1"/>
  <c r="A157" i="10" s="1"/>
  <c r="A156" i="10" s="1"/>
  <c r="A155" i="10" s="1"/>
  <c r="A154" i="10" s="1"/>
  <c r="A153" i="10" s="1"/>
  <c r="A152" i="10" s="1"/>
  <c r="A151" i="10" s="1"/>
  <c r="A150" i="10" s="1"/>
  <c r="A149" i="10" s="1"/>
  <c r="A148" i="10" s="1"/>
  <c r="A147" i="10" s="1"/>
  <c r="A146" i="10" s="1"/>
  <c r="A145" i="10" s="1"/>
  <c r="A144" i="10" s="1"/>
  <c r="A143" i="10" s="1"/>
  <c r="A142" i="10" s="1"/>
  <c r="A141" i="10" s="1"/>
  <c r="A140" i="10" s="1"/>
  <c r="A139" i="10" s="1"/>
  <c r="A138" i="10" s="1"/>
  <c r="A137" i="10" s="1"/>
  <c r="A136" i="10" s="1"/>
  <c r="A135" i="10" s="1"/>
  <c r="A134" i="10" s="1"/>
  <c r="A133" i="10" s="1"/>
  <c r="A132" i="10" s="1"/>
  <c r="A131" i="10" s="1"/>
  <c r="A130" i="10" s="1"/>
  <c r="A129" i="10" s="1"/>
  <c r="A128" i="10" s="1"/>
  <c r="A127" i="10" s="1"/>
  <c r="A126" i="10" s="1"/>
  <c r="A125" i="10" s="1"/>
  <c r="A124" i="10" s="1"/>
  <c r="A123" i="10" s="1"/>
  <c r="A122" i="10" s="1"/>
  <c r="A121" i="10" s="1"/>
  <c r="A120" i="10" s="1"/>
  <c r="A119" i="10" s="1"/>
  <c r="A118" i="10" s="1"/>
  <c r="A117" i="10" s="1"/>
  <c r="A116" i="10" s="1"/>
  <c r="A115" i="10" s="1"/>
  <c r="A114" i="10" s="1"/>
  <c r="A113" i="10" s="1"/>
  <c r="A112" i="10" s="1"/>
  <c r="A111" i="10" s="1"/>
  <c r="A110" i="10" s="1"/>
  <c r="A109" i="10" s="1"/>
  <c r="A108" i="10" s="1"/>
  <c r="A107" i="10" s="1"/>
  <c r="A106" i="10" s="1"/>
  <c r="A105" i="10" s="1"/>
  <c r="A104" i="10" s="1"/>
  <c r="A103" i="10" s="1"/>
  <c r="A102" i="10" s="1"/>
  <c r="A101" i="10" s="1"/>
  <c r="A100" i="10" s="1"/>
  <c r="A99" i="10" s="1"/>
  <c r="A98" i="10" s="1"/>
  <c r="A97" i="10" s="1"/>
  <c r="A96" i="10" s="1"/>
  <c r="A95" i="10" s="1"/>
  <c r="A94" i="10" s="1"/>
  <c r="A93" i="10" s="1"/>
  <c r="A92" i="10" s="1"/>
  <c r="A91" i="10" s="1"/>
  <c r="A90" i="10" s="1"/>
  <c r="A89" i="10" s="1"/>
  <c r="A88" i="10" s="1"/>
  <c r="A87" i="10" s="1"/>
  <c r="A86" i="10" s="1"/>
  <c r="A85" i="10" s="1"/>
  <c r="A84" i="10" s="1"/>
  <c r="A83" i="10" s="1"/>
  <c r="A82" i="10" s="1"/>
  <c r="A81" i="10" s="1"/>
  <c r="A80" i="10" s="1"/>
  <c r="A79" i="10" s="1"/>
  <c r="A78" i="10" s="1"/>
  <c r="A77" i="10" s="1"/>
  <c r="A76" i="10" s="1"/>
  <c r="A75" i="10" s="1"/>
  <c r="A74" i="10" s="1"/>
  <c r="A73" i="10" s="1"/>
  <c r="A72" i="10" s="1"/>
  <c r="A71" i="10" s="1"/>
  <c r="A70" i="10" s="1"/>
  <c r="A69" i="10" s="1"/>
  <c r="A68" i="10" s="1"/>
  <c r="A67" i="10" s="1"/>
  <c r="A66" i="10" s="1"/>
  <c r="A65" i="10" s="1"/>
  <c r="A64" i="10" s="1"/>
  <c r="A63" i="10" s="1"/>
  <c r="A62" i="10" s="1"/>
  <c r="A61" i="10" s="1"/>
  <c r="A60" i="10" s="1"/>
  <c r="A59" i="10" s="1"/>
  <c r="A58" i="10" s="1"/>
  <c r="A57" i="10" s="1"/>
  <c r="A56" i="10" s="1"/>
  <c r="A55" i="10" s="1"/>
  <c r="A54" i="10" s="1"/>
  <c r="A53" i="10" s="1"/>
  <c r="A52" i="10" s="1"/>
  <c r="A51" i="10" s="1"/>
  <c r="A50" i="10" s="1"/>
  <c r="A49" i="10" s="1"/>
  <c r="A48" i="10" s="1"/>
  <c r="A47" i="10" s="1"/>
  <c r="A46" i="10" s="1"/>
  <c r="A45" i="10" s="1"/>
  <c r="A44" i="10" s="1"/>
  <c r="A43" i="10" s="1"/>
  <c r="A42" i="10" s="1"/>
  <c r="A41" i="10" s="1"/>
  <c r="A40" i="10" s="1"/>
  <c r="A39" i="10" s="1"/>
  <c r="A38" i="10" s="1"/>
  <c r="A37" i="10" s="1"/>
  <c r="A36" i="10" s="1"/>
  <c r="A35" i="10" s="1"/>
  <c r="A34" i="10" s="1"/>
  <c r="A33" i="10" s="1"/>
  <c r="A32" i="10" s="1"/>
  <c r="A31" i="10" s="1"/>
  <c r="A30" i="10" s="1"/>
  <c r="A29" i="10" s="1"/>
  <c r="A28" i="10" s="1"/>
  <c r="A27" i="10" s="1"/>
  <c r="A26" i="10" s="1"/>
  <c r="A25" i="10" s="1"/>
  <c r="A24" i="10" s="1"/>
  <c r="A23" i="10" s="1"/>
  <c r="A22" i="10" s="1"/>
  <c r="A21" i="10" s="1"/>
  <c r="A20" i="10" s="1"/>
  <c r="A19" i="10" s="1"/>
  <c r="A18" i="10" s="1"/>
  <c r="A17" i="10" s="1"/>
  <c r="A16" i="10" s="1"/>
  <c r="A15" i="10" s="1"/>
  <c r="A14" i="10" s="1"/>
  <c r="A13" i="10" s="1"/>
  <c r="A12" i="10" s="1"/>
  <c r="A11" i="10" s="1"/>
  <c r="A10" i="10" s="1"/>
  <c r="A9" i="10" s="1"/>
  <c r="A8" i="10" s="1"/>
  <c r="A7" i="10" s="1"/>
  <c r="A6" i="10" s="1"/>
  <c r="A5" i="10" s="1"/>
  <c r="A4" i="10" s="1"/>
  <c r="L2" i="11" l="1"/>
  <c r="L19" i="11" s="1"/>
  <c r="L23" i="11" s="1"/>
  <c r="M23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tc={A948ED4E-BAF7-4AB8-ABB4-4D184945FFF7}</author>
    <author>tc={7F826A4E-17B1-4B14-8B9A-2D17BE9EE04D}</author>
    <author>tc={863C8D9C-A2E9-4492-B6C7-2170593AD51D}</author>
    <author>tc={B43D59CC-460F-40BC-8EAA-0726BF63E500}</author>
    <author>tc={CFB69730-3EFA-4379-80E1-10C9D179E906}</author>
    <author>tc={5AA33639-CA39-458D-A559-B9E08F6FA2A9}</author>
    <author>tc={F538CDF9-6169-482C-B16A-E3899926E855}</author>
    <author>tc={EA62C85E-4979-43AA-B4FB-C916651ECF36}</author>
    <author>tc={46A8D39F-930B-470A-AE46-2DAAF455B529}</author>
  </authors>
  <commentList>
    <comment ref="B1" authorId="0" shapeId="0" xr:uid="{A948ED4E-BAF7-4AB8-ABB4-4D184945FFF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las condiciones del portafolio que esta manejando sin alguna alteracion prevista</t>
      </text>
    </comment>
    <comment ref="J1" authorId="1" shapeId="0" xr:uid="{7F826A4E-17B1-4B14-8B9A-2D17BE9EE04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Ante un movimiento inprevisto es claro que esto indices se actualicen</t>
      </text>
    </comment>
    <comment ref="B3" authorId="2" shapeId="0" xr:uid="{863C8D9C-A2E9-4492-B6C7-2170593AD51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Monetario que tiene unidad extranjera en valor local en este momento</t>
      </text>
    </comment>
    <comment ref="E3" authorId="3" shapeId="0" xr:uid="{B43D59CC-460F-40BC-8EAA-0726BF63E5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Un índice bursátil es una medida que representa el rendimiento de acciones o bonos (solo los que nos interesa)</t>
      </text>
    </comment>
    <comment ref="K4" authorId="4" shapeId="0" xr:uid="{CFB69730-3EFA-4379-80E1-10C9D179E90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estima un aumento en la divisa del 20%</t>
      </text>
    </comment>
    <comment ref="N4" authorId="5" shapeId="0" xr:uid="{5AA33639-CA39-458D-A559-B9E08F6FA2A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Se estima que el IPC baje un 25%</t>
      </text>
    </comment>
    <comment ref="N6" authorId="6" shapeId="0" xr:uid="{F538CDF9-6169-482C-B16A-E3899926E85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En el caso del indice americano sea del 20%</t>
      </text>
    </comment>
    <comment ref="M10" authorId="7" shapeId="0" xr:uid="{EA62C85E-4979-43AA-B4FB-C916651ECF36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El punto base es una unidad de uso común para medir las tasas de interés.</t>
      </text>
    </comment>
    <comment ref="R10" authorId="8" shapeId="0" xr:uid="{46A8D39F-930B-470A-AE46-2DAAF455B52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las condiciones del portafolio que esta manejando sin alguna alteracion prevista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tc={AF222A23-5A20-4E91-AE1D-D6A7D3B4553D}</author>
  </authors>
  <commentList>
    <comment ref="E3" authorId="0" shapeId="0" xr:uid="{AF222A23-5A20-4E91-AE1D-D6A7D3B4553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Tipo de cambio establecido en ese dia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tc={8AD4EECE-4EBE-4F00-BBF9-92E02097E4C7}</author>
    <author>tc={8FD77D69-3742-44BD-AE28-2C3EB1236C64}</author>
    <author>tc={F27E5361-57A5-4986-8D7F-A54D0288B7EA}</author>
    <author>tc={9850F165-554E-4282-B4B7-8EE218434B8B}</author>
    <author>tc={05FA049E-190D-4EE6-99FF-AEC3207900E9}</author>
    <author>tc={23C0D6C3-2AAD-48EB-B5B8-91BA0C15DDE1}</author>
    <author>tc={AB69E72C-B630-4CCE-86EC-C73E14B0C665}</author>
    <author>tc={678251C3-DC2E-4343-B6E6-2F2090CE56C4}</author>
    <author>tc={EFC5C6A2-06E9-4A99-8ED8-81E9E6B54D6A}</author>
    <author>tc={7282BDFF-6E42-416A-A660-D8413E802BED}</author>
  </authors>
  <commentList>
    <comment ref="A1" authorId="0" shapeId="0" xr:uid="{8AD4EECE-4EBE-4F00-BBF9-92E02097E4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Nombre los activos y intrumentos de deuda que maneja el Portafolio</t>
      </text>
    </comment>
    <comment ref="B1" authorId="1" shapeId="0" xr:uid="{8FD77D69-3742-44BD-AE28-2C3EB1236C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# de activos  y Bonos que tiene el Portafolio</t>
      </text>
    </comment>
    <comment ref="C1" authorId="2" shapeId="0" xr:uid="{F27E5361-57A5-4986-8D7F-A54D0288B7E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instrumentos del deuda</t>
      </text>
    </comment>
    <comment ref="D1" authorId="3" shapeId="0" xr:uid="{9850F165-554E-4282-B4B7-8EE218434B8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intrumentos de deuda</t>
      </text>
    </comment>
    <comment ref="E1" authorId="4" shapeId="0" xr:uid="{05FA049E-190D-4EE6-99FF-AEC3207900E9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intrumentos de deuda</t>
      </text>
    </comment>
    <comment ref="F1" authorId="5" shapeId="0" xr:uid="{23C0D6C3-2AAD-48EB-B5B8-91BA0C15DDE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Valor Nominal de  los Instrumentos de deuda</t>
      </text>
    </comment>
    <comment ref="G1" authorId="6" shapeId="0" xr:uid="{AB69E72C-B630-4CCE-86EC-C73E14B0C66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Tasa cupon de los Instrumentos de deuda</t>
      </text>
    </comment>
    <comment ref="H1" authorId="7" shapeId="0" xr:uid="{678251C3-DC2E-4343-B6E6-2F2090CE56C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Precio de los instrumentos de deuda y activos en la fecha de valuacion (en este caso tenemos que son CETES, BONOS Y ACTIVOS), respecto a su funcion programada</t>
      </text>
    </comment>
    <comment ref="I1" authorId="8" shapeId="0" xr:uid="{EFC5C6A2-06E9-4A99-8ED8-81E9E6B54D6A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Indicamos que valor monetario usa cada activo y instrumento </t>
      </text>
    </comment>
    <comment ref="J1" authorId="9" shapeId="0" xr:uid="{7282BDFF-6E42-416A-A660-D8413E802BE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total de cada instrumento y es:
Posicion * Precio * Tipo_Cambio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tc={A2F8A2D7-E2FE-4A50-A864-9733D867618A}</author>
    <author>tc={3C483786-EF5C-4C48-810C-6C703AE1622D}</author>
    <author>tc={1EC68E9A-DD48-4AAF-9EE7-7BB7E3E73400}</author>
    <author>tc={D0D5C851-282C-4C4E-B673-903848858C83}</author>
    <author>tc={5A66438B-5CF0-4791-8F69-E647F89EEAA8}</author>
    <author>tc={13797721-7E1E-4724-A89C-37FABED339F4}</author>
    <author>tc={85A00BA9-DB56-47AB-B1A5-6FA0F8BC50E5}</author>
    <author>tc={DB40519D-F290-484E-AA8B-8FE3C01B6CC7}</author>
    <author>tc={28367506-696C-47F1-AA49-5BD76FE7FABB}</author>
    <author>tc={DE155273-7C62-4041-9F04-CAF539B44A01}</author>
    <author>tc={F90068BB-2C12-4747-97F8-FD82825AF4DB}</author>
    <author>tc={596C25D7-87EE-4F0E-9C8D-FC419D531664}</author>
  </authors>
  <commentList>
    <comment ref="A1" authorId="0" shapeId="0" xr:uid="{A2F8A2D7-E2FE-4A50-A864-9733D867618A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Nombre los activos y intrumentos de deuda que maneja el Portafolio</t>
      </text>
    </comment>
    <comment ref="B1" authorId="1" shapeId="0" xr:uid="{3C483786-EF5C-4C48-810C-6C703AE1622D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# de activos  y Bonos que tiene el Portafolio</t>
      </text>
    </comment>
    <comment ref="C1" authorId="2" shapeId="0" xr:uid="{1EC68E9A-DD48-4AAF-9EE7-7BB7E3E73400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instrumentos del deuda</t>
      </text>
    </comment>
    <comment ref="D1" authorId="3" shapeId="0" xr:uid="{D0D5C851-282C-4C4E-B673-903848858C83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intrumentos de deuda</t>
      </text>
    </comment>
    <comment ref="E1" authorId="4" shapeId="0" xr:uid="{5A66438B-5CF0-4791-8F69-E647F89EEAA8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Para el caso de los intrumentos de deuda</t>
      </text>
    </comment>
    <comment ref="F1" authorId="5" shapeId="0" xr:uid="{13797721-7E1E-4724-A89C-37FABED339F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Valor Nominal de  los Instrumentos de deuda</t>
      </text>
    </comment>
    <comment ref="G1" authorId="6" shapeId="0" xr:uid="{85A00BA9-DB56-47AB-B1A5-6FA0F8BC50E5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Tasa cupon de los Instrumentos de deuda</t>
      </text>
    </comment>
    <comment ref="H1" authorId="7" shapeId="0" xr:uid="{DB40519D-F290-484E-AA8B-8FE3C01B6CC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Precios calculados en "el portafolio Base"</t>
      </text>
    </comment>
    <comment ref="I1" authorId="8" shapeId="0" xr:uid="{28367506-696C-47F1-AA49-5BD76FE7FABB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coeficientes calculados en la regresion lineal</t>
      </text>
    </comment>
    <comment ref="J1" authorId="9" shapeId="0" xr:uid="{DE155273-7C62-4041-9F04-CAF539B44A01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Son los Precios en base a las curva dada por el escenario impactado</t>
      </text>
    </comment>
    <comment ref="K1" authorId="10" shapeId="0" xr:uid="{F90068BB-2C12-4747-97F8-FD82825AF4DB}">
      <text>
        <t xml:space="preserve"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Indicamos que valor monetario usa cada activo y instrumento </t>
      </text>
    </comment>
    <comment ref="L1" authorId="11" shapeId="0" xr:uid="{596C25D7-87EE-4F0E-9C8D-FC419D531664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Es el valor total de cada instrumento y es:
Posicion * Precio * Tipo_Cambio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<sst xmlns="http://schemas.openxmlformats.org/spreadsheetml/2006/main" count="116" uniqueCount="64">
  <si>
    <t>Instrumento</t>
  </si>
  <si>
    <t>TC</t>
  </si>
  <si>
    <t>M_BONO_20270603</t>
  </si>
  <si>
    <t>M_BONO_20361120</t>
  </si>
  <si>
    <t>M_BONO_20421113</t>
  </si>
  <si>
    <t>M_BONO_20471107</t>
  </si>
  <si>
    <t>Plazo (Días)</t>
  </si>
  <si>
    <t>Inf</t>
  </si>
  <si>
    <t>Sup</t>
  </si>
  <si>
    <t>Posición</t>
  </si>
  <si>
    <t>Valuación</t>
  </si>
  <si>
    <t>NAFTRAC</t>
  </si>
  <si>
    <t>LACOMER</t>
  </si>
  <si>
    <t>CEMEX</t>
  </si>
  <si>
    <t>PEÑOLES</t>
  </si>
  <si>
    <t>VOLAR</t>
  </si>
  <si>
    <t>GAP</t>
  </si>
  <si>
    <t>AMZN</t>
  </si>
  <si>
    <t>TESLA</t>
  </si>
  <si>
    <t>ID</t>
  </si>
  <si>
    <t>Fecha</t>
  </si>
  <si>
    <t>Año</t>
  </si>
  <si>
    <t>Mes</t>
  </si>
  <si>
    <t>T.C.</t>
  </si>
  <si>
    <t>AMZN (USD)</t>
  </si>
  <si>
    <t>TESLA (USD)</t>
  </si>
  <si>
    <t>FACTORES BASE</t>
  </si>
  <si>
    <t>Tipo de Cambio =</t>
  </si>
  <si>
    <t>DIVISAS:</t>
  </si>
  <si>
    <t>ÍNDICES:</t>
  </si>
  <si>
    <t>IPC (Mex) =</t>
  </si>
  <si>
    <t>S&amp;P500 (Ext) =</t>
  </si>
  <si>
    <t>IPC (MEX)</t>
  </si>
  <si>
    <t>S&amp;P500 (USD)</t>
  </si>
  <si>
    <t>Betas</t>
  </si>
  <si>
    <t>CURVA:</t>
  </si>
  <si>
    <t>Impacto a Curva =</t>
  </si>
  <si>
    <t>P.B</t>
  </si>
  <si>
    <t>Acción</t>
  </si>
  <si>
    <t>Precio Base</t>
  </si>
  <si>
    <t>Precio Impactado</t>
  </si>
  <si>
    <t>Precio</t>
  </si>
  <si>
    <t>Curva de Tasas en Pesos (MXN) - 15-Mar-2024</t>
  </si>
  <si>
    <t>BI_CETES_240329</t>
  </si>
  <si>
    <t>BI_CETES_240426</t>
  </si>
  <si>
    <t>BI_CETES_240607</t>
  </si>
  <si>
    <t>BI_CETES_240705</t>
  </si>
  <si>
    <t>BI_CETES_240802</t>
  </si>
  <si>
    <t>FACTORES BAJO ESCENARIO IMPACTADO</t>
  </si>
  <si>
    <t>Valuacion_Portafolio_Base</t>
  </si>
  <si>
    <t>Movimiento_Tasas</t>
  </si>
  <si>
    <t>Movimiento_IPC</t>
  </si>
  <si>
    <t>Movimiento_S&amp;P500</t>
  </si>
  <si>
    <t>Analisis de Regresion lineal</t>
  </si>
  <si>
    <r>
      <t xml:space="preserve">Beta </t>
    </r>
    <r>
      <rPr>
        <b/>
        <i/>
        <sz val="11"/>
        <color theme="1"/>
        <rFont val="Calibri"/>
        <family val="2"/>
        <scheme val="minor"/>
      </rPr>
      <t>(B)</t>
    </r>
  </si>
  <si>
    <t>Rendimientos Diarios</t>
  </si>
  <si>
    <t>Fecha_Valuación</t>
  </si>
  <si>
    <t>Fecha_Vencimiento</t>
  </si>
  <si>
    <t>Plazo_Vencimiento</t>
  </si>
  <si>
    <t>VN</t>
  </si>
  <si>
    <t>Tipo_Cambio</t>
  </si>
  <si>
    <t>Valuacion_Portafolio_Impactado</t>
  </si>
  <si>
    <t>Diferencia</t>
  </si>
  <si>
    <t>Movimiento_Tipo_Cambio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</si>
</sst>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&quot;$&quot;* #,##0.00_-;\-&quot;$&quot;* #,##0.00_-;_-&quot;$&quot;* &quot;-&quot;??_-;_-@_-"/>
    <numFmt numFmtId="43" formatCode="_-* #,##0.00_-;\-* #,##0.00_-;_-* &quot;-&quot;??_-;_-@_-"/>
    <numFmt numFmtId="164" formatCode="0.0%"/>
    <numFmt numFmtId="165" formatCode="_-* #,##0.000_-;\-* #,##0.000_-;_-* &quot;-&quot;??_-;_-@_-"/>
    <numFmt numFmtId="166" formatCode="0.000"/>
    <numFmt numFmtId="167" formatCode="_-* #,##0.0000_-;\-* #,##0.0000_-;_-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51">
    <xf numFmtId="0" fontId="0" fillId="0" borderId="0" xfId="0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/>
    <xf numFmtId="10" fontId="0" fillId="0" borderId="0" xfId="2" applyNumberFormat="1" applyFont="1" applyAlignment="1">
      <alignment horizontal="center"/>
    </xf>
    <xf numFmtId="44" fontId="2" fillId="0" borderId="2" xfId="0" applyNumberFormat="1" applyFont="1" applyBorder="1"/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164" fontId="0" fillId="0" borderId="0" xfId="2" applyNumberFormat="1" applyFont="1" applyAlignment="1">
      <alignment horizontal="center"/>
    </xf>
    <xf numFmtId="43" fontId="0" fillId="0" borderId="0" xfId="3" applyFont="1"/>
    <xf numFmtId="164" fontId="0" fillId="0" borderId="0" xfId="0" applyNumberFormat="1"/>
    <xf numFmtId="0" fontId="2" fillId="0" borderId="0" xfId="0" applyFont="1" applyAlignment="1">
      <alignment horizontal="left" indent="1"/>
    </xf>
    <xf numFmtId="9" fontId="4" fillId="3" borderId="0" xfId="0" applyNumberFormat="1" applyFont="1" applyFill="1" applyAlignment="1">
      <alignment horizontal="center"/>
    </xf>
    <xf numFmtId="9" fontId="0" fillId="0" borderId="0" xfId="2" applyFont="1" applyAlignment="1">
      <alignment horizontal="center"/>
    </xf>
    <xf numFmtId="0" fontId="2" fillId="0" borderId="0" xfId="0" applyFont="1" applyAlignment="1">
      <alignment horizontal="left"/>
    </xf>
    <xf numFmtId="44" fontId="0" fillId="0" borderId="0" xfId="1" applyFont="1"/>
    <xf numFmtId="44" fontId="4" fillId="0" borderId="2" xfId="1" applyFont="1" applyBorder="1"/>
    <xf numFmtId="9" fontId="0" fillId="0" borderId="0" xfId="0" applyNumberFormat="1" applyAlignment="1">
      <alignment horizontal="center"/>
    </xf>
    <xf numFmtId="165" fontId="0" fillId="2" borderId="0" xfId="3" applyNumberFormat="1" applyFont="1" applyFill="1" applyAlignment="1">
      <alignment horizontal="center"/>
    </xf>
    <xf numFmtId="165" fontId="0" fillId="2" borderId="0" xfId="3" applyNumberFormat="1" applyFont="1" applyFill="1"/>
    <xf numFmtId="0" fontId="2" fillId="0" borderId="1" xfId="0" applyFont="1" applyBorder="1" applyAlignment="1">
      <alignment horizontal="center"/>
    </xf>
    <xf numFmtId="0" fontId="2" fillId="4" borderId="0" xfId="0" applyFont="1" applyFill="1" applyAlignment="1">
      <alignment horizontal="center" vertical="center"/>
    </xf>
    <xf numFmtId="4" fontId="0" fillId="0" borderId="1" xfId="0" applyNumberFormat="1" applyBorder="1" applyAlignment="1">
      <alignment horizontal="center"/>
    </xf>
    <xf numFmtId="43" fontId="0" fillId="0" borderId="1" xfId="3" applyFont="1" applyBorder="1"/>
    <xf numFmtId="0" fontId="3" fillId="3" borderId="1" xfId="0" applyFont="1" applyFill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0" fontId="0" fillId="0" borderId="6" xfId="2" applyNumberFormat="1" applyFont="1" applyBorder="1" applyAlignment="1">
      <alignment horizontal="center"/>
    </xf>
    <xf numFmtId="10" fontId="0" fillId="0" borderId="7" xfId="2" applyNumberFormat="1" applyFont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10" fontId="0" fillId="0" borderId="3" xfId="2" applyNumberFormat="1" applyFont="1" applyBorder="1" applyAlignment="1">
      <alignment horizontal="center"/>
    </xf>
    <xf numFmtId="10" fontId="0" fillId="0" borderId="10" xfId="2" applyNumberFormat="1" applyFont="1" applyBorder="1" applyAlignment="1">
      <alignment horizontal="center"/>
    </xf>
    <xf numFmtId="3" fontId="0" fillId="0" borderId="8" xfId="0" applyNumberFormat="1" applyBorder="1" applyAlignment="1">
      <alignment horizontal="center"/>
    </xf>
    <xf numFmtId="3" fontId="0" fillId="0" borderId="9" xfId="0" applyNumberForma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3" fontId="0" fillId="0" borderId="8" xfId="0" applyNumberFormat="1" applyBorder="1" applyAlignment="1">
      <alignment horizontal="center" vertical="center"/>
    </xf>
    <xf numFmtId="3" fontId="0" fillId="0" borderId="9" xfId="0" applyNumberForma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3" xfId="0" applyNumberFormat="1" applyBorder="1" applyAlignment="1">
      <alignment horizontal="center" vertic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2" fillId="0" borderId="0" xfId="0" applyFont="1" applyAlignment="1">
      <alignment horizontal="center" vertical="center"/>
    </xf>
    <xf numFmtId="43" fontId="2" fillId="0" borderId="1" xfId="3" applyFont="1" applyBorder="1"/>
    <xf numFmtId="0" fontId="2" fillId="0" borderId="0" xfId="0" applyFont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2" fillId="0" borderId="0" xfId="0" applyFont="1" applyBorder="1" applyAlignment="1"/>
    <xf numFmtId="0" fontId="2" fillId="0" borderId="1" xfId="0" applyFont="1" applyBorder="1" applyAlignment="1">
      <alignment horizontal="center" vertical="center"/>
    </xf>
    <xf numFmtId="165" fontId="0" fillId="3" borderId="0" xfId="3" applyNumberFormat="1" applyFont="1" applyFill="1"/>
    <xf numFmtId="4" fontId="4" fillId="0" borderId="14" xfId="0" applyNumberFormat="1" applyFon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2" fontId="0" fillId="0" borderId="16" xfId="0" applyNumberFormat="1" applyBorder="1" applyAlignment="1">
      <alignment horizontal="center"/>
    </xf>
    <xf numFmtId="14" fontId="4" fillId="0" borderId="1" xfId="0" applyNumberFormat="1" applyFont="1" applyBorder="1"/>
    <xf numFmtId="1" fontId="4" fillId="0" borderId="1" xfId="0" applyNumberFormat="1" applyFont="1" applyBorder="1" applyAlignment="1">
      <alignment horizontal="center"/>
    </xf>
    <xf numFmtId="14" fontId="0" fillId="0" borderId="1" xfId="0" applyNumberFormat="1" applyBorder="1"/>
    <xf numFmtId="1" fontId="0" fillId="0" borderId="1" xfId="0" applyNumberFormat="1" applyBorder="1" applyAlignment="1">
      <alignment horizontal="center"/>
    </xf>
    <xf numFmtId="4" fontId="4" fillId="0" borderId="5" xfId="0" applyNumberFormat="1" applyFont="1" applyBorder="1"/>
    <xf numFmtId="4" fontId="4" fillId="0" borderId="6" xfId="0" applyNumberFormat="1" applyFont="1" applyBorder="1"/>
    <xf numFmtId="4" fontId="4" fillId="0" borderId="7" xfId="0" applyNumberFormat="1" applyFont="1" applyBorder="1"/>
    <xf numFmtId="4" fontId="0" fillId="0" borderId="8" xfId="0" applyNumberFormat="1" applyBorder="1"/>
    <xf numFmtId="4" fontId="0" fillId="0" borderId="0" xfId="0" applyNumberFormat="1" applyBorder="1"/>
    <xf numFmtId="4" fontId="0" fillId="0" borderId="4" xfId="0" applyNumberFormat="1" applyBorder="1"/>
    <xf numFmtId="4" fontId="0" fillId="0" borderId="9" xfId="0" applyNumberFormat="1" applyBorder="1"/>
    <xf numFmtId="4" fontId="0" fillId="0" borderId="3" xfId="0" applyNumberFormat="1" applyBorder="1"/>
    <xf numFmtId="4" fontId="0" fillId="0" borderId="10" xfId="0" applyNumberFormat="1" applyBorder="1"/>
    <xf numFmtId="4" fontId="4" fillId="0" borderId="14" xfId="0" applyNumberFormat="1" applyFont="1" applyBorder="1"/>
    <xf numFmtId="4" fontId="0" fillId="0" borderId="15" xfId="0" applyNumberFormat="1" applyBorder="1"/>
    <xf numFmtId="4" fontId="0" fillId="0" borderId="16" xfId="0" applyNumberFormat="1" applyBorder="1"/>
    <xf numFmtId="0" fontId="7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 vertical="center"/>
    </xf>
    <xf numFmtId="0" fontId="8" fillId="3" borderId="12" xfId="0" applyFont="1" applyFill="1" applyBorder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164" fontId="0" fillId="0" borderId="5" xfId="2" applyNumberFormat="1" applyFont="1" applyBorder="1" applyAlignment="1">
      <alignment horizontal="center"/>
    </xf>
    <xf numFmtId="164" fontId="0" fillId="0" borderId="6" xfId="2" applyNumberFormat="1" applyFont="1" applyBorder="1" applyAlignment="1">
      <alignment horizontal="center"/>
    </xf>
    <xf numFmtId="164" fontId="0" fillId="0" borderId="7" xfId="2" applyNumberFormat="1" applyFont="1" applyBorder="1" applyAlignment="1">
      <alignment horizontal="center"/>
    </xf>
    <xf numFmtId="164" fontId="0" fillId="0" borderId="8" xfId="2" applyNumberFormat="1" applyFont="1" applyBorder="1" applyAlignment="1">
      <alignment horizontal="center"/>
    </xf>
    <xf numFmtId="164" fontId="0" fillId="0" borderId="0" xfId="2" applyNumberFormat="1" applyFont="1" applyBorder="1" applyAlignment="1">
      <alignment horizontal="center"/>
    </xf>
    <xf numFmtId="164" fontId="0" fillId="0" borderId="4" xfId="2" applyNumberFormat="1" applyFont="1" applyBorder="1" applyAlignment="1">
      <alignment horizontal="center"/>
    </xf>
    <xf numFmtId="164" fontId="0" fillId="0" borderId="9" xfId="2" applyNumberFormat="1" applyFont="1" applyBorder="1" applyAlignment="1">
      <alignment horizontal="center"/>
    </xf>
    <xf numFmtId="164" fontId="0" fillId="0" borderId="3" xfId="2" applyNumberFormat="1" applyFont="1" applyBorder="1" applyAlignment="1">
      <alignment horizontal="center"/>
    </xf>
    <xf numFmtId="164" fontId="0" fillId="0" borderId="10" xfId="2" applyNumberFormat="1" applyFont="1" applyBorder="1" applyAlignment="1">
      <alignment horizontal="center"/>
    </xf>
    <xf numFmtId="164" fontId="0" fillId="0" borderId="14" xfId="2" applyNumberFormat="1" applyFont="1" applyBorder="1" applyAlignment="1">
      <alignment horizontal="center"/>
    </xf>
    <xf numFmtId="164" fontId="0" fillId="0" borderId="15" xfId="2" applyNumberFormat="1" applyFont="1" applyBorder="1" applyAlignment="1">
      <alignment horizontal="center"/>
    </xf>
    <xf numFmtId="164" fontId="0" fillId="0" borderId="16" xfId="2" applyNumberFormat="1" applyFont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3" fontId="0" fillId="0" borderId="5" xfId="0" applyNumberFormat="1" applyBorder="1" applyAlignment="1">
      <alignment horizontal="center"/>
    </xf>
    <xf numFmtId="14" fontId="0" fillId="0" borderId="6" xfId="0" applyNumberFormat="1" applyBorder="1" applyAlignment="1">
      <alignment horizontal="center"/>
    </xf>
    <xf numFmtId="14" fontId="0" fillId="0" borderId="6" xfId="0" applyNumberFormat="1" applyBorder="1"/>
    <xf numFmtId="1" fontId="0" fillId="0" borderId="6" xfId="0" applyNumberFormat="1" applyBorder="1" applyAlignment="1">
      <alignment horizontal="center"/>
    </xf>
    <xf numFmtId="44" fontId="0" fillId="0" borderId="6" xfId="1" applyFont="1" applyFill="1" applyBorder="1"/>
    <xf numFmtId="0" fontId="0" fillId="2" borderId="6" xfId="0" applyFill="1" applyBorder="1"/>
    <xf numFmtId="44" fontId="0" fillId="8" borderId="6" xfId="1" applyFont="1" applyFill="1" applyBorder="1"/>
    <xf numFmtId="43" fontId="0" fillId="8" borderId="6" xfId="3" applyFont="1" applyFill="1" applyBorder="1"/>
    <xf numFmtId="44" fontId="0" fillId="8" borderId="7" xfId="1" applyFont="1" applyFill="1" applyBorder="1"/>
    <xf numFmtId="14" fontId="0" fillId="0" borderId="0" xfId="0" applyNumberFormat="1" applyBorder="1" applyAlignment="1">
      <alignment horizontal="center"/>
    </xf>
    <xf numFmtId="14" fontId="0" fillId="0" borderId="0" xfId="0" applyNumberFormat="1" applyBorder="1"/>
    <xf numFmtId="1" fontId="0" fillId="0" borderId="0" xfId="0" applyNumberFormat="1" applyBorder="1" applyAlignment="1">
      <alignment horizontal="center"/>
    </xf>
    <xf numFmtId="44" fontId="0" fillId="0" borderId="0" xfId="1" applyFont="1" applyFill="1" applyBorder="1"/>
    <xf numFmtId="0" fontId="0" fillId="2" borderId="0" xfId="0" applyFill="1" applyBorder="1"/>
    <xf numFmtId="44" fontId="0" fillId="8" borderId="0" xfId="1" applyFont="1" applyFill="1" applyBorder="1"/>
    <xf numFmtId="43" fontId="0" fillId="8" borderId="0" xfId="3" applyFont="1" applyFill="1" applyBorder="1"/>
    <xf numFmtId="44" fontId="0" fillId="8" borderId="4" xfId="1" applyFont="1" applyFill="1" applyBorder="1"/>
    <xf numFmtId="14" fontId="0" fillId="0" borderId="3" xfId="0" applyNumberFormat="1" applyBorder="1" applyAlignment="1">
      <alignment horizontal="center"/>
    </xf>
    <xf numFmtId="14" fontId="0" fillId="0" borderId="3" xfId="0" applyNumberFormat="1" applyBorder="1"/>
    <xf numFmtId="1" fontId="0" fillId="0" borderId="3" xfId="0" applyNumberFormat="1" applyBorder="1" applyAlignment="1">
      <alignment horizontal="center"/>
    </xf>
    <xf numFmtId="44" fontId="0" fillId="0" borderId="3" xfId="1" applyFont="1" applyFill="1" applyBorder="1"/>
    <xf numFmtId="0" fontId="0" fillId="2" borderId="3" xfId="0" applyFill="1" applyBorder="1"/>
    <xf numFmtId="44" fontId="0" fillId="8" borderId="3" xfId="1" applyFont="1" applyFill="1" applyBorder="1"/>
    <xf numFmtId="43" fontId="0" fillId="8" borderId="3" xfId="3" applyFont="1" applyFill="1" applyBorder="1"/>
    <xf numFmtId="44" fontId="0" fillId="8" borderId="10" xfId="1" applyFont="1" applyFill="1" applyBorder="1"/>
    <xf numFmtId="10" fontId="0" fillId="0" borderId="6" xfId="0" applyNumberFormat="1" applyBorder="1" applyAlignment="1">
      <alignment horizontal="center"/>
    </xf>
    <xf numFmtId="44" fontId="0" fillId="9" borderId="6" xfId="1" applyFont="1" applyFill="1" applyBorder="1"/>
    <xf numFmtId="43" fontId="0" fillId="9" borderId="6" xfId="3" applyFont="1" applyFill="1" applyBorder="1"/>
    <xf numFmtId="44" fontId="0" fillId="9" borderId="7" xfId="1" applyFont="1" applyFill="1" applyBorder="1"/>
    <xf numFmtId="10" fontId="0" fillId="0" borderId="0" xfId="0" applyNumberFormat="1" applyBorder="1" applyAlignment="1">
      <alignment horizontal="center"/>
    </xf>
    <xf numFmtId="44" fontId="0" fillId="9" borderId="0" xfId="1" applyFont="1" applyFill="1" applyBorder="1"/>
    <xf numFmtId="43" fontId="0" fillId="9" borderId="0" xfId="3" applyFont="1" applyFill="1" applyBorder="1"/>
    <xf numFmtId="44" fontId="0" fillId="9" borderId="4" xfId="1" applyFont="1" applyFill="1" applyBorder="1"/>
    <xf numFmtId="10" fontId="0" fillId="0" borderId="3" xfId="0" applyNumberFormat="1" applyBorder="1" applyAlignment="1">
      <alignment horizontal="center"/>
    </xf>
    <xf numFmtId="44" fontId="0" fillId="9" borderId="3" xfId="1" applyFont="1" applyFill="1" applyBorder="1"/>
    <xf numFmtId="43" fontId="0" fillId="9" borderId="3" xfId="3" applyFont="1" applyFill="1" applyBorder="1"/>
    <xf numFmtId="44" fontId="0" fillId="9" borderId="10" xfId="1" applyFont="1" applyFill="1" applyBorder="1"/>
    <xf numFmtId="44" fontId="2" fillId="0" borderId="17" xfId="0" applyNumberFormat="1" applyFont="1" applyBorder="1"/>
    <xf numFmtId="44" fontId="0" fillId="10" borderId="6" xfId="1" applyFont="1" applyFill="1" applyBorder="1"/>
    <xf numFmtId="43" fontId="0" fillId="10" borderId="6" xfId="3" applyFont="1" applyFill="1" applyBorder="1"/>
    <xf numFmtId="44" fontId="0" fillId="10" borderId="7" xfId="1" applyFont="1" applyFill="1" applyBorder="1"/>
    <xf numFmtId="44" fontId="0" fillId="10" borderId="0" xfId="1" applyFont="1" applyFill="1" applyBorder="1"/>
    <xf numFmtId="43" fontId="0" fillId="10" borderId="0" xfId="3" applyFont="1" applyFill="1" applyBorder="1"/>
    <xf numFmtId="44" fontId="0" fillId="10" borderId="4" xfId="1" applyFont="1" applyFill="1" applyBorder="1"/>
    <xf numFmtId="167" fontId="0" fillId="10" borderId="0" xfId="3" applyNumberFormat="1" applyFont="1" applyFill="1" applyBorder="1"/>
    <xf numFmtId="44" fontId="0" fillId="10" borderId="3" xfId="1" applyFont="1" applyFill="1" applyBorder="1"/>
    <xf numFmtId="167" fontId="0" fillId="10" borderId="3" xfId="3" applyNumberFormat="1" applyFont="1" applyFill="1" applyBorder="1"/>
    <xf numFmtId="44" fontId="0" fillId="10" borderId="10" xfId="1" applyFont="1" applyFill="1" applyBorder="1"/>
    <xf numFmtId="44" fontId="4" fillId="0" borderId="18" xfId="0" applyNumberFormat="1" applyFont="1" applyBorder="1"/>
    <xf numFmtId="10" fontId="5" fillId="0" borderId="18" xfId="2" applyNumberFormat="1" applyFont="1" applyBorder="1" applyAlignment="1">
      <alignment horizontal="center"/>
    </xf>
    <xf numFmtId="0" fontId="2" fillId="0" borderId="14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/>
    </xf>
    <xf numFmtId="166" fontId="0" fillId="10" borderId="6" xfId="1" applyNumberFormat="1" applyFont="1" applyFill="1" applyBorder="1" applyAlignment="1">
      <alignment horizontal="center"/>
    </xf>
    <xf numFmtId="166" fontId="0" fillId="10" borderId="0" xfId="1" applyNumberFormat="1" applyFont="1" applyFill="1" applyBorder="1" applyAlignment="1">
      <alignment horizontal="center"/>
    </xf>
    <xf numFmtId="166" fontId="0" fillId="10" borderId="3" xfId="1" applyNumberFormat="1" applyFont="1" applyFill="1" applyBorder="1" applyAlignment="1">
      <alignment horizontal="center"/>
    </xf>
    <xf numFmtId="43" fontId="0" fillId="10" borderId="3" xfId="3" applyFont="1" applyFill="1" applyBorder="1"/>
    <xf numFmtId="43" fontId="0" fillId="3" borderId="0" xfId="3" applyFont="1" applyFill="1"/>
  </cellXfs>
  <cellStyles count="4">
    <cellStyle name="Millares" xfId="3" builtinId="3"/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89271</xdr:colOff>
      <xdr:row>1</xdr:row>
      <xdr:rowOff>176987</xdr:rowOff>
    </xdr:from>
    <xdr:to>
      <xdr:col>22</xdr:col>
      <xdr:colOff>126994</xdr:colOff>
      <xdr:row>6</xdr:row>
      <xdr:rowOff>110972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FFA3CCBB-2924-DAFD-7194-F2A21F55E77A}"/>
            </a:ext>
          </a:extLst>
        </xdr:cNvPr>
        <xdr:cNvSpPr txBox="1"/>
      </xdr:nvSpPr>
      <xdr:spPr>
        <a:xfrm>
          <a:off x="12222087" y="371186"/>
          <a:ext cx="5345829" cy="904980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>
              <a:solidFill>
                <a:schemeClr val="dk1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Ante un movimiento inprevisto de alguna situacion economica llena de incertidumbre o consecuencia de algun tipo de consecuencia economica </a:t>
          </a:r>
          <a:r>
            <a:rPr lang="es-MX" sz="1200" b="1" i="1">
              <a:solidFill>
                <a:schemeClr val="dk1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(o de algun tipo)</a:t>
          </a:r>
          <a:r>
            <a:rPr lang="es-MX" sz="1200">
              <a:solidFill>
                <a:schemeClr val="dk1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, es claro que se trate de actualizar los indicadores de para ser lo mas fiel a la situacion.</a:t>
          </a:r>
          <a:r>
            <a:rPr lang="es-MX" sz="1200" baseline="0">
              <a:solidFill>
                <a:schemeClr val="dk1"/>
              </a:solidFill>
              <a:effectLst/>
              <a:latin typeface="Agency FB" panose="020B0503020202020204" pitchFamily="34" charset="0"/>
              <a:ea typeface="+mn-ea"/>
              <a:cs typeface="+mn-cs"/>
            </a:rPr>
            <a:t> Tambien el Proposito de esto analisis es ver el impacto ocasionado por medio de perdida estimada.</a:t>
          </a:r>
          <a:endParaRPr lang="es-MX" sz="12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13</xdr:col>
      <xdr:colOff>730559</xdr:colOff>
      <xdr:row>0</xdr:row>
      <xdr:rowOff>157210</xdr:rowOff>
    </xdr:from>
    <xdr:to>
      <xdr:col>15</xdr:col>
      <xdr:colOff>89272</xdr:colOff>
      <xdr:row>4</xdr:row>
      <xdr:rowOff>46881</xdr:rowOff>
    </xdr:to>
    <xdr:cxnSp macro="">
      <xdr:nvCxnSpPr>
        <xdr:cNvPr id="4" name="Conector: angular 3">
          <a:extLst>
            <a:ext uri="{FF2B5EF4-FFF2-40B4-BE49-F238E27FC236}">
              <a16:creationId xmlns:a16="http://schemas.microsoft.com/office/drawing/2014/main" id="{8D3A6327-E41F-CE5D-F404-AC298D480BF2}"/>
            </a:ext>
          </a:extLst>
        </xdr:cNvPr>
        <xdr:cNvCxnSpPr>
          <a:stCxn id="2" idx="1"/>
        </xdr:cNvCxnSpPr>
      </xdr:nvCxnSpPr>
      <xdr:spPr>
        <a:xfrm rot="10800000">
          <a:off x="11346773" y="157210"/>
          <a:ext cx="875315" cy="666467"/>
        </a:xfrm>
        <a:prstGeom prst="bentConnector3">
          <a:avLst/>
        </a:prstGeom>
        <a:ln w="19050" cap="flat" cmpd="sng" algn="ctr">
          <a:solidFill>
            <a:schemeClr val="dk1"/>
          </a:solidFill>
          <a:prstDash val="dash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409575</xdr:colOff>
      <xdr:row>8</xdr:row>
      <xdr:rowOff>0</xdr:rowOff>
    </xdr:from>
    <xdr:to>
      <xdr:col>16</xdr:col>
      <xdr:colOff>152400</xdr:colOff>
      <xdr:row>10</xdr:row>
      <xdr:rowOff>85725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489E3747-BBD6-4375-B268-91C944F7FFC9}"/>
            </a:ext>
          </a:extLst>
        </xdr:cNvPr>
        <xdr:cNvSpPr txBox="1"/>
      </xdr:nvSpPr>
      <xdr:spPr>
        <a:xfrm>
          <a:off x="10829925" y="1524000"/>
          <a:ext cx="2028825" cy="657225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>
              <a:latin typeface="Agency FB" panose="020B0503020202020204" pitchFamily="34" charset="0"/>
            </a:rPr>
            <a:t>En</a:t>
          </a:r>
          <a:r>
            <a:rPr lang="es-MX" sz="1200" baseline="0">
              <a:latin typeface="Agency FB" panose="020B0503020202020204" pitchFamily="34" charset="0"/>
            </a:rPr>
            <a:t> este ejemplo estamos tomado valores arbitrarios para ver el funcionamiento de esto....</a:t>
          </a:r>
          <a:endParaRPr lang="es-MX" sz="12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20</xdr:col>
      <xdr:colOff>428626</xdr:colOff>
      <xdr:row>9</xdr:row>
      <xdr:rowOff>11906</xdr:rowOff>
    </xdr:from>
    <xdr:to>
      <xdr:col>25</xdr:col>
      <xdr:colOff>476250</xdr:colOff>
      <xdr:row>13</xdr:row>
      <xdr:rowOff>83344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5CF0AA18-790A-4199-BFEA-D324C59BA5CE}"/>
            </a:ext>
          </a:extLst>
        </xdr:cNvPr>
        <xdr:cNvSpPr txBox="1"/>
      </xdr:nvSpPr>
      <xdr:spPr>
        <a:xfrm>
          <a:off x="16180595" y="1726406"/>
          <a:ext cx="3857624" cy="1023938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>
              <a:latin typeface="Agency FB" panose="020B0503020202020204" pitchFamily="34" charset="0"/>
            </a:rPr>
            <a:t>Se</a:t>
          </a:r>
          <a:r>
            <a:rPr lang="es-MX" sz="1200" baseline="0">
              <a:latin typeface="Agency FB" panose="020B0503020202020204" pitchFamily="34" charset="0"/>
            </a:rPr>
            <a:t> realiza un modelo de </a:t>
          </a:r>
          <a:r>
            <a:rPr lang="es-MX" sz="1200" b="1" baseline="0">
              <a:latin typeface="Agency FB" panose="020B0503020202020204" pitchFamily="34" charset="0"/>
            </a:rPr>
            <a:t>regresion lineal </a:t>
          </a:r>
          <a:r>
            <a:rPr lang="es-MX" sz="1200" baseline="0">
              <a:latin typeface="Agency FB" panose="020B0503020202020204" pitchFamily="34" charset="0"/>
            </a:rPr>
            <a:t>donde  ingresamos:</a:t>
          </a:r>
        </a:p>
        <a:p>
          <a:pPr algn="ctr"/>
          <a:r>
            <a:rPr lang="es-MX" sz="1200" baseline="0">
              <a:latin typeface="Agency FB" panose="020B0503020202020204" pitchFamily="34" charset="0"/>
            </a:rPr>
            <a:t>- los rendimientos del activo </a:t>
          </a:r>
          <a:r>
            <a:rPr lang="es-MX" sz="1200" b="1" baseline="0">
              <a:latin typeface="Agency FB" panose="020B0503020202020204" pitchFamily="34" charset="0"/>
            </a:rPr>
            <a:t>(Y)</a:t>
          </a:r>
        </a:p>
        <a:p>
          <a:pPr algn="ctr"/>
          <a:r>
            <a:rPr lang="es-MX" sz="1200" baseline="0">
              <a:latin typeface="Agency FB" panose="020B0503020202020204" pitchFamily="34" charset="0"/>
            </a:rPr>
            <a:t>- los rendimientos de los indices correspondientes a las accion </a:t>
          </a:r>
          <a:r>
            <a:rPr lang="es-MX" sz="1200" b="1" baseline="0">
              <a:latin typeface="Agency FB" panose="020B0503020202020204" pitchFamily="34" charset="0"/>
            </a:rPr>
            <a:t>(X)</a:t>
          </a:r>
        </a:p>
        <a:p>
          <a:pPr algn="ctr"/>
          <a:r>
            <a:rPr lang="es-MX" sz="1200" baseline="0">
              <a:latin typeface="Agency FB" panose="020B0503020202020204" pitchFamily="34" charset="0"/>
            </a:rPr>
            <a:t>y nos devuelva el coeficiente </a:t>
          </a:r>
          <a:r>
            <a:rPr lang="es-MX" sz="1200" b="1" baseline="0">
              <a:latin typeface="Agency FB" panose="020B0503020202020204" pitchFamily="34" charset="0"/>
            </a:rPr>
            <a:t>(B)</a:t>
          </a:r>
          <a:r>
            <a:rPr lang="es-MX" sz="1200" baseline="0">
              <a:latin typeface="Agency FB" panose="020B0503020202020204" pitchFamily="34" charset="0"/>
            </a:rPr>
            <a:t> que maneja la recta de regresion que estimo.</a:t>
          </a:r>
        </a:p>
      </xdr:txBody>
    </xdr:sp>
    <xdr:clientData/>
  </xdr:twoCellAnchor>
  <xdr:twoCellAnchor>
    <xdr:from>
      <xdr:col>20</xdr:col>
      <xdr:colOff>275167</xdr:colOff>
      <xdr:row>14</xdr:row>
      <xdr:rowOff>158750</xdr:rowOff>
    </xdr:from>
    <xdr:to>
      <xdr:col>25</xdr:col>
      <xdr:colOff>322791</xdr:colOff>
      <xdr:row>18</xdr:row>
      <xdr:rowOff>0</xdr:rowOff>
    </xdr:to>
    <xdr:sp macro="" textlink="">
      <xdr:nvSpPr>
        <xdr:cNvPr id="8" name="CuadroTexto 7">
          <a:extLst>
            <a:ext uri="{FF2B5EF4-FFF2-40B4-BE49-F238E27FC236}">
              <a16:creationId xmlns:a16="http://schemas.microsoft.com/office/drawing/2014/main" id="{D14DE312-4D03-4018-8934-A7AEA08965EA}"/>
            </a:ext>
          </a:extLst>
        </xdr:cNvPr>
        <xdr:cNvSpPr txBox="1"/>
      </xdr:nvSpPr>
      <xdr:spPr>
        <a:xfrm>
          <a:off x="16023167" y="3016250"/>
          <a:ext cx="3857624" cy="603250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aseline="0">
              <a:latin typeface="Agency FB" panose="020B0503020202020204" pitchFamily="34" charset="0"/>
            </a:rPr>
            <a:t>Las acciones mexicanas se manejan con con indices mexicanos y respectivamente con cualquier pais </a:t>
          </a:r>
        </a:p>
      </xdr:txBody>
    </xdr:sp>
    <xdr:clientData/>
  </xdr:twoCellAnchor>
  <xdr:twoCellAnchor>
    <xdr:from>
      <xdr:col>15</xdr:col>
      <xdr:colOff>486834</xdr:colOff>
      <xdr:row>21</xdr:row>
      <xdr:rowOff>52916</xdr:rowOff>
    </xdr:from>
    <xdr:to>
      <xdr:col>20</xdr:col>
      <xdr:colOff>534458</xdr:colOff>
      <xdr:row>24</xdr:row>
      <xdr:rowOff>84666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2B6E5EF9-9B4E-42AF-A965-474904E79019}"/>
            </a:ext>
          </a:extLst>
        </xdr:cNvPr>
        <xdr:cNvSpPr txBox="1"/>
      </xdr:nvSpPr>
      <xdr:spPr>
        <a:xfrm>
          <a:off x="12424834" y="4243916"/>
          <a:ext cx="3857624" cy="603250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 baseline="0">
              <a:latin typeface="Agency FB" panose="020B0503020202020204" pitchFamily="34" charset="0"/>
            </a:rPr>
            <a:t>Por cada 1% de movimiento de cada Betas se espera el % de movimientos de los instrumentos (ya sea perdida o ganancias)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483576</xdr:colOff>
      <xdr:row>0</xdr:row>
      <xdr:rowOff>36634</xdr:rowOff>
    </xdr:from>
    <xdr:to>
      <xdr:col>12</xdr:col>
      <xdr:colOff>879230</xdr:colOff>
      <xdr:row>1</xdr:row>
      <xdr:rowOff>153865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DE61723C-0C4D-4BC3-BA6B-837C118D8C9A}"/>
            </a:ext>
          </a:extLst>
        </xdr:cNvPr>
        <xdr:cNvSpPr txBox="1"/>
      </xdr:nvSpPr>
      <xdr:spPr>
        <a:xfrm>
          <a:off x="2960076" y="36634"/>
          <a:ext cx="7268308" cy="307731"/>
        </a:xfrm>
        <a:prstGeom prst="rect">
          <a:avLst/>
        </a:prstGeom>
        <a:ln w="38100"/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200">
              <a:latin typeface="Agency FB" panose="020B0503020202020204" pitchFamily="34" charset="0"/>
            </a:rPr>
            <a:t>Este</a:t>
          </a:r>
          <a:r>
            <a:rPr lang="es-MX" sz="1200" baseline="0">
              <a:latin typeface="Agency FB" panose="020B0503020202020204" pitchFamily="34" charset="0"/>
            </a:rPr>
            <a:t> es un registro de los precios de las acciones del portafolio junto con los indices bursatiles que maneja del ultimo ano financiero (252 dias)...</a:t>
          </a:r>
          <a:endParaRPr lang="es-MX" sz="1200">
            <a:latin typeface="Agency FB" panose="020B0503020202020204" pitchFamily="34" charset="0"/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MENDIETA LOPEZ" id="{B2332024-4AC2-4E70-BF79-19C97DECC517}" userId="S::mendieta_lopez_david@comunidad.unam.mx::50135692-ec2c-489a-957d-9bedbfc7b984" providerId="AD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" dT="2024-04-12T18:52:42.57" personId="{B2332024-4AC2-4E70-BF79-19C97DECC517}" id="{A948ED4E-BAF7-4AB8-ABB4-4D184945FFF7}">
    <text>Son las condiciones del portafolio que esta manejando sin alguna alteracion prevista</text>
  </threadedComment>
  <threadedComment ref="J1" dT="2024-04-12T19:20:44.55" personId="{B2332024-4AC2-4E70-BF79-19C97DECC517}" id="{7F826A4E-17B1-4B14-8B9A-2D17BE9EE04D}">
    <text>Ante un movimiento inprevisto es claro que esto indices se actualicen</text>
  </threadedComment>
  <threadedComment ref="B3" dT="2024-04-12T20:03:31.91" personId="{B2332024-4AC2-4E70-BF79-19C97DECC517}" id="{863C8D9C-A2E9-4492-B6C7-2170593AD51D}">
    <text>Es el valor Monetario que tiene unidad extranjera en valor local en este momento</text>
  </threadedComment>
  <threadedComment ref="E3" dT="2024-04-12T20:13:30.09" personId="{B2332024-4AC2-4E70-BF79-19C97DECC517}" id="{B43D59CC-460F-40BC-8EAA-0726BF63E500}">
    <text>Un índice bursátil es una medida que representa el rendimiento de acciones o bonos (solo los que nos interesa)</text>
  </threadedComment>
  <threadedComment ref="K4" dT="2024-04-12T20:26:38.99" personId="{B2332024-4AC2-4E70-BF79-19C97DECC517}" id="{CFB69730-3EFA-4379-80E1-10C9D179E906}">
    <text>Se estima un aumento en la divisa del 20%</text>
  </threadedComment>
  <threadedComment ref="N4" dT="2024-04-12T20:27:18.99" personId="{B2332024-4AC2-4E70-BF79-19C97DECC517}" id="{5AA33639-CA39-458D-A559-B9E08F6FA2A9}">
    <text>Se estima que el IPC baje un 25%</text>
  </threadedComment>
  <threadedComment ref="N6" dT="2024-04-12T20:27:52.92" personId="{B2332024-4AC2-4E70-BF79-19C97DECC517}" id="{F538CDF9-6169-482C-B16A-E3899926E855}">
    <text>En el caso del indice americano sea del 20%</text>
  </threadedComment>
  <threadedComment ref="M10" dT="2024-04-12T20:23:54.23" personId="{B2332024-4AC2-4E70-BF79-19C97DECC517}" id="{EA62C85E-4979-43AA-B4FB-C916651ECF36}">
    <text>El punto base es una unidad de uso común para medir las tasas de interés.</text>
  </threadedComment>
  <threadedComment ref="R10" dT="2024-04-12T18:52:42.57" personId="{B2332024-4AC2-4E70-BF79-19C97DECC517}" id="{46A8D39F-930B-470A-AE46-2DAAF455B529}">
    <text>Son las condiciones del portafolio que esta manejando sin alguna alteracion prevista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E3" dT="2024-04-12T21:03:57.21" personId="{B2332024-4AC2-4E70-BF79-19C97DECC517}" id="{AF222A23-5A20-4E91-AE1D-D6A7D3B4553D}">
    <text>Tipo de cambio establecido en ese dia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A1" dT="2024-04-12T21:12:29.29" personId="{B2332024-4AC2-4E70-BF79-19C97DECC517}" id="{8AD4EECE-4EBE-4F00-BBF9-92E02097E4C7}">
    <text>Nombre los activos y intrumentos de deuda que maneja el Portafolio</text>
  </threadedComment>
  <threadedComment ref="B1" dT="2024-04-12T21:14:28.36" personId="{B2332024-4AC2-4E70-BF79-19C97DECC517}" id="{8FD77D69-3742-44BD-AE28-2C3EB1236C64}">
    <text># de activos  y Bonos que tiene el Portafolio</text>
  </threadedComment>
  <threadedComment ref="C1" dT="2024-04-12T21:17:49.26" personId="{B2332024-4AC2-4E70-BF79-19C97DECC517}" id="{F27E5361-57A5-4986-8D7F-A54D0288B7EA}">
    <text>Para el caso de los instrumentos del deuda</text>
  </threadedComment>
  <threadedComment ref="D1" dT="2024-04-12T21:18:33.32" personId="{B2332024-4AC2-4E70-BF79-19C97DECC517}" id="{9850F165-554E-4282-B4B7-8EE218434B8B}">
    <text>Para el caso de los intrumentos de deuda</text>
  </threadedComment>
  <threadedComment ref="E1" dT="2024-04-12T21:19:00.28" personId="{B2332024-4AC2-4E70-BF79-19C97DECC517}" id="{05FA049E-190D-4EE6-99FF-AEC3207900E9}">
    <text>Para el caso de los intrumentos de deuda</text>
  </threadedComment>
  <threadedComment ref="F1" dT="2024-04-12T21:19:25.67" personId="{B2332024-4AC2-4E70-BF79-19C97DECC517}" id="{23C0D6C3-2AAD-48EB-B5B8-91BA0C15DDE1}">
    <text>Valor Nominal de  los Instrumentos de deuda</text>
  </threadedComment>
  <threadedComment ref="G1" dT="2024-04-12T21:19:43.80" personId="{B2332024-4AC2-4E70-BF79-19C97DECC517}" id="{AB69E72C-B630-4CCE-86EC-C73E14B0C665}">
    <text>Tasa cupon de los Instrumentos de deuda</text>
  </threadedComment>
  <threadedComment ref="H1" dT="2024-04-12T21:22:56.93" personId="{B2332024-4AC2-4E70-BF79-19C97DECC517}" id="{678251C3-DC2E-4343-B6E6-2F2090CE56C4}">
    <text>Es el Precio de los instrumentos de deuda y activos en la fecha de valuacion (en este caso tenemos que son CETES, BONOS Y ACTIVOS), respecto a su funcion programada</text>
  </threadedComment>
  <threadedComment ref="I1" dT="2024-04-12T21:56:49.77" personId="{B2332024-4AC2-4E70-BF79-19C97DECC517}" id="{EFC5C6A2-06E9-4A99-8ED8-81E9E6B54D6A}">
    <text xml:space="preserve">Indicamos que valor monetario usa cada activo y instrumento </text>
  </threadedComment>
  <threadedComment ref="J1" dT="2024-04-12T23:21:41.30" personId="{B2332024-4AC2-4E70-BF79-19C97DECC517}" id="{7282BDFF-6E42-416A-A660-D8413E802BED}">
    <text>Es el valor total de cada instrumento y es:
Posicion * Precio * Tipo_Cambio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1" dT="2024-04-12T21:12:29.29" personId="{B2332024-4AC2-4E70-BF79-19C97DECC517}" id="{A2F8A2D7-E2FE-4A50-A864-9733D867618A}">
    <text>Nombre los activos y intrumentos de deuda que maneja el Portafolio</text>
  </threadedComment>
  <threadedComment ref="B1" dT="2024-04-12T21:14:28.36" personId="{B2332024-4AC2-4E70-BF79-19C97DECC517}" id="{3C483786-EF5C-4C48-810C-6C703AE1622D}">
    <text># de activos  y Bonos que tiene el Portafolio</text>
  </threadedComment>
  <threadedComment ref="C1" dT="2024-04-12T21:17:49.26" personId="{B2332024-4AC2-4E70-BF79-19C97DECC517}" id="{1EC68E9A-DD48-4AAF-9EE7-7BB7E3E73400}">
    <text>Para el caso de los instrumentos del deuda</text>
  </threadedComment>
  <threadedComment ref="D1" dT="2024-04-12T21:18:33.32" personId="{B2332024-4AC2-4E70-BF79-19C97DECC517}" id="{D0D5C851-282C-4C4E-B673-903848858C83}">
    <text>Para el caso de los intrumentos de deuda</text>
  </threadedComment>
  <threadedComment ref="E1" dT="2024-04-12T21:19:00.28" personId="{B2332024-4AC2-4E70-BF79-19C97DECC517}" id="{5A66438B-5CF0-4791-8F69-E647F89EEAA8}">
    <text>Para el caso de los intrumentos de deuda</text>
  </threadedComment>
  <threadedComment ref="F1" dT="2024-04-12T21:19:25.67" personId="{B2332024-4AC2-4E70-BF79-19C97DECC517}" id="{13797721-7E1E-4724-A89C-37FABED339F4}">
    <text>Valor Nominal de  los Instrumentos de deuda</text>
  </threadedComment>
  <threadedComment ref="G1" dT="2024-04-12T21:19:43.80" personId="{B2332024-4AC2-4E70-BF79-19C97DECC517}" id="{85A00BA9-DB56-47AB-B1A5-6FA0F8BC50E5}">
    <text>Tasa cupon de los Instrumentos de deuda</text>
  </threadedComment>
  <threadedComment ref="H1" dT="2024-04-12T23:25:32.27" personId="{B2332024-4AC2-4E70-BF79-19C97DECC517}" id="{DB40519D-F290-484E-AA8B-8FE3C01B6CC7}">
    <text>Son los Precios calculados en "el portafolio Base"</text>
  </threadedComment>
  <threadedComment ref="I1" dT="2024-04-12T23:26:44.69" personId="{B2332024-4AC2-4E70-BF79-19C97DECC517}" id="{28367506-696C-47F1-AA49-5BD76FE7FABB}">
    <text>Son los coeficientes calculados en la regresion lineal</text>
  </threadedComment>
  <threadedComment ref="J1" dT="2024-04-12T23:34:40.57" personId="{B2332024-4AC2-4E70-BF79-19C97DECC517}" id="{DE155273-7C62-4041-9F04-CAF539B44A01}">
    <text>Son los Precios en base a las curva dada por el escenario impactado</text>
  </threadedComment>
  <threadedComment ref="K1" dT="2024-04-12T21:56:49.77" personId="{B2332024-4AC2-4E70-BF79-19C97DECC517}" id="{F90068BB-2C12-4747-97F8-FD82825AF4DB}">
    <text xml:space="preserve">Indicamos que valor monetario usa cada activo y instrumento </text>
  </threadedComment>
  <threadedComment ref="L1" dT="2024-04-12T23:21:41.30" personId="{B2332024-4AC2-4E70-BF79-19C97DECC517}" id="{596C25D7-87EE-4F0E-9C8D-FC419D531664}">
    <text>Es el valor total de cada instrumento y es:
Posicion * Precio * Tipo_Cambio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17/10/relationships/threadedComment" Target="../threadedComments/threadedComment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2.bin"/><Relationship Id="rId4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CBF0E-07D4-48E5-860D-B8E657415C76}">
  <sheetPr codeName="Hoja1"/>
  <dimension ref="B1:U36"/>
  <sheetViews>
    <sheetView tabSelected="1" zoomScale="90" zoomScaleNormal="100" workbookViewId="0">
      <selection activeCell="N6" sqref="N6"/>
    </sheetView>
  </sheetViews>
  <sheetFormatPr baseColWidth="10" defaultRowHeight="15" x14ac:dyDescent="0.25"/>
  <cols>
    <col min="1" max="1" width="4.140625" customWidth="1"/>
    <col min="2" max="2" width="17" bestFit="1" customWidth="1"/>
    <col min="3" max="3" width="14.7109375" customWidth="1"/>
    <col min="5" max="5" width="15" bestFit="1" customWidth="1"/>
    <col min="8" max="8" width="5.140625" style="3" customWidth="1"/>
    <col min="10" max="10" width="16.5703125" bestFit="1" customWidth="1"/>
    <col min="11" max="11" width="12.85546875" customWidth="1"/>
    <col min="13" max="13" width="13.7109375" bestFit="1" customWidth="1"/>
  </cols>
  <sheetData>
    <row r="1" spans="2:21" x14ac:dyDescent="0.25">
      <c r="B1" s="20" t="s">
        <v>26</v>
      </c>
      <c r="C1" s="20"/>
      <c r="D1" s="20"/>
      <c r="E1" s="20"/>
      <c r="F1" s="20"/>
      <c r="J1" s="43" t="s">
        <v>48</v>
      </c>
      <c r="K1" s="44"/>
      <c r="L1" s="44"/>
      <c r="M1" s="44"/>
      <c r="N1" s="45"/>
    </row>
    <row r="3" spans="2:21" x14ac:dyDescent="0.25">
      <c r="B3" s="21" t="s">
        <v>28</v>
      </c>
      <c r="E3" s="21" t="s">
        <v>29</v>
      </c>
      <c r="J3" s="21" t="s">
        <v>28</v>
      </c>
      <c r="M3" s="21" t="s">
        <v>29</v>
      </c>
    </row>
    <row r="4" spans="2:21" x14ac:dyDescent="0.25">
      <c r="K4" s="12">
        <v>0.2</v>
      </c>
      <c r="N4" s="12">
        <v>-0.25</v>
      </c>
    </row>
    <row r="5" spans="2:21" x14ac:dyDescent="0.25">
      <c r="B5" s="6" t="s">
        <v>27</v>
      </c>
      <c r="C5" s="22">
        <f>+'Mercado Accionario y TC'!E4</f>
        <v>16.693000000000001</v>
      </c>
      <c r="E5" s="6" t="s">
        <v>30</v>
      </c>
      <c r="F5" s="23">
        <f>+'Mercado Accionario y TC'!N4</f>
        <v>56228.4</v>
      </c>
      <c r="J5" s="6" t="s">
        <v>27</v>
      </c>
      <c r="K5" s="7">
        <f>+C5*(1+K4)</f>
        <v>20.031600000000001</v>
      </c>
      <c r="M5" s="6" t="s">
        <v>30</v>
      </c>
      <c r="N5" s="47">
        <f>+F5*(1+N4)</f>
        <v>42171.3</v>
      </c>
      <c r="S5" s="2"/>
      <c r="T5" s="2"/>
    </row>
    <row r="6" spans="2:21" x14ac:dyDescent="0.25">
      <c r="E6" s="6" t="s">
        <v>31</v>
      </c>
      <c r="F6" s="23">
        <f>+'Mercado Accionario y TC'!O4</f>
        <v>5117.09</v>
      </c>
      <c r="N6" s="12">
        <v>-0.2</v>
      </c>
      <c r="S6" s="17"/>
      <c r="T6" s="4"/>
    </row>
    <row r="7" spans="2:21" x14ac:dyDescent="0.25">
      <c r="M7" s="6" t="s">
        <v>31</v>
      </c>
      <c r="N7" s="47">
        <f>+F6*(1+N6)</f>
        <v>4093.6720000000005</v>
      </c>
    </row>
    <row r="8" spans="2:21" x14ac:dyDescent="0.25">
      <c r="B8" s="24" t="s">
        <v>42</v>
      </c>
      <c r="C8" s="24"/>
      <c r="D8" s="24"/>
      <c r="E8" s="24"/>
      <c r="F8" s="24"/>
    </row>
    <row r="9" spans="2:21" x14ac:dyDescent="0.25">
      <c r="J9" s="11"/>
      <c r="K9" s="21" t="s">
        <v>35</v>
      </c>
      <c r="M9" s="9"/>
    </row>
    <row r="10" spans="2:21" ht="30" x14ac:dyDescent="0.25">
      <c r="C10" s="6" t="s">
        <v>6</v>
      </c>
      <c r="D10" s="25" t="s">
        <v>7</v>
      </c>
      <c r="E10" s="6" t="s">
        <v>6</v>
      </c>
      <c r="F10" s="25" t="s">
        <v>8</v>
      </c>
      <c r="K10" s="48" t="s">
        <v>36</v>
      </c>
      <c r="L10" s="49">
        <v>105</v>
      </c>
      <c r="M10" s="46" t="s">
        <v>37</v>
      </c>
      <c r="R10" s="51" t="s">
        <v>53</v>
      </c>
      <c r="S10" s="51"/>
      <c r="T10" s="51"/>
    </row>
    <row r="11" spans="2:21" x14ac:dyDescent="0.25">
      <c r="B11" s="26" t="str">
        <f>+C11&amp;"D"</f>
        <v>1D</v>
      </c>
      <c r="C11" s="35">
        <v>1</v>
      </c>
      <c r="D11" s="27">
        <v>0.1125</v>
      </c>
      <c r="E11" s="39">
        <v>7</v>
      </c>
      <c r="F11" s="28">
        <v>0.1124</v>
      </c>
    </row>
    <row r="12" spans="2:21" x14ac:dyDescent="0.25">
      <c r="B12" s="26" t="str">
        <f>+C12&amp;"D"</f>
        <v>7D</v>
      </c>
      <c r="C12" s="36">
        <v>7</v>
      </c>
      <c r="D12" s="29">
        <v>0.1124</v>
      </c>
      <c r="E12" s="40">
        <v>14</v>
      </c>
      <c r="F12" s="30">
        <v>0.11235000000000001</v>
      </c>
      <c r="J12" s="24" t="s">
        <v>42</v>
      </c>
      <c r="K12" s="24"/>
      <c r="L12" s="24"/>
      <c r="M12" s="24"/>
      <c r="N12" s="24"/>
      <c r="R12" s="6" t="s">
        <v>38</v>
      </c>
      <c r="S12" s="6" t="s">
        <v>54</v>
      </c>
      <c r="T12" s="1"/>
      <c r="U12" s="50"/>
    </row>
    <row r="13" spans="2:21" x14ac:dyDescent="0.25">
      <c r="B13" s="26" t="str">
        <f>+C13&amp;"D"</f>
        <v>14D</v>
      </c>
      <c r="C13" s="36">
        <v>14</v>
      </c>
      <c r="D13" s="29">
        <v>0.11235000000000001</v>
      </c>
      <c r="E13" s="40">
        <v>28</v>
      </c>
      <c r="F13" s="30">
        <v>0.11230000000000001</v>
      </c>
      <c r="R13" s="26" t="s">
        <v>11</v>
      </c>
      <c r="S13" s="52" cm="1">
        <f t="array" ref="S13:T13">LINEST('Mercado Accionario y TC'!$P$4:$P$255,'Mercado Accionario y TC'!$X$4:$X$255,FALSE,FALSE)</f>
        <v>0.98521271139239686</v>
      </c>
      <c r="T13" s="18">
        <v>0</v>
      </c>
    </row>
    <row r="14" spans="2:21" x14ac:dyDescent="0.25">
      <c r="B14" s="26" t="str">
        <f>+(C14/28)&amp;"M"</f>
        <v>1M</v>
      </c>
      <c r="C14" s="36">
        <v>28</v>
      </c>
      <c r="D14" s="29">
        <v>0.11230000000000001</v>
      </c>
      <c r="E14" s="40">
        <v>56</v>
      </c>
      <c r="F14" s="30">
        <v>0.11235000000000001</v>
      </c>
      <c r="K14" s="6" t="s">
        <v>6</v>
      </c>
      <c r="L14" s="25" t="s">
        <v>7</v>
      </c>
      <c r="M14" s="6" t="s">
        <v>6</v>
      </c>
      <c r="N14" s="25" t="s">
        <v>8</v>
      </c>
      <c r="R14" s="26" t="s">
        <v>12</v>
      </c>
      <c r="S14" s="52" cm="1">
        <f t="array" ref="S14:T14">LINEST('Mercado Accionario y TC'!$Q$4:$Q$255,'Mercado Accionario y TC'!$X$4:$X$255,FALSE,FALSE)</f>
        <v>0.61379634960021145</v>
      </c>
      <c r="T14" s="18">
        <v>0</v>
      </c>
    </row>
    <row r="15" spans="2:21" x14ac:dyDescent="0.25">
      <c r="B15" s="26" t="str">
        <f>+(C15/28)&amp;"M"</f>
        <v>2M</v>
      </c>
      <c r="C15" s="36">
        <v>56</v>
      </c>
      <c r="D15" s="29">
        <v>0.11235000000000001</v>
      </c>
      <c r="E15" s="40">
        <v>91</v>
      </c>
      <c r="F15" s="30">
        <v>0.1124</v>
      </c>
      <c r="J15" s="26" t="str">
        <f>+K15&amp;"D"</f>
        <v>1D</v>
      </c>
      <c r="K15" s="35">
        <v>1</v>
      </c>
      <c r="L15" s="27">
        <f>+D11+$L$10/10000</f>
        <v>0.123</v>
      </c>
      <c r="M15" s="39">
        <v>7</v>
      </c>
      <c r="N15" s="28">
        <f>+L16</f>
        <v>0.1229</v>
      </c>
      <c r="R15" s="26" t="s">
        <v>13</v>
      </c>
      <c r="S15" s="52" cm="1">
        <f t="array" ref="S15:T15">LINEST('Mercado Accionario y TC'!$R$4:$R$255,'Mercado Accionario y TC'!$X$4:$X$255,FALSE,FALSE)</f>
        <v>1.402165036203433</v>
      </c>
      <c r="T15" s="18">
        <v>0</v>
      </c>
    </row>
    <row r="16" spans="2:21" x14ac:dyDescent="0.25">
      <c r="B16" s="26" t="str">
        <f>+ROUND(C16/28,0)&amp;"M"</f>
        <v>3M</v>
      </c>
      <c r="C16" s="36">
        <v>91</v>
      </c>
      <c r="D16" s="29">
        <v>0.1124</v>
      </c>
      <c r="E16" s="40">
        <v>182</v>
      </c>
      <c r="F16" s="30">
        <v>0.11210000000000001</v>
      </c>
      <c r="J16" s="26" t="str">
        <f t="shared" ref="J16:J17" si="0">+K16&amp;"D"</f>
        <v>7D</v>
      </c>
      <c r="K16" s="36">
        <v>7</v>
      </c>
      <c r="L16" s="29">
        <f>+D12+$L$10/10000</f>
        <v>0.1229</v>
      </c>
      <c r="M16" s="40">
        <v>14</v>
      </c>
      <c r="N16" s="30">
        <f t="shared" ref="N16:N35" si="1">+L17</f>
        <v>0.12285</v>
      </c>
      <c r="R16" s="26" t="s">
        <v>14</v>
      </c>
      <c r="S16" s="52" cm="1">
        <f t="array" ref="S16:T16">LINEST('Mercado Accionario y TC'!$S$4:$S$255,'Mercado Accionario y TC'!$X$4:$X$255,FALSE,FALSE)</f>
        <v>0.96978898515413736</v>
      </c>
      <c r="T16" s="18">
        <v>0</v>
      </c>
    </row>
    <row r="17" spans="2:20" x14ac:dyDescent="0.25">
      <c r="B17" s="26" t="str">
        <f>+ROUND(C17/30,0)&amp;"M"</f>
        <v>6M</v>
      </c>
      <c r="C17" s="36">
        <v>182</v>
      </c>
      <c r="D17" s="29">
        <v>0.11210000000000001</v>
      </c>
      <c r="E17" s="40">
        <v>273</v>
      </c>
      <c r="F17" s="30">
        <v>0.1115</v>
      </c>
      <c r="J17" s="26" t="str">
        <f t="shared" si="0"/>
        <v>14D</v>
      </c>
      <c r="K17" s="36">
        <v>14</v>
      </c>
      <c r="L17" s="29">
        <f>+D13+$L$10/10000</f>
        <v>0.12285</v>
      </c>
      <c r="M17" s="40">
        <v>28</v>
      </c>
      <c r="N17" s="30">
        <f t="shared" si="1"/>
        <v>0.12280000000000001</v>
      </c>
      <c r="R17" s="26" t="s">
        <v>15</v>
      </c>
      <c r="S17" s="52" cm="1">
        <f t="array" ref="S17:T17">LINEST('Mercado Accionario y TC'!$T$4:$T$255,'Mercado Accionario y TC'!$X$4:$X$255,FALSE,FALSE)</f>
        <v>1.4478674844679196</v>
      </c>
      <c r="T17" s="18">
        <v>0</v>
      </c>
    </row>
    <row r="18" spans="2:20" x14ac:dyDescent="0.25">
      <c r="B18" s="26" t="str">
        <f>+ROUND(C18/30,0)&amp;"M"</f>
        <v>9M</v>
      </c>
      <c r="C18" s="36">
        <v>273</v>
      </c>
      <c r="D18" s="29">
        <v>0.1115</v>
      </c>
      <c r="E18" s="40">
        <v>364</v>
      </c>
      <c r="F18" s="30">
        <v>0.11109999999999999</v>
      </c>
      <c r="J18" s="26" t="str">
        <f>+(K18/28)&amp;"M"</f>
        <v>1M</v>
      </c>
      <c r="K18" s="36">
        <v>28</v>
      </c>
      <c r="L18" s="29">
        <f>+D14+$L$10/10000</f>
        <v>0.12280000000000001</v>
      </c>
      <c r="M18" s="40">
        <v>56</v>
      </c>
      <c r="N18" s="30">
        <f t="shared" si="1"/>
        <v>0.12285</v>
      </c>
      <c r="R18" s="26" t="s">
        <v>16</v>
      </c>
      <c r="S18" s="52" cm="1">
        <f t="array" ref="S18:T18">LINEST('Mercado Accionario y TC'!$U$4:$U$255,'Mercado Accionario y TC'!$X$4:$X$255,FALSE,FALSE)</f>
        <v>1.7852020532374004</v>
      </c>
      <c r="T18" s="18">
        <v>0</v>
      </c>
    </row>
    <row r="19" spans="2:20" x14ac:dyDescent="0.25">
      <c r="B19" s="26" t="str">
        <f>+ROUND(C19/360,0)&amp;"A"</f>
        <v>1A</v>
      </c>
      <c r="C19" s="36">
        <v>364</v>
      </c>
      <c r="D19" s="29">
        <v>0.11109999999999999</v>
      </c>
      <c r="E19" s="40">
        <v>580</v>
      </c>
      <c r="F19" s="30">
        <v>0.10516999999999999</v>
      </c>
      <c r="J19" s="26" t="str">
        <f>+(K19/28)&amp;"M"</f>
        <v>2M</v>
      </c>
      <c r="K19" s="36">
        <v>56</v>
      </c>
      <c r="L19" s="29">
        <f>+D15+$L$10/10000</f>
        <v>0.12285</v>
      </c>
      <c r="M19" s="40">
        <v>91</v>
      </c>
      <c r="N19" s="30">
        <f t="shared" si="1"/>
        <v>0.1229</v>
      </c>
      <c r="R19" s="26" t="s">
        <v>17</v>
      </c>
      <c r="S19" s="52" cm="1">
        <f t="array" ref="S19:T19">LINEST('Mercado Accionario y TC'!$V$4:$V$255,'Mercado Accionario y TC'!$Y$4:$Y$255,FALSE,FALSE)</f>
        <v>1.5172235415998627</v>
      </c>
      <c r="T19" s="19">
        <v>0</v>
      </c>
    </row>
    <row r="20" spans="2:20" x14ac:dyDescent="0.25">
      <c r="B20" s="26" t="str">
        <f>+ROUND(C20/360,0)&amp;"A"</f>
        <v>2A</v>
      </c>
      <c r="C20" s="36">
        <v>728</v>
      </c>
      <c r="D20" s="29">
        <v>0.10516999999999999</v>
      </c>
      <c r="E20" s="40">
        <v>900</v>
      </c>
      <c r="F20" s="30">
        <v>9.9239999999999995E-2</v>
      </c>
      <c r="J20" s="26" t="str">
        <f>+ROUND(K20/28,0)&amp;"M"</f>
        <v>3M</v>
      </c>
      <c r="K20" s="36">
        <v>91</v>
      </c>
      <c r="L20" s="29">
        <f>+D16+$L$10/10000</f>
        <v>0.1229</v>
      </c>
      <c r="M20" s="40">
        <v>182</v>
      </c>
      <c r="N20" s="30">
        <f t="shared" si="1"/>
        <v>0.1226</v>
      </c>
      <c r="R20" s="26" t="s">
        <v>18</v>
      </c>
      <c r="S20" s="52" cm="1">
        <f t="array" ref="S20:T20">LINEST('Mercado Accionario y TC'!$W$4:$W$255,'Mercado Accionario y TC'!$Y$4:$Y$255,FALSE,FALSE)</f>
        <v>2.0954290657822319</v>
      </c>
      <c r="T20" s="19">
        <v>0</v>
      </c>
    </row>
    <row r="21" spans="2:20" x14ac:dyDescent="0.25">
      <c r="B21" s="26" t="str">
        <f>+ROUND(C21/360,0)&amp;"A"</f>
        <v>3A</v>
      </c>
      <c r="C21" s="37">
        <v>1092</v>
      </c>
      <c r="D21" s="29">
        <v>9.9239999999999995E-2</v>
      </c>
      <c r="E21" s="41">
        <v>1260</v>
      </c>
      <c r="F21" s="30">
        <v>9.7739999999999994E-2</v>
      </c>
      <c r="J21" s="26" t="str">
        <f>+ROUND(K21/30,0)&amp;"M"</f>
        <v>6M</v>
      </c>
      <c r="K21" s="36">
        <v>182</v>
      </c>
      <c r="L21" s="29">
        <f>+D17+$L$10/10000</f>
        <v>0.1226</v>
      </c>
      <c r="M21" s="40">
        <v>273</v>
      </c>
      <c r="N21" s="30">
        <f t="shared" si="1"/>
        <v>0.122</v>
      </c>
    </row>
    <row r="22" spans="2:20" x14ac:dyDescent="0.25">
      <c r="B22" s="26" t="str">
        <f>+ROUND(C22/360,0)&amp;"A"</f>
        <v>4A</v>
      </c>
      <c r="C22" s="37">
        <v>1440</v>
      </c>
      <c r="D22" s="29">
        <v>9.7739999999999994E-2</v>
      </c>
      <c r="E22" s="41">
        <v>1800</v>
      </c>
      <c r="F22" s="30">
        <v>9.6240000000000006E-2</v>
      </c>
      <c r="J22" s="26" t="str">
        <f>+ROUND(K22/30,0)&amp;"M"</f>
        <v>9M</v>
      </c>
      <c r="K22" s="36">
        <v>273</v>
      </c>
      <c r="L22" s="29">
        <f>+D18+$L$10/10000</f>
        <v>0.122</v>
      </c>
      <c r="M22" s="40">
        <v>364</v>
      </c>
      <c r="N22" s="30">
        <f t="shared" si="1"/>
        <v>0.12159999999999999</v>
      </c>
    </row>
    <row r="23" spans="2:20" x14ac:dyDescent="0.25">
      <c r="B23" s="26" t="str">
        <f>+ROUND(C23/360,0)&amp;"A"</f>
        <v>5A</v>
      </c>
      <c r="C23" s="37">
        <v>1800</v>
      </c>
      <c r="D23" s="29">
        <v>9.6240000000000006E-2</v>
      </c>
      <c r="E23" s="41">
        <v>2160</v>
      </c>
      <c r="F23" s="30">
        <v>9.4439999999999996E-2</v>
      </c>
      <c r="J23" s="26" t="str">
        <f>+ROUND(K23/360,0)&amp;"A"</f>
        <v>1A</v>
      </c>
      <c r="K23" s="36">
        <v>364</v>
      </c>
      <c r="L23" s="29">
        <f>+D19+$L$10/10000</f>
        <v>0.12159999999999999</v>
      </c>
      <c r="M23" s="40">
        <v>580</v>
      </c>
      <c r="N23" s="30">
        <f t="shared" si="1"/>
        <v>0.11566999999999998</v>
      </c>
    </row>
    <row r="24" spans="2:20" x14ac:dyDescent="0.25">
      <c r="B24" s="26" t="str">
        <f>+ROUND(C24/360,0)&amp;"A"</f>
        <v>6A</v>
      </c>
      <c r="C24" s="37">
        <v>2160</v>
      </c>
      <c r="D24" s="29">
        <v>9.4439999999999996E-2</v>
      </c>
      <c r="E24" s="41">
        <v>2520</v>
      </c>
      <c r="F24" s="30">
        <v>9.264E-2</v>
      </c>
      <c r="J24" s="26" t="str">
        <f t="shared" ref="J24" si="2">+ROUND(K24/360,0)&amp;"A"</f>
        <v>2A</v>
      </c>
      <c r="K24" s="36">
        <v>728</v>
      </c>
      <c r="L24" s="29">
        <f>+D20+$L$10/10000</f>
        <v>0.11566999999999998</v>
      </c>
      <c r="M24" s="40">
        <v>900</v>
      </c>
      <c r="N24" s="30">
        <f t="shared" si="1"/>
        <v>0.10973999999999999</v>
      </c>
    </row>
    <row r="25" spans="2:20" x14ac:dyDescent="0.25">
      <c r="B25" s="26" t="str">
        <f>+ROUND(C25/360,0)&amp;"A"</f>
        <v>7A</v>
      </c>
      <c r="C25" s="37">
        <v>2520</v>
      </c>
      <c r="D25" s="29">
        <v>9.264E-2</v>
      </c>
      <c r="E25" s="41">
        <v>2880</v>
      </c>
      <c r="F25" s="30">
        <v>9.2649999999999996E-2</v>
      </c>
      <c r="J25" s="26" t="str">
        <f>+ROUND(K25/360,0)&amp;"A"</f>
        <v>3A</v>
      </c>
      <c r="K25" s="37">
        <v>1092</v>
      </c>
      <c r="L25" s="29">
        <f>+D21+$L$10/10000</f>
        <v>0.10973999999999999</v>
      </c>
      <c r="M25" s="41">
        <v>1260</v>
      </c>
      <c r="N25" s="30">
        <f t="shared" si="1"/>
        <v>0.10823999999999999</v>
      </c>
    </row>
    <row r="26" spans="2:20" x14ac:dyDescent="0.25">
      <c r="B26" s="26" t="str">
        <f>+ROUND(C26/360,0)&amp;"A"</f>
        <v>8A</v>
      </c>
      <c r="C26" s="37">
        <v>2880</v>
      </c>
      <c r="D26" s="29">
        <v>9.2649999999999996E-2</v>
      </c>
      <c r="E26" s="41">
        <v>3240</v>
      </c>
      <c r="F26" s="30">
        <v>9.2710000000000001E-2</v>
      </c>
      <c r="J26" s="26" t="str">
        <f t="shared" ref="J26:J36" si="3">+ROUND(K26/360,0)&amp;"A"</f>
        <v>4A</v>
      </c>
      <c r="K26" s="37">
        <v>1440</v>
      </c>
      <c r="L26" s="29">
        <f>+D22+$L$10/10000</f>
        <v>0.10823999999999999</v>
      </c>
      <c r="M26" s="41">
        <v>1800</v>
      </c>
      <c r="N26" s="30">
        <f t="shared" si="1"/>
        <v>0.10674</v>
      </c>
    </row>
    <row r="27" spans="2:20" x14ac:dyDescent="0.25">
      <c r="B27" s="26" t="str">
        <f>+ROUND(C27/360,0)&amp;"A"</f>
        <v>9A</v>
      </c>
      <c r="C27" s="37">
        <v>3240</v>
      </c>
      <c r="D27" s="29">
        <v>9.2710000000000001E-2</v>
      </c>
      <c r="E27" s="41">
        <v>3600</v>
      </c>
      <c r="F27" s="30">
        <v>9.2739999999999989E-2</v>
      </c>
      <c r="J27" s="26" t="str">
        <f t="shared" si="3"/>
        <v>5A</v>
      </c>
      <c r="K27" s="37">
        <v>1800</v>
      </c>
      <c r="L27" s="29">
        <f>+D23+$L$10/10000</f>
        <v>0.10674</v>
      </c>
      <c r="M27" s="41">
        <v>2160</v>
      </c>
      <c r="N27" s="30">
        <f t="shared" si="1"/>
        <v>0.10493999999999999</v>
      </c>
    </row>
    <row r="28" spans="2:20" x14ac:dyDescent="0.25">
      <c r="B28" s="26" t="str">
        <f>+ROUND(C28/360,0)&amp;"A"</f>
        <v>10A</v>
      </c>
      <c r="C28" s="37">
        <v>3600</v>
      </c>
      <c r="D28" s="29">
        <v>9.2739999999999989E-2</v>
      </c>
      <c r="E28" s="41">
        <v>5400</v>
      </c>
      <c r="F28" s="30">
        <v>9.2840000000000006E-2</v>
      </c>
      <c r="J28" s="26" t="str">
        <f t="shared" si="3"/>
        <v>6A</v>
      </c>
      <c r="K28" s="37">
        <v>2160</v>
      </c>
      <c r="L28" s="29">
        <f>+D24+$L$10/10000</f>
        <v>0.10493999999999999</v>
      </c>
      <c r="M28" s="41">
        <v>2520</v>
      </c>
      <c r="N28" s="30">
        <f t="shared" si="1"/>
        <v>0.10314</v>
      </c>
    </row>
    <row r="29" spans="2:20" x14ac:dyDescent="0.25">
      <c r="B29" s="26" t="str">
        <f>+ROUND(C29/360,0)&amp;"A"</f>
        <v>15A</v>
      </c>
      <c r="C29" s="37">
        <v>5400</v>
      </c>
      <c r="D29" s="29">
        <v>9.2840000000000006E-2</v>
      </c>
      <c r="E29" s="41">
        <v>7200</v>
      </c>
      <c r="F29" s="30">
        <v>9.4740000000000005E-2</v>
      </c>
      <c r="J29" s="26" t="str">
        <f t="shared" si="3"/>
        <v>7A</v>
      </c>
      <c r="K29" s="37">
        <v>2520</v>
      </c>
      <c r="L29" s="29">
        <f>+D25+$L$10/10000</f>
        <v>0.10314</v>
      </c>
      <c r="M29" s="41">
        <v>2880</v>
      </c>
      <c r="N29" s="30">
        <f t="shared" si="1"/>
        <v>0.10314999999999999</v>
      </c>
    </row>
    <row r="30" spans="2:20" x14ac:dyDescent="0.25">
      <c r="B30" s="26" t="str">
        <f>+ROUND(C30/360,0)&amp;"A"</f>
        <v>20A</v>
      </c>
      <c r="C30" s="37">
        <v>7200</v>
      </c>
      <c r="D30" s="29">
        <v>9.4740000000000005E-2</v>
      </c>
      <c r="E30" s="41">
        <v>9000</v>
      </c>
      <c r="F30" s="30">
        <v>9.4640000000000002E-2</v>
      </c>
      <c r="J30" s="26" t="str">
        <f t="shared" si="3"/>
        <v>8A</v>
      </c>
      <c r="K30" s="37">
        <v>2880</v>
      </c>
      <c r="L30" s="29">
        <f>+D26+$L$10/10000</f>
        <v>0.10314999999999999</v>
      </c>
      <c r="M30" s="41">
        <v>3240</v>
      </c>
      <c r="N30" s="30">
        <f t="shared" si="1"/>
        <v>0.10321</v>
      </c>
    </row>
    <row r="31" spans="2:20" x14ac:dyDescent="0.25">
      <c r="B31" s="26" t="str">
        <f>+ROUND(C31/360,0)&amp;"A"</f>
        <v>25A</v>
      </c>
      <c r="C31" s="37">
        <v>9000</v>
      </c>
      <c r="D31" s="29">
        <v>9.4640000000000002E-2</v>
      </c>
      <c r="E31" s="41">
        <v>10800</v>
      </c>
      <c r="F31" s="30">
        <v>9.4540000000000013E-2</v>
      </c>
      <c r="J31" s="26" t="str">
        <f t="shared" si="3"/>
        <v>9A</v>
      </c>
      <c r="K31" s="37">
        <v>3240</v>
      </c>
      <c r="L31" s="29">
        <f>+D27+$L$10/10000</f>
        <v>0.10321</v>
      </c>
      <c r="M31" s="41">
        <v>3600</v>
      </c>
      <c r="N31" s="30">
        <f t="shared" si="1"/>
        <v>0.10323999999999998</v>
      </c>
    </row>
    <row r="32" spans="2:20" x14ac:dyDescent="0.25">
      <c r="B32" s="26" t="str">
        <f>+ROUND(C32/360,0)&amp;"A"</f>
        <v>30A</v>
      </c>
      <c r="C32" s="38">
        <v>10800</v>
      </c>
      <c r="D32" s="31">
        <v>9.4540000000000013E-2</v>
      </c>
      <c r="E32" s="42">
        <v>10800</v>
      </c>
      <c r="F32" s="32">
        <v>9.4540000000000013E-2</v>
      </c>
      <c r="J32" s="26" t="str">
        <f t="shared" si="3"/>
        <v>10A</v>
      </c>
      <c r="K32" s="37">
        <v>3600</v>
      </c>
      <c r="L32" s="29">
        <f>+D28+$L$10/10000</f>
        <v>0.10323999999999998</v>
      </c>
      <c r="M32" s="41">
        <v>5400</v>
      </c>
      <c r="N32" s="30">
        <f t="shared" si="1"/>
        <v>0.10334</v>
      </c>
    </row>
    <row r="33" spans="10:14" x14ac:dyDescent="0.25">
      <c r="J33" s="26" t="str">
        <f t="shared" si="3"/>
        <v>15A</v>
      </c>
      <c r="K33" s="37">
        <v>5400</v>
      </c>
      <c r="L33" s="29">
        <f>+D29+$L$10/10000</f>
        <v>0.10334</v>
      </c>
      <c r="M33" s="41">
        <v>7200</v>
      </c>
      <c r="N33" s="30">
        <f t="shared" si="1"/>
        <v>0.10524</v>
      </c>
    </row>
    <row r="34" spans="10:14" x14ac:dyDescent="0.25">
      <c r="J34" s="26" t="str">
        <f t="shared" si="3"/>
        <v>20A</v>
      </c>
      <c r="K34" s="37">
        <v>7200</v>
      </c>
      <c r="L34" s="29">
        <f>+D30+$L$10/10000</f>
        <v>0.10524</v>
      </c>
      <c r="M34" s="41">
        <v>9000</v>
      </c>
      <c r="N34" s="30">
        <f t="shared" si="1"/>
        <v>0.10514</v>
      </c>
    </row>
    <row r="35" spans="10:14" x14ac:dyDescent="0.25">
      <c r="J35" s="26" t="str">
        <f t="shared" si="3"/>
        <v>25A</v>
      </c>
      <c r="K35" s="37">
        <v>9000</v>
      </c>
      <c r="L35" s="29">
        <f>+D31+$L$10/10000</f>
        <v>0.10514</v>
      </c>
      <c r="M35" s="41">
        <v>10800</v>
      </c>
      <c r="N35" s="30">
        <f t="shared" si="1"/>
        <v>0.10504000000000001</v>
      </c>
    </row>
    <row r="36" spans="10:14" x14ac:dyDescent="0.25">
      <c r="J36" s="26" t="str">
        <f t="shared" si="3"/>
        <v>30A</v>
      </c>
      <c r="K36" s="38">
        <v>10800</v>
      </c>
      <c r="L36" s="31">
        <f>+D32+$L$10/10000</f>
        <v>0.10504000000000001</v>
      </c>
      <c r="M36" s="42">
        <f>+K36</f>
        <v>10800</v>
      </c>
      <c r="N36" s="32">
        <f>+L36</f>
        <v>0.10504000000000001</v>
      </c>
    </row>
  </sheetData>
  <mergeCells count="5">
    <mergeCell ref="R10:T10"/>
    <mergeCell ref="B1:F1"/>
    <mergeCell ref="J1:N1"/>
    <mergeCell ref="B8:F8"/>
    <mergeCell ref="J12:N12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EF32-C142-43D4-9A2F-3E775888B3C9}">
  <sheetPr codeName="Hoja7"/>
  <dimension ref="A2:Y258"/>
  <sheetViews>
    <sheetView zoomScale="88" zoomScaleNormal="130" workbookViewId="0">
      <pane xSplit="4" ySplit="3" topLeftCell="E4" activePane="bottomRight" state="frozen"/>
      <selection pane="topRight" activeCell="D1" sqref="D1"/>
      <selection pane="bottomLeft" activeCell="A3" sqref="A3"/>
      <selection pane="bottomRight" activeCell="H213" sqref="H213"/>
    </sheetView>
  </sheetViews>
  <sheetFormatPr baseColWidth="10" defaultColWidth="8.85546875" defaultRowHeight="15" x14ac:dyDescent="0.25"/>
  <cols>
    <col min="1" max="1" width="4.28515625" bestFit="1" customWidth="1"/>
    <col min="2" max="2" width="11.28515625" bestFit="1" customWidth="1"/>
    <col min="3" max="5" width="10.7109375" customWidth="1"/>
    <col min="6" max="23" width="13.140625" customWidth="1"/>
    <col min="24" max="24" width="14.7109375" bestFit="1" customWidth="1"/>
    <col min="25" max="25" width="12.85546875" bestFit="1" customWidth="1"/>
  </cols>
  <sheetData>
    <row r="2" spans="1:25" ht="15.75" x14ac:dyDescent="0.25">
      <c r="Q2" s="76" t="s">
        <v>55</v>
      </c>
      <c r="R2" s="77"/>
      <c r="S2" s="77"/>
      <c r="T2" s="77"/>
      <c r="U2" s="77"/>
      <c r="V2" s="77"/>
      <c r="W2" s="77"/>
      <c r="X2" s="77"/>
      <c r="Y2" s="78"/>
    </row>
    <row r="3" spans="1:25" x14ac:dyDescent="0.25">
      <c r="A3" s="6" t="s">
        <v>19</v>
      </c>
      <c r="B3" s="6" t="s">
        <v>20</v>
      </c>
      <c r="C3" s="6" t="s">
        <v>21</v>
      </c>
      <c r="D3" s="6" t="s">
        <v>22</v>
      </c>
      <c r="E3" s="72" t="s">
        <v>23</v>
      </c>
      <c r="F3" s="73" t="s">
        <v>11</v>
      </c>
      <c r="G3" s="73" t="s">
        <v>12</v>
      </c>
      <c r="H3" s="73" t="s">
        <v>13</v>
      </c>
      <c r="I3" s="73" t="s">
        <v>14</v>
      </c>
      <c r="J3" s="73" t="s">
        <v>15</v>
      </c>
      <c r="K3" s="74" t="s">
        <v>16</v>
      </c>
      <c r="L3" s="74" t="s">
        <v>24</v>
      </c>
      <c r="M3" s="74" t="s">
        <v>25</v>
      </c>
      <c r="N3" s="75" t="s">
        <v>32</v>
      </c>
      <c r="O3" s="75" t="s">
        <v>33</v>
      </c>
      <c r="P3" s="74" t="str">
        <f t="shared" ref="P3:U3" si="0">+F3</f>
        <v>NAFTRAC</v>
      </c>
      <c r="Q3" s="74" t="str">
        <f t="shared" si="0"/>
        <v>LACOMER</v>
      </c>
      <c r="R3" s="74" t="str">
        <f t="shared" si="0"/>
        <v>CEMEX</v>
      </c>
      <c r="S3" s="74" t="str">
        <f t="shared" si="0"/>
        <v>PEÑOLES</v>
      </c>
      <c r="T3" s="74" t="str">
        <f t="shared" si="0"/>
        <v>VOLAR</v>
      </c>
      <c r="U3" s="74" t="str">
        <f t="shared" si="0"/>
        <v>GAP</v>
      </c>
      <c r="V3" s="74" t="str">
        <f t="shared" ref="V3:Y3" si="1">+L3</f>
        <v>AMZN (USD)</v>
      </c>
      <c r="W3" s="74" t="str">
        <f t="shared" si="1"/>
        <v>TESLA (USD)</v>
      </c>
      <c r="X3" s="75" t="str">
        <f t="shared" si="1"/>
        <v>IPC (MEX)</v>
      </c>
      <c r="Y3" s="75" t="str">
        <f t="shared" si="1"/>
        <v>S&amp;P500 (USD)</v>
      </c>
    </row>
    <row r="4" spans="1:25" x14ac:dyDescent="0.25">
      <c r="A4" s="2">
        <f t="shared" ref="A4:A67" si="2">+A5-1</f>
        <v>1</v>
      </c>
      <c r="B4" s="56">
        <v>45366</v>
      </c>
      <c r="C4" s="57">
        <f t="shared" ref="C4:C67" si="3">+YEAR(B4)</f>
        <v>2024</v>
      </c>
      <c r="D4" s="57">
        <f t="shared" ref="D4:D67" si="4">+MONTH(B4)</f>
        <v>3</v>
      </c>
      <c r="E4" s="53">
        <v>16.693000000000001</v>
      </c>
      <c r="F4" s="60">
        <v>55.99</v>
      </c>
      <c r="G4" s="61">
        <v>38.56</v>
      </c>
      <c r="H4" s="61">
        <v>14.19</v>
      </c>
      <c r="I4" s="61">
        <v>229.62</v>
      </c>
      <c r="J4" s="61">
        <v>11.71</v>
      </c>
      <c r="K4" s="61">
        <v>250.85</v>
      </c>
      <c r="L4" s="61">
        <v>174.42</v>
      </c>
      <c r="M4" s="62">
        <v>163.57</v>
      </c>
      <c r="N4" s="69">
        <v>56228.4</v>
      </c>
      <c r="O4" s="69">
        <v>5117.09</v>
      </c>
      <c r="P4" s="79">
        <f>F4/F5-1</f>
        <v>4.1248206599713289E-3</v>
      </c>
      <c r="Q4" s="80">
        <f t="shared" ref="Q4:T4" si="5">G4/G5-1</f>
        <v>-2.3285899094436235E-3</v>
      </c>
      <c r="R4" s="80">
        <f t="shared" si="5"/>
        <v>1.0683760683760646E-2</v>
      </c>
      <c r="S4" s="80">
        <f t="shared" si="5"/>
        <v>2.894784011471585E-2</v>
      </c>
      <c r="T4" s="80">
        <f t="shared" si="5"/>
        <v>-1.5966386554621792E-2</v>
      </c>
      <c r="U4" s="80">
        <f t="shared" ref="U4" si="6">K4/K5-1</f>
        <v>1.0595439529449635E-2</v>
      </c>
      <c r="V4" s="80">
        <f>L4/L5-1</f>
        <v>-2.422377622377625E-2</v>
      </c>
      <c r="W4" s="81">
        <f t="shared" ref="W4" si="7">M4/M5-1</f>
        <v>6.584615384615411E-3</v>
      </c>
      <c r="X4" s="88">
        <f>N4/N5-1</f>
        <v>3.0171643364540479E-3</v>
      </c>
      <c r="Y4" s="88">
        <f>O4/O5-1</f>
        <v>-6.4828909150214109E-3</v>
      </c>
    </row>
    <row r="5" spans="1:25" x14ac:dyDescent="0.25">
      <c r="A5" s="2">
        <f t="shared" si="2"/>
        <v>2</v>
      </c>
      <c r="B5" s="58">
        <v>45365</v>
      </c>
      <c r="C5" s="59">
        <f t="shared" si="3"/>
        <v>2024</v>
      </c>
      <c r="D5" s="59">
        <f t="shared" si="4"/>
        <v>3</v>
      </c>
      <c r="E5" s="54">
        <v>16.696000000000002</v>
      </c>
      <c r="F5" s="63">
        <v>55.76</v>
      </c>
      <c r="G5" s="64">
        <v>38.65</v>
      </c>
      <c r="H5" s="64">
        <v>14.04</v>
      </c>
      <c r="I5" s="64">
        <v>223.16</v>
      </c>
      <c r="J5" s="64">
        <v>11.9</v>
      </c>
      <c r="K5" s="64">
        <v>248.22</v>
      </c>
      <c r="L5" s="64">
        <v>178.75</v>
      </c>
      <c r="M5" s="65">
        <v>162.5</v>
      </c>
      <c r="N5" s="70">
        <v>56059.26</v>
      </c>
      <c r="O5" s="70">
        <v>5150.4799999999996</v>
      </c>
      <c r="P5" s="82">
        <f t="shared" ref="P5:P68" si="8">F5/F6-1</f>
        <v>3.2385750269880997E-3</v>
      </c>
      <c r="Q5" s="83">
        <f t="shared" ref="Q5:Q68" si="9">G5/G6-1</f>
        <v>-1.5788133435192364E-2</v>
      </c>
      <c r="R5" s="83">
        <f t="shared" ref="R5:R68" si="10">H5/H6-1</f>
        <v>3.616236162361619E-2</v>
      </c>
      <c r="S5" s="83">
        <f t="shared" ref="S5:S68" si="11">I5/I6-1</f>
        <v>7.1306074555463894E-3</v>
      </c>
      <c r="T5" s="83">
        <f t="shared" ref="T5:T68" si="12">J5/J6-1</f>
        <v>-3.4090909090909061E-2</v>
      </c>
      <c r="U5" s="83">
        <f t="shared" ref="U5:U68" si="13">K5/K6-1</f>
        <v>2.3039195482833952E-2</v>
      </c>
      <c r="V5" s="83">
        <f t="shared" ref="V5:V68" si="14">L5/L6-1</f>
        <v>1.2461059190031154E-2</v>
      </c>
      <c r="W5" s="84">
        <f t="shared" ref="W5:W68" si="15">M5/M6-1</f>
        <v>-4.1184800566438473E-2</v>
      </c>
      <c r="X5" s="89">
        <f t="shared" ref="X5:X68" si="16">N5/N6-1</f>
        <v>3.7698267749020076E-3</v>
      </c>
      <c r="Y5" s="89">
        <f t="shared" ref="Y5:Y68" si="17">O5/O6-1</f>
        <v>-2.871076469757039E-3</v>
      </c>
    </row>
    <row r="6" spans="1:25" x14ac:dyDescent="0.25">
      <c r="A6" s="2">
        <f t="shared" si="2"/>
        <v>3</v>
      </c>
      <c r="B6" s="58">
        <v>45364</v>
      </c>
      <c r="C6" s="59">
        <f t="shared" si="3"/>
        <v>2024</v>
      </c>
      <c r="D6" s="59">
        <f t="shared" si="4"/>
        <v>3</v>
      </c>
      <c r="E6" s="54">
        <v>16.659500000000001</v>
      </c>
      <c r="F6" s="63">
        <v>55.58</v>
      </c>
      <c r="G6" s="64">
        <v>39.270000000000003</v>
      </c>
      <c r="H6" s="64">
        <v>13.55</v>
      </c>
      <c r="I6" s="64">
        <v>221.58</v>
      </c>
      <c r="J6" s="64">
        <v>12.32</v>
      </c>
      <c r="K6" s="64">
        <v>242.63</v>
      </c>
      <c r="L6" s="64">
        <v>176.55</v>
      </c>
      <c r="M6" s="65">
        <v>169.48</v>
      </c>
      <c r="N6" s="70">
        <v>55848.72</v>
      </c>
      <c r="O6" s="70">
        <v>5165.3100000000004</v>
      </c>
      <c r="P6" s="82">
        <f t="shared" si="8"/>
        <v>1.6831320892791934E-2</v>
      </c>
      <c r="Q6" s="83">
        <f t="shared" si="9"/>
        <v>1.7857142857142794E-3</v>
      </c>
      <c r="R6" s="83">
        <f t="shared" si="10"/>
        <v>1.4781966001480296E-3</v>
      </c>
      <c r="S6" s="83">
        <f t="shared" si="11"/>
        <v>2.1718079955733938E-2</v>
      </c>
      <c r="T6" s="83">
        <f t="shared" si="12"/>
        <v>2.3255813953488413E-2</v>
      </c>
      <c r="U6" s="83">
        <f t="shared" si="13"/>
        <v>1.5145809798753129E-2</v>
      </c>
      <c r="V6" s="83">
        <f t="shared" si="14"/>
        <v>6.6138320314728105E-3</v>
      </c>
      <c r="W6" s="84">
        <f t="shared" si="15"/>
        <v>-4.5398220119409749E-2</v>
      </c>
      <c r="X6" s="89">
        <f t="shared" si="16"/>
        <v>1.730033088064542E-2</v>
      </c>
      <c r="Y6" s="89">
        <f t="shared" si="17"/>
        <v>-1.9245372705192221E-3</v>
      </c>
    </row>
    <row r="7" spans="1:25" x14ac:dyDescent="0.25">
      <c r="A7" s="2">
        <f t="shared" si="2"/>
        <v>4</v>
      </c>
      <c r="B7" s="58">
        <v>45363</v>
      </c>
      <c r="C7" s="59">
        <f t="shared" si="3"/>
        <v>2024</v>
      </c>
      <c r="D7" s="59">
        <f t="shared" si="4"/>
        <v>3</v>
      </c>
      <c r="E7" s="54">
        <v>16.794499999999999</v>
      </c>
      <c r="F7" s="63">
        <v>54.66</v>
      </c>
      <c r="G7" s="64">
        <v>39.200000000000003</v>
      </c>
      <c r="H7" s="64">
        <v>13.53</v>
      </c>
      <c r="I7" s="64">
        <v>216.87</v>
      </c>
      <c r="J7" s="64">
        <v>12.04</v>
      </c>
      <c r="K7" s="64">
        <v>239.01</v>
      </c>
      <c r="L7" s="64">
        <v>175.39</v>
      </c>
      <c r="M7" s="65">
        <v>177.54</v>
      </c>
      <c r="N7" s="70">
        <v>54898.95</v>
      </c>
      <c r="O7" s="70">
        <v>5175.2700000000004</v>
      </c>
      <c r="P7" s="82">
        <f t="shared" si="8"/>
        <v>-2.3726957473991783E-3</v>
      </c>
      <c r="Q7" s="83">
        <f t="shared" si="9"/>
        <v>-6.8406384595894876E-3</v>
      </c>
      <c r="R7" s="83">
        <f t="shared" si="10"/>
        <v>-7.3367571533383691E-3</v>
      </c>
      <c r="S7" s="83">
        <f t="shared" si="11"/>
        <v>8.6507604297474394E-3</v>
      </c>
      <c r="T7" s="83">
        <f t="shared" si="12"/>
        <v>-2.0341741253051215E-2</v>
      </c>
      <c r="U7" s="83">
        <f t="shared" si="13"/>
        <v>3.8219235615286618E-3</v>
      </c>
      <c r="V7" s="83">
        <f t="shared" si="14"/>
        <v>1.9946499185857114E-2</v>
      </c>
      <c r="W7" s="84">
        <f t="shared" si="15"/>
        <v>-1.2938066040389939E-3</v>
      </c>
      <c r="X7" s="89">
        <f t="shared" si="16"/>
        <v>-3.216820647496732E-3</v>
      </c>
      <c r="Y7" s="89">
        <f t="shared" si="17"/>
        <v>1.1201772588189884E-2</v>
      </c>
    </row>
    <row r="8" spans="1:25" x14ac:dyDescent="0.25">
      <c r="A8" s="2">
        <f t="shared" si="2"/>
        <v>5</v>
      </c>
      <c r="B8" s="58">
        <v>45362</v>
      </c>
      <c r="C8" s="59">
        <f t="shared" si="3"/>
        <v>2024</v>
      </c>
      <c r="D8" s="59">
        <f t="shared" si="4"/>
        <v>3</v>
      </c>
      <c r="E8" s="54">
        <v>16.779</v>
      </c>
      <c r="F8" s="63">
        <v>54.79</v>
      </c>
      <c r="G8" s="64">
        <v>39.47</v>
      </c>
      <c r="H8" s="64">
        <v>13.63</v>
      </c>
      <c r="I8" s="64">
        <v>215.01</v>
      </c>
      <c r="J8" s="64">
        <v>12.29</v>
      </c>
      <c r="K8" s="64">
        <v>238.1</v>
      </c>
      <c r="L8" s="64">
        <v>171.96</v>
      </c>
      <c r="M8" s="65">
        <v>177.77</v>
      </c>
      <c r="N8" s="70">
        <v>55076.12</v>
      </c>
      <c r="O8" s="70">
        <v>5117.9399999999996</v>
      </c>
      <c r="P8" s="82">
        <f t="shared" si="8"/>
        <v>1.8284878405558924E-3</v>
      </c>
      <c r="Q8" s="83">
        <f t="shared" si="9"/>
        <v>-2.7791814047498642E-3</v>
      </c>
      <c r="R8" s="83">
        <f t="shared" si="10"/>
        <v>2.3273273273273221E-2</v>
      </c>
      <c r="S8" s="83">
        <f t="shared" si="11"/>
        <v>6.6953834628709075E-3</v>
      </c>
      <c r="T8" s="83">
        <f t="shared" si="12"/>
        <v>-8.0710250201776468E-3</v>
      </c>
      <c r="U8" s="83">
        <f t="shared" si="13"/>
        <v>-1.4259352457641761E-3</v>
      </c>
      <c r="V8" s="83">
        <f t="shared" si="14"/>
        <v>-1.933276304533782E-2</v>
      </c>
      <c r="W8" s="84">
        <f t="shared" si="15"/>
        <v>1.3858788639215192E-2</v>
      </c>
      <c r="X8" s="89">
        <f t="shared" si="16"/>
        <v>2.5507868339134099E-3</v>
      </c>
      <c r="Y8" s="89">
        <f t="shared" si="17"/>
        <v>-1.1222380745127269E-3</v>
      </c>
    </row>
    <row r="9" spans="1:25" x14ac:dyDescent="0.25">
      <c r="A9" s="2">
        <f t="shared" si="2"/>
        <v>6</v>
      </c>
      <c r="B9" s="58">
        <v>45359</v>
      </c>
      <c r="C9" s="59">
        <f t="shared" si="3"/>
        <v>2024</v>
      </c>
      <c r="D9" s="59">
        <f t="shared" si="4"/>
        <v>3</v>
      </c>
      <c r="E9" s="54">
        <v>16.808900000000001</v>
      </c>
      <c r="F9" s="63">
        <v>54.69</v>
      </c>
      <c r="G9" s="64">
        <v>39.58</v>
      </c>
      <c r="H9" s="64">
        <v>13.32</v>
      </c>
      <c r="I9" s="64">
        <v>213.58</v>
      </c>
      <c r="J9" s="64">
        <v>12.39</v>
      </c>
      <c r="K9" s="64">
        <v>238.44</v>
      </c>
      <c r="L9" s="64">
        <v>175.35</v>
      </c>
      <c r="M9" s="65">
        <v>175.34</v>
      </c>
      <c r="N9" s="70">
        <v>54935.99</v>
      </c>
      <c r="O9" s="70">
        <v>5123.6899999999996</v>
      </c>
      <c r="P9" s="82">
        <f t="shared" si="8"/>
        <v>-2.1893814997263616E-3</v>
      </c>
      <c r="Q9" s="83">
        <f t="shared" si="9"/>
        <v>-4.2767295597484489E-3</v>
      </c>
      <c r="R9" s="83">
        <f t="shared" si="10"/>
        <v>-4.484304932735439E-3</v>
      </c>
      <c r="S9" s="83">
        <f t="shared" si="11"/>
        <v>-1.1224394350387579E-3</v>
      </c>
      <c r="T9" s="83">
        <f t="shared" si="12"/>
        <v>-2.4154589371979673E-3</v>
      </c>
      <c r="U9" s="83">
        <f t="shared" si="13"/>
        <v>6.2948508120364011E-4</v>
      </c>
      <c r="V9" s="83">
        <f t="shared" si="14"/>
        <v>-8.3135391923990776E-3</v>
      </c>
      <c r="W9" s="84">
        <f t="shared" si="15"/>
        <v>-1.8527847746991344E-2</v>
      </c>
      <c r="X9" s="89">
        <f t="shared" si="16"/>
        <v>-2.0617811354837201E-3</v>
      </c>
      <c r="Y9" s="89">
        <f t="shared" si="17"/>
        <v>-6.5285339786247398E-3</v>
      </c>
    </row>
    <row r="10" spans="1:25" x14ac:dyDescent="0.25">
      <c r="A10" s="2">
        <f t="shared" si="2"/>
        <v>7</v>
      </c>
      <c r="B10" s="58">
        <v>45358</v>
      </c>
      <c r="C10" s="59">
        <f t="shared" si="3"/>
        <v>2024</v>
      </c>
      <c r="D10" s="59">
        <f t="shared" si="4"/>
        <v>3</v>
      </c>
      <c r="E10" s="54">
        <v>16.87</v>
      </c>
      <c r="F10" s="63">
        <v>54.81</v>
      </c>
      <c r="G10" s="64">
        <v>39.75</v>
      </c>
      <c r="H10" s="64">
        <v>13.38</v>
      </c>
      <c r="I10" s="64">
        <v>213.82</v>
      </c>
      <c r="J10" s="64">
        <v>12.42</v>
      </c>
      <c r="K10" s="64">
        <v>238.29</v>
      </c>
      <c r="L10" s="64">
        <v>176.82</v>
      </c>
      <c r="M10" s="65">
        <v>178.65</v>
      </c>
      <c r="N10" s="70">
        <v>55049.49</v>
      </c>
      <c r="O10" s="70">
        <v>5157.3599999999997</v>
      </c>
      <c r="P10" s="82">
        <f t="shared" si="8"/>
        <v>-3.2733224222586399E-3</v>
      </c>
      <c r="Q10" s="83">
        <f t="shared" si="9"/>
        <v>9.395632300660095E-3</v>
      </c>
      <c r="R10" s="83">
        <f t="shared" si="10"/>
        <v>8.2893745290129051E-3</v>
      </c>
      <c r="S10" s="83">
        <f t="shared" si="11"/>
        <v>-7.7958236658932645E-3</v>
      </c>
      <c r="T10" s="83">
        <f t="shared" si="12"/>
        <v>-2.5117739403453743E-2</v>
      </c>
      <c r="U10" s="83">
        <f t="shared" si="13"/>
        <v>-5.4259359739555757E-3</v>
      </c>
      <c r="V10" s="83">
        <f t="shared" si="14"/>
        <v>1.9076710276064723E-2</v>
      </c>
      <c r="W10" s="84">
        <f t="shared" si="15"/>
        <v>1.1951965560213162E-2</v>
      </c>
      <c r="X10" s="89">
        <f t="shared" si="16"/>
        <v>-4.2511003534263514E-3</v>
      </c>
      <c r="Y10" s="89">
        <f t="shared" si="17"/>
        <v>1.0304108322428451E-2</v>
      </c>
    </row>
    <row r="11" spans="1:25" x14ac:dyDescent="0.25">
      <c r="A11" s="2">
        <f t="shared" si="2"/>
        <v>8</v>
      </c>
      <c r="B11" s="58">
        <v>45357</v>
      </c>
      <c r="C11" s="59">
        <f t="shared" si="3"/>
        <v>2024</v>
      </c>
      <c r="D11" s="59">
        <f t="shared" si="4"/>
        <v>3</v>
      </c>
      <c r="E11" s="54">
        <v>16.876999999999999</v>
      </c>
      <c r="F11" s="63">
        <v>54.99</v>
      </c>
      <c r="G11" s="64">
        <v>39.380000000000003</v>
      </c>
      <c r="H11" s="64">
        <v>13.27</v>
      </c>
      <c r="I11" s="64">
        <v>215.5</v>
      </c>
      <c r="J11" s="64">
        <v>12.74</v>
      </c>
      <c r="K11" s="64">
        <v>239.59</v>
      </c>
      <c r="L11" s="64">
        <v>173.51</v>
      </c>
      <c r="M11" s="65">
        <v>176.54</v>
      </c>
      <c r="N11" s="70">
        <v>55284.51</v>
      </c>
      <c r="O11" s="70">
        <v>5104.76</v>
      </c>
      <c r="P11" s="82">
        <f t="shared" si="8"/>
        <v>-4.8859934853419107E-3</v>
      </c>
      <c r="Q11" s="83">
        <f t="shared" si="9"/>
        <v>-4.2983565107457267E-3</v>
      </c>
      <c r="R11" s="83">
        <f t="shared" si="10"/>
        <v>1.2977099236641143E-2</v>
      </c>
      <c r="S11" s="83">
        <f t="shared" si="11"/>
        <v>-6.7751302023321136E-3</v>
      </c>
      <c r="T11" s="83">
        <f t="shared" si="12"/>
        <v>3.6615134255492343E-2</v>
      </c>
      <c r="U11" s="83">
        <f t="shared" si="13"/>
        <v>6.4269511887760089E-3</v>
      </c>
      <c r="V11" s="83">
        <f t="shared" si="14"/>
        <v>-3.5033310360671477E-3</v>
      </c>
      <c r="W11" s="84">
        <f t="shared" si="15"/>
        <v>-2.323780015491872E-2</v>
      </c>
      <c r="X11" s="89">
        <f t="shared" si="16"/>
        <v>-3.4562538023027445E-3</v>
      </c>
      <c r="Y11" s="89">
        <f t="shared" si="17"/>
        <v>5.1411300247115044E-3</v>
      </c>
    </row>
    <row r="12" spans="1:25" x14ac:dyDescent="0.25">
      <c r="A12" s="2">
        <f t="shared" si="2"/>
        <v>9</v>
      </c>
      <c r="B12" s="58">
        <v>45356</v>
      </c>
      <c r="C12" s="59">
        <f t="shared" si="3"/>
        <v>2024</v>
      </c>
      <c r="D12" s="59">
        <f t="shared" si="4"/>
        <v>3</v>
      </c>
      <c r="E12" s="54">
        <v>16.942599999999999</v>
      </c>
      <c r="F12" s="63">
        <v>55.26</v>
      </c>
      <c r="G12" s="64">
        <v>39.549999999999997</v>
      </c>
      <c r="H12" s="64">
        <v>13.1</v>
      </c>
      <c r="I12" s="64">
        <v>216.97</v>
      </c>
      <c r="J12" s="64">
        <v>12.29</v>
      </c>
      <c r="K12" s="64">
        <v>238.06</v>
      </c>
      <c r="L12" s="64">
        <v>174.12</v>
      </c>
      <c r="M12" s="65">
        <v>180.74</v>
      </c>
      <c r="N12" s="70">
        <v>55476.25</v>
      </c>
      <c r="O12" s="70">
        <v>5078.6499999999996</v>
      </c>
      <c r="P12" s="82">
        <f t="shared" si="8"/>
        <v>1.9945602901179083E-3</v>
      </c>
      <c r="Q12" s="83">
        <f t="shared" si="9"/>
        <v>1.7730496453900457E-3</v>
      </c>
      <c r="R12" s="83">
        <f t="shared" si="10"/>
        <v>-9.8261526832955637E-3</v>
      </c>
      <c r="S12" s="83">
        <f t="shared" si="11"/>
        <v>1.6872100107794052E-2</v>
      </c>
      <c r="T12" s="83">
        <f t="shared" si="12"/>
        <v>1.8227009113504389E-2</v>
      </c>
      <c r="U12" s="83">
        <f t="shared" si="13"/>
        <v>-1.8996991799563157E-2</v>
      </c>
      <c r="V12" s="83">
        <f t="shared" si="14"/>
        <v>-1.9484176145962429E-2</v>
      </c>
      <c r="W12" s="84">
        <f t="shared" si="15"/>
        <v>-3.9332412033591835E-2</v>
      </c>
      <c r="X12" s="89">
        <f t="shared" si="16"/>
        <v>2.4809560479521764E-4</v>
      </c>
      <c r="Y12" s="89">
        <f t="shared" si="17"/>
        <v>-1.0193044173106403E-2</v>
      </c>
    </row>
    <row r="13" spans="1:25" x14ac:dyDescent="0.25">
      <c r="A13" s="2">
        <f t="shared" si="2"/>
        <v>10</v>
      </c>
      <c r="B13" s="58">
        <v>45355</v>
      </c>
      <c r="C13" s="59">
        <f t="shared" si="3"/>
        <v>2024</v>
      </c>
      <c r="D13" s="59">
        <f t="shared" si="4"/>
        <v>3</v>
      </c>
      <c r="E13" s="54">
        <v>16.96</v>
      </c>
      <c r="F13" s="63">
        <v>55.15</v>
      </c>
      <c r="G13" s="64">
        <v>39.479999999999997</v>
      </c>
      <c r="H13" s="64">
        <v>13.23</v>
      </c>
      <c r="I13" s="64">
        <v>213.37</v>
      </c>
      <c r="J13" s="64">
        <v>12.07</v>
      </c>
      <c r="K13" s="64">
        <v>242.67</v>
      </c>
      <c r="L13" s="64">
        <v>177.58</v>
      </c>
      <c r="M13" s="65">
        <v>188.14</v>
      </c>
      <c r="N13" s="70">
        <v>55462.49</v>
      </c>
      <c r="O13" s="70">
        <v>5130.95</v>
      </c>
      <c r="P13" s="82">
        <f t="shared" si="8"/>
        <v>-2.3516642547033451E-3</v>
      </c>
      <c r="Q13" s="83">
        <f t="shared" si="9"/>
        <v>-7.790902236742947E-3</v>
      </c>
      <c r="R13" s="83">
        <f t="shared" si="10"/>
        <v>-1.2686567164179152E-2</v>
      </c>
      <c r="S13" s="83">
        <f t="shared" si="11"/>
        <v>-1.9033607650222883E-2</v>
      </c>
      <c r="T13" s="83">
        <f t="shared" si="12"/>
        <v>-2.425222312045261E-2</v>
      </c>
      <c r="U13" s="83">
        <f t="shared" si="13"/>
        <v>-3.3803153368370809E-2</v>
      </c>
      <c r="V13" s="83">
        <f t="shared" si="14"/>
        <v>-3.5910672202894567E-3</v>
      </c>
      <c r="W13" s="84">
        <f t="shared" si="15"/>
        <v>-7.1555467824713781E-2</v>
      </c>
      <c r="X13" s="89">
        <f t="shared" si="16"/>
        <v>-1.3294002915569259E-3</v>
      </c>
      <c r="Y13" s="89">
        <f t="shared" si="17"/>
        <v>-1.1952292056398583E-3</v>
      </c>
    </row>
    <row r="14" spans="1:25" x14ac:dyDescent="0.25">
      <c r="A14" s="2">
        <f t="shared" si="2"/>
        <v>11</v>
      </c>
      <c r="B14" s="58">
        <v>45352</v>
      </c>
      <c r="C14" s="59">
        <f t="shared" si="3"/>
        <v>2024</v>
      </c>
      <c r="D14" s="59">
        <f t="shared" si="4"/>
        <v>3</v>
      </c>
      <c r="E14" s="54">
        <v>17.0108</v>
      </c>
      <c r="F14" s="63">
        <v>55.28</v>
      </c>
      <c r="G14" s="64">
        <v>39.79</v>
      </c>
      <c r="H14" s="64">
        <v>13.4</v>
      </c>
      <c r="I14" s="64">
        <v>217.51</v>
      </c>
      <c r="J14" s="64">
        <v>12.37</v>
      </c>
      <c r="K14" s="64">
        <v>251.16</v>
      </c>
      <c r="L14" s="64">
        <v>178.22</v>
      </c>
      <c r="M14" s="65">
        <v>202.64</v>
      </c>
      <c r="N14" s="70">
        <v>55536.32</v>
      </c>
      <c r="O14" s="70">
        <v>5137.09</v>
      </c>
      <c r="P14" s="82">
        <f t="shared" si="8"/>
        <v>1.8122508155129502E-3</v>
      </c>
      <c r="Q14" s="83">
        <f t="shared" si="9"/>
        <v>-1.5056461731494108E-3</v>
      </c>
      <c r="R14" s="83">
        <f t="shared" si="10"/>
        <v>2.8396009209516571E-2</v>
      </c>
      <c r="S14" s="83">
        <f t="shared" si="11"/>
        <v>1.8400599307051069E-2</v>
      </c>
      <c r="T14" s="83">
        <f t="shared" si="12"/>
        <v>-2.4193548387098085E-3</v>
      </c>
      <c r="U14" s="83">
        <f t="shared" si="13"/>
        <v>-2.0264632256525861E-3</v>
      </c>
      <c r="V14" s="83">
        <f t="shared" si="14"/>
        <v>8.2597872821905671E-3</v>
      </c>
      <c r="W14" s="84">
        <f t="shared" si="15"/>
        <v>3.7646126411730041E-3</v>
      </c>
      <c r="X14" s="89">
        <f t="shared" si="16"/>
        <v>2.2073844154906208E-3</v>
      </c>
      <c r="Y14" s="89">
        <f t="shared" si="17"/>
        <v>8.0097797016247529E-3</v>
      </c>
    </row>
    <row r="15" spans="1:25" x14ac:dyDescent="0.25">
      <c r="A15" s="2">
        <f t="shared" si="2"/>
        <v>12</v>
      </c>
      <c r="B15" s="58">
        <v>45351</v>
      </c>
      <c r="C15" s="59">
        <f t="shared" si="3"/>
        <v>2024</v>
      </c>
      <c r="D15" s="59">
        <f t="shared" si="4"/>
        <v>2</v>
      </c>
      <c r="E15" s="54">
        <v>17.048999999999999</v>
      </c>
      <c r="F15" s="63">
        <v>55.18</v>
      </c>
      <c r="G15" s="64">
        <v>39.85</v>
      </c>
      <c r="H15" s="64">
        <v>13.03</v>
      </c>
      <c r="I15" s="64">
        <v>213.58</v>
      </c>
      <c r="J15" s="64">
        <v>12.4</v>
      </c>
      <c r="K15" s="64">
        <v>251.67</v>
      </c>
      <c r="L15" s="64">
        <v>176.76</v>
      </c>
      <c r="M15" s="65">
        <v>201.88</v>
      </c>
      <c r="N15" s="70">
        <v>55414</v>
      </c>
      <c r="O15" s="70">
        <v>5096.2700000000004</v>
      </c>
      <c r="P15" s="82">
        <f t="shared" si="8"/>
        <v>2.1794406102433328E-3</v>
      </c>
      <c r="Q15" s="83">
        <f t="shared" si="9"/>
        <v>-2.5087807325629985E-4</v>
      </c>
      <c r="R15" s="83">
        <f t="shared" si="10"/>
        <v>-1.2878787878787823E-2</v>
      </c>
      <c r="S15" s="83">
        <f t="shared" si="11"/>
        <v>-1.5427048758822615E-3</v>
      </c>
      <c r="T15" s="83">
        <f t="shared" si="12"/>
        <v>-6.4102564102563875E-3</v>
      </c>
      <c r="U15" s="83">
        <f t="shared" si="13"/>
        <v>9.9927763062845898E-3</v>
      </c>
      <c r="V15" s="83">
        <f t="shared" si="14"/>
        <v>2.079002079002068E-2</v>
      </c>
      <c r="W15" s="84">
        <f t="shared" si="15"/>
        <v>-7.9192239160563727E-4</v>
      </c>
      <c r="X15" s="89">
        <f t="shared" si="16"/>
        <v>1.1452448310866892E-3</v>
      </c>
      <c r="Y15" s="89">
        <f t="shared" si="17"/>
        <v>5.229044372909275E-3</v>
      </c>
    </row>
    <row r="16" spans="1:25" x14ac:dyDescent="0.25">
      <c r="A16" s="2">
        <f t="shared" si="2"/>
        <v>13</v>
      </c>
      <c r="B16" s="58">
        <v>45350</v>
      </c>
      <c r="C16" s="59">
        <f t="shared" si="3"/>
        <v>2024</v>
      </c>
      <c r="D16" s="59">
        <f t="shared" si="4"/>
        <v>2</v>
      </c>
      <c r="E16" s="54">
        <v>17.0898</v>
      </c>
      <c r="F16" s="63">
        <v>55.06</v>
      </c>
      <c r="G16" s="64">
        <v>39.86</v>
      </c>
      <c r="H16" s="64">
        <v>13.2</v>
      </c>
      <c r="I16" s="64">
        <v>213.91</v>
      </c>
      <c r="J16" s="64">
        <v>12.48</v>
      </c>
      <c r="K16" s="64">
        <v>249.18</v>
      </c>
      <c r="L16" s="64">
        <v>173.16</v>
      </c>
      <c r="M16" s="65">
        <v>202.04</v>
      </c>
      <c r="N16" s="70">
        <v>55350.61</v>
      </c>
      <c r="O16" s="70">
        <v>5069.76</v>
      </c>
      <c r="P16" s="82">
        <f t="shared" si="8"/>
        <v>-1.5907059874888274E-2</v>
      </c>
      <c r="Q16" s="83">
        <f t="shared" si="9"/>
        <v>-3.8359469240048294E-2</v>
      </c>
      <c r="R16" s="83">
        <f t="shared" si="10"/>
        <v>-3.3674963396779001E-2</v>
      </c>
      <c r="S16" s="83">
        <f t="shared" si="11"/>
        <v>-1.1597819055540137E-2</v>
      </c>
      <c r="T16" s="83">
        <f t="shared" si="12"/>
        <v>-7.1599045346062429E-3</v>
      </c>
      <c r="U16" s="83">
        <f t="shared" si="13"/>
        <v>-2.755229472369658E-2</v>
      </c>
      <c r="V16" s="83">
        <f t="shared" si="14"/>
        <v>-2.1896968998501576E-3</v>
      </c>
      <c r="W16" s="84">
        <f t="shared" si="15"/>
        <v>1.1565613578330858E-2</v>
      </c>
      <c r="X16" s="89">
        <f t="shared" si="16"/>
        <v>-1.5832213599217493E-2</v>
      </c>
      <c r="Y16" s="89">
        <f t="shared" si="17"/>
        <v>-1.6620062226772037E-3</v>
      </c>
    </row>
    <row r="17" spans="1:25" x14ac:dyDescent="0.25">
      <c r="A17" s="2">
        <f t="shared" si="2"/>
        <v>14</v>
      </c>
      <c r="B17" s="58">
        <v>45349</v>
      </c>
      <c r="C17" s="59">
        <f t="shared" si="3"/>
        <v>2024</v>
      </c>
      <c r="D17" s="59">
        <f t="shared" si="4"/>
        <v>2</v>
      </c>
      <c r="E17" s="54">
        <v>17.058700000000002</v>
      </c>
      <c r="F17" s="63">
        <v>55.95</v>
      </c>
      <c r="G17" s="64">
        <v>41.45</v>
      </c>
      <c r="H17" s="64">
        <v>13.66</v>
      </c>
      <c r="I17" s="64">
        <v>216.42</v>
      </c>
      <c r="J17" s="64">
        <v>12.57</v>
      </c>
      <c r="K17" s="64">
        <v>256.24</v>
      </c>
      <c r="L17" s="64">
        <v>173.54</v>
      </c>
      <c r="M17" s="65">
        <v>199.73</v>
      </c>
      <c r="N17" s="70">
        <v>56241.03</v>
      </c>
      <c r="O17" s="70">
        <v>5078.2</v>
      </c>
      <c r="P17" s="82">
        <f t="shared" si="8"/>
        <v>1.0735373054213682E-3</v>
      </c>
      <c r="Q17" s="83">
        <f t="shared" si="9"/>
        <v>-1.0031048483400862E-2</v>
      </c>
      <c r="R17" s="83">
        <f t="shared" si="10"/>
        <v>-1.6558675305975545E-2</v>
      </c>
      <c r="S17" s="83">
        <f t="shared" si="11"/>
        <v>8.5278903956380603E-3</v>
      </c>
      <c r="T17" s="83">
        <f t="shared" si="12"/>
        <v>3.9936102236421966E-3</v>
      </c>
      <c r="U17" s="83">
        <f t="shared" si="13"/>
        <v>-1.0961865060984954E-2</v>
      </c>
      <c r="V17" s="83">
        <f t="shared" si="14"/>
        <v>-6.8105076403593978E-3</v>
      </c>
      <c r="W17" s="84">
        <f t="shared" si="15"/>
        <v>1.6549648946839746E-3</v>
      </c>
      <c r="X17" s="89">
        <f t="shared" si="16"/>
        <v>8.2409877653977226E-4</v>
      </c>
      <c r="Y17" s="89">
        <f t="shared" si="17"/>
        <v>1.7102177124901363E-3</v>
      </c>
    </row>
    <row r="18" spans="1:25" x14ac:dyDescent="0.25">
      <c r="A18" s="2">
        <f t="shared" si="2"/>
        <v>15</v>
      </c>
      <c r="B18" s="58">
        <v>45348</v>
      </c>
      <c r="C18" s="59">
        <f t="shared" si="3"/>
        <v>2024</v>
      </c>
      <c r="D18" s="59">
        <f t="shared" si="4"/>
        <v>2</v>
      </c>
      <c r="E18" s="54">
        <v>17.0944</v>
      </c>
      <c r="F18" s="63">
        <v>55.89</v>
      </c>
      <c r="G18" s="64">
        <v>41.87</v>
      </c>
      <c r="H18" s="64">
        <v>13.89</v>
      </c>
      <c r="I18" s="64">
        <v>214.59</v>
      </c>
      <c r="J18" s="64">
        <v>12.52</v>
      </c>
      <c r="K18" s="64">
        <v>259.08</v>
      </c>
      <c r="L18" s="64">
        <v>174.73</v>
      </c>
      <c r="M18" s="65">
        <v>199.4</v>
      </c>
      <c r="N18" s="70">
        <v>56194.720000000001</v>
      </c>
      <c r="O18" s="70">
        <v>5069.53</v>
      </c>
      <c r="P18" s="82">
        <f t="shared" si="8"/>
        <v>-9.0425531914892776E-3</v>
      </c>
      <c r="Q18" s="83">
        <f t="shared" si="9"/>
        <v>-9.9314258689997548E-3</v>
      </c>
      <c r="R18" s="83">
        <f t="shared" si="10"/>
        <v>-7.1479628305932685E-3</v>
      </c>
      <c r="S18" s="83">
        <f t="shared" si="11"/>
        <v>4.0707467714766743E-3</v>
      </c>
      <c r="T18" s="83">
        <f t="shared" si="12"/>
        <v>-8.7094220110848219E-3</v>
      </c>
      <c r="U18" s="83">
        <f t="shared" si="13"/>
        <v>-1.3254113345521068E-2</v>
      </c>
      <c r="V18" s="83">
        <f t="shared" si="14"/>
        <v>-1.4857991885252053E-3</v>
      </c>
      <c r="W18" s="84">
        <f t="shared" si="15"/>
        <v>3.8703964161066917E-2</v>
      </c>
      <c r="X18" s="89">
        <f t="shared" si="16"/>
        <v>-8.2082887691097284E-3</v>
      </c>
      <c r="Y18" s="89">
        <f t="shared" si="17"/>
        <v>-3.7867473667663187E-3</v>
      </c>
    </row>
    <row r="19" spans="1:25" x14ac:dyDescent="0.25">
      <c r="A19" s="2">
        <f t="shared" si="2"/>
        <v>16</v>
      </c>
      <c r="B19" s="58">
        <v>45345</v>
      </c>
      <c r="C19" s="59">
        <f t="shared" si="3"/>
        <v>2024</v>
      </c>
      <c r="D19" s="59">
        <f t="shared" si="4"/>
        <v>2</v>
      </c>
      <c r="E19" s="54">
        <v>17.106999999999999</v>
      </c>
      <c r="F19" s="63">
        <v>56.4</v>
      </c>
      <c r="G19" s="64">
        <v>42.29</v>
      </c>
      <c r="H19" s="64">
        <v>13.99</v>
      </c>
      <c r="I19" s="64">
        <v>213.72</v>
      </c>
      <c r="J19" s="64">
        <v>12.63</v>
      </c>
      <c r="K19" s="64">
        <v>262.56</v>
      </c>
      <c r="L19" s="64">
        <v>174.99</v>
      </c>
      <c r="M19" s="65">
        <v>191.97</v>
      </c>
      <c r="N19" s="70">
        <v>56659.8</v>
      </c>
      <c r="O19" s="70">
        <v>5088.8</v>
      </c>
      <c r="P19" s="82">
        <f t="shared" si="8"/>
        <v>-7.9155672823219003E-3</v>
      </c>
      <c r="Q19" s="83">
        <f t="shared" si="9"/>
        <v>3.3214709371294227E-3</v>
      </c>
      <c r="R19" s="83">
        <f t="shared" si="10"/>
        <v>2.116788321167884E-2</v>
      </c>
      <c r="S19" s="83">
        <f t="shared" si="11"/>
        <v>3.6158722704859869E-3</v>
      </c>
      <c r="T19" s="83">
        <f t="shared" si="12"/>
        <v>0</v>
      </c>
      <c r="U19" s="83">
        <f t="shared" si="13"/>
        <v>-5.8687668017114447E-3</v>
      </c>
      <c r="V19" s="83">
        <f t="shared" si="14"/>
        <v>2.3484935273228036E-3</v>
      </c>
      <c r="W19" s="84">
        <f t="shared" si="15"/>
        <v>-2.7556861354541273E-2</v>
      </c>
      <c r="X19" s="89">
        <f t="shared" si="16"/>
        <v>-8.555395719204939E-3</v>
      </c>
      <c r="Y19" s="89">
        <f t="shared" si="17"/>
        <v>3.4794369209545373E-4</v>
      </c>
    </row>
    <row r="20" spans="1:25" x14ac:dyDescent="0.25">
      <c r="A20" s="2">
        <f t="shared" si="2"/>
        <v>17</v>
      </c>
      <c r="B20" s="58">
        <v>45344</v>
      </c>
      <c r="C20" s="59">
        <f t="shared" si="3"/>
        <v>2024</v>
      </c>
      <c r="D20" s="59">
        <f t="shared" si="4"/>
        <v>2</v>
      </c>
      <c r="E20" s="54">
        <v>17.097999999999999</v>
      </c>
      <c r="F20" s="63">
        <v>56.85</v>
      </c>
      <c r="G20" s="64">
        <v>42.15</v>
      </c>
      <c r="H20" s="64">
        <v>13.7</v>
      </c>
      <c r="I20" s="64">
        <v>212.95</v>
      </c>
      <c r="J20" s="64">
        <v>12.63</v>
      </c>
      <c r="K20" s="64">
        <v>264.11</v>
      </c>
      <c r="L20" s="64">
        <v>174.58</v>
      </c>
      <c r="M20" s="65">
        <v>197.41</v>
      </c>
      <c r="N20" s="70">
        <v>57148.73</v>
      </c>
      <c r="O20" s="70">
        <v>5087.03</v>
      </c>
      <c r="P20" s="82">
        <f t="shared" si="8"/>
        <v>2.1152829190904665E-3</v>
      </c>
      <c r="Q20" s="83">
        <f t="shared" si="9"/>
        <v>1.3708513708513781E-2</v>
      </c>
      <c r="R20" s="83">
        <f t="shared" si="10"/>
        <v>1.2564671101256364E-2</v>
      </c>
      <c r="S20" s="83">
        <f t="shared" si="11"/>
        <v>-1.0409405641526148E-2</v>
      </c>
      <c r="T20" s="83">
        <f t="shared" si="12"/>
        <v>5.5732484076433941E-3</v>
      </c>
      <c r="U20" s="83">
        <f t="shared" si="13"/>
        <v>1.8392843371635825E-2</v>
      </c>
      <c r="V20" s="83">
        <f t="shared" si="14"/>
        <v>3.5529983984815328E-2</v>
      </c>
      <c r="W20" s="84">
        <f t="shared" si="15"/>
        <v>1.3554448837089783E-2</v>
      </c>
      <c r="X20" s="89">
        <f t="shared" si="16"/>
        <v>2.2395246104816025E-3</v>
      </c>
      <c r="Y20" s="89">
        <f t="shared" si="17"/>
        <v>2.1122887309807714E-2</v>
      </c>
    </row>
    <row r="21" spans="1:25" x14ac:dyDescent="0.25">
      <c r="A21" s="2">
        <f t="shared" si="2"/>
        <v>18</v>
      </c>
      <c r="B21" s="58">
        <v>45343</v>
      </c>
      <c r="C21" s="59">
        <f t="shared" si="3"/>
        <v>2024</v>
      </c>
      <c r="D21" s="59">
        <f t="shared" si="4"/>
        <v>2</v>
      </c>
      <c r="E21" s="54">
        <v>17.0382</v>
      </c>
      <c r="F21" s="63">
        <v>56.73</v>
      </c>
      <c r="G21" s="64">
        <v>41.58</v>
      </c>
      <c r="H21" s="64">
        <v>13.53</v>
      </c>
      <c r="I21" s="64">
        <v>215.19</v>
      </c>
      <c r="J21" s="64">
        <v>12.56</v>
      </c>
      <c r="K21" s="64">
        <v>259.33999999999997</v>
      </c>
      <c r="L21" s="64">
        <v>168.59</v>
      </c>
      <c r="M21" s="65">
        <v>194.77</v>
      </c>
      <c r="N21" s="70">
        <v>57021.03</v>
      </c>
      <c r="O21" s="70">
        <v>4981.8</v>
      </c>
      <c r="P21" s="82">
        <f t="shared" si="8"/>
        <v>-2.9876977152900608E-3</v>
      </c>
      <c r="Q21" s="83">
        <f t="shared" si="9"/>
        <v>-2.0955968919237122E-2</v>
      </c>
      <c r="R21" s="83">
        <f t="shared" si="10"/>
        <v>6.6964285714286031E-3</v>
      </c>
      <c r="S21" s="83">
        <f t="shared" si="11"/>
        <v>-3.0576789437108953E-3</v>
      </c>
      <c r="T21" s="83">
        <f t="shared" si="12"/>
        <v>-2.8615622583139877E-2</v>
      </c>
      <c r="U21" s="83">
        <f t="shared" si="13"/>
        <v>-1.5264277035237139E-2</v>
      </c>
      <c r="V21" s="83">
        <f t="shared" si="14"/>
        <v>9.0375867847736213E-3</v>
      </c>
      <c r="W21" s="84">
        <f t="shared" si="15"/>
        <v>5.2126341866227666E-3</v>
      </c>
      <c r="X21" s="89">
        <f t="shared" si="16"/>
        <v>-3.6108406999620923E-3</v>
      </c>
      <c r="Y21" s="89">
        <f t="shared" si="17"/>
        <v>1.2641920124771833E-3</v>
      </c>
    </row>
    <row r="22" spans="1:25" x14ac:dyDescent="0.25">
      <c r="A22" s="2">
        <f t="shared" si="2"/>
        <v>19</v>
      </c>
      <c r="B22" s="58">
        <v>45342</v>
      </c>
      <c r="C22" s="59">
        <f t="shared" si="3"/>
        <v>2024</v>
      </c>
      <c r="D22" s="59">
        <f t="shared" si="4"/>
        <v>2</v>
      </c>
      <c r="E22" s="54">
        <v>17.047999999999998</v>
      </c>
      <c r="F22" s="63">
        <v>56.9</v>
      </c>
      <c r="G22" s="64">
        <v>42.47</v>
      </c>
      <c r="H22" s="64">
        <v>13.44</v>
      </c>
      <c r="I22" s="64">
        <v>215.85</v>
      </c>
      <c r="J22" s="64">
        <v>12.93</v>
      </c>
      <c r="K22" s="64">
        <v>263.36</v>
      </c>
      <c r="L22" s="64">
        <v>167.08</v>
      </c>
      <c r="M22" s="65">
        <v>193.76</v>
      </c>
      <c r="N22" s="70">
        <v>57227.67</v>
      </c>
      <c r="O22" s="70">
        <v>4975.51</v>
      </c>
      <c r="P22" s="82">
        <f t="shared" si="8"/>
        <v>-2.2795020164826374E-3</v>
      </c>
      <c r="Q22" s="83">
        <f t="shared" si="9"/>
        <v>-5.8520599250936334E-3</v>
      </c>
      <c r="R22" s="83">
        <f t="shared" si="10"/>
        <v>-3.7064492216457579E-3</v>
      </c>
      <c r="S22" s="83">
        <f t="shared" si="11"/>
        <v>-1.0044028618602097E-2</v>
      </c>
      <c r="T22" s="83">
        <f t="shared" si="12"/>
        <v>1.491365777080067E-2</v>
      </c>
      <c r="U22" s="83">
        <f t="shared" si="13"/>
        <v>1.8564356435643692E-2</v>
      </c>
      <c r="V22" s="83">
        <f t="shared" si="14"/>
        <v>-1.4335437437319243E-2</v>
      </c>
      <c r="W22" s="84">
        <f t="shared" si="15"/>
        <v>-3.0957739434858689E-2</v>
      </c>
      <c r="X22" s="89">
        <f t="shared" si="16"/>
        <v>-4.563920191407167E-3</v>
      </c>
      <c r="Y22" s="89">
        <f t="shared" si="17"/>
        <v>-6.0053100845657292E-3</v>
      </c>
    </row>
    <row r="23" spans="1:25" x14ac:dyDescent="0.25">
      <c r="A23" s="2">
        <f t="shared" si="2"/>
        <v>20</v>
      </c>
      <c r="B23" s="58">
        <v>45341</v>
      </c>
      <c r="C23" s="59">
        <f t="shared" si="3"/>
        <v>2024</v>
      </c>
      <c r="D23" s="59">
        <f t="shared" si="4"/>
        <v>2</v>
      </c>
      <c r="E23" s="54">
        <v>17.041</v>
      </c>
      <c r="F23" s="63">
        <v>57.03</v>
      </c>
      <c r="G23" s="64">
        <v>42.72</v>
      </c>
      <c r="H23" s="64">
        <v>13.49</v>
      </c>
      <c r="I23" s="64">
        <v>218.04</v>
      </c>
      <c r="J23" s="64">
        <v>12.74</v>
      </c>
      <c r="K23" s="64">
        <v>258.56</v>
      </c>
      <c r="L23" s="64">
        <v>169.51</v>
      </c>
      <c r="M23" s="65">
        <v>199.95</v>
      </c>
      <c r="N23" s="70">
        <v>57490.05</v>
      </c>
      <c r="O23" s="70">
        <v>5005.57</v>
      </c>
      <c r="P23" s="82">
        <f t="shared" si="8"/>
        <v>4.0492957746478542E-3</v>
      </c>
      <c r="Q23" s="83">
        <f t="shared" si="9"/>
        <v>7.0721357850069833E-3</v>
      </c>
      <c r="R23" s="83">
        <f t="shared" si="10"/>
        <v>5.2160953800297616E-3</v>
      </c>
      <c r="S23" s="83">
        <f t="shared" si="11"/>
        <v>6.462333825701716E-3</v>
      </c>
      <c r="T23" s="83">
        <f t="shared" si="12"/>
        <v>-7.8431372549014888E-4</v>
      </c>
      <c r="U23" s="83">
        <f t="shared" si="13"/>
        <v>-2.8992038455760705E-2</v>
      </c>
      <c r="V23" s="83">
        <f t="shared" si="14"/>
        <v>0</v>
      </c>
      <c r="W23" s="84">
        <f t="shared" si="15"/>
        <v>0</v>
      </c>
      <c r="X23" s="89">
        <f t="shared" si="16"/>
        <v>6.2651283140076064E-3</v>
      </c>
      <c r="Y23" s="89">
        <f t="shared" si="17"/>
        <v>0</v>
      </c>
    </row>
    <row r="24" spans="1:25" x14ac:dyDescent="0.25">
      <c r="A24" s="2">
        <f t="shared" si="2"/>
        <v>21</v>
      </c>
      <c r="B24" s="58">
        <v>45338</v>
      </c>
      <c r="C24" s="59">
        <f t="shared" si="3"/>
        <v>2024</v>
      </c>
      <c r="D24" s="59">
        <f t="shared" si="4"/>
        <v>2</v>
      </c>
      <c r="E24" s="54">
        <v>17.050999999999998</v>
      </c>
      <c r="F24" s="63">
        <v>56.8</v>
      </c>
      <c r="G24" s="64">
        <v>42.42</v>
      </c>
      <c r="H24" s="64">
        <v>13.42</v>
      </c>
      <c r="I24" s="64">
        <v>216.64</v>
      </c>
      <c r="J24" s="64">
        <v>12.75</v>
      </c>
      <c r="K24" s="64">
        <v>266.27999999999997</v>
      </c>
      <c r="L24" s="64">
        <v>169.51</v>
      </c>
      <c r="M24" s="65">
        <v>199.95</v>
      </c>
      <c r="N24" s="70">
        <v>57132.11</v>
      </c>
      <c r="O24" s="70">
        <v>5005.57</v>
      </c>
      <c r="P24" s="82">
        <f t="shared" si="8"/>
        <v>-1.9328764716218805E-3</v>
      </c>
      <c r="Q24" s="83">
        <f t="shared" si="9"/>
        <v>-5.6258790436004569E-3</v>
      </c>
      <c r="R24" s="83">
        <f t="shared" si="10"/>
        <v>1.7437452615618021E-2</v>
      </c>
      <c r="S24" s="83">
        <f t="shared" si="11"/>
        <v>-1.3845940831680448E-4</v>
      </c>
      <c r="T24" s="83">
        <f t="shared" si="12"/>
        <v>5.5205047318611644E-3</v>
      </c>
      <c r="U24" s="83">
        <f t="shared" si="13"/>
        <v>9.7737012254706102E-4</v>
      </c>
      <c r="V24" s="83">
        <f t="shared" si="14"/>
        <v>-1.7078916372204045E-3</v>
      </c>
      <c r="W24" s="84">
        <f t="shared" si="15"/>
        <v>-2.49438762783738E-3</v>
      </c>
      <c r="X24" s="89">
        <f t="shared" si="16"/>
        <v>-2.0921580056134648E-3</v>
      </c>
      <c r="Y24" s="89">
        <f t="shared" si="17"/>
        <v>-4.8034387531735723E-3</v>
      </c>
    </row>
    <row r="25" spans="1:25" x14ac:dyDescent="0.25">
      <c r="A25" s="2">
        <f t="shared" si="2"/>
        <v>22</v>
      </c>
      <c r="B25" s="58">
        <v>45337</v>
      </c>
      <c r="C25" s="59">
        <f t="shared" si="3"/>
        <v>2024</v>
      </c>
      <c r="D25" s="59">
        <f t="shared" si="4"/>
        <v>2</v>
      </c>
      <c r="E25" s="54">
        <v>17.039000000000001</v>
      </c>
      <c r="F25" s="63">
        <v>56.91</v>
      </c>
      <c r="G25" s="64">
        <v>42.66</v>
      </c>
      <c r="H25" s="64">
        <v>13.19</v>
      </c>
      <c r="I25" s="64">
        <v>216.67</v>
      </c>
      <c r="J25" s="64">
        <v>12.68</v>
      </c>
      <c r="K25" s="64">
        <v>266.02</v>
      </c>
      <c r="L25" s="64">
        <v>169.8</v>
      </c>
      <c r="M25" s="65">
        <v>200.45</v>
      </c>
      <c r="N25" s="70">
        <v>57251.89</v>
      </c>
      <c r="O25" s="70">
        <v>5029.7299999999996</v>
      </c>
      <c r="P25" s="82">
        <f t="shared" si="8"/>
        <v>-1.756851721715913E-4</v>
      </c>
      <c r="Q25" s="83">
        <f t="shared" si="9"/>
        <v>5.1837888784165287E-3</v>
      </c>
      <c r="R25" s="83">
        <f t="shared" si="10"/>
        <v>1.3056835637480724E-2</v>
      </c>
      <c r="S25" s="83">
        <f t="shared" si="11"/>
        <v>-6.4572667312401411E-4</v>
      </c>
      <c r="T25" s="83">
        <f t="shared" si="12"/>
        <v>1.9292604501607746E-2</v>
      </c>
      <c r="U25" s="83">
        <f t="shared" si="13"/>
        <v>-2.0258103241297398E-3</v>
      </c>
      <c r="V25" s="83">
        <f t="shared" si="14"/>
        <v>-6.9013919756695241E-3</v>
      </c>
      <c r="W25" s="84">
        <f t="shared" si="15"/>
        <v>6.2211859466906771E-2</v>
      </c>
      <c r="X25" s="89">
        <f t="shared" si="16"/>
        <v>5.9739587800367033E-5</v>
      </c>
      <c r="Y25" s="89">
        <f t="shared" si="17"/>
        <v>5.8212781615079034E-3</v>
      </c>
    </row>
    <row r="26" spans="1:25" x14ac:dyDescent="0.25">
      <c r="A26" s="2">
        <f t="shared" si="2"/>
        <v>23</v>
      </c>
      <c r="B26" s="58">
        <v>45336</v>
      </c>
      <c r="C26" s="59">
        <f t="shared" si="3"/>
        <v>2024</v>
      </c>
      <c r="D26" s="59">
        <f t="shared" si="4"/>
        <v>2</v>
      </c>
      <c r="E26" s="54">
        <v>17.073</v>
      </c>
      <c r="F26" s="63">
        <v>56.92</v>
      </c>
      <c r="G26" s="64">
        <v>42.44</v>
      </c>
      <c r="H26" s="64">
        <v>13.02</v>
      </c>
      <c r="I26" s="64">
        <v>216.81</v>
      </c>
      <c r="J26" s="64">
        <v>12.44</v>
      </c>
      <c r="K26" s="64">
        <v>266.56</v>
      </c>
      <c r="L26" s="64">
        <v>170.98</v>
      </c>
      <c r="M26" s="65">
        <v>188.71</v>
      </c>
      <c r="N26" s="70">
        <v>57248.47</v>
      </c>
      <c r="O26" s="70">
        <v>5000.62</v>
      </c>
      <c r="P26" s="82">
        <f t="shared" si="8"/>
        <v>5.1209606215787407E-3</v>
      </c>
      <c r="Q26" s="83">
        <f t="shared" si="9"/>
        <v>3.546937810356976E-3</v>
      </c>
      <c r="R26" s="83">
        <f t="shared" si="10"/>
        <v>-8.3777608530084535E-3</v>
      </c>
      <c r="S26" s="83">
        <f t="shared" si="11"/>
        <v>8.3248069946981751E-3</v>
      </c>
      <c r="T26" s="83">
        <f t="shared" si="12"/>
        <v>1.7170891251022002E-2</v>
      </c>
      <c r="U26" s="83">
        <f t="shared" si="13"/>
        <v>-1.0468483183606825E-2</v>
      </c>
      <c r="V26" s="83">
        <f t="shared" si="14"/>
        <v>1.3875711574952598E-2</v>
      </c>
      <c r="W26" s="84">
        <f t="shared" si="15"/>
        <v>2.5486360178241574E-2</v>
      </c>
      <c r="X26" s="89">
        <f t="shared" si="16"/>
        <v>6.0006688106328809E-3</v>
      </c>
      <c r="Y26" s="89">
        <f t="shared" si="17"/>
        <v>9.5797236921002504E-3</v>
      </c>
    </row>
    <row r="27" spans="1:25" x14ac:dyDescent="0.25">
      <c r="A27" s="2">
        <f t="shared" si="2"/>
        <v>24</v>
      </c>
      <c r="B27" s="58">
        <v>45335</v>
      </c>
      <c r="C27" s="59">
        <f t="shared" si="3"/>
        <v>2024</v>
      </c>
      <c r="D27" s="59">
        <f t="shared" si="4"/>
        <v>2</v>
      </c>
      <c r="E27" s="54">
        <v>17.175000000000001</v>
      </c>
      <c r="F27" s="63">
        <v>56.63</v>
      </c>
      <c r="G27" s="64">
        <v>42.29</v>
      </c>
      <c r="H27" s="64">
        <v>13.13</v>
      </c>
      <c r="I27" s="64">
        <v>215.02</v>
      </c>
      <c r="J27" s="64">
        <v>12.23</v>
      </c>
      <c r="K27" s="64">
        <v>269.38</v>
      </c>
      <c r="L27" s="64">
        <v>168.64</v>
      </c>
      <c r="M27" s="65">
        <v>184.02</v>
      </c>
      <c r="N27" s="70">
        <v>56906.99</v>
      </c>
      <c r="O27" s="70">
        <v>4953.17</v>
      </c>
      <c r="P27" s="82">
        <f t="shared" si="8"/>
        <v>-8.231173380034984E-3</v>
      </c>
      <c r="Q27" s="83">
        <f t="shared" si="9"/>
        <v>-1.6053978594695151E-2</v>
      </c>
      <c r="R27" s="83">
        <f t="shared" si="10"/>
        <v>-1.3523666416228375E-2</v>
      </c>
      <c r="S27" s="83">
        <f t="shared" si="11"/>
        <v>-1.4438282073612196E-2</v>
      </c>
      <c r="T27" s="83">
        <f t="shared" si="12"/>
        <v>-5.1937984496124079E-2</v>
      </c>
      <c r="U27" s="83">
        <f t="shared" si="13"/>
        <v>-9.3409826419535991E-3</v>
      </c>
      <c r="V27" s="83">
        <f t="shared" si="14"/>
        <v>-2.1469188812812012E-2</v>
      </c>
      <c r="W27" s="84">
        <f t="shared" si="15"/>
        <v>-2.1846595439323768E-2</v>
      </c>
      <c r="X27" s="89">
        <f t="shared" si="16"/>
        <v>-8.9093158918155391E-3</v>
      </c>
      <c r="Y27" s="89">
        <f t="shared" si="17"/>
        <v>-1.3674270785210219E-2</v>
      </c>
    </row>
    <row r="28" spans="1:25" x14ac:dyDescent="0.25">
      <c r="A28" s="2">
        <f t="shared" si="2"/>
        <v>25</v>
      </c>
      <c r="B28" s="58">
        <v>45334</v>
      </c>
      <c r="C28" s="59">
        <f t="shared" si="3"/>
        <v>2024</v>
      </c>
      <c r="D28" s="59">
        <f t="shared" si="4"/>
        <v>2</v>
      </c>
      <c r="E28" s="54">
        <v>17.064399999999999</v>
      </c>
      <c r="F28" s="63">
        <v>57.1</v>
      </c>
      <c r="G28" s="64">
        <v>42.98</v>
      </c>
      <c r="H28" s="64">
        <v>13.31</v>
      </c>
      <c r="I28" s="64">
        <v>218.17</v>
      </c>
      <c r="J28" s="64">
        <v>12.9</v>
      </c>
      <c r="K28" s="64">
        <v>271.92</v>
      </c>
      <c r="L28" s="64">
        <v>172.34</v>
      </c>
      <c r="M28" s="65">
        <v>188.13</v>
      </c>
      <c r="N28" s="70">
        <v>57418.55</v>
      </c>
      <c r="O28" s="70">
        <v>5021.84</v>
      </c>
      <c r="P28" s="82">
        <f t="shared" si="8"/>
        <v>1.578670408700189E-3</v>
      </c>
      <c r="Q28" s="83">
        <f t="shared" si="9"/>
        <v>8.6834076507862346E-3</v>
      </c>
      <c r="R28" s="83">
        <f t="shared" si="10"/>
        <v>1.3709063214013772E-2</v>
      </c>
      <c r="S28" s="83">
        <f t="shared" si="11"/>
        <v>1.2061047455582896E-2</v>
      </c>
      <c r="T28" s="83">
        <f t="shared" si="12"/>
        <v>7.0257611241217877E-3</v>
      </c>
      <c r="U28" s="83">
        <f t="shared" si="13"/>
        <v>-2.8232435136873679E-2</v>
      </c>
      <c r="V28" s="83">
        <f t="shared" si="14"/>
        <v>-1.2095156205216284E-2</v>
      </c>
      <c r="W28" s="84">
        <f t="shared" si="15"/>
        <v>-2.8103528439324288E-2</v>
      </c>
      <c r="X28" s="89">
        <f t="shared" si="16"/>
        <v>1.5882429898390615E-3</v>
      </c>
      <c r="Y28" s="89">
        <f t="shared" si="17"/>
        <v>-9.4894968975101079E-4</v>
      </c>
    </row>
    <row r="29" spans="1:25" x14ac:dyDescent="0.25">
      <c r="A29" s="2">
        <f t="shared" si="2"/>
        <v>26</v>
      </c>
      <c r="B29" s="58">
        <v>45331</v>
      </c>
      <c r="C29" s="59">
        <f t="shared" si="3"/>
        <v>2024</v>
      </c>
      <c r="D29" s="59">
        <f t="shared" si="4"/>
        <v>2</v>
      </c>
      <c r="E29" s="54">
        <v>17.076000000000001</v>
      </c>
      <c r="F29" s="63">
        <v>57.01</v>
      </c>
      <c r="G29" s="64">
        <v>42.61</v>
      </c>
      <c r="H29" s="64">
        <v>13.13</v>
      </c>
      <c r="I29" s="64">
        <v>215.57</v>
      </c>
      <c r="J29" s="64">
        <v>12.81</v>
      </c>
      <c r="K29" s="64">
        <v>279.82</v>
      </c>
      <c r="L29" s="64">
        <v>174.45</v>
      </c>
      <c r="M29" s="65">
        <v>193.57</v>
      </c>
      <c r="N29" s="70">
        <v>57327.5</v>
      </c>
      <c r="O29" s="70">
        <v>5026.6099999999997</v>
      </c>
      <c r="P29" s="82">
        <f t="shared" si="8"/>
        <v>-7.140369209334807E-3</v>
      </c>
      <c r="Q29" s="83">
        <f t="shared" si="9"/>
        <v>-6.7599067599067864E-3</v>
      </c>
      <c r="R29" s="83">
        <f t="shared" si="10"/>
        <v>-3.6683785766691068E-2</v>
      </c>
      <c r="S29" s="83">
        <f t="shared" si="11"/>
        <v>-7.6873503958756473E-3</v>
      </c>
      <c r="T29" s="83">
        <f t="shared" si="12"/>
        <v>-8.5139318885448789E-3</v>
      </c>
      <c r="U29" s="83">
        <f t="shared" si="13"/>
        <v>-9.4165958651940551E-3</v>
      </c>
      <c r="V29" s="83">
        <f t="shared" si="14"/>
        <v>2.7143193593970771E-2</v>
      </c>
      <c r="W29" s="84">
        <f t="shared" si="15"/>
        <v>2.1154251951888581E-2</v>
      </c>
      <c r="X29" s="89">
        <f t="shared" si="16"/>
        <v>-7.5298065663431668E-3</v>
      </c>
      <c r="Y29" s="89">
        <f t="shared" si="17"/>
        <v>5.7424003233350618E-3</v>
      </c>
    </row>
    <row r="30" spans="1:25" x14ac:dyDescent="0.25">
      <c r="A30" s="2">
        <f t="shared" si="2"/>
        <v>27</v>
      </c>
      <c r="B30" s="58">
        <v>45330</v>
      </c>
      <c r="C30" s="59">
        <f t="shared" si="3"/>
        <v>2024</v>
      </c>
      <c r="D30" s="59">
        <f t="shared" si="4"/>
        <v>2</v>
      </c>
      <c r="E30" s="54">
        <v>17.140799999999999</v>
      </c>
      <c r="F30" s="63">
        <v>57.42</v>
      </c>
      <c r="G30" s="64">
        <v>42.9</v>
      </c>
      <c r="H30" s="64">
        <v>13.63</v>
      </c>
      <c r="I30" s="64">
        <v>217.24</v>
      </c>
      <c r="J30" s="64">
        <v>12.92</v>
      </c>
      <c r="K30" s="64">
        <v>282.48</v>
      </c>
      <c r="L30" s="64">
        <v>169.84</v>
      </c>
      <c r="M30" s="65">
        <v>189.56</v>
      </c>
      <c r="N30" s="70">
        <v>57762.44</v>
      </c>
      <c r="O30" s="70">
        <v>4997.91</v>
      </c>
      <c r="P30" s="82">
        <f t="shared" si="8"/>
        <v>-1.6106922549691483E-2</v>
      </c>
      <c r="Q30" s="83">
        <f t="shared" si="9"/>
        <v>7.0422535211267512E-3</v>
      </c>
      <c r="R30" s="83">
        <f t="shared" si="10"/>
        <v>-8.2772543741588045E-2</v>
      </c>
      <c r="S30" s="83">
        <f t="shared" si="11"/>
        <v>-1.3755845099196473E-2</v>
      </c>
      <c r="T30" s="83">
        <f t="shared" si="12"/>
        <v>-1.1476664116296886E-2</v>
      </c>
      <c r="U30" s="83">
        <f t="shared" si="13"/>
        <v>-6.0145055722615748E-4</v>
      </c>
      <c r="V30" s="83">
        <f t="shared" si="14"/>
        <v>-4.0462088782032835E-3</v>
      </c>
      <c r="W30" s="84">
        <f t="shared" si="15"/>
        <v>1.0555496321569491E-2</v>
      </c>
      <c r="X30" s="89">
        <f t="shared" si="16"/>
        <v>-1.6171005965233243E-2</v>
      </c>
      <c r="Y30" s="89">
        <f t="shared" si="17"/>
        <v>5.7056371695218822E-4</v>
      </c>
    </row>
    <row r="31" spans="1:25" x14ac:dyDescent="0.25">
      <c r="A31" s="2">
        <f t="shared" si="2"/>
        <v>28</v>
      </c>
      <c r="B31" s="58">
        <v>45329</v>
      </c>
      <c r="C31" s="59">
        <f t="shared" si="3"/>
        <v>2024</v>
      </c>
      <c r="D31" s="59">
        <f t="shared" si="4"/>
        <v>2</v>
      </c>
      <c r="E31" s="54">
        <v>17.026</v>
      </c>
      <c r="F31" s="63">
        <v>58.36</v>
      </c>
      <c r="G31" s="64">
        <v>42.6</v>
      </c>
      <c r="H31" s="64">
        <v>14.86</v>
      </c>
      <c r="I31" s="64">
        <v>220.27</v>
      </c>
      <c r="J31" s="64">
        <v>13.07</v>
      </c>
      <c r="K31" s="64">
        <v>282.64999999999998</v>
      </c>
      <c r="L31" s="64">
        <v>170.53</v>
      </c>
      <c r="M31" s="65">
        <v>187.58</v>
      </c>
      <c r="N31" s="70">
        <v>58711.87</v>
      </c>
      <c r="O31" s="70">
        <v>4995.0600000000004</v>
      </c>
      <c r="P31" s="82">
        <f t="shared" si="8"/>
        <v>1.7137960582691569E-4</v>
      </c>
      <c r="Q31" s="83">
        <f t="shared" si="9"/>
        <v>3.8011695906432719E-2</v>
      </c>
      <c r="R31" s="83">
        <f t="shared" si="10"/>
        <v>5.412719891745521E-3</v>
      </c>
      <c r="S31" s="83">
        <f t="shared" si="11"/>
        <v>-7.4798359843193385E-3</v>
      </c>
      <c r="T31" s="83">
        <f t="shared" si="12"/>
        <v>-2.9695619896065395E-2</v>
      </c>
      <c r="U31" s="83">
        <f t="shared" si="13"/>
        <v>-1.4401283213613225E-2</v>
      </c>
      <c r="V31" s="83">
        <f t="shared" si="14"/>
        <v>8.1584392550990703E-3</v>
      </c>
      <c r="W31" s="84">
        <f t="shared" si="15"/>
        <v>1.339816315505149E-2</v>
      </c>
      <c r="X31" s="89">
        <f t="shared" si="16"/>
        <v>5.5027660388851096E-4</v>
      </c>
      <c r="Y31" s="89">
        <f t="shared" si="17"/>
        <v>8.2414421615468747E-3</v>
      </c>
    </row>
    <row r="32" spans="1:25" x14ac:dyDescent="0.25">
      <c r="A32" s="2">
        <f t="shared" si="2"/>
        <v>29</v>
      </c>
      <c r="B32" s="58">
        <v>45328</v>
      </c>
      <c r="C32" s="59">
        <f t="shared" si="3"/>
        <v>2024</v>
      </c>
      <c r="D32" s="59">
        <f t="shared" si="4"/>
        <v>2</v>
      </c>
      <c r="E32" s="54">
        <v>17.032</v>
      </c>
      <c r="F32" s="63">
        <v>58.35</v>
      </c>
      <c r="G32" s="64">
        <v>41.04</v>
      </c>
      <c r="H32" s="64">
        <v>14.78</v>
      </c>
      <c r="I32" s="64">
        <v>221.93</v>
      </c>
      <c r="J32" s="64">
        <v>13.47</v>
      </c>
      <c r="K32" s="64">
        <v>286.77999999999997</v>
      </c>
      <c r="L32" s="64">
        <v>169.15</v>
      </c>
      <c r="M32" s="65">
        <v>185.1</v>
      </c>
      <c r="N32" s="70">
        <v>58679.58</v>
      </c>
      <c r="O32" s="70">
        <v>4954.2299999999996</v>
      </c>
      <c r="P32" s="82">
        <f t="shared" si="8"/>
        <v>7.076285812909866E-3</v>
      </c>
      <c r="Q32" s="83">
        <f t="shared" si="9"/>
        <v>1.2333497779970504E-2</v>
      </c>
      <c r="R32" s="83">
        <f t="shared" si="10"/>
        <v>4.7586675730795225E-3</v>
      </c>
      <c r="S32" s="83">
        <f t="shared" si="11"/>
        <v>2.3237585873023381E-2</v>
      </c>
      <c r="T32" s="83">
        <f t="shared" si="12"/>
        <v>-2.8138528138528018E-2</v>
      </c>
      <c r="U32" s="83">
        <f t="shared" si="13"/>
        <v>2.6634209207417436E-2</v>
      </c>
      <c r="V32" s="83">
        <f t="shared" si="14"/>
        <v>-1.5482218729992447E-2</v>
      </c>
      <c r="W32" s="84">
        <f t="shared" si="15"/>
        <v>-1.4953967324783157E-2</v>
      </c>
      <c r="X32" s="89">
        <f t="shared" si="16"/>
        <v>7.7766635518337068E-3</v>
      </c>
      <c r="Y32" s="89">
        <f t="shared" si="17"/>
        <v>-8.8331205720959538E-4</v>
      </c>
    </row>
    <row r="33" spans="1:25" x14ac:dyDescent="0.25">
      <c r="A33" s="2">
        <f t="shared" si="2"/>
        <v>30</v>
      </c>
      <c r="B33" s="58">
        <v>45324</v>
      </c>
      <c r="C33" s="59">
        <f t="shared" si="3"/>
        <v>2024</v>
      </c>
      <c r="D33" s="59">
        <f t="shared" si="4"/>
        <v>2</v>
      </c>
      <c r="E33" s="54">
        <v>17.113</v>
      </c>
      <c r="F33" s="63">
        <v>57.94</v>
      </c>
      <c r="G33" s="64">
        <v>40.54</v>
      </c>
      <c r="H33" s="64">
        <v>14.71</v>
      </c>
      <c r="I33" s="64">
        <v>216.89</v>
      </c>
      <c r="J33" s="64">
        <v>13.86</v>
      </c>
      <c r="K33" s="64">
        <v>279.33999999999997</v>
      </c>
      <c r="L33" s="64">
        <v>171.81</v>
      </c>
      <c r="M33" s="65">
        <v>187.91</v>
      </c>
      <c r="N33" s="70">
        <v>58226.77</v>
      </c>
      <c r="O33" s="70">
        <v>4958.6099999999997</v>
      </c>
      <c r="P33" s="82">
        <f t="shared" si="8"/>
        <v>7.8274482518698729E-3</v>
      </c>
      <c r="Q33" s="83">
        <f t="shared" si="9"/>
        <v>-1.231830500123321E-3</v>
      </c>
      <c r="R33" s="83">
        <f t="shared" si="10"/>
        <v>2.0110957004160879E-2</v>
      </c>
      <c r="S33" s="83">
        <f t="shared" si="11"/>
        <v>-3.5572946773978376E-2</v>
      </c>
      <c r="T33" s="83">
        <f t="shared" si="12"/>
        <v>6.5359477124182774E-3</v>
      </c>
      <c r="U33" s="83">
        <f t="shared" si="13"/>
        <v>3.6627453890970996E-2</v>
      </c>
      <c r="V33" s="83">
        <f t="shared" si="14"/>
        <v>7.8666499246609733E-2</v>
      </c>
      <c r="W33" s="84">
        <f t="shared" si="15"/>
        <v>-5.0301810865192031E-3</v>
      </c>
      <c r="X33" s="89">
        <f t="shared" si="16"/>
        <v>6.894401474162537E-3</v>
      </c>
      <c r="Y33" s="89">
        <f t="shared" si="17"/>
        <v>1.0684461873673889E-2</v>
      </c>
    </row>
    <row r="34" spans="1:25" x14ac:dyDescent="0.25">
      <c r="A34" s="2">
        <f t="shared" si="2"/>
        <v>31</v>
      </c>
      <c r="B34" s="58">
        <v>45323</v>
      </c>
      <c r="C34" s="59">
        <f t="shared" si="3"/>
        <v>2024</v>
      </c>
      <c r="D34" s="59">
        <f t="shared" si="4"/>
        <v>2</v>
      </c>
      <c r="E34" s="54">
        <v>17.079999999999998</v>
      </c>
      <c r="F34" s="63">
        <v>57.49</v>
      </c>
      <c r="G34" s="64">
        <v>40.590000000000003</v>
      </c>
      <c r="H34" s="64">
        <v>14.42</v>
      </c>
      <c r="I34" s="64">
        <v>224.89</v>
      </c>
      <c r="J34" s="64">
        <v>13.77</v>
      </c>
      <c r="K34" s="64">
        <v>269.47000000000003</v>
      </c>
      <c r="L34" s="64">
        <v>159.28</v>
      </c>
      <c r="M34" s="65">
        <v>188.86</v>
      </c>
      <c r="N34" s="70">
        <v>57828.08</v>
      </c>
      <c r="O34" s="70">
        <v>4906.1899999999996</v>
      </c>
      <c r="P34" s="82">
        <f t="shared" si="8"/>
        <v>7.5359270942867429E-3</v>
      </c>
      <c r="Q34" s="83">
        <f t="shared" si="9"/>
        <v>4.4543429844099425E-3</v>
      </c>
      <c r="R34" s="83">
        <f t="shared" si="10"/>
        <v>8.3916083916082407E-3</v>
      </c>
      <c r="S34" s="83">
        <f t="shared" si="11"/>
        <v>-6.4062914199877197E-3</v>
      </c>
      <c r="T34" s="83">
        <f t="shared" si="12"/>
        <v>7.2674418604656843E-4</v>
      </c>
      <c r="U34" s="83">
        <f t="shared" si="13"/>
        <v>5.6727001306215996E-3</v>
      </c>
      <c r="V34" s="83">
        <f t="shared" si="14"/>
        <v>2.6288659793814562E-2</v>
      </c>
      <c r="W34" s="84">
        <f t="shared" si="15"/>
        <v>8.3827219819532228E-3</v>
      </c>
      <c r="X34" s="89">
        <f t="shared" si="16"/>
        <v>7.9361704056071236E-3</v>
      </c>
      <c r="Y34" s="89">
        <f t="shared" si="17"/>
        <v>1.1821310944611696E-2</v>
      </c>
    </row>
    <row r="35" spans="1:25" x14ac:dyDescent="0.25">
      <c r="A35" s="2">
        <f t="shared" si="2"/>
        <v>32</v>
      </c>
      <c r="B35" s="58">
        <v>45322</v>
      </c>
      <c r="C35" s="59">
        <f t="shared" si="3"/>
        <v>2024</v>
      </c>
      <c r="D35" s="59">
        <f t="shared" si="4"/>
        <v>1</v>
      </c>
      <c r="E35" s="54">
        <v>17.212</v>
      </c>
      <c r="F35" s="63">
        <v>57.06</v>
      </c>
      <c r="G35" s="64">
        <v>40.409999999999997</v>
      </c>
      <c r="H35" s="64">
        <v>14.3</v>
      </c>
      <c r="I35" s="64">
        <v>226.34</v>
      </c>
      <c r="J35" s="64">
        <v>13.76</v>
      </c>
      <c r="K35" s="64">
        <v>267.95</v>
      </c>
      <c r="L35" s="64">
        <v>155.19999999999999</v>
      </c>
      <c r="M35" s="65">
        <v>187.29</v>
      </c>
      <c r="N35" s="70">
        <v>57372.76</v>
      </c>
      <c r="O35" s="70">
        <v>4848.87</v>
      </c>
      <c r="P35" s="82">
        <f t="shared" si="8"/>
        <v>-2.2731246721453546E-3</v>
      </c>
      <c r="Q35" s="83">
        <f t="shared" si="9"/>
        <v>-5.4147181885307871E-3</v>
      </c>
      <c r="R35" s="83">
        <f t="shared" si="10"/>
        <v>-5.5632823365785455E-3</v>
      </c>
      <c r="S35" s="83">
        <f t="shared" si="11"/>
        <v>-2.5320816467143237E-2</v>
      </c>
      <c r="T35" s="83">
        <f t="shared" si="12"/>
        <v>-8.6455331412104153E-3</v>
      </c>
      <c r="U35" s="83">
        <f t="shared" si="13"/>
        <v>-1.3438880706922118E-2</v>
      </c>
      <c r="V35" s="83">
        <f t="shared" si="14"/>
        <v>-2.3899371069182496E-2</v>
      </c>
      <c r="W35" s="84">
        <f t="shared" si="15"/>
        <v>-2.2443760112740851E-2</v>
      </c>
      <c r="X35" s="89">
        <f t="shared" si="16"/>
        <v>-2.8569372756448441E-3</v>
      </c>
      <c r="Y35" s="89">
        <f t="shared" si="17"/>
        <v>-1.5451870772816956E-2</v>
      </c>
    </row>
    <row r="36" spans="1:25" x14ac:dyDescent="0.25">
      <c r="A36" s="2">
        <f t="shared" si="2"/>
        <v>33</v>
      </c>
      <c r="B36" s="58">
        <v>45321</v>
      </c>
      <c r="C36" s="59">
        <f t="shared" si="3"/>
        <v>2024</v>
      </c>
      <c r="D36" s="59">
        <f t="shared" si="4"/>
        <v>1</v>
      </c>
      <c r="E36" s="54">
        <v>17.14</v>
      </c>
      <c r="F36" s="63">
        <v>57.19</v>
      </c>
      <c r="G36" s="64">
        <v>40.630000000000003</v>
      </c>
      <c r="H36" s="64">
        <v>14.38</v>
      </c>
      <c r="I36" s="64">
        <v>232.22</v>
      </c>
      <c r="J36" s="64">
        <v>13.88</v>
      </c>
      <c r="K36" s="64">
        <v>271.60000000000002</v>
      </c>
      <c r="L36" s="64">
        <v>159</v>
      </c>
      <c r="M36" s="65">
        <v>191.59</v>
      </c>
      <c r="N36" s="70">
        <v>57537.14</v>
      </c>
      <c r="O36" s="70">
        <v>4924.97</v>
      </c>
      <c r="P36" s="82">
        <f t="shared" si="8"/>
        <v>6.1576354679802048E-3</v>
      </c>
      <c r="Q36" s="83">
        <f t="shared" si="9"/>
        <v>-1.4745637748831975E-3</v>
      </c>
      <c r="R36" s="83">
        <f t="shared" si="10"/>
        <v>6.2981105668300508E-3</v>
      </c>
      <c r="S36" s="83">
        <f t="shared" si="11"/>
        <v>-2.6983993966311903E-2</v>
      </c>
      <c r="T36" s="83">
        <f t="shared" si="12"/>
        <v>-3.2078103207810238E-2</v>
      </c>
      <c r="U36" s="83">
        <f t="shared" si="13"/>
        <v>-1.4656798722971875E-2</v>
      </c>
      <c r="V36" s="83">
        <f t="shared" si="14"/>
        <v>-1.4014634751333244E-2</v>
      </c>
      <c r="W36" s="84">
        <f t="shared" si="15"/>
        <v>3.4567642591525338E-3</v>
      </c>
      <c r="X36" s="89">
        <f t="shared" si="16"/>
        <v>6.3210386644823036E-3</v>
      </c>
      <c r="Y36" s="89">
        <f t="shared" si="17"/>
        <v>-6.0065788272156695E-4</v>
      </c>
    </row>
    <row r="37" spans="1:25" x14ac:dyDescent="0.25">
      <c r="A37" s="2">
        <f t="shared" si="2"/>
        <v>34</v>
      </c>
      <c r="B37" s="58">
        <v>45320</v>
      </c>
      <c r="C37" s="59">
        <f t="shared" si="3"/>
        <v>2024</v>
      </c>
      <c r="D37" s="59">
        <f t="shared" si="4"/>
        <v>1</v>
      </c>
      <c r="E37" s="54">
        <v>17.218</v>
      </c>
      <c r="F37" s="63">
        <v>56.84</v>
      </c>
      <c r="G37" s="64">
        <v>40.69</v>
      </c>
      <c r="H37" s="64">
        <v>14.29</v>
      </c>
      <c r="I37" s="64">
        <v>238.66</v>
      </c>
      <c r="J37" s="64">
        <v>14.34</v>
      </c>
      <c r="K37" s="64">
        <v>275.64</v>
      </c>
      <c r="L37" s="64">
        <v>161.26</v>
      </c>
      <c r="M37" s="65">
        <v>190.93</v>
      </c>
      <c r="N37" s="70">
        <v>57175.73</v>
      </c>
      <c r="O37" s="70">
        <v>4927.93</v>
      </c>
      <c r="P37" s="82">
        <f t="shared" si="8"/>
        <v>5.4838139041217815E-3</v>
      </c>
      <c r="Q37" s="83">
        <f t="shared" si="9"/>
        <v>1.969958138389627E-3</v>
      </c>
      <c r="R37" s="83">
        <f t="shared" si="10"/>
        <v>9.8939929328620835E-3</v>
      </c>
      <c r="S37" s="83">
        <f t="shared" si="11"/>
        <v>7.2147349505840008E-2</v>
      </c>
      <c r="T37" s="83">
        <f t="shared" si="12"/>
        <v>2.501786990707644E-2</v>
      </c>
      <c r="U37" s="83">
        <f t="shared" si="13"/>
        <v>1.2080044060950756E-2</v>
      </c>
      <c r="V37" s="83">
        <f t="shared" si="14"/>
        <v>1.3448969331322225E-2</v>
      </c>
      <c r="W37" s="84">
        <f t="shared" si="15"/>
        <v>4.1909959072305547E-2</v>
      </c>
      <c r="X37" s="89">
        <f t="shared" si="16"/>
        <v>5.6256274636854453E-3</v>
      </c>
      <c r="Y37" s="89">
        <f t="shared" si="17"/>
        <v>7.5567832147815928E-3</v>
      </c>
    </row>
    <row r="38" spans="1:25" x14ac:dyDescent="0.25">
      <c r="A38" s="2">
        <f t="shared" si="2"/>
        <v>35</v>
      </c>
      <c r="B38" s="58">
        <v>45317</v>
      </c>
      <c r="C38" s="59">
        <f t="shared" si="3"/>
        <v>2024</v>
      </c>
      <c r="D38" s="59">
        <f t="shared" si="4"/>
        <v>1</v>
      </c>
      <c r="E38" s="54">
        <v>17.154299999999999</v>
      </c>
      <c r="F38" s="63">
        <v>56.53</v>
      </c>
      <c r="G38" s="64">
        <v>40.61</v>
      </c>
      <c r="H38" s="64">
        <v>14.15</v>
      </c>
      <c r="I38" s="64">
        <v>222.6</v>
      </c>
      <c r="J38" s="64">
        <v>13.99</v>
      </c>
      <c r="K38" s="64">
        <v>272.35000000000002</v>
      </c>
      <c r="L38" s="64">
        <v>159.12</v>
      </c>
      <c r="M38" s="65">
        <v>183.25</v>
      </c>
      <c r="N38" s="70">
        <v>56855.88</v>
      </c>
      <c r="O38" s="70">
        <v>4890.97</v>
      </c>
      <c r="P38" s="82">
        <f t="shared" si="8"/>
        <v>1.0366398570151869E-2</v>
      </c>
      <c r="Q38" s="83">
        <f t="shared" si="9"/>
        <v>-1.3602137478746723E-2</v>
      </c>
      <c r="R38" s="83">
        <f t="shared" si="10"/>
        <v>1.1436740528949274E-2</v>
      </c>
      <c r="S38" s="83">
        <f t="shared" si="11"/>
        <v>1.0853276417964519E-2</v>
      </c>
      <c r="T38" s="83">
        <f t="shared" si="12"/>
        <v>-1.3399153737658653E-2</v>
      </c>
      <c r="U38" s="83">
        <f t="shared" si="13"/>
        <v>2.2795553552651615E-2</v>
      </c>
      <c r="V38" s="83">
        <f t="shared" si="14"/>
        <v>8.6846275752774371E-3</v>
      </c>
      <c r="W38" s="84">
        <f t="shared" si="15"/>
        <v>3.3948420303346882E-3</v>
      </c>
      <c r="X38" s="89">
        <f t="shared" si="16"/>
        <v>1.2389763759197647E-2</v>
      </c>
      <c r="Y38" s="89">
        <f t="shared" si="17"/>
        <v>-6.517972440622799E-4</v>
      </c>
    </row>
    <row r="39" spans="1:25" x14ac:dyDescent="0.25">
      <c r="A39" s="2">
        <f t="shared" si="2"/>
        <v>36</v>
      </c>
      <c r="B39" s="58">
        <v>45316</v>
      </c>
      <c r="C39" s="59">
        <f t="shared" si="3"/>
        <v>2024</v>
      </c>
      <c r="D39" s="59">
        <f t="shared" si="4"/>
        <v>1</v>
      </c>
      <c r="E39" s="54">
        <v>17.190000000000001</v>
      </c>
      <c r="F39" s="63">
        <v>55.95</v>
      </c>
      <c r="G39" s="64">
        <v>41.17</v>
      </c>
      <c r="H39" s="64">
        <v>13.99</v>
      </c>
      <c r="I39" s="64">
        <v>220.21</v>
      </c>
      <c r="J39" s="64">
        <v>14.18</v>
      </c>
      <c r="K39" s="64">
        <v>266.27999999999997</v>
      </c>
      <c r="L39" s="64">
        <v>157.75</v>
      </c>
      <c r="M39" s="65">
        <v>182.63</v>
      </c>
      <c r="N39" s="70">
        <v>56160.07</v>
      </c>
      <c r="O39" s="70">
        <v>4894.16</v>
      </c>
      <c r="P39" s="82">
        <f t="shared" si="8"/>
        <v>1.4873934337021666E-2</v>
      </c>
      <c r="Q39" s="83">
        <f t="shared" si="9"/>
        <v>3.0280280280280403E-2</v>
      </c>
      <c r="R39" s="83">
        <f t="shared" si="10"/>
        <v>4.872563718140932E-2</v>
      </c>
      <c r="S39" s="83">
        <f t="shared" si="11"/>
        <v>-7.4371225096908633E-3</v>
      </c>
      <c r="T39" s="83">
        <f t="shared" si="12"/>
        <v>-1.8005540166204925E-2</v>
      </c>
      <c r="U39" s="83">
        <f t="shared" si="13"/>
        <v>2.6285361905495908E-2</v>
      </c>
      <c r="V39" s="83">
        <f t="shared" si="14"/>
        <v>5.6097405494994756E-3</v>
      </c>
      <c r="W39" s="84">
        <f t="shared" si="15"/>
        <v>-0.12125294712024259</v>
      </c>
      <c r="X39" s="89">
        <f t="shared" si="16"/>
        <v>1.336207168769854E-2</v>
      </c>
      <c r="Y39" s="89">
        <f t="shared" si="17"/>
        <v>5.2602931057501578E-3</v>
      </c>
    </row>
    <row r="40" spans="1:25" x14ac:dyDescent="0.25">
      <c r="A40" s="2">
        <f t="shared" si="2"/>
        <v>37</v>
      </c>
      <c r="B40" s="58">
        <v>45315</v>
      </c>
      <c r="C40" s="59">
        <f t="shared" si="3"/>
        <v>2024</v>
      </c>
      <c r="D40" s="59">
        <f t="shared" si="4"/>
        <v>1</v>
      </c>
      <c r="E40" s="54">
        <v>17.21</v>
      </c>
      <c r="F40" s="63">
        <v>55.13</v>
      </c>
      <c r="G40" s="64">
        <v>39.96</v>
      </c>
      <c r="H40" s="64">
        <v>13.34</v>
      </c>
      <c r="I40" s="64">
        <v>221.86</v>
      </c>
      <c r="J40" s="64">
        <v>14.44</v>
      </c>
      <c r="K40" s="64">
        <v>259.45999999999998</v>
      </c>
      <c r="L40" s="64">
        <v>156.87</v>
      </c>
      <c r="M40" s="65">
        <v>207.83</v>
      </c>
      <c r="N40" s="70">
        <v>55419.55</v>
      </c>
      <c r="O40" s="70">
        <v>4868.55</v>
      </c>
      <c r="P40" s="82">
        <f t="shared" si="8"/>
        <v>-3.2543843789549776E-3</v>
      </c>
      <c r="Q40" s="83">
        <f t="shared" si="9"/>
        <v>3.7678975131876236E-3</v>
      </c>
      <c r="R40" s="83">
        <f t="shared" si="10"/>
        <v>2.1439509954058078E-2</v>
      </c>
      <c r="S40" s="83">
        <f t="shared" si="11"/>
        <v>4.9082655570266809E-2</v>
      </c>
      <c r="T40" s="83">
        <f t="shared" si="12"/>
        <v>1.3333333333333197E-2</v>
      </c>
      <c r="U40" s="83">
        <f t="shared" si="13"/>
        <v>-4.3745203376824859E-3</v>
      </c>
      <c r="V40" s="83">
        <f t="shared" si="14"/>
        <v>5.4480194846813212E-3</v>
      </c>
      <c r="W40" s="84">
        <f t="shared" si="15"/>
        <v>-6.2637467724967477E-3</v>
      </c>
      <c r="X40" s="89">
        <f t="shared" si="16"/>
        <v>-1.5017233333753932E-3</v>
      </c>
      <c r="Y40" s="89">
        <f t="shared" si="17"/>
        <v>8.1198865271558951E-4</v>
      </c>
    </row>
    <row r="41" spans="1:25" x14ac:dyDescent="0.25">
      <c r="A41" s="2">
        <f t="shared" si="2"/>
        <v>38</v>
      </c>
      <c r="B41" s="58">
        <v>45314</v>
      </c>
      <c r="C41" s="59">
        <f t="shared" si="3"/>
        <v>2024</v>
      </c>
      <c r="D41" s="59">
        <f t="shared" si="4"/>
        <v>1</v>
      </c>
      <c r="E41" s="54">
        <v>17.3</v>
      </c>
      <c r="F41" s="63">
        <v>55.31</v>
      </c>
      <c r="G41" s="64">
        <v>39.81</v>
      </c>
      <c r="H41" s="64">
        <v>13.06</v>
      </c>
      <c r="I41" s="64">
        <v>211.48</v>
      </c>
      <c r="J41" s="64">
        <v>14.25</v>
      </c>
      <c r="K41" s="64">
        <v>260.60000000000002</v>
      </c>
      <c r="L41" s="64">
        <v>156.02000000000001</v>
      </c>
      <c r="M41" s="65">
        <v>209.14</v>
      </c>
      <c r="N41" s="70">
        <v>55502.9</v>
      </c>
      <c r="O41" s="70">
        <v>4864.6000000000004</v>
      </c>
      <c r="P41" s="82">
        <f t="shared" si="8"/>
        <v>1.5607785530664664E-2</v>
      </c>
      <c r="Q41" s="83">
        <f t="shared" si="9"/>
        <v>3.2762096774194838E-3</v>
      </c>
      <c r="R41" s="83">
        <f t="shared" si="10"/>
        <v>1.9516003122560521E-2</v>
      </c>
      <c r="S41" s="83">
        <f t="shared" si="11"/>
        <v>1.8003273322422242E-2</v>
      </c>
      <c r="T41" s="83">
        <f t="shared" si="12"/>
        <v>2.4442846872753332E-2</v>
      </c>
      <c r="U41" s="83">
        <f t="shared" si="13"/>
        <v>3.0528313824739195E-2</v>
      </c>
      <c r="V41" s="83">
        <f t="shared" si="14"/>
        <v>8.0113709781626241E-3</v>
      </c>
      <c r="W41" s="84">
        <f t="shared" si="15"/>
        <v>1.6283524904212587E-3</v>
      </c>
      <c r="X41" s="89">
        <f t="shared" si="16"/>
        <v>1.4250665076112501E-2</v>
      </c>
      <c r="Y41" s="89">
        <f t="shared" si="17"/>
        <v>2.9213904746590025E-3</v>
      </c>
    </row>
    <row r="42" spans="1:25" x14ac:dyDescent="0.25">
      <c r="A42" s="2">
        <f t="shared" si="2"/>
        <v>39</v>
      </c>
      <c r="B42" s="58">
        <v>45313</v>
      </c>
      <c r="C42" s="59">
        <f t="shared" si="3"/>
        <v>2024</v>
      </c>
      <c r="D42" s="59">
        <f t="shared" si="4"/>
        <v>1</v>
      </c>
      <c r="E42" s="54">
        <v>17.173999999999999</v>
      </c>
      <c r="F42" s="63">
        <v>54.46</v>
      </c>
      <c r="G42" s="64">
        <v>39.68</v>
      </c>
      <c r="H42" s="64">
        <v>12.81</v>
      </c>
      <c r="I42" s="64">
        <v>207.74</v>
      </c>
      <c r="J42" s="64">
        <v>13.91</v>
      </c>
      <c r="K42" s="64">
        <v>252.88</v>
      </c>
      <c r="L42" s="64">
        <v>154.78</v>
      </c>
      <c r="M42" s="65">
        <v>208.8</v>
      </c>
      <c r="N42" s="70">
        <v>54723.06</v>
      </c>
      <c r="O42" s="70">
        <v>4850.43</v>
      </c>
      <c r="P42" s="82">
        <f t="shared" si="8"/>
        <v>-1.2869313032445207E-2</v>
      </c>
      <c r="Q42" s="83">
        <f t="shared" si="9"/>
        <v>-9.4857713429855606E-3</v>
      </c>
      <c r="R42" s="83">
        <f t="shared" si="10"/>
        <v>-7.800312012480326E-4</v>
      </c>
      <c r="S42" s="83">
        <f t="shared" si="11"/>
        <v>-1.9261637239165297E-2</v>
      </c>
      <c r="T42" s="83">
        <f t="shared" si="12"/>
        <v>-2.2487702037948032E-2</v>
      </c>
      <c r="U42" s="83">
        <f t="shared" si="13"/>
        <v>-4.7819865953761531E-2</v>
      </c>
      <c r="V42" s="83">
        <f t="shared" si="14"/>
        <v>-3.6049954937557027E-3</v>
      </c>
      <c r="W42" s="84">
        <f t="shared" si="15"/>
        <v>-1.5976247702530699E-2</v>
      </c>
      <c r="X42" s="89">
        <f t="shared" si="16"/>
        <v>-1.3147202720906859E-2</v>
      </c>
      <c r="Y42" s="89">
        <f t="shared" si="17"/>
        <v>2.194301015948863E-3</v>
      </c>
    </row>
    <row r="43" spans="1:25" x14ac:dyDescent="0.25">
      <c r="A43" s="2">
        <f t="shared" si="2"/>
        <v>40</v>
      </c>
      <c r="B43" s="58">
        <v>45310</v>
      </c>
      <c r="C43" s="59">
        <f t="shared" si="3"/>
        <v>2024</v>
      </c>
      <c r="D43" s="59">
        <f t="shared" si="4"/>
        <v>1</v>
      </c>
      <c r="E43" s="54">
        <v>17.077999999999999</v>
      </c>
      <c r="F43" s="63">
        <v>55.17</v>
      </c>
      <c r="G43" s="64">
        <v>40.06</v>
      </c>
      <c r="H43" s="64">
        <v>12.82</v>
      </c>
      <c r="I43" s="64">
        <v>211.82</v>
      </c>
      <c r="J43" s="64">
        <v>14.23</v>
      </c>
      <c r="K43" s="64">
        <v>265.58</v>
      </c>
      <c r="L43" s="64">
        <v>155.34</v>
      </c>
      <c r="M43" s="65">
        <v>212.19</v>
      </c>
      <c r="N43" s="70">
        <v>55452.1</v>
      </c>
      <c r="O43" s="70">
        <v>4839.8100000000004</v>
      </c>
      <c r="P43" s="82">
        <f t="shared" si="8"/>
        <v>1.3968020584451457E-2</v>
      </c>
      <c r="Q43" s="83">
        <f t="shared" si="9"/>
        <v>3.0045067601403019E-3</v>
      </c>
      <c r="R43" s="83">
        <f t="shared" si="10"/>
        <v>6.2794348508634634E-3</v>
      </c>
      <c r="S43" s="83">
        <f t="shared" si="11"/>
        <v>1.5484922575387028E-2</v>
      </c>
      <c r="T43" s="83">
        <f t="shared" si="12"/>
        <v>8.5046066619418603E-3</v>
      </c>
      <c r="U43" s="83">
        <f t="shared" si="13"/>
        <v>1.817205950007672E-2</v>
      </c>
      <c r="V43" s="83">
        <f t="shared" si="14"/>
        <v>1.19869706840392E-2</v>
      </c>
      <c r="W43" s="84">
        <f t="shared" si="15"/>
        <v>1.4630923164056231E-3</v>
      </c>
      <c r="X43" s="89">
        <f t="shared" si="16"/>
        <v>1.3603339481745635E-2</v>
      </c>
      <c r="Y43" s="89">
        <f t="shared" si="17"/>
        <v>1.2313478102632613E-2</v>
      </c>
    </row>
    <row r="44" spans="1:25" x14ac:dyDescent="0.25">
      <c r="A44" s="2">
        <f t="shared" si="2"/>
        <v>41</v>
      </c>
      <c r="B44" s="58">
        <v>45309</v>
      </c>
      <c r="C44" s="59">
        <f t="shared" si="3"/>
        <v>2024</v>
      </c>
      <c r="D44" s="59">
        <f t="shared" si="4"/>
        <v>1</v>
      </c>
      <c r="E44" s="54">
        <v>17.146000000000001</v>
      </c>
      <c r="F44" s="63">
        <v>54.41</v>
      </c>
      <c r="G44" s="64">
        <v>39.94</v>
      </c>
      <c r="H44" s="64">
        <v>12.74</v>
      </c>
      <c r="I44" s="64">
        <v>208.59</v>
      </c>
      <c r="J44" s="64">
        <v>14.11</v>
      </c>
      <c r="K44" s="64">
        <v>260.83999999999997</v>
      </c>
      <c r="L44" s="64">
        <v>153.5</v>
      </c>
      <c r="M44" s="65">
        <v>211.88</v>
      </c>
      <c r="N44" s="70">
        <v>54707.89</v>
      </c>
      <c r="O44" s="70">
        <v>4780.9399999999996</v>
      </c>
      <c r="P44" s="82">
        <f t="shared" si="8"/>
        <v>-1.1015237745548578E-3</v>
      </c>
      <c r="Q44" s="83">
        <f t="shared" si="9"/>
        <v>7.8002699055330638E-2</v>
      </c>
      <c r="R44" s="83">
        <f t="shared" si="10"/>
        <v>-8.5603112840466622E-3</v>
      </c>
      <c r="S44" s="83">
        <f t="shared" si="11"/>
        <v>2.3546371936569166E-3</v>
      </c>
      <c r="T44" s="83">
        <f t="shared" si="12"/>
        <v>5.1415797317436729E-2</v>
      </c>
      <c r="U44" s="83">
        <f t="shared" si="13"/>
        <v>4.6217840086273387E-3</v>
      </c>
      <c r="V44" s="83">
        <f t="shared" si="14"/>
        <v>1.1798826708852461E-2</v>
      </c>
      <c r="W44" s="84">
        <f t="shared" si="15"/>
        <v>-1.7026212015773701E-2</v>
      </c>
      <c r="X44" s="89">
        <f t="shared" si="16"/>
        <v>-6.9454992159823092E-5</v>
      </c>
      <c r="Y44" s="89">
        <f t="shared" si="17"/>
        <v>8.8052650125229892E-3</v>
      </c>
    </row>
    <row r="45" spans="1:25" x14ac:dyDescent="0.25">
      <c r="A45" s="2">
        <f t="shared" si="2"/>
        <v>42</v>
      </c>
      <c r="B45" s="58">
        <v>45308</v>
      </c>
      <c r="C45" s="59">
        <f t="shared" si="3"/>
        <v>2024</v>
      </c>
      <c r="D45" s="59">
        <f t="shared" si="4"/>
        <v>1</v>
      </c>
      <c r="E45" s="54">
        <v>17.193999999999999</v>
      </c>
      <c r="F45" s="63">
        <v>54.47</v>
      </c>
      <c r="G45" s="64">
        <v>37.049999999999997</v>
      </c>
      <c r="H45" s="64">
        <v>12.85</v>
      </c>
      <c r="I45" s="64">
        <v>208.1</v>
      </c>
      <c r="J45" s="64">
        <v>13.42</v>
      </c>
      <c r="K45" s="64">
        <v>259.64</v>
      </c>
      <c r="L45" s="64">
        <v>151.71</v>
      </c>
      <c r="M45" s="65">
        <v>215.55</v>
      </c>
      <c r="N45" s="70">
        <v>54711.69</v>
      </c>
      <c r="O45" s="70">
        <v>4739.21</v>
      </c>
      <c r="P45" s="82">
        <f t="shared" si="8"/>
        <v>-6.5657486777311869E-3</v>
      </c>
      <c r="Q45" s="83">
        <f t="shared" si="9"/>
        <v>-6.3447927199191234E-2</v>
      </c>
      <c r="R45" s="83">
        <f t="shared" si="10"/>
        <v>3.90625E-3</v>
      </c>
      <c r="S45" s="83">
        <f t="shared" si="11"/>
        <v>-3.888786255311294E-2</v>
      </c>
      <c r="T45" s="83">
        <f t="shared" si="12"/>
        <v>-4.8901488306165808E-2</v>
      </c>
      <c r="U45" s="83">
        <f t="shared" si="13"/>
        <v>-5.058246474555439E-3</v>
      </c>
      <c r="V45" s="83">
        <f t="shared" si="14"/>
        <v>-9.4672238182291757E-3</v>
      </c>
      <c r="W45" s="84">
        <f t="shared" si="15"/>
        <v>-1.9826292574234849E-2</v>
      </c>
      <c r="X45" s="89">
        <f t="shared" si="16"/>
        <v>-7.490125094830602E-3</v>
      </c>
      <c r="Y45" s="89">
        <f t="shared" si="17"/>
        <v>-4.9634147621697711E-3</v>
      </c>
    </row>
    <row r="46" spans="1:25" x14ac:dyDescent="0.25">
      <c r="A46" s="2">
        <f t="shared" si="2"/>
        <v>43</v>
      </c>
      <c r="B46" s="58">
        <v>45307</v>
      </c>
      <c r="C46" s="59">
        <f t="shared" si="3"/>
        <v>2024</v>
      </c>
      <c r="D46" s="59">
        <f t="shared" si="4"/>
        <v>1</v>
      </c>
      <c r="E46" s="54">
        <v>17.202000000000002</v>
      </c>
      <c r="F46" s="63">
        <v>54.83</v>
      </c>
      <c r="G46" s="64">
        <v>39.56</v>
      </c>
      <c r="H46" s="64">
        <v>12.8</v>
      </c>
      <c r="I46" s="64">
        <v>216.52</v>
      </c>
      <c r="J46" s="64">
        <v>14.11</v>
      </c>
      <c r="K46" s="64">
        <v>260.95999999999998</v>
      </c>
      <c r="L46" s="64">
        <v>153.16</v>
      </c>
      <c r="M46" s="65">
        <v>219.91</v>
      </c>
      <c r="N46" s="70">
        <v>55124.58</v>
      </c>
      <c r="O46" s="70">
        <v>4762.8500000000004</v>
      </c>
      <c r="P46" s="82">
        <f t="shared" si="8"/>
        <v>-7.9609191242989708E-3</v>
      </c>
      <c r="Q46" s="83">
        <f t="shared" si="9"/>
        <v>-2.8009828009827986E-2</v>
      </c>
      <c r="R46" s="83">
        <f t="shared" si="10"/>
        <v>-1.9908116385911168E-2</v>
      </c>
      <c r="S46" s="83">
        <f t="shared" si="11"/>
        <v>-3.031931568811852E-2</v>
      </c>
      <c r="T46" s="83">
        <f t="shared" si="12"/>
        <v>-2.5552486187845336E-2</v>
      </c>
      <c r="U46" s="83">
        <f t="shared" si="13"/>
        <v>-3.3731995408597837E-2</v>
      </c>
      <c r="V46" s="83">
        <f t="shared" si="14"/>
        <v>-9.4425042038546181E-3</v>
      </c>
      <c r="W46" s="84">
        <f t="shared" si="15"/>
        <v>4.6598748229704778E-3</v>
      </c>
      <c r="X46" s="89">
        <f t="shared" si="16"/>
        <v>-6.784188640551525E-3</v>
      </c>
      <c r="Y46" s="89">
        <f t="shared" si="17"/>
        <v>-4.3856073480871283E-3</v>
      </c>
    </row>
    <row r="47" spans="1:25" x14ac:dyDescent="0.25">
      <c r="A47" s="2">
        <f t="shared" si="2"/>
        <v>44</v>
      </c>
      <c r="B47" s="58">
        <v>45306</v>
      </c>
      <c r="C47" s="59">
        <f t="shared" si="3"/>
        <v>2024</v>
      </c>
      <c r="D47" s="59">
        <f t="shared" si="4"/>
        <v>1</v>
      </c>
      <c r="E47" s="54">
        <v>16.876999999999999</v>
      </c>
      <c r="F47" s="63">
        <v>55.27</v>
      </c>
      <c r="G47" s="64">
        <v>40.700000000000003</v>
      </c>
      <c r="H47" s="64">
        <v>13.06</v>
      </c>
      <c r="I47" s="64">
        <v>223.29</v>
      </c>
      <c r="J47" s="64">
        <v>14.48</v>
      </c>
      <c r="K47" s="64">
        <v>270.07</v>
      </c>
      <c r="L47" s="64">
        <v>154.62</v>
      </c>
      <c r="M47" s="65">
        <v>218.89</v>
      </c>
      <c r="N47" s="70">
        <v>55501.11</v>
      </c>
      <c r="O47" s="70">
        <v>4783.83</v>
      </c>
      <c r="P47" s="82">
        <f t="shared" si="8"/>
        <v>-1.0844026748598745E-3</v>
      </c>
      <c r="Q47" s="83">
        <f t="shared" si="9"/>
        <v>2.1329987452948673E-2</v>
      </c>
      <c r="R47" s="83">
        <f t="shared" si="10"/>
        <v>-1.2102874432677768E-2</v>
      </c>
      <c r="S47" s="83">
        <f t="shared" si="11"/>
        <v>-8.1730555678941608E-3</v>
      </c>
      <c r="T47" s="83">
        <f t="shared" si="12"/>
        <v>9.7629009762900676E-3</v>
      </c>
      <c r="U47" s="83">
        <f t="shared" si="13"/>
        <v>7.535907479947701E-3</v>
      </c>
      <c r="V47" s="83">
        <f t="shared" si="14"/>
        <v>0</v>
      </c>
      <c r="W47" s="84">
        <f t="shared" si="15"/>
        <v>0</v>
      </c>
      <c r="X47" s="89">
        <f t="shared" si="16"/>
        <v>-1.9055130939285014E-3</v>
      </c>
      <c r="Y47" s="89">
        <f t="shared" si="17"/>
        <v>0</v>
      </c>
    </row>
    <row r="48" spans="1:25" x14ac:dyDescent="0.25">
      <c r="A48" s="2">
        <f t="shared" si="2"/>
        <v>45</v>
      </c>
      <c r="B48" s="58">
        <v>45303</v>
      </c>
      <c r="C48" s="59">
        <f t="shared" si="3"/>
        <v>2024</v>
      </c>
      <c r="D48" s="59">
        <f t="shared" si="4"/>
        <v>1</v>
      </c>
      <c r="E48" s="54">
        <v>16.861000000000001</v>
      </c>
      <c r="F48" s="63">
        <v>55.33</v>
      </c>
      <c r="G48" s="64">
        <v>39.85</v>
      </c>
      <c r="H48" s="64">
        <v>13.22</v>
      </c>
      <c r="I48" s="64">
        <v>225.13</v>
      </c>
      <c r="J48" s="64">
        <v>14.34</v>
      </c>
      <c r="K48" s="64">
        <v>268.05</v>
      </c>
      <c r="L48" s="64">
        <v>154.62</v>
      </c>
      <c r="M48" s="65">
        <v>218.89</v>
      </c>
      <c r="N48" s="70">
        <v>55607.07</v>
      </c>
      <c r="O48" s="70">
        <v>4783.83</v>
      </c>
      <c r="P48" s="82">
        <f t="shared" si="8"/>
        <v>2.9001268805508573E-3</v>
      </c>
      <c r="Q48" s="83">
        <f t="shared" si="9"/>
        <v>-3.6508704061895547E-2</v>
      </c>
      <c r="R48" s="83">
        <f t="shared" si="10"/>
        <v>0</v>
      </c>
      <c r="S48" s="83">
        <f t="shared" si="11"/>
        <v>-4.5102807870882611E-3</v>
      </c>
      <c r="T48" s="83">
        <f t="shared" si="12"/>
        <v>-3.5642232683254838E-2</v>
      </c>
      <c r="U48" s="83">
        <f t="shared" si="13"/>
        <v>-1.5318492395856365E-2</v>
      </c>
      <c r="V48" s="83">
        <f t="shared" si="14"/>
        <v>-3.6087124629462508E-3</v>
      </c>
      <c r="W48" s="84">
        <f t="shared" si="15"/>
        <v>-3.6660505237215091E-2</v>
      </c>
      <c r="X48" s="89">
        <f t="shared" si="16"/>
        <v>3.0361434916912344E-3</v>
      </c>
      <c r="Y48" s="89">
        <f t="shared" si="17"/>
        <v>7.5100831757413111E-4</v>
      </c>
    </row>
    <row r="49" spans="1:25" x14ac:dyDescent="0.25">
      <c r="A49" s="2">
        <f t="shared" si="2"/>
        <v>46</v>
      </c>
      <c r="B49" s="58">
        <v>45302</v>
      </c>
      <c r="C49" s="59">
        <f t="shared" si="3"/>
        <v>2024</v>
      </c>
      <c r="D49" s="59">
        <f t="shared" si="4"/>
        <v>1</v>
      </c>
      <c r="E49" s="54">
        <v>16.91</v>
      </c>
      <c r="F49" s="63">
        <v>55.17</v>
      </c>
      <c r="G49" s="64">
        <v>41.36</v>
      </c>
      <c r="H49" s="64">
        <v>13.22</v>
      </c>
      <c r="I49" s="64">
        <v>226.15</v>
      </c>
      <c r="J49" s="64">
        <v>14.87</v>
      </c>
      <c r="K49" s="64">
        <v>272.22000000000003</v>
      </c>
      <c r="L49" s="64">
        <v>155.18</v>
      </c>
      <c r="M49" s="65">
        <v>227.22</v>
      </c>
      <c r="N49" s="70">
        <v>55438.75</v>
      </c>
      <c r="O49" s="70">
        <v>4780.24</v>
      </c>
      <c r="P49" s="82">
        <f t="shared" si="8"/>
        <v>2.5440668726148807E-3</v>
      </c>
      <c r="Q49" s="83">
        <f t="shared" si="9"/>
        <v>1.447142506745136E-2</v>
      </c>
      <c r="R49" s="83">
        <f t="shared" si="10"/>
        <v>-7.5075075075075048E-3</v>
      </c>
      <c r="S49" s="83">
        <f t="shared" si="11"/>
        <v>-9.3306465743823175E-3</v>
      </c>
      <c r="T49" s="83">
        <f t="shared" si="12"/>
        <v>1.2942779291553075E-2</v>
      </c>
      <c r="U49" s="83">
        <f t="shared" si="13"/>
        <v>-1.0720645419195374E-2</v>
      </c>
      <c r="V49" s="83">
        <f t="shared" si="14"/>
        <v>9.4321212515451336E-3</v>
      </c>
      <c r="W49" s="84">
        <f t="shared" si="15"/>
        <v>-2.8725314183123851E-2</v>
      </c>
      <c r="X49" s="89">
        <f t="shared" si="16"/>
        <v>2.1706957162925811E-3</v>
      </c>
      <c r="Y49" s="89">
        <f t="shared" si="17"/>
        <v>-6.7106377196379796E-4</v>
      </c>
    </row>
    <row r="50" spans="1:25" x14ac:dyDescent="0.25">
      <c r="A50" s="2">
        <f t="shared" si="2"/>
        <v>47</v>
      </c>
      <c r="B50" s="58">
        <v>45301</v>
      </c>
      <c r="C50" s="59">
        <f t="shared" si="3"/>
        <v>2024</v>
      </c>
      <c r="D50" s="59">
        <f t="shared" si="4"/>
        <v>1</v>
      </c>
      <c r="E50" s="54">
        <v>16.95</v>
      </c>
      <c r="F50" s="63">
        <v>55.03</v>
      </c>
      <c r="G50" s="64">
        <v>40.770000000000003</v>
      </c>
      <c r="H50" s="64">
        <v>13.32</v>
      </c>
      <c r="I50" s="64">
        <v>228.28</v>
      </c>
      <c r="J50" s="64">
        <v>14.68</v>
      </c>
      <c r="K50" s="64">
        <v>275.17</v>
      </c>
      <c r="L50" s="64">
        <v>153.72999999999999</v>
      </c>
      <c r="M50" s="65">
        <v>233.94</v>
      </c>
      <c r="N50" s="70">
        <v>55318.67</v>
      </c>
      <c r="O50" s="70">
        <v>4783.45</v>
      </c>
      <c r="P50" s="82">
        <f t="shared" si="8"/>
        <v>3.4646243617797445E-3</v>
      </c>
      <c r="Q50" s="83">
        <f t="shared" si="9"/>
        <v>-6.5789473684209065E-3</v>
      </c>
      <c r="R50" s="83">
        <f t="shared" si="10"/>
        <v>8.3270249810749597E-3</v>
      </c>
      <c r="S50" s="83">
        <f t="shared" si="11"/>
        <v>-6.181976491075214E-3</v>
      </c>
      <c r="T50" s="83">
        <f t="shared" si="12"/>
        <v>-4.070556309362261E-3</v>
      </c>
      <c r="U50" s="83">
        <f t="shared" si="13"/>
        <v>7.1739687419933862E-3</v>
      </c>
      <c r="V50" s="83">
        <f t="shared" si="14"/>
        <v>1.5590936116799847E-2</v>
      </c>
      <c r="W50" s="84">
        <f t="shared" si="15"/>
        <v>-4.3411644535240601E-3</v>
      </c>
      <c r="X50" s="89">
        <f t="shared" si="16"/>
        <v>3.8669405167315318E-3</v>
      </c>
      <c r="Y50" s="89">
        <f t="shared" si="17"/>
        <v>5.6659308314936929E-3</v>
      </c>
    </row>
    <row r="51" spans="1:25" x14ac:dyDescent="0.25">
      <c r="A51" s="2">
        <f t="shared" si="2"/>
        <v>48</v>
      </c>
      <c r="B51" s="58">
        <v>45300</v>
      </c>
      <c r="C51" s="59">
        <f t="shared" si="3"/>
        <v>2024</v>
      </c>
      <c r="D51" s="59">
        <f t="shared" si="4"/>
        <v>1</v>
      </c>
      <c r="E51" s="54">
        <v>16.960999999999999</v>
      </c>
      <c r="F51" s="63">
        <v>54.84</v>
      </c>
      <c r="G51" s="64">
        <v>41.04</v>
      </c>
      <c r="H51" s="64">
        <v>13.21</v>
      </c>
      <c r="I51" s="64">
        <v>229.7</v>
      </c>
      <c r="J51" s="64">
        <v>14.74</v>
      </c>
      <c r="K51" s="64">
        <v>273.20999999999998</v>
      </c>
      <c r="L51" s="64">
        <v>151.37</v>
      </c>
      <c r="M51" s="65">
        <v>234.96</v>
      </c>
      <c r="N51" s="70">
        <v>55105.58</v>
      </c>
      <c r="O51" s="70">
        <v>4756.5</v>
      </c>
      <c r="P51" s="82">
        <f t="shared" si="8"/>
        <v>-1.8611309949892574E-2</v>
      </c>
      <c r="Q51" s="83">
        <f t="shared" si="9"/>
        <v>-1.6299137104506256E-2</v>
      </c>
      <c r="R51" s="83">
        <f t="shared" si="10"/>
        <v>9.9388379204894406E-3</v>
      </c>
      <c r="S51" s="83">
        <f t="shared" si="11"/>
        <v>-2.858834475175509E-2</v>
      </c>
      <c r="T51" s="83">
        <f t="shared" si="12"/>
        <v>-3.9113428943937434E-2</v>
      </c>
      <c r="U51" s="83">
        <f t="shared" si="13"/>
        <v>-5.2505635512398285E-2</v>
      </c>
      <c r="V51" s="83">
        <f t="shared" si="14"/>
        <v>1.5224681421864616E-2</v>
      </c>
      <c r="W51" s="84">
        <f t="shared" si="15"/>
        <v>-2.2832189644416689E-2</v>
      </c>
      <c r="X51" s="89">
        <f t="shared" si="16"/>
        <v>-1.9048993986186535E-2</v>
      </c>
      <c r="Y51" s="89">
        <f t="shared" si="17"/>
        <v>-1.4778924917183689E-3</v>
      </c>
    </row>
    <row r="52" spans="1:25" x14ac:dyDescent="0.25">
      <c r="A52" s="2">
        <f t="shared" si="2"/>
        <v>49</v>
      </c>
      <c r="B52" s="58">
        <v>45299</v>
      </c>
      <c r="C52" s="59">
        <f t="shared" si="3"/>
        <v>2024</v>
      </c>
      <c r="D52" s="59">
        <f t="shared" si="4"/>
        <v>1</v>
      </c>
      <c r="E52" s="54">
        <v>16.817</v>
      </c>
      <c r="F52" s="63">
        <v>55.88</v>
      </c>
      <c r="G52" s="64">
        <v>41.72</v>
      </c>
      <c r="H52" s="64">
        <v>13.08</v>
      </c>
      <c r="I52" s="64">
        <v>236.46</v>
      </c>
      <c r="J52" s="64">
        <v>15.34</v>
      </c>
      <c r="K52" s="64">
        <v>288.35000000000002</v>
      </c>
      <c r="L52" s="64">
        <v>149.1</v>
      </c>
      <c r="M52" s="65">
        <v>240.45</v>
      </c>
      <c r="N52" s="70">
        <v>56175.67</v>
      </c>
      <c r="O52" s="70">
        <v>4763.54</v>
      </c>
      <c r="P52" s="82">
        <f t="shared" si="8"/>
        <v>-8.9397461112095122E-4</v>
      </c>
      <c r="Q52" s="83">
        <f t="shared" si="9"/>
        <v>-2.2950819672131195E-2</v>
      </c>
      <c r="R52" s="83">
        <f t="shared" si="10"/>
        <v>6.1538461538461764E-3</v>
      </c>
      <c r="S52" s="83">
        <f t="shared" si="11"/>
        <v>2.9250457038391131E-2</v>
      </c>
      <c r="T52" s="83">
        <f t="shared" si="12"/>
        <v>3.2996632996632913E-2</v>
      </c>
      <c r="U52" s="83">
        <f t="shared" si="13"/>
        <v>1.346126810066095E-2</v>
      </c>
      <c r="V52" s="83">
        <f t="shared" si="14"/>
        <v>2.6576700633434314E-2</v>
      </c>
      <c r="W52" s="84">
        <f t="shared" si="15"/>
        <v>1.2463682681375987E-2</v>
      </c>
      <c r="X52" s="89">
        <f t="shared" si="16"/>
        <v>-3.044875160118643E-4</v>
      </c>
      <c r="Y52" s="89">
        <f t="shared" si="17"/>
        <v>1.4114671594383177E-2</v>
      </c>
    </row>
    <row r="53" spans="1:25" x14ac:dyDescent="0.25">
      <c r="A53" s="2">
        <f t="shared" si="2"/>
        <v>50</v>
      </c>
      <c r="B53" s="58">
        <v>45296</v>
      </c>
      <c r="C53" s="59">
        <f t="shared" si="3"/>
        <v>2024</v>
      </c>
      <c r="D53" s="59">
        <f t="shared" si="4"/>
        <v>1</v>
      </c>
      <c r="E53" s="54">
        <v>16.866</v>
      </c>
      <c r="F53" s="63">
        <v>55.93</v>
      </c>
      <c r="G53" s="64">
        <v>42.7</v>
      </c>
      <c r="H53" s="64">
        <v>13</v>
      </c>
      <c r="I53" s="64">
        <v>229.74</v>
      </c>
      <c r="J53" s="64">
        <v>14.85</v>
      </c>
      <c r="K53" s="64">
        <v>284.52</v>
      </c>
      <c r="L53" s="64">
        <v>145.24</v>
      </c>
      <c r="M53" s="65">
        <v>237.49</v>
      </c>
      <c r="N53" s="70">
        <v>56192.78</v>
      </c>
      <c r="O53" s="70">
        <v>4697.24</v>
      </c>
      <c r="P53" s="82">
        <f t="shared" si="8"/>
        <v>1.4695210449927387E-2</v>
      </c>
      <c r="Q53" s="83">
        <f t="shared" si="9"/>
        <v>3.6659383345472252E-2</v>
      </c>
      <c r="R53" s="83">
        <f t="shared" si="10"/>
        <v>2.6045777426992878E-2</v>
      </c>
      <c r="S53" s="83">
        <f t="shared" si="11"/>
        <v>-1.6946943032198902E-3</v>
      </c>
      <c r="T53" s="83">
        <f t="shared" si="12"/>
        <v>3.3783783783782884E-3</v>
      </c>
      <c r="U53" s="83">
        <f t="shared" si="13"/>
        <v>-2.8109627547445726E-4</v>
      </c>
      <c r="V53" s="83">
        <f t="shared" si="14"/>
        <v>4.6344331465726363E-3</v>
      </c>
      <c r="W53" s="84">
        <f t="shared" si="15"/>
        <v>-1.8492834026814231E-3</v>
      </c>
      <c r="X53" s="89">
        <f t="shared" si="16"/>
        <v>1.4182694737267632E-2</v>
      </c>
      <c r="Y53" s="89">
        <f t="shared" si="17"/>
        <v>1.8256737503945519E-3</v>
      </c>
    </row>
    <row r="54" spans="1:25" x14ac:dyDescent="0.25">
      <c r="A54" s="2">
        <f t="shared" si="2"/>
        <v>51</v>
      </c>
      <c r="B54" s="58">
        <v>45295</v>
      </c>
      <c r="C54" s="59">
        <f t="shared" si="3"/>
        <v>2024</v>
      </c>
      <c r="D54" s="59">
        <f t="shared" si="4"/>
        <v>1</v>
      </c>
      <c r="E54" s="54">
        <v>17.007999999999999</v>
      </c>
      <c r="F54" s="63">
        <v>55.12</v>
      </c>
      <c r="G54" s="64">
        <v>41.19</v>
      </c>
      <c r="H54" s="64">
        <v>12.67</v>
      </c>
      <c r="I54" s="64">
        <v>230.13</v>
      </c>
      <c r="J54" s="64">
        <v>14.8</v>
      </c>
      <c r="K54" s="64">
        <v>284.60000000000002</v>
      </c>
      <c r="L54" s="64">
        <v>144.57</v>
      </c>
      <c r="M54" s="65">
        <v>237.93</v>
      </c>
      <c r="N54" s="70">
        <v>55406.96</v>
      </c>
      <c r="O54" s="70">
        <v>4688.68</v>
      </c>
      <c r="P54" s="82">
        <f t="shared" si="8"/>
        <v>-5.9513074842201252E-3</v>
      </c>
      <c r="Q54" s="83">
        <f t="shared" si="9"/>
        <v>-1.1044417767106851E-2</v>
      </c>
      <c r="R54" s="83">
        <f t="shared" si="10"/>
        <v>-7.8864353312302349E-4</v>
      </c>
      <c r="S54" s="83">
        <f t="shared" si="11"/>
        <v>-2.0223092643051777E-2</v>
      </c>
      <c r="T54" s="83">
        <f t="shared" si="12"/>
        <v>-2.3746701846965701E-2</v>
      </c>
      <c r="U54" s="83">
        <f t="shared" si="13"/>
        <v>-7.7241766729851946E-4</v>
      </c>
      <c r="V54" s="83">
        <f t="shared" si="14"/>
        <v>-2.6267932915740588E-2</v>
      </c>
      <c r="W54" s="84">
        <f t="shared" si="15"/>
        <v>-2.180750681484489E-3</v>
      </c>
      <c r="X54" s="89">
        <f t="shared" si="16"/>
        <v>-5.736574105311254E-3</v>
      </c>
      <c r="Y54" s="89">
        <f t="shared" si="17"/>
        <v>-3.4284062480738342E-3</v>
      </c>
    </row>
    <row r="55" spans="1:25" x14ac:dyDescent="0.25">
      <c r="A55" s="2">
        <f t="shared" si="2"/>
        <v>52</v>
      </c>
      <c r="B55" s="58">
        <v>45294</v>
      </c>
      <c r="C55" s="59">
        <f t="shared" si="3"/>
        <v>2024</v>
      </c>
      <c r="D55" s="59">
        <f t="shared" si="4"/>
        <v>1</v>
      </c>
      <c r="E55" s="54">
        <v>17.003</v>
      </c>
      <c r="F55" s="63">
        <v>55.45</v>
      </c>
      <c r="G55" s="64">
        <v>41.65</v>
      </c>
      <c r="H55" s="64">
        <v>12.68</v>
      </c>
      <c r="I55" s="64">
        <v>234.88</v>
      </c>
      <c r="J55" s="64">
        <v>15.16</v>
      </c>
      <c r="K55" s="64">
        <v>284.82</v>
      </c>
      <c r="L55" s="64">
        <v>148.47</v>
      </c>
      <c r="M55" s="65">
        <v>238.45</v>
      </c>
      <c r="N55" s="70">
        <v>55726.64</v>
      </c>
      <c r="O55" s="70">
        <v>4704.8100000000004</v>
      </c>
      <c r="P55" s="82">
        <f t="shared" si="8"/>
        <v>-2.1873346269183136E-2</v>
      </c>
      <c r="Q55" s="83">
        <f t="shared" si="9"/>
        <v>-3.5656401944894611E-2</v>
      </c>
      <c r="R55" s="83">
        <f t="shared" si="10"/>
        <v>-2.4615384615384595E-2</v>
      </c>
      <c r="S55" s="83">
        <f t="shared" si="11"/>
        <v>-5.3552000644719322E-2</v>
      </c>
      <c r="T55" s="83">
        <f t="shared" si="12"/>
        <v>-1.1089367253750759E-2</v>
      </c>
      <c r="U55" s="83">
        <f t="shared" si="13"/>
        <v>-2.4722640734146095E-2</v>
      </c>
      <c r="V55" s="83">
        <f t="shared" si="14"/>
        <v>-9.7378776762490071E-3</v>
      </c>
      <c r="W55" s="84">
        <f t="shared" si="15"/>
        <v>-4.0133644634087418E-2</v>
      </c>
      <c r="X55" s="89">
        <f t="shared" si="16"/>
        <v>-2.2004042088829112E-2</v>
      </c>
      <c r="Y55" s="89">
        <f t="shared" si="17"/>
        <v>-8.0163109367190621E-3</v>
      </c>
    </row>
    <row r="56" spans="1:25" x14ac:dyDescent="0.25">
      <c r="A56" s="2">
        <f t="shared" si="2"/>
        <v>53</v>
      </c>
      <c r="B56" s="58">
        <v>45293</v>
      </c>
      <c r="C56" s="59">
        <f t="shared" si="3"/>
        <v>2024</v>
      </c>
      <c r="D56" s="59">
        <f t="shared" si="4"/>
        <v>1</v>
      </c>
      <c r="E56" s="54">
        <v>17.013999999999999</v>
      </c>
      <c r="F56" s="63">
        <v>56.69</v>
      </c>
      <c r="G56" s="64">
        <v>43.19</v>
      </c>
      <c r="H56" s="64">
        <v>13</v>
      </c>
      <c r="I56" s="64">
        <v>248.17</v>
      </c>
      <c r="J56" s="64">
        <v>15.33</v>
      </c>
      <c r="K56" s="64">
        <v>292.04000000000002</v>
      </c>
      <c r="L56" s="64">
        <v>149.93</v>
      </c>
      <c r="M56" s="65">
        <v>248.42</v>
      </c>
      <c r="N56" s="70">
        <v>56980.44</v>
      </c>
      <c r="O56" s="70">
        <v>4742.83</v>
      </c>
      <c r="P56" s="82">
        <f t="shared" si="8"/>
        <v>-7.528011204481766E-3</v>
      </c>
      <c r="Q56" s="83">
        <f t="shared" si="9"/>
        <v>-1.1670480549199169E-2</v>
      </c>
      <c r="R56" s="83">
        <f t="shared" si="10"/>
        <v>-1.6641452344931973E-2</v>
      </c>
      <c r="S56" s="83">
        <f t="shared" si="11"/>
        <v>-2.8198517563660097E-4</v>
      </c>
      <c r="T56" s="83">
        <f t="shared" si="12"/>
        <v>-4.1874999999999996E-2</v>
      </c>
      <c r="U56" s="83">
        <f t="shared" si="13"/>
        <v>-1.4809567182808681E-2</v>
      </c>
      <c r="V56" s="83">
        <f t="shared" si="14"/>
        <v>-1.3228906147163322E-2</v>
      </c>
      <c r="W56" s="84">
        <f t="shared" si="15"/>
        <v>-2.4146812620740032E-4</v>
      </c>
      <c r="X56" s="89">
        <f t="shared" si="16"/>
        <v>-7.0715545971378191E-3</v>
      </c>
      <c r="Y56" s="89">
        <f t="shared" si="17"/>
        <v>-5.6605790982068305E-3</v>
      </c>
    </row>
    <row r="57" spans="1:25" x14ac:dyDescent="0.25">
      <c r="A57" s="2">
        <f t="shared" si="2"/>
        <v>54</v>
      </c>
      <c r="B57" s="58">
        <v>45289</v>
      </c>
      <c r="C57" s="59">
        <f t="shared" si="3"/>
        <v>2023</v>
      </c>
      <c r="D57" s="59">
        <f t="shared" si="4"/>
        <v>12</v>
      </c>
      <c r="E57" s="54">
        <v>16.954000000000001</v>
      </c>
      <c r="F57" s="63">
        <v>57.12</v>
      </c>
      <c r="G57" s="64">
        <v>43.7</v>
      </c>
      <c r="H57" s="64">
        <v>13.22</v>
      </c>
      <c r="I57" s="64">
        <v>248.24</v>
      </c>
      <c r="J57" s="64">
        <v>16</v>
      </c>
      <c r="K57" s="64">
        <v>296.43</v>
      </c>
      <c r="L57" s="64">
        <v>151.94</v>
      </c>
      <c r="M57" s="65">
        <v>248.48</v>
      </c>
      <c r="N57" s="70">
        <v>57386.25</v>
      </c>
      <c r="O57" s="70">
        <v>4769.83</v>
      </c>
      <c r="P57" s="82">
        <f t="shared" si="8"/>
        <v>-1.3986013986014845E-3</v>
      </c>
      <c r="Q57" s="83">
        <f t="shared" si="9"/>
        <v>5.9852670349909154E-3</v>
      </c>
      <c r="R57" s="83">
        <f t="shared" si="10"/>
        <v>-1.4903129657227954E-2</v>
      </c>
      <c r="S57" s="83">
        <f t="shared" si="11"/>
        <v>-1.4333928925947981E-2</v>
      </c>
      <c r="T57" s="83">
        <f t="shared" si="12"/>
        <v>-9.2879256965943124E-3</v>
      </c>
      <c r="U57" s="83">
        <f t="shared" si="13"/>
        <v>-1.650276168664977E-3</v>
      </c>
      <c r="V57" s="83">
        <f t="shared" si="14"/>
        <v>-9.3884469943930071E-3</v>
      </c>
      <c r="W57" s="84">
        <f t="shared" si="15"/>
        <v>-1.8563867604076245E-2</v>
      </c>
      <c r="X57" s="89">
        <f t="shared" si="16"/>
        <v>-1.3603200032298313E-3</v>
      </c>
      <c r="Y57" s="89">
        <f t="shared" si="17"/>
        <v>-2.8264709879060046E-3</v>
      </c>
    </row>
    <row r="58" spans="1:25" x14ac:dyDescent="0.25">
      <c r="A58" s="2">
        <f t="shared" si="2"/>
        <v>55</v>
      </c>
      <c r="B58" s="58">
        <v>45288</v>
      </c>
      <c r="C58" s="59">
        <f t="shared" si="3"/>
        <v>2023</v>
      </c>
      <c r="D58" s="59">
        <f t="shared" si="4"/>
        <v>12</v>
      </c>
      <c r="E58" s="54">
        <v>16.928999999999998</v>
      </c>
      <c r="F58" s="63">
        <v>57.2</v>
      </c>
      <c r="G58" s="64">
        <v>43.44</v>
      </c>
      <c r="H58" s="64">
        <v>13.42</v>
      </c>
      <c r="I58" s="64">
        <v>251.85</v>
      </c>
      <c r="J58" s="64">
        <v>16.149999999999999</v>
      </c>
      <c r="K58" s="64">
        <v>296.92</v>
      </c>
      <c r="L58" s="64">
        <v>153.38</v>
      </c>
      <c r="M58" s="65">
        <v>253.18</v>
      </c>
      <c r="N58" s="70">
        <v>57464.42</v>
      </c>
      <c r="O58" s="70">
        <v>4783.3500000000004</v>
      </c>
      <c r="P58" s="82">
        <f t="shared" si="8"/>
        <v>-2.4415765608650775E-3</v>
      </c>
      <c r="Q58" s="83">
        <f t="shared" si="9"/>
        <v>1.1173184357541777E-2</v>
      </c>
      <c r="R58" s="83">
        <f t="shared" si="10"/>
        <v>-2.4709302325581439E-2</v>
      </c>
      <c r="S58" s="83">
        <f t="shared" si="11"/>
        <v>-3.4031102845158978E-3</v>
      </c>
      <c r="T58" s="83">
        <f t="shared" si="12"/>
        <v>-3.0864197530864335E-3</v>
      </c>
      <c r="U58" s="83">
        <f t="shared" si="13"/>
        <v>-6.6575223311364784E-3</v>
      </c>
      <c r="V58" s="83">
        <f t="shared" si="14"/>
        <v>2.6085822355548238E-4</v>
      </c>
      <c r="W58" s="84">
        <f t="shared" si="15"/>
        <v>-3.1594247246022E-2</v>
      </c>
      <c r="X58" s="89">
        <f t="shared" si="16"/>
        <v>-1.5646047995925283E-3</v>
      </c>
      <c r="Y58" s="89">
        <f t="shared" si="17"/>
        <v>3.7017052940679918E-4</v>
      </c>
    </row>
    <row r="59" spans="1:25" x14ac:dyDescent="0.25">
      <c r="A59" s="2">
        <f t="shared" si="2"/>
        <v>56</v>
      </c>
      <c r="B59" s="58">
        <v>45287</v>
      </c>
      <c r="C59" s="59">
        <f t="shared" si="3"/>
        <v>2023</v>
      </c>
      <c r="D59" s="59">
        <f t="shared" si="4"/>
        <v>12</v>
      </c>
      <c r="E59" s="54">
        <v>16.917999999999999</v>
      </c>
      <c r="F59" s="63">
        <v>57.34</v>
      </c>
      <c r="G59" s="64">
        <v>42.96</v>
      </c>
      <c r="H59" s="64">
        <v>13.76</v>
      </c>
      <c r="I59" s="64">
        <v>252.71</v>
      </c>
      <c r="J59" s="64">
        <v>16.2</v>
      </c>
      <c r="K59" s="64">
        <v>298.91000000000003</v>
      </c>
      <c r="L59" s="64">
        <v>153.34</v>
      </c>
      <c r="M59" s="65">
        <v>261.44</v>
      </c>
      <c r="N59" s="70">
        <v>57554.47</v>
      </c>
      <c r="O59" s="70">
        <v>4781.58</v>
      </c>
      <c r="P59" s="82">
        <f t="shared" si="8"/>
        <v>-6.755586350251086E-3</v>
      </c>
      <c r="Q59" s="83">
        <f t="shared" si="9"/>
        <v>-2.0905923344947119E-3</v>
      </c>
      <c r="R59" s="83">
        <f t="shared" si="10"/>
        <v>-2.17548948513413E-3</v>
      </c>
      <c r="S59" s="83">
        <f t="shared" si="11"/>
        <v>1.8170829975826086E-2</v>
      </c>
      <c r="T59" s="83">
        <f t="shared" si="12"/>
        <v>2.5316455696202445E-2</v>
      </c>
      <c r="U59" s="83">
        <f t="shared" si="13"/>
        <v>-6.2502077861631422E-3</v>
      </c>
      <c r="V59" s="83">
        <f t="shared" si="14"/>
        <v>-4.5629359233423372E-4</v>
      </c>
      <c r="W59" s="84">
        <f t="shared" si="15"/>
        <v>1.8822337399166056E-2</v>
      </c>
      <c r="X59" s="89">
        <f t="shared" si="16"/>
        <v>-3.3131419623837477E-3</v>
      </c>
      <c r="Y59" s="89">
        <f t="shared" si="17"/>
        <v>1.430441384365766E-3</v>
      </c>
    </row>
    <row r="60" spans="1:25" x14ac:dyDescent="0.25">
      <c r="A60" s="2">
        <f t="shared" si="2"/>
        <v>57</v>
      </c>
      <c r="B60" s="58">
        <v>45286</v>
      </c>
      <c r="C60" s="59">
        <f t="shared" si="3"/>
        <v>2023</v>
      </c>
      <c r="D60" s="59">
        <f t="shared" si="4"/>
        <v>12</v>
      </c>
      <c r="E60" s="54">
        <v>16.975000000000001</v>
      </c>
      <c r="F60" s="63">
        <v>57.73</v>
      </c>
      <c r="G60" s="64">
        <v>43.05</v>
      </c>
      <c r="H60" s="64">
        <v>13.79</v>
      </c>
      <c r="I60" s="64">
        <v>248.2</v>
      </c>
      <c r="J60" s="64">
        <v>15.8</v>
      </c>
      <c r="K60" s="64">
        <v>300.79000000000002</v>
      </c>
      <c r="L60" s="64">
        <v>153.41</v>
      </c>
      <c r="M60" s="65">
        <v>256.61</v>
      </c>
      <c r="N60" s="70">
        <v>57745.79</v>
      </c>
      <c r="O60" s="70">
        <v>4774.75</v>
      </c>
      <c r="P60" s="82">
        <f t="shared" si="8"/>
        <v>7.5043630017452845E-3</v>
      </c>
      <c r="Q60" s="83">
        <f t="shared" si="9"/>
        <v>8.4328882642303871E-3</v>
      </c>
      <c r="R60" s="83">
        <f t="shared" si="10"/>
        <v>-9.339080459770166E-3</v>
      </c>
      <c r="S60" s="83">
        <f t="shared" si="11"/>
        <v>3.6798900076833174E-3</v>
      </c>
      <c r="T60" s="83">
        <f t="shared" si="12"/>
        <v>-1.6801493466085837E-2</v>
      </c>
      <c r="U60" s="83">
        <f t="shared" si="13"/>
        <v>-1.6595306847223545E-3</v>
      </c>
      <c r="V60" s="83">
        <f t="shared" si="14"/>
        <v>-6.5180550123833392E-5</v>
      </c>
      <c r="W60" s="84">
        <f t="shared" si="15"/>
        <v>1.6116258810485506E-2</v>
      </c>
      <c r="X60" s="89">
        <f t="shared" si="16"/>
        <v>7.5430784421184338E-3</v>
      </c>
      <c r="Y60" s="89">
        <f t="shared" si="17"/>
        <v>4.2316647141837915E-3</v>
      </c>
    </row>
    <row r="61" spans="1:25" x14ac:dyDescent="0.25">
      <c r="A61" s="2">
        <f t="shared" si="2"/>
        <v>58</v>
      </c>
      <c r="B61" s="58">
        <v>45282</v>
      </c>
      <c r="C61" s="59">
        <f t="shared" si="3"/>
        <v>2023</v>
      </c>
      <c r="D61" s="59">
        <f t="shared" si="4"/>
        <v>12</v>
      </c>
      <c r="E61" s="54">
        <v>16.968</v>
      </c>
      <c r="F61" s="63">
        <v>57.3</v>
      </c>
      <c r="G61" s="64">
        <v>42.69</v>
      </c>
      <c r="H61" s="64">
        <v>13.92</v>
      </c>
      <c r="I61" s="64">
        <v>247.29</v>
      </c>
      <c r="J61" s="64">
        <v>16.07</v>
      </c>
      <c r="K61" s="64">
        <v>301.29000000000002</v>
      </c>
      <c r="L61" s="64">
        <v>153.41999999999999</v>
      </c>
      <c r="M61" s="65">
        <v>252.54</v>
      </c>
      <c r="N61" s="70">
        <v>57313.47</v>
      </c>
      <c r="O61" s="70">
        <v>4754.63</v>
      </c>
      <c r="P61" s="82">
        <f t="shared" si="8"/>
        <v>-2.9580650774316819E-3</v>
      </c>
      <c r="Q61" s="83">
        <f t="shared" si="9"/>
        <v>2.0559407124073559E-2</v>
      </c>
      <c r="R61" s="83">
        <f t="shared" si="10"/>
        <v>1.2363636363636354E-2</v>
      </c>
      <c r="S61" s="83">
        <f t="shared" si="11"/>
        <v>1.6859245857148819E-2</v>
      </c>
      <c r="T61" s="83">
        <f t="shared" si="12"/>
        <v>1.8377693282636276E-2</v>
      </c>
      <c r="U61" s="83">
        <f t="shared" si="13"/>
        <v>6.8506884106402932E-3</v>
      </c>
      <c r="V61" s="83">
        <f t="shared" si="14"/>
        <v>-2.7301092043682251E-3</v>
      </c>
      <c r="W61" s="84">
        <f t="shared" si="15"/>
        <v>-7.701375245579567E-3</v>
      </c>
      <c r="X61" s="89">
        <f t="shared" si="16"/>
        <v>-3.0307352703272672E-3</v>
      </c>
      <c r="Y61" s="89">
        <f t="shared" si="17"/>
        <v>1.6600832148312428E-3</v>
      </c>
    </row>
    <row r="62" spans="1:25" x14ac:dyDescent="0.25">
      <c r="A62" s="2">
        <f t="shared" si="2"/>
        <v>59</v>
      </c>
      <c r="B62" s="58">
        <v>45281</v>
      </c>
      <c r="C62" s="59">
        <f t="shared" si="3"/>
        <v>2023</v>
      </c>
      <c r="D62" s="59">
        <f t="shared" si="4"/>
        <v>12</v>
      </c>
      <c r="E62" s="54">
        <v>17.021999999999998</v>
      </c>
      <c r="F62" s="63">
        <v>57.47</v>
      </c>
      <c r="G62" s="64">
        <v>41.83</v>
      </c>
      <c r="H62" s="64">
        <v>13.75</v>
      </c>
      <c r="I62" s="64">
        <v>243.19</v>
      </c>
      <c r="J62" s="64">
        <v>15.78</v>
      </c>
      <c r="K62" s="64">
        <v>299.24</v>
      </c>
      <c r="L62" s="64">
        <v>153.84</v>
      </c>
      <c r="M62" s="65">
        <v>254.5</v>
      </c>
      <c r="N62" s="70">
        <v>57487.7</v>
      </c>
      <c r="O62" s="70">
        <v>4746.75</v>
      </c>
      <c r="P62" s="82">
        <f t="shared" si="8"/>
        <v>9.4853328649218138E-3</v>
      </c>
      <c r="Q62" s="83">
        <f t="shared" si="9"/>
        <v>-1.1344835736232683E-2</v>
      </c>
      <c r="R62" s="83">
        <f t="shared" si="10"/>
        <v>2.2304832713754719E-2</v>
      </c>
      <c r="S62" s="83">
        <f t="shared" si="11"/>
        <v>4.3778135712220223E-3</v>
      </c>
      <c r="T62" s="83">
        <f t="shared" si="12"/>
        <v>2.3346303501945442E-2</v>
      </c>
      <c r="U62" s="83">
        <f t="shared" si="13"/>
        <v>-6.8370394955193925E-3</v>
      </c>
      <c r="V62" s="83">
        <f t="shared" si="14"/>
        <v>1.130686300289252E-2</v>
      </c>
      <c r="W62" s="84">
        <f t="shared" si="15"/>
        <v>2.9780691106255697E-2</v>
      </c>
      <c r="X62" s="89">
        <f t="shared" si="16"/>
        <v>1.0162298405341552E-2</v>
      </c>
      <c r="Y62" s="89">
        <f t="shared" si="17"/>
        <v>9.6911633012068954E-3</v>
      </c>
    </row>
    <row r="63" spans="1:25" x14ac:dyDescent="0.25">
      <c r="A63" s="2">
        <f t="shared" si="2"/>
        <v>60</v>
      </c>
      <c r="B63" s="58">
        <v>45280</v>
      </c>
      <c r="C63" s="59">
        <f t="shared" si="3"/>
        <v>2023</v>
      </c>
      <c r="D63" s="59">
        <f t="shared" si="4"/>
        <v>12</v>
      </c>
      <c r="E63" s="54">
        <v>17.141400000000001</v>
      </c>
      <c r="F63" s="63">
        <v>56.93</v>
      </c>
      <c r="G63" s="64">
        <v>42.31</v>
      </c>
      <c r="H63" s="64">
        <v>13.45</v>
      </c>
      <c r="I63" s="64">
        <v>242.13</v>
      </c>
      <c r="J63" s="64">
        <v>15.42</v>
      </c>
      <c r="K63" s="64">
        <v>301.3</v>
      </c>
      <c r="L63" s="64">
        <v>152.12</v>
      </c>
      <c r="M63" s="65">
        <v>247.14</v>
      </c>
      <c r="N63" s="70">
        <v>56909.37</v>
      </c>
      <c r="O63" s="70">
        <v>4701.1899999999996</v>
      </c>
      <c r="P63" s="82">
        <f t="shared" si="8"/>
        <v>-1.317386028774481E-2</v>
      </c>
      <c r="Q63" s="83">
        <f t="shared" si="9"/>
        <v>3.4474327628361889E-2</v>
      </c>
      <c r="R63" s="83">
        <f t="shared" si="10"/>
        <v>-1.1029411764705954E-2</v>
      </c>
      <c r="S63" s="83">
        <f t="shared" si="11"/>
        <v>-2.0905782450465038E-2</v>
      </c>
      <c r="T63" s="83">
        <f t="shared" si="12"/>
        <v>-3.2622333751568311E-2</v>
      </c>
      <c r="U63" s="83">
        <f t="shared" si="13"/>
        <v>-1.1709909141601305E-2</v>
      </c>
      <c r="V63" s="83">
        <f t="shared" si="14"/>
        <v>-1.0858963521685361E-2</v>
      </c>
      <c r="W63" s="84">
        <f t="shared" si="15"/>
        <v>-3.9188243526942057E-2</v>
      </c>
      <c r="X63" s="89">
        <f t="shared" si="16"/>
        <v>-1.3605667384356868E-2</v>
      </c>
      <c r="Y63" s="89">
        <f t="shared" si="17"/>
        <v>-1.4088671810283282E-2</v>
      </c>
    </row>
    <row r="64" spans="1:25" x14ac:dyDescent="0.25">
      <c r="A64" s="2">
        <f t="shared" si="2"/>
        <v>61</v>
      </c>
      <c r="B64" s="58">
        <v>45279</v>
      </c>
      <c r="C64" s="59">
        <f t="shared" si="3"/>
        <v>2023</v>
      </c>
      <c r="D64" s="59">
        <f t="shared" si="4"/>
        <v>12</v>
      </c>
      <c r="E64" s="54">
        <v>17.065999999999999</v>
      </c>
      <c r="F64" s="63">
        <v>57.69</v>
      </c>
      <c r="G64" s="64">
        <v>40.9</v>
      </c>
      <c r="H64" s="64">
        <v>13.6</v>
      </c>
      <c r="I64" s="64">
        <v>247.3</v>
      </c>
      <c r="J64" s="64">
        <v>15.94</v>
      </c>
      <c r="K64" s="64">
        <v>304.87</v>
      </c>
      <c r="L64" s="64">
        <v>153.79</v>
      </c>
      <c r="M64" s="65">
        <v>257.22000000000003</v>
      </c>
      <c r="N64" s="70">
        <v>57694.34</v>
      </c>
      <c r="O64" s="70">
        <v>4768.37</v>
      </c>
      <c r="P64" s="82">
        <f t="shared" si="8"/>
        <v>-1.0389610389610615E-3</v>
      </c>
      <c r="Q64" s="83">
        <f t="shared" si="9"/>
        <v>5.2225366606637458E-2</v>
      </c>
      <c r="R64" s="83">
        <f t="shared" si="10"/>
        <v>7.3583517292119538E-4</v>
      </c>
      <c r="S64" s="83">
        <f t="shared" si="11"/>
        <v>-2.614790895487118E-2</v>
      </c>
      <c r="T64" s="83">
        <f t="shared" si="12"/>
        <v>2.515723270440251E-3</v>
      </c>
      <c r="U64" s="83">
        <f t="shared" si="13"/>
        <v>-1.1189673066943406E-2</v>
      </c>
      <c r="V64" s="83">
        <f t="shared" si="14"/>
        <v>-1.8173557473875057E-3</v>
      </c>
      <c r="W64" s="84">
        <f t="shared" si="15"/>
        <v>2.0390352269120893E-2</v>
      </c>
      <c r="X64" s="89">
        <f t="shared" si="16"/>
        <v>-6.6634553211597503E-4</v>
      </c>
      <c r="Y64" s="89">
        <f t="shared" si="17"/>
        <v>5.8663955313296157E-3</v>
      </c>
    </row>
    <row r="65" spans="1:25" x14ac:dyDescent="0.25">
      <c r="A65" s="2">
        <f t="shared" si="2"/>
        <v>62</v>
      </c>
      <c r="B65" s="58">
        <v>45278</v>
      </c>
      <c r="C65" s="59">
        <f t="shared" si="3"/>
        <v>2023</v>
      </c>
      <c r="D65" s="59">
        <f t="shared" si="4"/>
        <v>12</v>
      </c>
      <c r="E65" s="54">
        <v>17.157399999999999</v>
      </c>
      <c r="F65" s="63">
        <v>57.75</v>
      </c>
      <c r="G65" s="64">
        <v>38.869999999999997</v>
      </c>
      <c r="H65" s="64">
        <v>13.59</v>
      </c>
      <c r="I65" s="64">
        <v>253.94</v>
      </c>
      <c r="J65" s="64">
        <v>15.9</v>
      </c>
      <c r="K65" s="64">
        <v>308.32</v>
      </c>
      <c r="L65" s="64">
        <v>154.07</v>
      </c>
      <c r="M65" s="65">
        <v>252.08</v>
      </c>
      <c r="N65" s="70">
        <v>57732.81</v>
      </c>
      <c r="O65" s="70">
        <v>4740.5600000000004</v>
      </c>
      <c r="P65" s="82">
        <f t="shared" si="8"/>
        <v>1.0675533776688839E-2</v>
      </c>
      <c r="Q65" s="83">
        <f t="shared" si="9"/>
        <v>1.8872870249017071E-2</v>
      </c>
      <c r="R65" s="83">
        <f t="shared" si="10"/>
        <v>5.177514792899407E-3</v>
      </c>
      <c r="S65" s="83">
        <f t="shared" si="11"/>
        <v>-3.8324623191698826E-2</v>
      </c>
      <c r="T65" s="83">
        <f t="shared" si="12"/>
        <v>-2.5094102885820924E-3</v>
      </c>
      <c r="U65" s="83">
        <f t="shared" si="13"/>
        <v>5.8723737439645429E-3</v>
      </c>
      <c r="V65" s="83">
        <f t="shared" si="14"/>
        <v>2.7338801093552023E-2</v>
      </c>
      <c r="W65" s="84">
        <f t="shared" si="15"/>
        <v>-5.6015779092701834E-3</v>
      </c>
      <c r="X65" s="89">
        <f t="shared" si="16"/>
        <v>1.0550134009964518E-2</v>
      </c>
      <c r="Y65" s="89">
        <f t="shared" si="17"/>
        <v>4.5283194785548098E-3</v>
      </c>
    </row>
    <row r="66" spans="1:25" x14ac:dyDescent="0.25">
      <c r="A66" s="2">
        <f t="shared" si="2"/>
        <v>63</v>
      </c>
      <c r="B66" s="58">
        <v>45275</v>
      </c>
      <c r="C66" s="59">
        <f t="shared" si="3"/>
        <v>2023</v>
      </c>
      <c r="D66" s="59">
        <f t="shared" si="4"/>
        <v>12</v>
      </c>
      <c r="E66" s="54">
        <v>17.184000000000001</v>
      </c>
      <c r="F66" s="63">
        <v>57.14</v>
      </c>
      <c r="G66" s="64">
        <v>38.15</v>
      </c>
      <c r="H66" s="64">
        <v>13.52</v>
      </c>
      <c r="I66" s="64">
        <v>264.06</v>
      </c>
      <c r="J66" s="64">
        <v>15.94</v>
      </c>
      <c r="K66" s="64">
        <v>306.52</v>
      </c>
      <c r="L66" s="64">
        <v>149.97</v>
      </c>
      <c r="M66" s="65">
        <v>253.5</v>
      </c>
      <c r="N66" s="70">
        <v>57130.080000000002</v>
      </c>
      <c r="O66" s="70">
        <v>4719.1899999999996</v>
      </c>
      <c r="P66" s="82">
        <f t="shared" si="8"/>
        <v>2.4561403508771562E-3</v>
      </c>
      <c r="Q66" s="83">
        <f t="shared" si="9"/>
        <v>-1.4466546112115841E-2</v>
      </c>
      <c r="R66" s="83">
        <f t="shared" si="10"/>
        <v>-1.477104874446078E-3</v>
      </c>
      <c r="S66" s="83">
        <f t="shared" si="11"/>
        <v>7.4011902945216868E-3</v>
      </c>
      <c r="T66" s="83">
        <f t="shared" si="12"/>
        <v>-9.9378881987578493E-3</v>
      </c>
      <c r="U66" s="83">
        <f t="shared" si="13"/>
        <v>3.0492519751218694E-2</v>
      </c>
      <c r="V66" s="83">
        <f t="shared" si="14"/>
        <v>1.7297517297517384E-2</v>
      </c>
      <c r="W66" s="84">
        <f t="shared" si="15"/>
        <v>9.7590121489743442E-3</v>
      </c>
      <c r="X66" s="89">
        <f t="shared" si="16"/>
        <v>1.6421086737212764E-3</v>
      </c>
      <c r="Y66" s="89">
        <f t="shared" si="17"/>
        <v>-7.6278458751466438E-5</v>
      </c>
    </row>
    <row r="67" spans="1:25" x14ac:dyDescent="0.25">
      <c r="A67" s="2">
        <f t="shared" si="2"/>
        <v>64</v>
      </c>
      <c r="B67" s="58">
        <v>45274</v>
      </c>
      <c r="C67" s="59">
        <f t="shared" si="3"/>
        <v>2023</v>
      </c>
      <c r="D67" s="59">
        <f t="shared" si="4"/>
        <v>12</v>
      </c>
      <c r="E67" s="54">
        <v>17.186</v>
      </c>
      <c r="F67" s="63">
        <v>57</v>
      </c>
      <c r="G67" s="64">
        <v>38.71</v>
      </c>
      <c r="H67" s="64">
        <v>13.54</v>
      </c>
      <c r="I67" s="64">
        <v>262.12</v>
      </c>
      <c r="J67" s="64">
        <v>16.100000000000001</v>
      </c>
      <c r="K67" s="64">
        <v>297.45</v>
      </c>
      <c r="L67" s="64">
        <v>147.41999999999999</v>
      </c>
      <c r="M67" s="65">
        <v>251.05</v>
      </c>
      <c r="N67" s="70">
        <v>57036.42</v>
      </c>
      <c r="O67" s="70">
        <v>4719.55</v>
      </c>
      <c r="P67" s="82">
        <f t="shared" si="8"/>
        <v>3.3357505438723845E-2</v>
      </c>
      <c r="Q67" s="83">
        <f t="shared" si="9"/>
        <v>3.7523452157598447E-2</v>
      </c>
      <c r="R67" s="83">
        <f t="shared" si="10"/>
        <v>5.0426687354538258E-2</v>
      </c>
      <c r="S67" s="83">
        <f t="shared" si="11"/>
        <v>1.782316623306035E-2</v>
      </c>
      <c r="T67" s="83">
        <f t="shared" si="12"/>
        <v>9.0785907859078696E-2</v>
      </c>
      <c r="U67" s="83">
        <f t="shared" si="13"/>
        <v>0.17198581560283688</v>
      </c>
      <c r="V67" s="83">
        <f t="shared" si="14"/>
        <v>-9.5404461166354038E-3</v>
      </c>
      <c r="W67" s="84">
        <f t="shared" si="15"/>
        <v>4.9145388440804183E-2</v>
      </c>
      <c r="X67" s="89">
        <f t="shared" si="16"/>
        <v>3.3870445581902109E-2</v>
      </c>
      <c r="Y67" s="89">
        <f t="shared" si="17"/>
        <v>2.6470706954828671E-3</v>
      </c>
    </row>
    <row r="68" spans="1:25" x14ac:dyDescent="0.25">
      <c r="A68" s="2">
        <f t="shared" ref="A68:A131" si="18">+A69-1</f>
        <v>65</v>
      </c>
      <c r="B68" s="58">
        <v>45273</v>
      </c>
      <c r="C68" s="59">
        <f t="shared" ref="C68:C131" si="19">+YEAR(B68)</f>
        <v>2023</v>
      </c>
      <c r="D68" s="59">
        <f t="shared" ref="D68:D131" si="20">+MONTH(B68)</f>
        <v>12</v>
      </c>
      <c r="E68" s="54">
        <v>17.234999999999999</v>
      </c>
      <c r="F68" s="63">
        <v>55.16</v>
      </c>
      <c r="G68" s="64">
        <v>37.31</v>
      </c>
      <c r="H68" s="64">
        <v>12.89</v>
      </c>
      <c r="I68" s="64">
        <v>257.52999999999997</v>
      </c>
      <c r="J68" s="64">
        <v>14.76</v>
      </c>
      <c r="K68" s="64">
        <v>253.8</v>
      </c>
      <c r="L68" s="64">
        <v>148.84</v>
      </c>
      <c r="M68" s="65">
        <v>239.29</v>
      </c>
      <c r="N68" s="70">
        <v>55167.86</v>
      </c>
      <c r="O68" s="70">
        <v>4707.09</v>
      </c>
      <c r="P68" s="82">
        <f t="shared" si="8"/>
        <v>1.3039485766758396E-2</v>
      </c>
      <c r="Q68" s="83">
        <f t="shared" si="9"/>
        <v>-2.406417112299386E-3</v>
      </c>
      <c r="R68" s="83">
        <f t="shared" si="10"/>
        <v>3.6173633440514497E-2</v>
      </c>
      <c r="S68" s="83">
        <f t="shared" si="11"/>
        <v>-5.5220883534137233E-3</v>
      </c>
      <c r="T68" s="83">
        <f t="shared" si="12"/>
        <v>3.7245256500351376E-2</v>
      </c>
      <c r="U68" s="83">
        <f t="shared" si="13"/>
        <v>1.4307409479658029E-2</v>
      </c>
      <c r="V68" s="83">
        <f t="shared" si="14"/>
        <v>2.0220714236753867E-2</v>
      </c>
      <c r="W68" s="84">
        <f t="shared" si="15"/>
        <v>-1.8770334529073507E-3</v>
      </c>
      <c r="X68" s="89">
        <f t="shared" si="16"/>
        <v>1.338632953655372E-2</v>
      </c>
      <c r="Y68" s="89">
        <f t="shared" si="17"/>
        <v>1.8312839106619183E-2</v>
      </c>
    </row>
    <row r="69" spans="1:25" x14ac:dyDescent="0.25">
      <c r="A69" s="2">
        <f t="shared" si="18"/>
        <v>66</v>
      </c>
      <c r="B69" s="58">
        <v>45271</v>
      </c>
      <c r="C69" s="59">
        <f t="shared" si="19"/>
        <v>2023</v>
      </c>
      <c r="D69" s="59">
        <f t="shared" si="20"/>
        <v>12</v>
      </c>
      <c r="E69" s="54">
        <v>17.375499999999999</v>
      </c>
      <c r="F69" s="63">
        <v>54.45</v>
      </c>
      <c r="G69" s="64">
        <v>37.4</v>
      </c>
      <c r="H69" s="64">
        <v>12.44</v>
      </c>
      <c r="I69" s="64">
        <v>258.95999999999998</v>
      </c>
      <c r="J69" s="64">
        <v>14.23</v>
      </c>
      <c r="K69" s="64">
        <v>250.22</v>
      </c>
      <c r="L69" s="64">
        <v>145.88999999999999</v>
      </c>
      <c r="M69" s="65">
        <v>239.74</v>
      </c>
      <c r="N69" s="70">
        <v>54439.12</v>
      </c>
      <c r="O69" s="70">
        <v>4622.4399999999996</v>
      </c>
      <c r="P69" s="82">
        <f t="shared" ref="P69:P132" si="21">F69/F70-1</f>
        <v>1.1031439602868787E-3</v>
      </c>
      <c r="Q69" s="83">
        <f t="shared" ref="Q69:Q132" si="22">G69/G70-1</f>
        <v>-1.6017084890550537E-3</v>
      </c>
      <c r="R69" s="83">
        <f t="shared" ref="R69:R132" si="23">H69/H70-1</f>
        <v>8.921330089213253E-3</v>
      </c>
      <c r="S69" s="83">
        <f t="shared" ref="S69:S132" si="24">I69/I70-1</f>
        <v>9.7087378640774435E-3</v>
      </c>
      <c r="T69" s="83">
        <f t="shared" ref="T69:T132" si="25">J69/J70-1</f>
        <v>-2.2664835164835195E-2</v>
      </c>
      <c r="U69" s="83">
        <f t="shared" ref="U69:U132" si="26">K69/K70-1</f>
        <v>-2.2730823308858117E-2</v>
      </c>
      <c r="V69" s="83">
        <f t="shared" ref="V69:V132" si="27">L69/L70-1</f>
        <v>-1.0378510378510342E-2</v>
      </c>
      <c r="W69" s="84">
        <f t="shared" ref="W69:W132" si="28">M69/M70-1</f>
        <v>-1.6814304461942209E-2</v>
      </c>
      <c r="X69" s="89">
        <f t="shared" ref="X69:X132" si="29">N69/N70-1</f>
        <v>8.477192198041994E-4</v>
      </c>
      <c r="Y69" s="89">
        <f t="shared" ref="Y69:Y132" si="30">O69/O70-1</f>
        <v>3.9245325636296791E-3</v>
      </c>
    </row>
    <row r="70" spans="1:25" x14ac:dyDescent="0.25">
      <c r="A70" s="2">
        <f t="shared" si="18"/>
        <v>67</v>
      </c>
      <c r="B70" s="58">
        <v>45268</v>
      </c>
      <c r="C70" s="59">
        <f t="shared" si="19"/>
        <v>2023</v>
      </c>
      <c r="D70" s="59">
        <f t="shared" si="20"/>
        <v>12</v>
      </c>
      <c r="E70" s="54">
        <v>17.347000000000001</v>
      </c>
      <c r="F70" s="63">
        <v>54.39</v>
      </c>
      <c r="G70" s="64">
        <v>37.46</v>
      </c>
      <c r="H70" s="64">
        <v>12.33</v>
      </c>
      <c r="I70" s="64">
        <v>256.47000000000003</v>
      </c>
      <c r="J70" s="64">
        <v>14.56</v>
      </c>
      <c r="K70" s="64">
        <v>256.04000000000002</v>
      </c>
      <c r="L70" s="64">
        <v>147.41999999999999</v>
      </c>
      <c r="M70" s="65">
        <v>243.84</v>
      </c>
      <c r="N70" s="70">
        <v>54393.01</v>
      </c>
      <c r="O70" s="70">
        <v>4604.37</v>
      </c>
      <c r="P70" s="82">
        <f t="shared" si="21"/>
        <v>-5.5126791620729865E-4</v>
      </c>
      <c r="Q70" s="83">
        <f t="shared" si="22"/>
        <v>-6.8928950159066193E-3</v>
      </c>
      <c r="R70" s="83">
        <f t="shared" si="23"/>
        <v>8.1766148814390593E-3</v>
      </c>
      <c r="S70" s="83">
        <f t="shared" si="24"/>
        <v>-1.0952142223593309E-2</v>
      </c>
      <c r="T70" s="83">
        <f t="shared" si="25"/>
        <v>-1.154107264086901E-2</v>
      </c>
      <c r="U70" s="83">
        <f t="shared" si="26"/>
        <v>-1.8665440190103855E-2</v>
      </c>
      <c r="V70" s="83">
        <f t="shared" si="27"/>
        <v>3.6764705882352811E-3</v>
      </c>
      <c r="W70" s="84">
        <f t="shared" si="28"/>
        <v>4.9455984174084922E-3</v>
      </c>
      <c r="X70" s="89">
        <f t="shared" si="29"/>
        <v>-1.1710203945219932E-3</v>
      </c>
      <c r="Y70" s="89">
        <f t="shared" si="30"/>
        <v>4.0954381006588214E-3</v>
      </c>
    </row>
    <row r="71" spans="1:25" x14ac:dyDescent="0.25">
      <c r="A71" s="2">
        <f t="shared" si="18"/>
        <v>68</v>
      </c>
      <c r="B71" s="58">
        <v>45267</v>
      </c>
      <c r="C71" s="59">
        <f t="shared" si="19"/>
        <v>2023</v>
      </c>
      <c r="D71" s="59">
        <f t="shared" si="20"/>
        <v>12</v>
      </c>
      <c r="E71" s="54">
        <v>17.452999999999999</v>
      </c>
      <c r="F71" s="63">
        <v>54.42</v>
      </c>
      <c r="G71" s="64">
        <v>37.72</v>
      </c>
      <c r="H71" s="64">
        <v>12.23</v>
      </c>
      <c r="I71" s="64">
        <v>259.31</v>
      </c>
      <c r="J71" s="64">
        <v>14.73</v>
      </c>
      <c r="K71" s="64">
        <v>260.91000000000003</v>
      </c>
      <c r="L71" s="64">
        <v>146.88</v>
      </c>
      <c r="M71" s="65">
        <v>242.64</v>
      </c>
      <c r="N71" s="70">
        <v>54456.78</v>
      </c>
      <c r="O71" s="70">
        <v>4585.59</v>
      </c>
      <c r="P71" s="82">
        <f t="shared" si="21"/>
        <v>6.8455134135061435E-3</v>
      </c>
      <c r="Q71" s="83">
        <f t="shared" si="22"/>
        <v>4.2598509052182987E-3</v>
      </c>
      <c r="R71" s="83">
        <f t="shared" si="23"/>
        <v>7.4135090609555032E-3</v>
      </c>
      <c r="S71" s="83">
        <f t="shared" si="24"/>
        <v>-5.5988035433522931E-3</v>
      </c>
      <c r="T71" s="83">
        <f t="shared" si="25"/>
        <v>-1.4056224899598346E-2</v>
      </c>
      <c r="U71" s="83">
        <f t="shared" si="26"/>
        <v>-1.1496895838114529E-4</v>
      </c>
      <c r="V71" s="83">
        <f t="shared" si="27"/>
        <v>1.6329919734292764E-2</v>
      </c>
      <c r="W71" s="84">
        <f t="shared" si="28"/>
        <v>1.366085975686171E-2</v>
      </c>
      <c r="X71" s="89">
        <f t="shared" si="29"/>
        <v>6.5879401564166162E-3</v>
      </c>
      <c r="Y71" s="89">
        <f t="shared" si="30"/>
        <v>7.9681887922204986E-3</v>
      </c>
    </row>
    <row r="72" spans="1:25" x14ac:dyDescent="0.25">
      <c r="A72" s="2">
        <f t="shared" si="18"/>
        <v>69</v>
      </c>
      <c r="B72" s="58">
        <v>45266</v>
      </c>
      <c r="C72" s="59">
        <f t="shared" si="19"/>
        <v>2023</v>
      </c>
      <c r="D72" s="59">
        <f t="shared" si="20"/>
        <v>12</v>
      </c>
      <c r="E72" s="54">
        <v>17.257999999999999</v>
      </c>
      <c r="F72" s="63">
        <v>54.05</v>
      </c>
      <c r="G72" s="64">
        <v>37.56</v>
      </c>
      <c r="H72" s="64">
        <v>12.14</v>
      </c>
      <c r="I72" s="64">
        <v>260.77</v>
      </c>
      <c r="J72" s="64">
        <v>14.94</v>
      </c>
      <c r="K72" s="64">
        <v>260.94</v>
      </c>
      <c r="L72" s="64">
        <v>144.52000000000001</v>
      </c>
      <c r="M72" s="65">
        <v>239.37</v>
      </c>
      <c r="N72" s="70">
        <v>54100.37</v>
      </c>
      <c r="O72" s="70">
        <v>4549.34</v>
      </c>
      <c r="P72" s="82">
        <f t="shared" si="21"/>
        <v>-9.2421441774503954E-4</v>
      </c>
      <c r="Q72" s="83">
        <f t="shared" si="22"/>
        <v>1.18534482758621E-2</v>
      </c>
      <c r="R72" s="83">
        <f t="shared" si="23"/>
        <v>0</v>
      </c>
      <c r="S72" s="83">
        <f t="shared" si="24"/>
        <v>-3.8346498964614284E-5</v>
      </c>
      <c r="T72" s="83">
        <f t="shared" si="25"/>
        <v>4.9894588896697067E-2</v>
      </c>
      <c r="U72" s="83">
        <f t="shared" si="26"/>
        <v>1.4968336211858002E-3</v>
      </c>
      <c r="V72" s="83">
        <f t="shared" si="27"/>
        <v>-1.6067538126361525E-2</v>
      </c>
      <c r="W72" s="84">
        <f t="shared" si="28"/>
        <v>2.7228552278819596E-3</v>
      </c>
      <c r="X72" s="89">
        <f t="shared" si="29"/>
        <v>-3.7952059564405616E-4</v>
      </c>
      <c r="Y72" s="89">
        <f t="shared" si="30"/>
        <v>-3.9061302598102365E-3</v>
      </c>
    </row>
    <row r="73" spans="1:25" x14ac:dyDescent="0.25">
      <c r="A73" s="2">
        <f t="shared" si="18"/>
        <v>70</v>
      </c>
      <c r="B73" s="58">
        <v>45265</v>
      </c>
      <c r="C73" s="59">
        <f t="shared" si="19"/>
        <v>2023</v>
      </c>
      <c r="D73" s="59">
        <f t="shared" si="20"/>
        <v>12</v>
      </c>
      <c r="E73" s="54">
        <v>17.377500000000001</v>
      </c>
      <c r="F73" s="63">
        <v>54.1</v>
      </c>
      <c r="G73" s="64">
        <v>37.119999999999997</v>
      </c>
      <c r="H73" s="64">
        <v>12.14</v>
      </c>
      <c r="I73" s="64">
        <v>260.77999999999997</v>
      </c>
      <c r="J73" s="64">
        <v>14.23</v>
      </c>
      <c r="K73" s="64">
        <v>260.55</v>
      </c>
      <c r="L73" s="64">
        <v>146.88</v>
      </c>
      <c r="M73" s="65">
        <v>238.72</v>
      </c>
      <c r="N73" s="70">
        <v>54120.91</v>
      </c>
      <c r="O73" s="70">
        <v>4567.18</v>
      </c>
      <c r="P73" s="82">
        <f t="shared" si="21"/>
        <v>1.1102886750555818E-3</v>
      </c>
      <c r="Q73" s="83">
        <f t="shared" si="22"/>
        <v>1.8940433708481974E-2</v>
      </c>
      <c r="R73" s="83">
        <f t="shared" si="23"/>
        <v>-1.4610389610389629E-2</v>
      </c>
      <c r="S73" s="83">
        <f t="shared" si="24"/>
        <v>4.2198948862526287E-4</v>
      </c>
      <c r="T73" s="83">
        <f t="shared" si="25"/>
        <v>2.4478041756659463E-2</v>
      </c>
      <c r="U73" s="83">
        <f t="shared" si="26"/>
        <v>-5.9516996680782919E-3</v>
      </c>
      <c r="V73" s="83">
        <f t="shared" si="27"/>
        <v>1.4084507042253502E-2</v>
      </c>
      <c r="W73" s="84">
        <f t="shared" si="28"/>
        <v>1.3328805501315877E-2</v>
      </c>
      <c r="X73" s="89">
        <f t="shared" si="29"/>
        <v>1.2446897645912447E-3</v>
      </c>
      <c r="Y73" s="89">
        <f t="shared" si="30"/>
        <v>-5.6895517946142782E-4</v>
      </c>
    </row>
    <row r="74" spans="1:25" x14ac:dyDescent="0.25">
      <c r="A74" s="2">
        <f t="shared" si="18"/>
        <v>71</v>
      </c>
      <c r="B74" s="58">
        <v>45264</v>
      </c>
      <c r="C74" s="59">
        <f t="shared" si="19"/>
        <v>2023</v>
      </c>
      <c r="D74" s="59">
        <f t="shared" si="20"/>
        <v>12</v>
      </c>
      <c r="E74" s="54">
        <v>17.452200000000001</v>
      </c>
      <c r="F74" s="63">
        <v>54.04</v>
      </c>
      <c r="G74" s="64">
        <v>36.43</v>
      </c>
      <c r="H74" s="64">
        <v>12.32</v>
      </c>
      <c r="I74" s="64">
        <v>260.67</v>
      </c>
      <c r="J74" s="64">
        <v>13.89</v>
      </c>
      <c r="K74" s="64">
        <v>262.11</v>
      </c>
      <c r="L74" s="64">
        <v>144.84</v>
      </c>
      <c r="M74" s="65">
        <v>235.58</v>
      </c>
      <c r="N74" s="70">
        <v>54053.63</v>
      </c>
      <c r="O74" s="70">
        <v>4569.78</v>
      </c>
      <c r="P74" s="82">
        <f t="shared" si="21"/>
        <v>4.2742984575356857E-3</v>
      </c>
      <c r="Q74" s="83">
        <f t="shared" si="22"/>
        <v>-1.4606437652150417E-2</v>
      </c>
      <c r="R74" s="83">
        <f t="shared" si="23"/>
        <v>-8.110300081103361E-4</v>
      </c>
      <c r="S74" s="83">
        <f t="shared" si="24"/>
        <v>2.1914648212226773E-3</v>
      </c>
      <c r="T74" s="83">
        <f t="shared" si="25"/>
        <v>1.5350877192982448E-2</v>
      </c>
      <c r="U74" s="83">
        <f t="shared" si="26"/>
        <v>6.8720650555498253E-4</v>
      </c>
      <c r="V74" s="83">
        <f t="shared" si="27"/>
        <v>-1.4894919404203177E-2</v>
      </c>
      <c r="W74" s="84">
        <f t="shared" si="28"/>
        <v>-1.3608005694426994E-2</v>
      </c>
      <c r="X74" s="89">
        <f t="shared" si="29"/>
        <v>2.8236727671231421E-3</v>
      </c>
      <c r="Y74" s="89">
        <f t="shared" si="30"/>
        <v>-5.4084877345945692E-3</v>
      </c>
    </row>
    <row r="75" spans="1:25" x14ac:dyDescent="0.25">
      <c r="A75" s="2">
        <f t="shared" si="18"/>
        <v>72</v>
      </c>
      <c r="B75" s="58">
        <v>45261</v>
      </c>
      <c r="C75" s="59">
        <f t="shared" si="19"/>
        <v>2023</v>
      </c>
      <c r="D75" s="59">
        <f t="shared" si="20"/>
        <v>12</v>
      </c>
      <c r="E75" s="54">
        <v>17.170000000000002</v>
      </c>
      <c r="F75" s="63">
        <v>53.81</v>
      </c>
      <c r="G75" s="64">
        <v>36.97</v>
      </c>
      <c r="H75" s="64">
        <v>12.33</v>
      </c>
      <c r="I75" s="64">
        <v>260.10000000000002</v>
      </c>
      <c r="J75" s="64">
        <v>13.68</v>
      </c>
      <c r="K75" s="64">
        <v>261.93</v>
      </c>
      <c r="L75" s="64">
        <v>147.03</v>
      </c>
      <c r="M75" s="65">
        <v>238.83</v>
      </c>
      <c r="N75" s="70">
        <v>53901.43</v>
      </c>
      <c r="O75" s="70">
        <v>4594.63</v>
      </c>
      <c r="P75" s="82">
        <f t="shared" si="21"/>
        <v>-3.1493145609483575E-3</v>
      </c>
      <c r="Q75" s="83">
        <f t="shared" si="22"/>
        <v>-4.3091839482899408E-3</v>
      </c>
      <c r="R75" s="83">
        <f t="shared" si="23"/>
        <v>2.1541010770505409E-2</v>
      </c>
      <c r="S75" s="83">
        <f t="shared" si="24"/>
        <v>2.1000981354269088E-2</v>
      </c>
      <c r="T75" s="83">
        <f t="shared" si="25"/>
        <v>-1.5827338129496438E-2</v>
      </c>
      <c r="U75" s="83">
        <f t="shared" si="26"/>
        <v>-9.9410341699425198E-3</v>
      </c>
      <c r="V75" s="83">
        <f t="shared" si="27"/>
        <v>6.4343897597372024E-3</v>
      </c>
      <c r="W75" s="84">
        <f t="shared" si="28"/>
        <v>-5.2065978007330704E-3</v>
      </c>
      <c r="X75" s="89">
        <f t="shared" si="29"/>
        <v>-2.9334067825736998E-3</v>
      </c>
      <c r="Y75" s="89">
        <f t="shared" si="30"/>
        <v>5.8781289816935978E-3</v>
      </c>
    </row>
    <row r="76" spans="1:25" x14ac:dyDescent="0.25">
      <c r="A76" s="2">
        <f t="shared" si="18"/>
        <v>73</v>
      </c>
      <c r="B76" s="58">
        <v>45260</v>
      </c>
      <c r="C76" s="59">
        <f t="shared" si="19"/>
        <v>2023</v>
      </c>
      <c r="D76" s="59">
        <f t="shared" si="20"/>
        <v>11</v>
      </c>
      <c r="E76" s="54">
        <v>17.378399999999999</v>
      </c>
      <c r="F76" s="63">
        <v>53.98</v>
      </c>
      <c r="G76" s="64">
        <v>37.130000000000003</v>
      </c>
      <c r="H76" s="64">
        <v>12.07</v>
      </c>
      <c r="I76" s="64">
        <v>254.75</v>
      </c>
      <c r="J76" s="64">
        <v>13.9</v>
      </c>
      <c r="K76" s="64">
        <v>264.56</v>
      </c>
      <c r="L76" s="64">
        <v>146.09</v>
      </c>
      <c r="M76" s="65">
        <v>240.08</v>
      </c>
      <c r="N76" s="70">
        <v>54060.01</v>
      </c>
      <c r="O76" s="70">
        <v>4567.78</v>
      </c>
      <c r="P76" s="82">
        <f t="shared" si="21"/>
        <v>2.5261158594491961E-2</v>
      </c>
      <c r="Q76" s="83">
        <f t="shared" si="22"/>
        <v>1.0615133369624496E-2</v>
      </c>
      <c r="R76" s="83">
        <f t="shared" si="23"/>
        <v>2.491694352159568E-3</v>
      </c>
      <c r="S76" s="83">
        <f t="shared" si="24"/>
        <v>1.8592562974810045E-2</v>
      </c>
      <c r="T76" s="83">
        <f t="shared" si="25"/>
        <v>-4.2979942693409656E-3</v>
      </c>
      <c r="U76" s="83">
        <f t="shared" si="26"/>
        <v>4.2765362027511689E-2</v>
      </c>
      <c r="V76" s="83">
        <f t="shared" si="27"/>
        <v>-1.5718972115910113E-3</v>
      </c>
      <c r="W76" s="84">
        <f t="shared" si="28"/>
        <v>-1.6629802572294516E-2</v>
      </c>
      <c r="X76" s="89">
        <f t="shared" si="29"/>
        <v>2.4003268626921148E-2</v>
      </c>
      <c r="Y76" s="89">
        <f t="shared" si="30"/>
        <v>3.7797379674677778E-3</v>
      </c>
    </row>
    <row r="77" spans="1:25" x14ac:dyDescent="0.25">
      <c r="A77" s="2">
        <f t="shared" si="18"/>
        <v>74</v>
      </c>
      <c r="B77" s="58">
        <v>45259</v>
      </c>
      <c r="C77" s="59">
        <f t="shared" si="19"/>
        <v>2023</v>
      </c>
      <c r="D77" s="59">
        <f t="shared" si="20"/>
        <v>11</v>
      </c>
      <c r="E77" s="54">
        <v>17.276</v>
      </c>
      <c r="F77" s="63">
        <v>52.65</v>
      </c>
      <c r="G77" s="64">
        <v>36.74</v>
      </c>
      <c r="H77" s="64">
        <v>12.04</v>
      </c>
      <c r="I77" s="64">
        <v>250.1</v>
      </c>
      <c r="J77" s="64">
        <v>13.96</v>
      </c>
      <c r="K77" s="64">
        <v>253.71</v>
      </c>
      <c r="L77" s="64">
        <v>146.32</v>
      </c>
      <c r="M77" s="65">
        <v>244.14</v>
      </c>
      <c r="N77" s="70">
        <v>52792.81</v>
      </c>
      <c r="O77" s="70">
        <v>4550.58</v>
      </c>
      <c r="P77" s="82">
        <f t="shared" si="21"/>
        <v>6.8846815834766595E-3</v>
      </c>
      <c r="Q77" s="83">
        <f t="shared" si="22"/>
        <v>-9.970358393963874E-3</v>
      </c>
      <c r="R77" s="83">
        <f t="shared" si="23"/>
        <v>3.3476394849785374E-2</v>
      </c>
      <c r="S77" s="83">
        <f t="shared" si="24"/>
        <v>4.7056853386921116E-2</v>
      </c>
      <c r="T77" s="83">
        <f t="shared" si="25"/>
        <v>1.3798111837327598E-2</v>
      </c>
      <c r="U77" s="83">
        <f t="shared" si="26"/>
        <v>-8.286752921862206E-3</v>
      </c>
      <c r="V77" s="83">
        <f t="shared" si="27"/>
        <v>-4.8289464735088439E-3</v>
      </c>
      <c r="W77" s="84">
        <f t="shared" si="28"/>
        <v>-1.045719844357984E-2</v>
      </c>
      <c r="X77" s="89">
        <f t="shared" si="29"/>
        <v>8.2852995664546292E-3</v>
      </c>
      <c r="Y77" s="89">
        <f t="shared" si="30"/>
        <v>-9.4623580371877569E-4</v>
      </c>
    </row>
    <row r="78" spans="1:25" x14ac:dyDescent="0.25">
      <c r="A78" s="2">
        <f t="shared" si="18"/>
        <v>75</v>
      </c>
      <c r="B78" s="58">
        <v>45258</v>
      </c>
      <c r="C78" s="59">
        <f t="shared" si="19"/>
        <v>2023</v>
      </c>
      <c r="D78" s="59">
        <f t="shared" si="20"/>
        <v>11</v>
      </c>
      <c r="E78" s="54">
        <v>17.1356</v>
      </c>
      <c r="F78" s="63">
        <v>52.29</v>
      </c>
      <c r="G78" s="64">
        <v>37.11</v>
      </c>
      <c r="H78" s="64">
        <v>11.65</v>
      </c>
      <c r="I78" s="64">
        <v>238.86</v>
      </c>
      <c r="J78" s="64">
        <v>13.77</v>
      </c>
      <c r="K78" s="64">
        <v>255.83</v>
      </c>
      <c r="L78" s="64">
        <v>147.03</v>
      </c>
      <c r="M78" s="65">
        <v>246.72</v>
      </c>
      <c r="N78" s="70">
        <v>52359</v>
      </c>
      <c r="O78" s="70">
        <v>4554.8900000000003</v>
      </c>
      <c r="P78" s="82">
        <f t="shared" si="21"/>
        <v>-5.7339449541282672E-4</v>
      </c>
      <c r="Q78" s="83">
        <f t="shared" si="22"/>
        <v>1.089621356578574E-2</v>
      </c>
      <c r="R78" s="83">
        <f t="shared" si="23"/>
        <v>1.0407632263660149E-2</v>
      </c>
      <c r="S78" s="83">
        <f t="shared" si="24"/>
        <v>1.2891188194385617E-2</v>
      </c>
      <c r="T78" s="83">
        <f t="shared" si="25"/>
        <v>4.7945205479452024E-2</v>
      </c>
      <c r="U78" s="83">
        <f t="shared" si="26"/>
        <v>1.0466861521447157E-2</v>
      </c>
      <c r="V78" s="83">
        <f t="shared" si="27"/>
        <v>-4.7383740607864766E-3</v>
      </c>
      <c r="W78" s="84">
        <f t="shared" si="28"/>
        <v>4.5069467976956989E-2</v>
      </c>
      <c r="X78" s="89">
        <f t="shared" si="29"/>
        <v>2.6524071298450469E-3</v>
      </c>
      <c r="Y78" s="89">
        <f t="shared" si="30"/>
        <v>9.801271528184774E-4</v>
      </c>
    </row>
    <row r="79" spans="1:25" x14ac:dyDescent="0.25">
      <c r="A79" s="2">
        <f t="shared" si="18"/>
        <v>76</v>
      </c>
      <c r="B79" s="58">
        <v>45257</v>
      </c>
      <c r="C79" s="59">
        <f t="shared" si="19"/>
        <v>2023</v>
      </c>
      <c r="D79" s="59">
        <f t="shared" si="20"/>
        <v>11</v>
      </c>
      <c r="E79" s="54">
        <v>17.1645</v>
      </c>
      <c r="F79" s="63">
        <v>52.32</v>
      </c>
      <c r="G79" s="64">
        <v>36.71</v>
      </c>
      <c r="H79" s="64">
        <v>11.53</v>
      </c>
      <c r="I79" s="64">
        <v>235.82</v>
      </c>
      <c r="J79" s="64">
        <v>13.14</v>
      </c>
      <c r="K79" s="64">
        <v>253.18</v>
      </c>
      <c r="L79" s="64">
        <v>147.72999999999999</v>
      </c>
      <c r="M79" s="65">
        <v>236.08</v>
      </c>
      <c r="N79" s="70">
        <v>52220.49</v>
      </c>
      <c r="O79" s="70">
        <v>4550.43</v>
      </c>
      <c r="P79" s="82">
        <f t="shared" si="21"/>
        <v>-1.1151011151011136E-2</v>
      </c>
      <c r="Q79" s="83">
        <f t="shared" si="22"/>
        <v>-1.0884353741495989E-3</v>
      </c>
      <c r="R79" s="83">
        <f t="shared" si="23"/>
        <v>-3.1092436974790028E-2</v>
      </c>
      <c r="S79" s="83">
        <f t="shared" si="24"/>
        <v>5.0329592018528269E-2</v>
      </c>
      <c r="T79" s="83">
        <f t="shared" si="25"/>
        <v>5.1200000000000134E-2</v>
      </c>
      <c r="U79" s="83">
        <f t="shared" si="26"/>
        <v>1.0134056814554926E-2</v>
      </c>
      <c r="V79" s="83">
        <f t="shared" si="27"/>
        <v>6.7466266866564872E-3</v>
      </c>
      <c r="W79" s="84">
        <f t="shared" si="28"/>
        <v>2.6757273306434737E-3</v>
      </c>
      <c r="X79" s="89">
        <f t="shared" si="29"/>
        <v>-1.3561606107624691E-2</v>
      </c>
      <c r="Y79" s="89">
        <f t="shared" si="30"/>
        <v>-1.9542302175314941E-3</v>
      </c>
    </row>
    <row r="80" spans="1:25" x14ac:dyDescent="0.25">
      <c r="A80" s="2">
        <f t="shared" si="18"/>
        <v>77</v>
      </c>
      <c r="B80" s="58">
        <v>45254</v>
      </c>
      <c r="C80" s="59">
        <f t="shared" si="19"/>
        <v>2023</v>
      </c>
      <c r="D80" s="59">
        <f t="shared" si="20"/>
        <v>11</v>
      </c>
      <c r="E80" s="54">
        <v>17.100000000000001</v>
      </c>
      <c r="F80" s="63">
        <v>52.91</v>
      </c>
      <c r="G80" s="64">
        <v>36.75</v>
      </c>
      <c r="H80" s="64">
        <v>11.9</v>
      </c>
      <c r="I80" s="64">
        <v>224.52</v>
      </c>
      <c r="J80" s="64">
        <v>12.5</v>
      </c>
      <c r="K80" s="64">
        <v>250.64</v>
      </c>
      <c r="L80" s="64">
        <v>146.74</v>
      </c>
      <c r="M80" s="65">
        <v>235.45</v>
      </c>
      <c r="N80" s="70">
        <v>52938.42</v>
      </c>
      <c r="O80" s="70">
        <v>4559.34</v>
      </c>
      <c r="P80" s="82">
        <f t="shared" si="21"/>
        <v>2.2731577950367843E-3</v>
      </c>
      <c r="Q80" s="83">
        <f t="shared" si="22"/>
        <v>-1.9011406844106071E-3</v>
      </c>
      <c r="R80" s="83">
        <f t="shared" si="23"/>
        <v>5.0675675675675436E-3</v>
      </c>
      <c r="S80" s="83">
        <f t="shared" si="24"/>
        <v>9.486983498943502E-3</v>
      </c>
      <c r="T80" s="83">
        <f t="shared" si="25"/>
        <v>2.5430680885972112E-2</v>
      </c>
      <c r="U80" s="83">
        <f t="shared" si="26"/>
        <v>-8.034194799540928E-3</v>
      </c>
      <c r="V80" s="83">
        <f t="shared" si="27"/>
        <v>2.0448503851144828E-4</v>
      </c>
      <c r="W80" s="84">
        <f t="shared" si="28"/>
        <v>5.2943939199863177E-3</v>
      </c>
      <c r="X80" s="89">
        <f t="shared" si="29"/>
        <v>-2.28271862138274E-3</v>
      </c>
      <c r="Y80" s="89">
        <f t="shared" si="30"/>
        <v>5.9693369207880487E-4</v>
      </c>
    </row>
    <row r="81" spans="1:25" x14ac:dyDescent="0.25">
      <c r="A81" s="2">
        <f t="shared" si="18"/>
        <v>78</v>
      </c>
      <c r="B81" s="58">
        <v>45253</v>
      </c>
      <c r="C81" s="59">
        <f t="shared" si="19"/>
        <v>2023</v>
      </c>
      <c r="D81" s="59">
        <f t="shared" si="20"/>
        <v>11</v>
      </c>
      <c r="E81" s="54">
        <v>17.178999999999998</v>
      </c>
      <c r="F81" s="63">
        <v>52.79</v>
      </c>
      <c r="G81" s="64">
        <v>36.82</v>
      </c>
      <c r="H81" s="64">
        <v>11.84</v>
      </c>
      <c r="I81" s="64">
        <v>222.41</v>
      </c>
      <c r="J81" s="64">
        <v>12.19</v>
      </c>
      <c r="K81" s="64">
        <v>252.67</v>
      </c>
      <c r="L81" s="64">
        <v>146.71</v>
      </c>
      <c r="M81" s="65">
        <v>234.21</v>
      </c>
      <c r="N81" s="70">
        <v>53059.54</v>
      </c>
      <c r="O81" s="70">
        <v>4556.62</v>
      </c>
      <c r="P81" s="82">
        <f t="shared" si="21"/>
        <v>3.230710756366495E-3</v>
      </c>
      <c r="Q81" s="83">
        <f t="shared" si="22"/>
        <v>3.2697547683921968E-3</v>
      </c>
      <c r="R81" s="83">
        <f t="shared" si="23"/>
        <v>1.5437392795883298E-2</v>
      </c>
      <c r="S81" s="83">
        <f t="shared" si="24"/>
        <v>9.4403848772295351E-3</v>
      </c>
      <c r="T81" s="83">
        <f t="shared" si="25"/>
        <v>4.1880341880341954E-2</v>
      </c>
      <c r="U81" s="83">
        <f t="shared" si="26"/>
        <v>2.4157918203558726E-2</v>
      </c>
      <c r="V81" s="83">
        <f t="shared" si="27"/>
        <v>0</v>
      </c>
      <c r="W81" s="84">
        <f t="shared" si="28"/>
        <v>0</v>
      </c>
      <c r="X81" s="89">
        <f t="shared" si="29"/>
        <v>7.3956697559010021E-3</v>
      </c>
      <c r="Y81" s="89">
        <f t="shared" si="30"/>
        <v>0</v>
      </c>
    </row>
    <row r="82" spans="1:25" x14ac:dyDescent="0.25">
      <c r="A82" s="2">
        <f t="shared" si="18"/>
        <v>79</v>
      </c>
      <c r="B82" s="58">
        <v>45252</v>
      </c>
      <c r="C82" s="59">
        <f t="shared" si="19"/>
        <v>2023</v>
      </c>
      <c r="D82" s="59">
        <f t="shared" si="20"/>
        <v>11</v>
      </c>
      <c r="E82" s="54">
        <v>17.178000000000001</v>
      </c>
      <c r="F82" s="63">
        <v>52.62</v>
      </c>
      <c r="G82" s="64">
        <v>36.700000000000003</v>
      </c>
      <c r="H82" s="64">
        <v>11.66</v>
      </c>
      <c r="I82" s="64">
        <v>220.33</v>
      </c>
      <c r="J82" s="64">
        <v>11.7</v>
      </c>
      <c r="K82" s="64">
        <v>246.71</v>
      </c>
      <c r="L82" s="64">
        <v>146.71</v>
      </c>
      <c r="M82" s="65">
        <v>234.21</v>
      </c>
      <c r="N82" s="70">
        <v>52670.01</v>
      </c>
      <c r="O82" s="70">
        <v>4556.62</v>
      </c>
      <c r="P82" s="82">
        <f t="shared" si="21"/>
        <v>3.8153376573826225E-3</v>
      </c>
      <c r="Q82" s="83">
        <f t="shared" si="22"/>
        <v>1.6375545851528006E-3</v>
      </c>
      <c r="R82" s="83">
        <f t="shared" si="23"/>
        <v>-1.1026293469041493E-2</v>
      </c>
      <c r="S82" s="83">
        <f t="shared" si="24"/>
        <v>-5.0997114183572223E-2</v>
      </c>
      <c r="T82" s="83">
        <f t="shared" si="25"/>
        <v>1.0362694300518172E-2</v>
      </c>
      <c r="U82" s="83">
        <f t="shared" si="26"/>
        <v>1.260055820062389E-2</v>
      </c>
      <c r="V82" s="83">
        <f t="shared" si="27"/>
        <v>1.9527449617790182E-2</v>
      </c>
      <c r="W82" s="84">
        <f t="shared" si="28"/>
        <v>-2.8980099502487477E-2</v>
      </c>
      <c r="X82" s="89">
        <f t="shared" si="29"/>
        <v>3.1563135126673192E-3</v>
      </c>
      <c r="Y82" s="89">
        <f t="shared" si="30"/>
        <v>4.0610904347329058E-3</v>
      </c>
    </row>
    <row r="83" spans="1:25" x14ac:dyDescent="0.25">
      <c r="A83" s="2">
        <f t="shared" si="18"/>
        <v>80</v>
      </c>
      <c r="B83" s="58">
        <v>45251</v>
      </c>
      <c r="C83" s="59">
        <f t="shared" si="19"/>
        <v>2023</v>
      </c>
      <c r="D83" s="59">
        <f t="shared" si="20"/>
        <v>11</v>
      </c>
      <c r="E83" s="54">
        <v>17.181000000000001</v>
      </c>
      <c r="F83" s="63">
        <v>52.42</v>
      </c>
      <c r="G83" s="64">
        <v>36.64</v>
      </c>
      <c r="H83" s="64">
        <v>11.79</v>
      </c>
      <c r="I83" s="64">
        <v>232.17</v>
      </c>
      <c r="J83" s="64">
        <v>11.58</v>
      </c>
      <c r="K83" s="64">
        <v>243.64</v>
      </c>
      <c r="L83" s="64">
        <v>143.9</v>
      </c>
      <c r="M83" s="65">
        <v>241.2</v>
      </c>
      <c r="N83" s="70">
        <v>52504.29</v>
      </c>
      <c r="O83" s="70">
        <v>4538.1899999999996</v>
      </c>
      <c r="P83" s="82">
        <f t="shared" si="21"/>
        <v>-4.1793313069908855E-3</v>
      </c>
      <c r="Q83" s="83">
        <f t="shared" si="22"/>
        <v>-5.1588379038826071E-3</v>
      </c>
      <c r="R83" s="83">
        <f t="shared" si="23"/>
        <v>-2.2388059701492602E-2</v>
      </c>
      <c r="S83" s="83">
        <f t="shared" si="24"/>
        <v>-4.0324310411394837E-3</v>
      </c>
      <c r="T83" s="83">
        <f t="shared" si="25"/>
        <v>-1.1945392491467643E-2</v>
      </c>
      <c r="U83" s="83">
        <f t="shared" si="26"/>
        <v>-3.5581366815263804E-3</v>
      </c>
      <c r="V83" s="83">
        <f t="shared" si="27"/>
        <v>-8.816641410662629E-3</v>
      </c>
      <c r="W83" s="84">
        <f t="shared" si="28"/>
        <v>2.9449423815620879E-2</v>
      </c>
      <c r="X83" s="89">
        <f t="shared" si="29"/>
        <v>-3.4319001007874217E-3</v>
      </c>
      <c r="Y83" s="89">
        <f t="shared" si="30"/>
        <v>5.3544290898133173E-3</v>
      </c>
    </row>
    <row r="84" spans="1:25" x14ac:dyDescent="0.25">
      <c r="A84" s="2">
        <f t="shared" si="18"/>
        <v>81</v>
      </c>
      <c r="B84" s="58">
        <v>45247</v>
      </c>
      <c r="C84" s="59">
        <f t="shared" si="19"/>
        <v>2023</v>
      </c>
      <c r="D84" s="59">
        <f t="shared" si="20"/>
        <v>11</v>
      </c>
      <c r="E84" s="54">
        <v>17.206</v>
      </c>
      <c r="F84" s="63">
        <v>52.64</v>
      </c>
      <c r="G84" s="64">
        <v>36.83</v>
      </c>
      <c r="H84" s="64">
        <v>12.06</v>
      </c>
      <c r="I84" s="64">
        <v>233.11</v>
      </c>
      <c r="J84" s="64">
        <v>11.72</v>
      </c>
      <c r="K84" s="64">
        <v>244.51</v>
      </c>
      <c r="L84" s="64">
        <v>145.18</v>
      </c>
      <c r="M84" s="65">
        <v>234.3</v>
      </c>
      <c r="N84" s="70">
        <v>52685.1</v>
      </c>
      <c r="O84" s="70">
        <v>4514.0200000000004</v>
      </c>
      <c r="P84" s="82">
        <f t="shared" si="21"/>
        <v>5.1556234485392594E-3</v>
      </c>
      <c r="Q84" s="83">
        <f t="shared" si="22"/>
        <v>8.1521739130430149E-4</v>
      </c>
      <c r="R84" s="83">
        <f t="shared" si="23"/>
        <v>1.3445378151260456E-2</v>
      </c>
      <c r="S84" s="83">
        <f t="shared" si="24"/>
        <v>1.74144553072626E-2</v>
      </c>
      <c r="T84" s="83">
        <f t="shared" si="25"/>
        <v>1.736111111111116E-2</v>
      </c>
      <c r="U84" s="83">
        <f t="shared" si="26"/>
        <v>4.4066783381015329E-2</v>
      </c>
      <c r="V84" s="83">
        <f t="shared" si="27"/>
        <v>1.6453126093957771E-2</v>
      </c>
      <c r="W84" s="84">
        <f t="shared" si="28"/>
        <v>3.0395136778116338E-3</v>
      </c>
      <c r="X84" s="89">
        <f t="shared" si="29"/>
        <v>4.1117330190418855E-3</v>
      </c>
      <c r="Y84" s="89">
        <f t="shared" si="30"/>
        <v>1.2820967827800178E-3</v>
      </c>
    </row>
    <row r="85" spans="1:25" x14ac:dyDescent="0.25">
      <c r="A85" s="2">
        <f t="shared" si="18"/>
        <v>82</v>
      </c>
      <c r="B85" s="58">
        <v>45246</v>
      </c>
      <c r="C85" s="59">
        <f t="shared" si="19"/>
        <v>2023</v>
      </c>
      <c r="D85" s="59">
        <f t="shared" si="20"/>
        <v>11</v>
      </c>
      <c r="E85" s="54">
        <v>17.223600000000001</v>
      </c>
      <c r="F85" s="63">
        <v>52.37</v>
      </c>
      <c r="G85" s="64">
        <v>36.799999999999997</v>
      </c>
      <c r="H85" s="64">
        <v>11.9</v>
      </c>
      <c r="I85" s="64">
        <v>229.12</v>
      </c>
      <c r="J85" s="64">
        <v>11.52</v>
      </c>
      <c r="K85" s="64">
        <v>234.19</v>
      </c>
      <c r="L85" s="64">
        <v>142.83000000000001</v>
      </c>
      <c r="M85" s="65">
        <v>233.59</v>
      </c>
      <c r="N85" s="70">
        <v>52469.36</v>
      </c>
      <c r="O85" s="70">
        <v>4508.24</v>
      </c>
      <c r="P85" s="82">
        <f t="shared" si="21"/>
        <v>-6.2618595825427725E-3</v>
      </c>
      <c r="Q85" s="83">
        <f t="shared" si="22"/>
        <v>-2.9802221620156555E-3</v>
      </c>
      <c r="R85" s="83">
        <f t="shared" si="23"/>
        <v>-2.3789991796554499E-2</v>
      </c>
      <c r="S85" s="83">
        <f t="shared" si="24"/>
        <v>-2.4938292620648506E-2</v>
      </c>
      <c r="T85" s="83">
        <f t="shared" si="25"/>
        <v>4.3591979075849885E-3</v>
      </c>
      <c r="U85" s="83">
        <f t="shared" si="26"/>
        <v>2.0391268354320147E-2</v>
      </c>
      <c r="V85" s="83">
        <f t="shared" si="27"/>
        <v>-2.5837988826813429E-3</v>
      </c>
      <c r="W85" s="84">
        <f t="shared" si="28"/>
        <v>-3.8090924065228182E-2</v>
      </c>
      <c r="X85" s="89">
        <f t="shared" si="29"/>
        <v>-6.1956793702306889E-3</v>
      </c>
      <c r="Y85" s="89">
        <f t="shared" si="30"/>
        <v>1.1903492875668942E-3</v>
      </c>
    </row>
    <row r="86" spans="1:25" x14ac:dyDescent="0.25">
      <c r="A86" s="2">
        <f t="shared" si="18"/>
        <v>83</v>
      </c>
      <c r="B86" s="58">
        <v>45245</v>
      </c>
      <c r="C86" s="59">
        <f t="shared" si="19"/>
        <v>2023</v>
      </c>
      <c r="D86" s="59">
        <f t="shared" si="20"/>
        <v>11</v>
      </c>
      <c r="E86" s="54">
        <v>17.294699999999999</v>
      </c>
      <c r="F86" s="63">
        <v>52.7</v>
      </c>
      <c r="G86" s="64">
        <v>36.909999999999997</v>
      </c>
      <c r="H86" s="64">
        <v>12.19</v>
      </c>
      <c r="I86" s="64">
        <v>234.98</v>
      </c>
      <c r="J86" s="64">
        <v>11.47</v>
      </c>
      <c r="K86" s="64">
        <v>229.51</v>
      </c>
      <c r="L86" s="64">
        <v>143.19999999999999</v>
      </c>
      <c r="M86" s="65">
        <v>242.84</v>
      </c>
      <c r="N86" s="70">
        <v>52796.47</v>
      </c>
      <c r="O86" s="70">
        <v>4502.88</v>
      </c>
      <c r="P86" s="82">
        <f t="shared" si="21"/>
        <v>5.1497234407782422E-3</v>
      </c>
      <c r="Q86" s="83">
        <f t="shared" si="22"/>
        <v>-8.0623488309595759E-3</v>
      </c>
      <c r="R86" s="83">
        <f t="shared" si="23"/>
        <v>-1.2955465587044523E-2</v>
      </c>
      <c r="S86" s="83">
        <f t="shared" si="24"/>
        <v>3.3696991025866652E-2</v>
      </c>
      <c r="T86" s="83">
        <f t="shared" si="25"/>
        <v>1.2356575463371655E-2</v>
      </c>
      <c r="U86" s="83">
        <f t="shared" si="26"/>
        <v>1.5665796344647376E-2</v>
      </c>
      <c r="V86" s="83">
        <f t="shared" si="27"/>
        <v>-1.7832647462277196E-2</v>
      </c>
      <c r="W86" s="84">
        <f t="shared" si="28"/>
        <v>2.2871825112674271E-2</v>
      </c>
      <c r="X86" s="89">
        <f t="shared" si="29"/>
        <v>5.4293003591412425E-3</v>
      </c>
      <c r="Y86" s="89">
        <f t="shared" si="30"/>
        <v>1.597081655804411E-3</v>
      </c>
    </row>
    <row r="87" spans="1:25" x14ac:dyDescent="0.25">
      <c r="A87" s="2">
        <f t="shared" si="18"/>
        <v>84</v>
      </c>
      <c r="B87" s="58">
        <v>45244</v>
      </c>
      <c r="C87" s="59">
        <f t="shared" si="19"/>
        <v>2023</v>
      </c>
      <c r="D87" s="59">
        <f t="shared" si="20"/>
        <v>11</v>
      </c>
      <c r="E87" s="54">
        <v>17.338999999999999</v>
      </c>
      <c r="F87" s="63">
        <v>52.43</v>
      </c>
      <c r="G87" s="64">
        <v>37.21</v>
      </c>
      <c r="H87" s="64">
        <v>12.35</v>
      </c>
      <c r="I87" s="64">
        <v>227.32</v>
      </c>
      <c r="J87" s="64">
        <v>11.33</v>
      </c>
      <c r="K87" s="64">
        <v>225.97</v>
      </c>
      <c r="L87" s="64">
        <v>145.80000000000001</v>
      </c>
      <c r="M87" s="65">
        <v>237.41</v>
      </c>
      <c r="N87" s="70">
        <v>52511.37</v>
      </c>
      <c r="O87" s="70">
        <v>4495.7</v>
      </c>
      <c r="P87" s="82">
        <f t="shared" si="21"/>
        <v>2.7837678886492911E-2</v>
      </c>
      <c r="Q87" s="83">
        <f t="shared" si="22"/>
        <v>6.4917500676224815E-3</v>
      </c>
      <c r="R87" s="83">
        <f t="shared" si="23"/>
        <v>1.9818331957060398E-2</v>
      </c>
      <c r="S87" s="83">
        <f t="shared" si="24"/>
        <v>4.5726377771644122E-2</v>
      </c>
      <c r="T87" s="83">
        <f t="shared" si="25"/>
        <v>5.4934823091247642E-2</v>
      </c>
      <c r="U87" s="83">
        <f t="shared" si="26"/>
        <v>1.0102364668544084E-2</v>
      </c>
      <c r="V87" s="83">
        <f t="shared" si="27"/>
        <v>2.2512097622554128E-2</v>
      </c>
      <c r="W87" s="84">
        <f t="shared" si="28"/>
        <v>6.1239998211970903E-2</v>
      </c>
      <c r="X87" s="89">
        <f t="shared" si="29"/>
        <v>2.7802597370060633E-2</v>
      </c>
      <c r="Y87" s="89">
        <f t="shared" si="30"/>
        <v>1.9074928313177919E-2</v>
      </c>
    </row>
    <row r="88" spans="1:25" x14ac:dyDescent="0.25">
      <c r="A88" s="2">
        <f t="shared" si="18"/>
        <v>85</v>
      </c>
      <c r="B88" s="58">
        <v>45243</v>
      </c>
      <c r="C88" s="59">
        <f t="shared" si="19"/>
        <v>2023</v>
      </c>
      <c r="D88" s="59">
        <f t="shared" si="20"/>
        <v>11</v>
      </c>
      <c r="E88" s="54">
        <v>17.596</v>
      </c>
      <c r="F88" s="63">
        <v>51.01</v>
      </c>
      <c r="G88" s="64">
        <v>36.97</v>
      </c>
      <c r="H88" s="64">
        <v>12.11</v>
      </c>
      <c r="I88" s="64">
        <v>217.38</v>
      </c>
      <c r="J88" s="64">
        <v>10.74</v>
      </c>
      <c r="K88" s="64">
        <v>223.71</v>
      </c>
      <c r="L88" s="64">
        <v>142.59</v>
      </c>
      <c r="M88" s="65">
        <v>223.71</v>
      </c>
      <c r="N88" s="70">
        <v>51090.91</v>
      </c>
      <c r="O88" s="70">
        <v>4411.55</v>
      </c>
      <c r="P88" s="82">
        <f t="shared" si="21"/>
        <v>-3.5163117796445098E-3</v>
      </c>
      <c r="Q88" s="83">
        <f t="shared" si="22"/>
        <v>5.4127198917441888E-4</v>
      </c>
      <c r="R88" s="83">
        <f t="shared" si="23"/>
        <v>-1.2234910277324706E-2</v>
      </c>
      <c r="S88" s="83">
        <f t="shared" si="24"/>
        <v>-7.5785244704162924E-3</v>
      </c>
      <c r="T88" s="83">
        <f t="shared" si="25"/>
        <v>-3.7634408602150504E-2</v>
      </c>
      <c r="U88" s="83">
        <f t="shared" si="26"/>
        <v>-5.8077197998573915E-4</v>
      </c>
      <c r="V88" s="83">
        <f t="shared" si="27"/>
        <v>-6.7567567567567988E-3</v>
      </c>
      <c r="W88" s="84">
        <f t="shared" si="28"/>
        <v>4.2208245981830927E-2</v>
      </c>
      <c r="X88" s="89">
        <f t="shared" si="29"/>
        <v>-3.2644507497719966E-3</v>
      </c>
      <c r="Y88" s="89">
        <f t="shared" si="30"/>
        <v>-8.3574165843747217E-4</v>
      </c>
    </row>
    <row r="89" spans="1:25" x14ac:dyDescent="0.25">
      <c r="A89" s="2">
        <f t="shared" si="18"/>
        <v>86</v>
      </c>
      <c r="B89" s="58">
        <v>45240</v>
      </c>
      <c r="C89" s="59">
        <f t="shared" si="19"/>
        <v>2023</v>
      </c>
      <c r="D89" s="59">
        <f t="shared" si="20"/>
        <v>11</v>
      </c>
      <c r="E89" s="54">
        <v>17.632000000000001</v>
      </c>
      <c r="F89" s="63">
        <v>51.19</v>
      </c>
      <c r="G89" s="64">
        <v>36.950000000000003</v>
      </c>
      <c r="H89" s="64">
        <v>12.26</v>
      </c>
      <c r="I89" s="64">
        <v>219.04</v>
      </c>
      <c r="J89" s="64">
        <v>11.16</v>
      </c>
      <c r="K89" s="64">
        <v>223.84</v>
      </c>
      <c r="L89" s="64">
        <v>143.56</v>
      </c>
      <c r="M89" s="65">
        <v>214.65</v>
      </c>
      <c r="N89" s="70">
        <v>51258.239999999998</v>
      </c>
      <c r="O89" s="70">
        <v>4415.24</v>
      </c>
      <c r="P89" s="82">
        <f t="shared" si="21"/>
        <v>3.922337713277102E-3</v>
      </c>
      <c r="Q89" s="83">
        <f t="shared" si="22"/>
        <v>2.7070925825678493E-4</v>
      </c>
      <c r="R89" s="83">
        <f t="shared" si="23"/>
        <v>-3.2520325203252431E-3</v>
      </c>
      <c r="S89" s="83">
        <f t="shared" si="24"/>
        <v>-1.4664867296446338E-2</v>
      </c>
      <c r="T89" s="83">
        <f t="shared" si="25"/>
        <v>-9.7604259094942192E-3</v>
      </c>
      <c r="U89" s="83">
        <f t="shared" si="26"/>
        <v>-1.3399153737658653E-2</v>
      </c>
      <c r="V89" s="83">
        <f t="shared" si="27"/>
        <v>2.1052631578947434E-2</v>
      </c>
      <c r="W89" s="84">
        <f t="shared" si="28"/>
        <v>2.2240213353652782E-2</v>
      </c>
      <c r="X89" s="89">
        <f t="shared" si="29"/>
        <v>3.6656789573266124E-3</v>
      </c>
      <c r="Y89" s="89">
        <f t="shared" si="30"/>
        <v>1.5616409996894509E-2</v>
      </c>
    </row>
    <row r="90" spans="1:25" x14ac:dyDescent="0.25">
      <c r="A90" s="2">
        <f t="shared" si="18"/>
        <v>87</v>
      </c>
      <c r="B90" s="58">
        <v>45239</v>
      </c>
      <c r="C90" s="59">
        <f t="shared" si="19"/>
        <v>2023</v>
      </c>
      <c r="D90" s="59">
        <f t="shared" si="20"/>
        <v>11</v>
      </c>
      <c r="E90" s="54">
        <v>17.808</v>
      </c>
      <c r="F90" s="63">
        <v>50.99</v>
      </c>
      <c r="G90" s="64">
        <v>36.94</v>
      </c>
      <c r="H90" s="64">
        <v>12.3</v>
      </c>
      <c r="I90" s="64">
        <v>222.3</v>
      </c>
      <c r="J90" s="64">
        <v>11.27</v>
      </c>
      <c r="K90" s="64">
        <v>226.88</v>
      </c>
      <c r="L90" s="64">
        <v>140.6</v>
      </c>
      <c r="M90" s="65">
        <v>209.98</v>
      </c>
      <c r="N90" s="70">
        <v>51071.03</v>
      </c>
      <c r="O90" s="70">
        <v>4347.3500000000004</v>
      </c>
      <c r="P90" s="82">
        <f t="shared" si="21"/>
        <v>2.753195673549591E-3</v>
      </c>
      <c r="Q90" s="83">
        <f t="shared" si="22"/>
        <v>-1.3517166801839675E-3</v>
      </c>
      <c r="R90" s="83">
        <f t="shared" si="23"/>
        <v>1.0682004930156141E-2</v>
      </c>
      <c r="S90" s="83">
        <f t="shared" si="24"/>
        <v>-2.5854513584574801E-2</v>
      </c>
      <c r="T90" s="83">
        <f t="shared" si="25"/>
        <v>-4.9747048903878599E-2</v>
      </c>
      <c r="U90" s="83">
        <f t="shared" si="26"/>
        <v>2.8288543140027045E-3</v>
      </c>
      <c r="V90" s="83">
        <f t="shared" si="27"/>
        <v>-1.0416666666666741E-2</v>
      </c>
      <c r="W90" s="84">
        <f t="shared" si="28"/>
        <v>-5.4612579352573132E-2</v>
      </c>
      <c r="X90" s="89">
        <f t="shared" si="29"/>
        <v>1.0727943814035079E-3</v>
      </c>
      <c r="Y90" s="89">
        <f t="shared" si="30"/>
        <v>-8.0839102122395312E-3</v>
      </c>
    </row>
    <row r="91" spans="1:25" x14ac:dyDescent="0.25">
      <c r="A91" s="2">
        <f t="shared" si="18"/>
        <v>88</v>
      </c>
      <c r="B91" s="58">
        <v>45238</v>
      </c>
      <c r="C91" s="59">
        <f t="shared" si="19"/>
        <v>2023</v>
      </c>
      <c r="D91" s="59">
        <f t="shared" si="20"/>
        <v>11</v>
      </c>
      <c r="E91" s="54">
        <v>17.533300000000001</v>
      </c>
      <c r="F91" s="63">
        <v>50.85</v>
      </c>
      <c r="G91" s="64">
        <v>36.99</v>
      </c>
      <c r="H91" s="64">
        <v>12.17</v>
      </c>
      <c r="I91" s="64">
        <v>228.2</v>
      </c>
      <c r="J91" s="64">
        <v>11.86</v>
      </c>
      <c r="K91" s="64">
        <v>226.24</v>
      </c>
      <c r="L91" s="64">
        <v>142.08000000000001</v>
      </c>
      <c r="M91" s="65">
        <v>222.11</v>
      </c>
      <c r="N91" s="70">
        <v>51016.3</v>
      </c>
      <c r="O91" s="70">
        <v>4382.78</v>
      </c>
      <c r="P91" s="82">
        <f t="shared" si="21"/>
        <v>-3.9177277179235359E-3</v>
      </c>
      <c r="Q91" s="83">
        <f t="shared" si="22"/>
        <v>8.7264794109627175E-3</v>
      </c>
      <c r="R91" s="83">
        <f t="shared" si="23"/>
        <v>1.6708437761069339E-2</v>
      </c>
      <c r="S91" s="83">
        <f t="shared" si="24"/>
        <v>2.2035112862773154E-2</v>
      </c>
      <c r="T91" s="83">
        <f t="shared" si="25"/>
        <v>3.3840947546530664E-3</v>
      </c>
      <c r="U91" s="83">
        <f t="shared" si="26"/>
        <v>-8.8929776142288031E-3</v>
      </c>
      <c r="V91" s="83">
        <f t="shared" si="27"/>
        <v>-4.4145469833928308E-3</v>
      </c>
      <c r="W91" s="84">
        <f t="shared" si="28"/>
        <v>-3.1505986137358999E-4</v>
      </c>
      <c r="X91" s="89">
        <f t="shared" si="29"/>
        <v>-3.7795463177493493E-3</v>
      </c>
      <c r="Y91" s="89">
        <f t="shared" si="30"/>
        <v>1.0049378994057001E-3</v>
      </c>
    </row>
    <row r="92" spans="1:25" x14ac:dyDescent="0.25">
      <c r="A92" s="2">
        <f t="shared" si="18"/>
        <v>89</v>
      </c>
      <c r="B92" s="58">
        <v>45237</v>
      </c>
      <c r="C92" s="59">
        <f t="shared" si="19"/>
        <v>2023</v>
      </c>
      <c r="D92" s="59">
        <f t="shared" si="20"/>
        <v>11</v>
      </c>
      <c r="E92" s="54">
        <v>17.472000000000001</v>
      </c>
      <c r="F92" s="63">
        <v>51.05</v>
      </c>
      <c r="G92" s="64">
        <v>36.67</v>
      </c>
      <c r="H92" s="64">
        <v>11.97</v>
      </c>
      <c r="I92" s="64">
        <v>223.28</v>
      </c>
      <c r="J92" s="64">
        <v>11.82</v>
      </c>
      <c r="K92" s="64">
        <v>228.27</v>
      </c>
      <c r="L92" s="64">
        <v>142.71</v>
      </c>
      <c r="M92" s="65">
        <v>222.18</v>
      </c>
      <c r="N92" s="70">
        <v>51209.85</v>
      </c>
      <c r="O92" s="70">
        <v>4378.38</v>
      </c>
      <c r="P92" s="82">
        <f t="shared" si="21"/>
        <v>-8.7378640776699656E-3</v>
      </c>
      <c r="Q92" s="83">
        <f t="shared" si="22"/>
        <v>-1.1590296495956887E-2</v>
      </c>
      <c r="R92" s="83">
        <f t="shared" si="23"/>
        <v>1.0126582278481067E-2</v>
      </c>
      <c r="S92" s="83">
        <f t="shared" si="24"/>
        <v>-2.2587988093153544E-2</v>
      </c>
      <c r="T92" s="83">
        <f t="shared" si="25"/>
        <v>6.9683257918552011E-2</v>
      </c>
      <c r="U92" s="83">
        <f t="shared" si="26"/>
        <v>-1.7009732150546797E-2</v>
      </c>
      <c r="V92" s="83">
        <f t="shared" si="27"/>
        <v>2.1253756977243521E-2</v>
      </c>
      <c r="W92" s="84">
        <f t="shared" si="28"/>
        <v>1.3271309344643489E-2</v>
      </c>
      <c r="X92" s="89">
        <f t="shared" si="29"/>
        <v>-8.2074415453649019E-3</v>
      </c>
      <c r="Y92" s="89">
        <f t="shared" si="30"/>
        <v>2.8401412741241305E-3</v>
      </c>
    </row>
    <row r="93" spans="1:25" x14ac:dyDescent="0.25">
      <c r="A93" s="2">
        <f t="shared" si="18"/>
        <v>90</v>
      </c>
      <c r="B93" s="58">
        <v>45236</v>
      </c>
      <c r="C93" s="59">
        <f t="shared" si="19"/>
        <v>2023</v>
      </c>
      <c r="D93" s="59">
        <f t="shared" si="20"/>
        <v>11</v>
      </c>
      <c r="E93" s="54">
        <v>17.543099999999999</v>
      </c>
      <c r="F93" s="63">
        <v>51.5</v>
      </c>
      <c r="G93" s="64">
        <v>37.1</v>
      </c>
      <c r="H93" s="64">
        <v>11.85</v>
      </c>
      <c r="I93" s="64">
        <v>228.44</v>
      </c>
      <c r="J93" s="64">
        <v>11.05</v>
      </c>
      <c r="K93" s="64">
        <v>232.22</v>
      </c>
      <c r="L93" s="64">
        <v>139.74</v>
      </c>
      <c r="M93" s="65">
        <v>219.27</v>
      </c>
      <c r="N93" s="70">
        <v>51633.63</v>
      </c>
      <c r="O93" s="70">
        <v>4365.9799999999996</v>
      </c>
      <c r="P93" s="82">
        <f t="shared" si="21"/>
        <v>7.0394994133751165E-3</v>
      </c>
      <c r="Q93" s="83">
        <f t="shared" si="22"/>
        <v>9.52380952380949E-3</v>
      </c>
      <c r="R93" s="83">
        <f t="shared" si="23"/>
        <v>1.2820512820512775E-2</v>
      </c>
      <c r="S93" s="83">
        <f t="shared" si="24"/>
        <v>4.996093211380237E-2</v>
      </c>
      <c r="T93" s="83">
        <f t="shared" si="25"/>
        <v>-3.3245844269466196E-2</v>
      </c>
      <c r="U93" s="83">
        <f t="shared" si="26"/>
        <v>3.5402175851614093E-2</v>
      </c>
      <c r="V93" s="83">
        <f t="shared" si="27"/>
        <v>8.2251082251083574E-3</v>
      </c>
      <c r="W93" s="84">
        <f t="shared" si="28"/>
        <v>-3.1369339879978586E-3</v>
      </c>
      <c r="X93" s="89">
        <f t="shared" si="29"/>
        <v>7.1566881679403505E-3</v>
      </c>
      <c r="Y93" s="89">
        <f t="shared" si="30"/>
        <v>1.7529609897344312E-3</v>
      </c>
    </row>
    <row r="94" spans="1:25" x14ac:dyDescent="0.25">
      <c r="A94" s="2">
        <f t="shared" si="18"/>
        <v>91</v>
      </c>
      <c r="B94" s="58">
        <v>45233</v>
      </c>
      <c r="C94" s="59">
        <f t="shared" si="19"/>
        <v>2023</v>
      </c>
      <c r="D94" s="59">
        <f t="shared" si="20"/>
        <v>11</v>
      </c>
      <c r="E94" s="54">
        <v>17.449000000000002</v>
      </c>
      <c r="F94" s="63">
        <v>51.14</v>
      </c>
      <c r="G94" s="64">
        <v>36.75</v>
      </c>
      <c r="H94" s="64">
        <v>11.7</v>
      </c>
      <c r="I94" s="64">
        <v>217.57</v>
      </c>
      <c r="J94" s="64">
        <v>11.43</v>
      </c>
      <c r="K94" s="64">
        <v>224.28</v>
      </c>
      <c r="L94" s="64">
        <v>138.6</v>
      </c>
      <c r="M94" s="65">
        <v>219.96</v>
      </c>
      <c r="N94" s="70">
        <v>51266.73</v>
      </c>
      <c r="O94" s="70">
        <v>4358.34</v>
      </c>
      <c r="P94" s="82">
        <f t="shared" si="21"/>
        <v>3.1464300121016642E-2</v>
      </c>
      <c r="Q94" s="83">
        <f t="shared" si="22"/>
        <v>1.6597510373443924E-2</v>
      </c>
      <c r="R94" s="83">
        <f t="shared" si="23"/>
        <v>6.8493150684931559E-2</v>
      </c>
      <c r="S94" s="83">
        <f t="shared" si="24"/>
        <v>8.5191281360666338E-2</v>
      </c>
      <c r="T94" s="83">
        <f t="shared" si="25"/>
        <v>0.11295034079844202</v>
      </c>
      <c r="U94" s="83">
        <f t="shared" si="26"/>
        <v>5.5882491408125734E-2</v>
      </c>
      <c r="V94" s="83">
        <f t="shared" si="27"/>
        <v>1.1678832116788218E-2</v>
      </c>
      <c r="W94" s="84">
        <f t="shared" si="28"/>
        <v>6.9532237673830544E-2</v>
      </c>
      <c r="X94" s="89">
        <f t="shared" si="29"/>
        <v>2.9703839331049586E-2</v>
      </c>
      <c r="Y94" s="89">
        <f t="shared" si="30"/>
        <v>2.8429443162350854E-2</v>
      </c>
    </row>
    <row r="95" spans="1:25" x14ac:dyDescent="0.25">
      <c r="A95" s="2">
        <f t="shared" si="18"/>
        <v>92</v>
      </c>
      <c r="B95" s="58">
        <v>45231</v>
      </c>
      <c r="C95" s="59">
        <f t="shared" si="19"/>
        <v>2023</v>
      </c>
      <c r="D95" s="59">
        <f t="shared" si="20"/>
        <v>11</v>
      </c>
      <c r="E95" s="54">
        <v>17.764700000000001</v>
      </c>
      <c r="F95" s="63">
        <v>49.58</v>
      </c>
      <c r="G95" s="64">
        <v>36.15</v>
      </c>
      <c r="H95" s="64">
        <v>10.95</v>
      </c>
      <c r="I95" s="64">
        <v>200.49</v>
      </c>
      <c r="J95" s="64">
        <v>10.27</v>
      </c>
      <c r="K95" s="64">
        <v>212.41</v>
      </c>
      <c r="L95" s="64">
        <v>137</v>
      </c>
      <c r="M95" s="65">
        <v>205.66</v>
      </c>
      <c r="N95" s="70">
        <v>49787.839999999997</v>
      </c>
      <c r="O95" s="70">
        <v>4237.8599999999997</v>
      </c>
      <c r="P95" s="82">
        <f t="shared" si="21"/>
        <v>1.4735980352026168E-2</v>
      </c>
      <c r="Q95" s="83">
        <f t="shared" si="22"/>
        <v>5.5632823365785455E-3</v>
      </c>
      <c r="R95" s="83">
        <f t="shared" si="23"/>
        <v>1.1080332409972193E-2</v>
      </c>
      <c r="S95" s="83">
        <f t="shared" si="24"/>
        <v>-3.875391265464323E-3</v>
      </c>
      <c r="T95" s="83">
        <f t="shared" si="25"/>
        <v>-9.7276264591439343E-4</v>
      </c>
      <c r="U95" s="83">
        <f t="shared" si="26"/>
        <v>9.9852598545004945E-3</v>
      </c>
      <c r="V95" s="83">
        <f t="shared" si="27"/>
        <v>2.93786159741527E-2</v>
      </c>
      <c r="W95" s="84">
        <f t="shared" si="28"/>
        <v>2.3999203345947073E-2</v>
      </c>
      <c r="X95" s="89">
        <f t="shared" si="29"/>
        <v>1.4796823929290825E-2</v>
      </c>
      <c r="Y95" s="89">
        <f t="shared" si="30"/>
        <v>1.0505985025513809E-2</v>
      </c>
    </row>
    <row r="96" spans="1:25" x14ac:dyDescent="0.25">
      <c r="A96" s="2">
        <f t="shared" si="18"/>
        <v>93</v>
      </c>
      <c r="B96" s="58">
        <v>45230</v>
      </c>
      <c r="C96" s="59">
        <f t="shared" si="19"/>
        <v>2023</v>
      </c>
      <c r="D96" s="59">
        <f t="shared" si="20"/>
        <v>10</v>
      </c>
      <c r="E96" s="54">
        <v>18.036999999999999</v>
      </c>
      <c r="F96" s="63">
        <v>48.86</v>
      </c>
      <c r="G96" s="64">
        <v>35.950000000000003</v>
      </c>
      <c r="H96" s="64">
        <v>10.83</v>
      </c>
      <c r="I96" s="64">
        <v>201.27</v>
      </c>
      <c r="J96" s="64">
        <v>10.28</v>
      </c>
      <c r="K96" s="64">
        <v>210.31</v>
      </c>
      <c r="L96" s="64">
        <v>133.09</v>
      </c>
      <c r="M96" s="65">
        <v>200.84</v>
      </c>
      <c r="N96" s="70">
        <v>49061.88</v>
      </c>
      <c r="O96" s="70">
        <v>4193.8</v>
      </c>
      <c r="P96" s="82">
        <f t="shared" si="21"/>
        <v>-3.4672649398327371E-3</v>
      </c>
      <c r="Q96" s="83">
        <f t="shared" si="22"/>
        <v>-1.1114198388441077E-3</v>
      </c>
      <c r="R96" s="83">
        <f t="shared" si="23"/>
        <v>7.4418604651163012E-3</v>
      </c>
      <c r="S96" s="83">
        <f t="shared" si="24"/>
        <v>-1.8195121951219417E-2</v>
      </c>
      <c r="T96" s="83">
        <f t="shared" si="25"/>
        <v>-6.375227686703111E-2</v>
      </c>
      <c r="U96" s="83">
        <f t="shared" si="26"/>
        <v>2.60025368328618E-2</v>
      </c>
      <c r="V96" s="83">
        <f t="shared" si="27"/>
        <v>2.8633863310978391E-3</v>
      </c>
      <c r="W96" s="84">
        <f t="shared" si="28"/>
        <v>1.7632752330765999E-2</v>
      </c>
      <c r="X96" s="89">
        <f t="shared" si="29"/>
        <v>-4.3727991921646003E-3</v>
      </c>
      <c r="Y96" s="89">
        <f t="shared" si="30"/>
        <v>6.4749617214088229E-3</v>
      </c>
    </row>
    <row r="97" spans="1:25" x14ac:dyDescent="0.25">
      <c r="A97" s="2">
        <f t="shared" si="18"/>
        <v>94</v>
      </c>
      <c r="B97" s="58">
        <v>45229</v>
      </c>
      <c r="C97" s="59">
        <f t="shared" si="19"/>
        <v>2023</v>
      </c>
      <c r="D97" s="59">
        <f t="shared" si="20"/>
        <v>10</v>
      </c>
      <c r="E97" s="54">
        <v>18.044899999999998</v>
      </c>
      <c r="F97" s="63">
        <v>49.03</v>
      </c>
      <c r="G97" s="64">
        <v>35.99</v>
      </c>
      <c r="H97" s="64">
        <v>10.75</v>
      </c>
      <c r="I97" s="64">
        <v>205</v>
      </c>
      <c r="J97" s="64">
        <v>10.98</v>
      </c>
      <c r="K97" s="64">
        <v>204.98</v>
      </c>
      <c r="L97" s="64">
        <v>132.71</v>
      </c>
      <c r="M97" s="65">
        <v>197.36</v>
      </c>
      <c r="N97" s="70">
        <v>49277.36</v>
      </c>
      <c r="O97" s="70">
        <v>4166.82</v>
      </c>
      <c r="P97" s="82">
        <f t="shared" si="21"/>
        <v>5.7435897435897942E-3</v>
      </c>
      <c r="Q97" s="83">
        <f t="shared" si="22"/>
        <v>8.1232492997198591E-3</v>
      </c>
      <c r="R97" s="83">
        <f t="shared" si="23"/>
        <v>-2.7829313543599188E-3</v>
      </c>
      <c r="S97" s="83">
        <f t="shared" si="24"/>
        <v>8.5604644297943011E-3</v>
      </c>
      <c r="T97" s="83">
        <f t="shared" si="25"/>
        <v>1.9498607242339983E-2</v>
      </c>
      <c r="U97" s="83">
        <f t="shared" si="26"/>
        <v>4.6243364638627993E-2</v>
      </c>
      <c r="V97" s="83">
        <f t="shared" si="27"/>
        <v>3.8907155158916629E-2</v>
      </c>
      <c r="W97" s="84">
        <f t="shared" si="28"/>
        <v>-4.7949831162566348E-2</v>
      </c>
      <c r="X97" s="89">
        <f t="shared" si="29"/>
        <v>6.1973890147497546E-3</v>
      </c>
      <c r="Y97" s="89">
        <f t="shared" si="30"/>
        <v>1.2010093822027113E-2</v>
      </c>
    </row>
    <row r="98" spans="1:25" x14ac:dyDescent="0.25">
      <c r="A98" s="2">
        <f t="shared" si="18"/>
        <v>95</v>
      </c>
      <c r="B98" s="58">
        <v>45226</v>
      </c>
      <c r="C98" s="59">
        <f t="shared" si="19"/>
        <v>2023</v>
      </c>
      <c r="D98" s="59">
        <f t="shared" si="20"/>
        <v>10</v>
      </c>
      <c r="E98" s="54">
        <v>18.113</v>
      </c>
      <c r="F98" s="63">
        <v>48.75</v>
      </c>
      <c r="G98" s="64">
        <v>35.700000000000003</v>
      </c>
      <c r="H98" s="64">
        <v>10.78</v>
      </c>
      <c r="I98" s="64">
        <v>203.26</v>
      </c>
      <c r="J98" s="64">
        <v>10.77</v>
      </c>
      <c r="K98" s="64">
        <v>195.92</v>
      </c>
      <c r="L98" s="64">
        <v>127.74</v>
      </c>
      <c r="M98" s="65">
        <v>207.3</v>
      </c>
      <c r="N98" s="70">
        <v>48973.85</v>
      </c>
      <c r="O98" s="70">
        <v>4117.37</v>
      </c>
      <c r="P98" s="82">
        <f t="shared" si="21"/>
        <v>-9.1463414634146423E-3</v>
      </c>
      <c r="Q98" s="83">
        <f t="shared" si="22"/>
        <v>-1.6257922292642446E-2</v>
      </c>
      <c r="R98" s="83">
        <f t="shared" si="23"/>
        <v>-4.6861184792219346E-2</v>
      </c>
      <c r="S98" s="83">
        <f t="shared" si="24"/>
        <v>1.6755371575005729E-3</v>
      </c>
      <c r="T98" s="83">
        <f t="shared" si="25"/>
        <v>1.1267605633802802E-2</v>
      </c>
      <c r="U98" s="83">
        <f t="shared" si="26"/>
        <v>-2.2160111798762316E-2</v>
      </c>
      <c r="V98" s="83">
        <f t="shared" si="27"/>
        <v>6.832817596387053E-2</v>
      </c>
      <c r="W98" s="84">
        <f t="shared" si="28"/>
        <v>7.4844479004667619E-3</v>
      </c>
      <c r="X98" s="89">
        <f t="shared" si="29"/>
        <v>-4.058695925828304E-3</v>
      </c>
      <c r="Y98" s="89">
        <f t="shared" si="30"/>
        <v>-4.8003132530701764E-3</v>
      </c>
    </row>
    <row r="99" spans="1:25" x14ac:dyDescent="0.25">
      <c r="A99" s="2">
        <f t="shared" si="18"/>
        <v>96</v>
      </c>
      <c r="B99" s="58">
        <v>45225</v>
      </c>
      <c r="C99" s="59">
        <f t="shared" si="19"/>
        <v>2023</v>
      </c>
      <c r="D99" s="59">
        <f t="shared" si="20"/>
        <v>10</v>
      </c>
      <c r="E99" s="54">
        <v>18.149799999999999</v>
      </c>
      <c r="F99" s="63">
        <v>49.2</v>
      </c>
      <c r="G99" s="64">
        <v>36.29</v>
      </c>
      <c r="H99" s="64">
        <v>11.31</v>
      </c>
      <c r="I99" s="64">
        <v>202.92</v>
      </c>
      <c r="J99" s="64">
        <v>10.65</v>
      </c>
      <c r="K99" s="64">
        <v>200.36</v>
      </c>
      <c r="L99" s="64">
        <v>119.57</v>
      </c>
      <c r="M99" s="65">
        <v>205.76</v>
      </c>
      <c r="N99" s="70">
        <v>49173.43</v>
      </c>
      <c r="O99" s="70">
        <v>4137.2299999999996</v>
      </c>
      <c r="P99" s="82">
        <f t="shared" si="21"/>
        <v>9.8522167487684609E-3</v>
      </c>
      <c r="Q99" s="83">
        <f t="shared" si="22"/>
        <v>1.6811431773606111E-2</v>
      </c>
      <c r="R99" s="83">
        <f t="shared" si="23"/>
        <v>2.0758122743682383E-2</v>
      </c>
      <c r="S99" s="83">
        <f t="shared" si="24"/>
        <v>-1.4807981744914378E-2</v>
      </c>
      <c r="T99" s="83">
        <f t="shared" si="25"/>
        <v>-2.2038567493112948E-2</v>
      </c>
      <c r="U99" s="83">
        <f t="shared" si="26"/>
        <v>-4.6948580126528028E-2</v>
      </c>
      <c r="V99" s="83">
        <f t="shared" si="27"/>
        <v>-1.4992997775764128E-2</v>
      </c>
      <c r="W99" s="84">
        <f t="shared" si="28"/>
        <v>-3.1352979945391213E-2</v>
      </c>
      <c r="X99" s="89">
        <f t="shared" si="29"/>
        <v>8.3479728739070946E-3</v>
      </c>
      <c r="Y99" s="89">
        <f t="shared" si="30"/>
        <v>-1.183251050332379E-2</v>
      </c>
    </row>
    <row r="100" spans="1:25" x14ac:dyDescent="0.25">
      <c r="A100" s="2">
        <f t="shared" si="18"/>
        <v>97</v>
      </c>
      <c r="B100" s="58">
        <v>45224</v>
      </c>
      <c r="C100" s="59">
        <f t="shared" si="19"/>
        <v>2023</v>
      </c>
      <c r="D100" s="59">
        <f t="shared" si="20"/>
        <v>10</v>
      </c>
      <c r="E100" s="54">
        <v>18.309999999999999</v>
      </c>
      <c r="F100" s="63">
        <v>48.72</v>
      </c>
      <c r="G100" s="64">
        <v>35.69</v>
      </c>
      <c r="H100" s="64">
        <v>11.08</v>
      </c>
      <c r="I100" s="64">
        <v>205.97</v>
      </c>
      <c r="J100" s="64">
        <v>10.89</v>
      </c>
      <c r="K100" s="64">
        <v>210.23</v>
      </c>
      <c r="L100" s="64">
        <v>121.39</v>
      </c>
      <c r="M100" s="65">
        <v>212.42</v>
      </c>
      <c r="N100" s="70">
        <v>48766.33</v>
      </c>
      <c r="O100" s="70">
        <v>4186.7700000000004</v>
      </c>
      <c r="P100" s="82">
        <f t="shared" si="21"/>
        <v>9.1135045567523054E-3</v>
      </c>
      <c r="Q100" s="83">
        <f t="shared" si="22"/>
        <v>8.4769708957330714E-3</v>
      </c>
      <c r="R100" s="83">
        <f t="shared" si="23"/>
        <v>2.3084025854108958E-2</v>
      </c>
      <c r="S100" s="83">
        <f t="shared" si="24"/>
        <v>2.0158494304110874E-2</v>
      </c>
      <c r="T100" s="83">
        <f t="shared" si="25"/>
        <v>1.8399264029440587E-3</v>
      </c>
      <c r="U100" s="83">
        <f t="shared" si="26"/>
        <v>-3.743720974315301E-3</v>
      </c>
      <c r="V100" s="83">
        <f t="shared" si="27"/>
        <v>-5.5771624144368426E-2</v>
      </c>
      <c r="W100" s="84">
        <f t="shared" si="28"/>
        <v>-1.8935895067430319E-2</v>
      </c>
      <c r="X100" s="89">
        <f t="shared" si="29"/>
        <v>1.0098221165397714E-2</v>
      </c>
      <c r="Y100" s="89">
        <f t="shared" si="30"/>
        <v>-1.4339592436341642E-2</v>
      </c>
    </row>
    <row r="101" spans="1:25" x14ac:dyDescent="0.25">
      <c r="A101" s="2">
        <f t="shared" si="18"/>
        <v>98</v>
      </c>
      <c r="B101" s="58">
        <v>45223</v>
      </c>
      <c r="C101" s="59">
        <f t="shared" si="19"/>
        <v>2023</v>
      </c>
      <c r="D101" s="59">
        <f t="shared" si="20"/>
        <v>10</v>
      </c>
      <c r="E101" s="54">
        <v>18.248000000000001</v>
      </c>
      <c r="F101" s="63">
        <v>48.28</v>
      </c>
      <c r="G101" s="64">
        <v>35.39</v>
      </c>
      <c r="H101" s="64">
        <v>10.83</v>
      </c>
      <c r="I101" s="64">
        <v>201.9</v>
      </c>
      <c r="J101" s="64">
        <v>10.87</v>
      </c>
      <c r="K101" s="64">
        <v>211.02</v>
      </c>
      <c r="L101" s="64">
        <v>128.56</v>
      </c>
      <c r="M101" s="65">
        <v>216.52</v>
      </c>
      <c r="N101" s="70">
        <v>48278.8</v>
      </c>
      <c r="O101" s="70">
        <v>4247.68</v>
      </c>
      <c r="P101" s="82">
        <f t="shared" si="21"/>
        <v>4.1442188147544634E-4</v>
      </c>
      <c r="Q101" s="83">
        <f t="shared" si="22"/>
        <v>2.8336639274582076E-3</v>
      </c>
      <c r="R101" s="83">
        <f t="shared" si="23"/>
        <v>0</v>
      </c>
      <c r="S101" s="83">
        <f t="shared" si="24"/>
        <v>2.7315619567918059E-3</v>
      </c>
      <c r="T101" s="83">
        <f t="shared" si="25"/>
        <v>-3.0330062444246297E-2</v>
      </c>
      <c r="U101" s="83">
        <f t="shared" si="26"/>
        <v>-6.6902498341808503E-2</v>
      </c>
      <c r="V101" s="83">
        <f t="shared" si="27"/>
        <v>1.5802781289506962E-2</v>
      </c>
      <c r="W101" s="84">
        <f t="shared" si="28"/>
        <v>2.0935496039230506E-2</v>
      </c>
      <c r="X101" s="89">
        <f t="shared" si="29"/>
        <v>1.6789120185369821E-3</v>
      </c>
      <c r="Y101" s="89">
        <f t="shared" si="30"/>
        <v>7.2657598694820802E-3</v>
      </c>
    </row>
    <row r="102" spans="1:25" x14ac:dyDescent="0.25">
      <c r="A102" s="2">
        <f t="shared" si="18"/>
        <v>99</v>
      </c>
      <c r="B102" s="58">
        <v>45222</v>
      </c>
      <c r="C102" s="59">
        <f t="shared" si="19"/>
        <v>2023</v>
      </c>
      <c r="D102" s="59">
        <f t="shared" si="20"/>
        <v>10</v>
      </c>
      <c r="E102" s="54">
        <v>18.138999999999999</v>
      </c>
      <c r="F102" s="63">
        <v>48.26</v>
      </c>
      <c r="G102" s="64">
        <v>35.29</v>
      </c>
      <c r="H102" s="64">
        <v>10.83</v>
      </c>
      <c r="I102" s="64">
        <v>201.35</v>
      </c>
      <c r="J102" s="64">
        <v>11.21</v>
      </c>
      <c r="K102" s="64">
        <v>226.15</v>
      </c>
      <c r="L102" s="64">
        <v>126.56</v>
      </c>
      <c r="M102" s="65">
        <v>212.08</v>
      </c>
      <c r="N102" s="70">
        <v>48197.88</v>
      </c>
      <c r="O102" s="70">
        <v>4217.04</v>
      </c>
      <c r="P102" s="82">
        <f t="shared" si="21"/>
        <v>-1.8614270941055278E-3</v>
      </c>
      <c r="Q102" s="83">
        <f t="shared" si="22"/>
        <v>0</v>
      </c>
      <c r="R102" s="83">
        <f t="shared" si="23"/>
        <v>-1.0958904109588996E-2</v>
      </c>
      <c r="S102" s="83">
        <f t="shared" si="24"/>
        <v>-3.1039461020211823E-2</v>
      </c>
      <c r="T102" s="83">
        <f t="shared" si="25"/>
        <v>4.0854224698235964E-2</v>
      </c>
      <c r="U102" s="83">
        <f t="shared" si="26"/>
        <v>-1.4167393199651213E-2</v>
      </c>
      <c r="V102" s="83">
        <f t="shared" si="27"/>
        <v>1.1104897339618169E-2</v>
      </c>
      <c r="W102" s="84">
        <f t="shared" si="28"/>
        <v>4.2454832775140616E-4</v>
      </c>
      <c r="X102" s="89">
        <f t="shared" si="29"/>
        <v>-1.6163341094970196E-3</v>
      </c>
      <c r="Y102" s="89">
        <f t="shared" si="30"/>
        <v>-1.685542214310054E-3</v>
      </c>
    </row>
    <row r="103" spans="1:25" x14ac:dyDescent="0.25">
      <c r="A103" s="2">
        <f t="shared" si="18"/>
        <v>100</v>
      </c>
      <c r="B103" s="58">
        <v>45219</v>
      </c>
      <c r="C103" s="59">
        <f t="shared" si="19"/>
        <v>2023</v>
      </c>
      <c r="D103" s="59">
        <f t="shared" si="20"/>
        <v>10</v>
      </c>
      <c r="E103" s="54">
        <v>18.222999999999999</v>
      </c>
      <c r="F103" s="63">
        <v>48.35</v>
      </c>
      <c r="G103" s="64">
        <v>35.29</v>
      </c>
      <c r="H103" s="64">
        <v>10.95</v>
      </c>
      <c r="I103" s="64">
        <v>207.8</v>
      </c>
      <c r="J103" s="64">
        <v>10.77</v>
      </c>
      <c r="K103" s="64">
        <v>229.4</v>
      </c>
      <c r="L103" s="64">
        <v>125.17</v>
      </c>
      <c r="M103" s="65">
        <v>211.99</v>
      </c>
      <c r="N103" s="70">
        <v>48275.91</v>
      </c>
      <c r="O103" s="70">
        <v>4224.16</v>
      </c>
      <c r="P103" s="82">
        <f t="shared" si="21"/>
        <v>-1.0235414534288667E-2</v>
      </c>
      <c r="Q103" s="83">
        <f t="shared" si="22"/>
        <v>-3.6702428006776255E-3</v>
      </c>
      <c r="R103" s="83">
        <f t="shared" si="23"/>
        <v>-9.9457504520796824E-3</v>
      </c>
      <c r="S103" s="83">
        <f t="shared" si="24"/>
        <v>1.3114913948612861E-2</v>
      </c>
      <c r="T103" s="83">
        <f t="shared" si="25"/>
        <v>-4.0961709706144322E-2</v>
      </c>
      <c r="U103" s="83">
        <f t="shared" si="26"/>
        <v>-1.6379384272360853E-2</v>
      </c>
      <c r="V103" s="83">
        <f t="shared" si="27"/>
        <v>-2.515576323987545E-2</v>
      </c>
      <c r="W103" s="84">
        <f t="shared" si="28"/>
        <v>-3.6890645586297732E-2</v>
      </c>
      <c r="X103" s="89">
        <f t="shared" si="29"/>
        <v>-1.0832993030781224E-2</v>
      </c>
      <c r="Y103" s="89">
        <f t="shared" si="30"/>
        <v>-1.2585320243104325E-2</v>
      </c>
    </row>
    <row r="104" spans="1:25" x14ac:dyDescent="0.25">
      <c r="A104" s="2">
        <f t="shared" si="18"/>
        <v>101</v>
      </c>
      <c r="B104" s="58">
        <v>45218</v>
      </c>
      <c r="C104" s="59">
        <f t="shared" si="19"/>
        <v>2023</v>
      </c>
      <c r="D104" s="59">
        <f t="shared" si="20"/>
        <v>10</v>
      </c>
      <c r="E104" s="54">
        <v>18.312999999999999</v>
      </c>
      <c r="F104" s="63">
        <v>48.85</v>
      </c>
      <c r="G104" s="64">
        <v>35.42</v>
      </c>
      <c r="H104" s="64">
        <v>11.06</v>
      </c>
      <c r="I104" s="64">
        <v>205.11</v>
      </c>
      <c r="J104" s="64">
        <v>11.23</v>
      </c>
      <c r="K104" s="64">
        <v>233.22</v>
      </c>
      <c r="L104" s="64">
        <v>128.4</v>
      </c>
      <c r="M104" s="65">
        <v>220.11</v>
      </c>
      <c r="N104" s="70">
        <v>48804.61</v>
      </c>
      <c r="O104" s="70">
        <v>4278</v>
      </c>
      <c r="P104" s="82">
        <f t="shared" si="21"/>
        <v>-8.9267599918847473E-3</v>
      </c>
      <c r="Q104" s="83">
        <f t="shared" si="22"/>
        <v>-4.2170368287882676E-3</v>
      </c>
      <c r="R104" s="83">
        <f t="shared" si="23"/>
        <v>-9.8478066248880447E-3</v>
      </c>
      <c r="S104" s="83">
        <f t="shared" si="24"/>
        <v>-1.0564399421128745E-2</v>
      </c>
      <c r="T104" s="83">
        <f t="shared" si="25"/>
        <v>-7.9505300353356345E-3</v>
      </c>
      <c r="U104" s="83">
        <f t="shared" si="26"/>
        <v>-2.6749572257229848E-2</v>
      </c>
      <c r="V104" s="83">
        <f t="shared" si="27"/>
        <v>2.1072348396160567E-3</v>
      </c>
      <c r="W104" s="84">
        <f t="shared" si="28"/>
        <v>-9.300313169606067E-2</v>
      </c>
      <c r="X104" s="89">
        <f t="shared" si="29"/>
        <v>-9.5417980557193083E-3</v>
      </c>
      <c r="Y104" s="89">
        <f t="shared" si="30"/>
        <v>-8.4828257544152796E-3</v>
      </c>
    </row>
    <row r="105" spans="1:25" x14ac:dyDescent="0.25">
      <c r="A105" s="2">
        <f t="shared" si="18"/>
        <v>102</v>
      </c>
      <c r="B105" s="58">
        <v>45217</v>
      </c>
      <c r="C105" s="59">
        <f t="shared" si="19"/>
        <v>2023</v>
      </c>
      <c r="D105" s="59">
        <f t="shared" si="20"/>
        <v>10</v>
      </c>
      <c r="E105" s="54">
        <v>18.239999999999998</v>
      </c>
      <c r="F105" s="63">
        <v>49.29</v>
      </c>
      <c r="G105" s="64">
        <v>35.57</v>
      </c>
      <c r="H105" s="64">
        <v>11.17</v>
      </c>
      <c r="I105" s="64">
        <v>207.3</v>
      </c>
      <c r="J105" s="64">
        <v>11.32</v>
      </c>
      <c r="K105" s="64">
        <v>239.63</v>
      </c>
      <c r="L105" s="64">
        <v>128.13</v>
      </c>
      <c r="M105" s="65">
        <v>242.68</v>
      </c>
      <c r="N105" s="70">
        <v>49274.78</v>
      </c>
      <c r="O105" s="70">
        <v>4314.6000000000004</v>
      </c>
      <c r="P105" s="82">
        <f t="shared" si="21"/>
        <v>-7.4506645187273346E-3</v>
      </c>
      <c r="Q105" s="83">
        <f t="shared" si="22"/>
        <v>-2.3070585004119626E-2</v>
      </c>
      <c r="R105" s="83">
        <f t="shared" si="23"/>
        <v>-3.038194444444442E-2</v>
      </c>
      <c r="S105" s="83">
        <f t="shared" si="24"/>
        <v>-9.2716497801567099E-3</v>
      </c>
      <c r="T105" s="83">
        <f t="shared" si="25"/>
        <v>-6.4462809917355313E-2</v>
      </c>
      <c r="U105" s="83">
        <f t="shared" si="26"/>
        <v>8.3531721171103968E-4</v>
      </c>
      <c r="V105" s="83">
        <f t="shared" si="27"/>
        <v>-2.5405035369285844E-2</v>
      </c>
      <c r="W105" s="84">
        <f t="shared" si="28"/>
        <v>-4.7753580537571061E-2</v>
      </c>
      <c r="X105" s="89">
        <f t="shared" si="29"/>
        <v>-7.8772182424157178E-3</v>
      </c>
      <c r="Y105" s="89">
        <f t="shared" si="30"/>
        <v>-1.3399798774352711E-2</v>
      </c>
    </row>
    <row r="106" spans="1:25" x14ac:dyDescent="0.25">
      <c r="A106" s="2">
        <f t="shared" si="18"/>
        <v>103</v>
      </c>
      <c r="B106" s="58">
        <v>45216</v>
      </c>
      <c r="C106" s="59">
        <f t="shared" si="19"/>
        <v>2023</v>
      </c>
      <c r="D106" s="59">
        <f t="shared" si="20"/>
        <v>10</v>
      </c>
      <c r="E106" s="54">
        <v>18.009</v>
      </c>
      <c r="F106" s="63">
        <v>49.66</v>
      </c>
      <c r="G106" s="64">
        <v>36.409999999999997</v>
      </c>
      <c r="H106" s="64">
        <v>11.52</v>
      </c>
      <c r="I106" s="64">
        <v>209.24</v>
      </c>
      <c r="J106" s="64">
        <v>12.1</v>
      </c>
      <c r="K106" s="64">
        <v>239.43</v>
      </c>
      <c r="L106" s="64">
        <v>131.47</v>
      </c>
      <c r="M106" s="65">
        <v>254.85</v>
      </c>
      <c r="N106" s="70">
        <v>49666.01</v>
      </c>
      <c r="O106" s="70">
        <v>4373.2</v>
      </c>
      <c r="P106" s="82">
        <f t="shared" si="21"/>
        <v>-3.6115569823436111E-3</v>
      </c>
      <c r="Q106" s="83">
        <f t="shared" si="22"/>
        <v>1.0998075336816626E-3</v>
      </c>
      <c r="R106" s="83">
        <f t="shared" si="23"/>
        <v>-5.1813471502590858E-3</v>
      </c>
      <c r="S106" s="83">
        <f t="shared" si="24"/>
        <v>3.8248231019322176E-4</v>
      </c>
      <c r="T106" s="83">
        <f t="shared" si="25"/>
        <v>-2.1827000808407382E-2</v>
      </c>
      <c r="U106" s="83">
        <f t="shared" si="26"/>
        <v>-2.5677545373158583E-2</v>
      </c>
      <c r="V106" s="83">
        <f t="shared" si="27"/>
        <v>-8.1478687287817042E-3</v>
      </c>
      <c r="W106" s="84">
        <f t="shared" si="28"/>
        <v>3.6625708884687747E-3</v>
      </c>
      <c r="X106" s="89">
        <f t="shared" si="29"/>
        <v>-3.1525550006141767E-3</v>
      </c>
      <c r="Y106" s="89">
        <f t="shared" si="30"/>
        <v>-9.831650139591197E-5</v>
      </c>
    </row>
    <row r="107" spans="1:25" x14ac:dyDescent="0.25">
      <c r="A107" s="2">
        <f t="shared" si="18"/>
        <v>104</v>
      </c>
      <c r="B107" s="58">
        <v>45215</v>
      </c>
      <c r="C107" s="59">
        <f t="shared" si="19"/>
        <v>2023</v>
      </c>
      <c r="D107" s="59">
        <f t="shared" si="20"/>
        <v>10</v>
      </c>
      <c r="E107" s="54">
        <v>17.872</v>
      </c>
      <c r="F107" s="63">
        <v>49.84</v>
      </c>
      <c r="G107" s="64">
        <v>36.369999999999997</v>
      </c>
      <c r="H107" s="64">
        <v>11.58</v>
      </c>
      <c r="I107" s="64">
        <v>209.16</v>
      </c>
      <c r="J107" s="64">
        <v>12.37</v>
      </c>
      <c r="K107" s="64">
        <v>245.74</v>
      </c>
      <c r="L107" s="64">
        <v>132.55000000000001</v>
      </c>
      <c r="M107" s="65">
        <v>253.92</v>
      </c>
      <c r="N107" s="70">
        <v>49823.08</v>
      </c>
      <c r="O107" s="70">
        <v>4373.63</v>
      </c>
      <c r="P107" s="82">
        <f t="shared" si="21"/>
        <v>9.1111561044745493E-3</v>
      </c>
      <c r="Q107" s="83">
        <f t="shared" si="22"/>
        <v>-8.2417582417582125E-4</v>
      </c>
      <c r="R107" s="83">
        <f t="shared" si="23"/>
        <v>3.8565022421524597E-2</v>
      </c>
      <c r="S107" s="83">
        <f t="shared" si="24"/>
        <v>3.0649453040307417E-2</v>
      </c>
      <c r="T107" s="83">
        <f t="shared" si="25"/>
        <v>2.1469859620148579E-2</v>
      </c>
      <c r="U107" s="83">
        <f t="shared" si="26"/>
        <v>1.1608760085624947E-2</v>
      </c>
      <c r="V107" s="83">
        <f t="shared" si="27"/>
        <v>2.1265120579397667E-2</v>
      </c>
      <c r="W107" s="84">
        <f t="shared" si="28"/>
        <v>1.1150047785918993E-2</v>
      </c>
      <c r="X107" s="89">
        <f t="shared" si="29"/>
        <v>8.9814453666881011E-3</v>
      </c>
      <c r="Y107" s="89">
        <f t="shared" si="30"/>
        <v>1.0594346293018697E-2</v>
      </c>
    </row>
    <row r="108" spans="1:25" x14ac:dyDescent="0.25">
      <c r="A108" s="2">
        <f t="shared" si="18"/>
        <v>105</v>
      </c>
      <c r="B108" s="58">
        <v>45212</v>
      </c>
      <c r="C108" s="59">
        <f t="shared" si="19"/>
        <v>2023</v>
      </c>
      <c r="D108" s="59">
        <f t="shared" si="20"/>
        <v>10</v>
      </c>
      <c r="E108" s="54">
        <v>18.062000000000001</v>
      </c>
      <c r="F108" s="63">
        <v>49.39</v>
      </c>
      <c r="G108" s="64">
        <v>36.4</v>
      </c>
      <c r="H108" s="64">
        <v>11.15</v>
      </c>
      <c r="I108" s="64">
        <v>202.94</v>
      </c>
      <c r="J108" s="64">
        <v>12.11</v>
      </c>
      <c r="K108" s="64">
        <v>242.92</v>
      </c>
      <c r="L108" s="64">
        <v>129.79</v>
      </c>
      <c r="M108" s="65">
        <v>251.12</v>
      </c>
      <c r="N108" s="70">
        <v>49379.58</v>
      </c>
      <c r="O108" s="70">
        <v>4327.78</v>
      </c>
      <c r="P108" s="82">
        <f t="shared" si="21"/>
        <v>-8.0337417152038793E-3</v>
      </c>
      <c r="Q108" s="83">
        <f t="shared" si="22"/>
        <v>-8.7145969498910736E-3</v>
      </c>
      <c r="R108" s="83">
        <f t="shared" si="23"/>
        <v>8.9766606822250239E-4</v>
      </c>
      <c r="S108" s="83">
        <f t="shared" si="24"/>
        <v>1.3281406031555809E-2</v>
      </c>
      <c r="T108" s="83">
        <f t="shared" si="25"/>
        <v>-1.1428571428571455E-2</v>
      </c>
      <c r="U108" s="83">
        <f t="shared" si="26"/>
        <v>-1.4763140817650955E-2</v>
      </c>
      <c r="V108" s="83">
        <f t="shared" si="27"/>
        <v>-1.9194438147056792E-2</v>
      </c>
      <c r="W108" s="84">
        <f t="shared" si="28"/>
        <v>-2.9937806621083918E-2</v>
      </c>
      <c r="X108" s="89">
        <f t="shared" si="29"/>
        <v>-7.3490566720461059E-3</v>
      </c>
      <c r="Y108" s="89">
        <f t="shared" si="30"/>
        <v>-5.0188407696322157E-3</v>
      </c>
    </row>
    <row r="109" spans="1:25" x14ac:dyDescent="0.25">
      <c r="A109" s="2">
        <f t="shared" si="18"/>
        <v>106</v>
      </c>
      <c r="B109" s="58">
        <v>45211</v>
      </c>
      <c r="C109" s="59">
        <f t="shared" si="19"/>
        <v>2023</v>
      </c>
      <c r="D109" s="59">
        <f t="shared" si="20"/>
        <v>10</v>
      </c>
      <c r="E109" s="54">
        <v>17.966999999999999</v>
      </c>
      <c r="F109" s="63">
        <v>49.79</v>
      </c>
      <c r="G109" s="64">
        <v>36.72</v>
      </c>
      <c r="H109" s="64">
        <v>11.14</v>
      </c>
      <c r="I109" s="64">
        <v>200.28</v>
      </c>
      <c r="J109" s="64">
        <v>12.25</v>
      </c>
      <c r="K109" s="64">
        <v>246.56</v>
      </c>
      <c r="L109" s="64">
        <v>132.33000000000001</v>
      </c>
      <c r="M109" s="65">
        <v>258.87</v>
      </c>
      <c r="N109" s="70">
        <v>49745.16</v>
      </c>
      <c r="O109" s="70">
        <v>4349.6099999999997</v>
      </c>
      <c r="P109" s="82">
        <f t="shared" si="21"/>
        <v>-7.7720207253886286E-3</v>
      </c>
      <c r="Q109" s="83">
        <f t="shared" si="22"/>
        <v>-2.0538810349426617E-2</v>
      </c>
      <c r="R109" s="83">
        <f t="shared" si="23"/>
        <v>-2.707423580786017E-2</v>
      </c>
      <c r="S109" s="83">
        <f t="shared" si="24"/>
        <v>-1.5952143569292199E-3</v>
      </c>
      <c r="T109" s="83">
        <f t="shared" si="25"/>
        <v>1.6353229762877675E-3</v>
      </c>
      <c r="U109" s="83">
        <f t="shared" si="26"/>
        <v>-2.9482385357213148E-2</v>
      </c>
      <c r="V109" s="83">
        <f t="shared" si="27"/>
        <v>3.7927634074186312E-3</v>
      </c>
      <c r="W109" s="84">
        <f t="shared" si="28"/>
        <v>-1.5665994904749292E-2</v>
      </c>
      <c r="X109" s="89">
        <f t="shared" si="29"/>
        <v>-1.1909486472668096E-2</v>
      </c>
      <c r="Y109" s="89">
        <f t="shared" si="30"/>
        <v>-6.2463587658072584E-3</v>
      </c>
    </row>
    <row r="110" spans="1:25" x14ac:dyDescent="0.25">
      <c r="A110" s="2">
        <f t="shared" si="18"/>
        <v>107</v>
      </c>
      <c r="B110" s="58">
        <v>45210</v>
      </c>
      <c r="C110" s="59">
        <f t="shared" si="19"/>
        <v>2023</v>
      </c>
      <c r="D110" s="59">
        <f t="shared" si="20"/>
        <v>10</v>
      </c>
      <c r="E110" s="54">
        <v>17.828600000000002</v>
      </c>
      <c r="F110" s="63">
        <v>50.18</v>
      </c>
      <c r="G110" s="64">
        <v>37.49</v>
      </c>
      <c r="H110" s="64">
        <v>11.45</v>
      </c>
      <c r="I110" s="64">
        <v>200.6</v>
      </c>
      <c r="J110" s="64">
        <v>12.23</v>
      </c>
      <c r="K110" s="64">
        <v>254.05</v>
      </c>
      <c r="L110" s="64">
        <v>131.83000000000001</v>
      </c>
      <c r="M110" s="65">
        <v>262.99</v>
      </c>
      <c r="N110" s="70">
        <v>50344.74</v>
      </c>
      <c r="O110" s="70">
        <v>4376.95</v>
      </c>
      <c r="P110" s="82">
        <f t="shared" si="21"/>
        <v>1.396926761125572E-3</v>
      </c>
      <c r="Q110" s="83">
        <f t="shared" si="22"/>
        <v>1.1057173678532983E-2</v>
      </c>
      <c r="R110" s="83">
        <f t="shared" si="23"/>
        <v>4.3755697356426593E-2</v>
      </c>
      <c r="S110" s="83">
        <f t="shared" si="24"/>
        <v>5.1610963571679935E-3</v>
      </c>
      <c r="T110" s="83">
        <f t="shared" si="25"/>
        <v>-1.6326530612245094E-3</v>
      </c>
      <c r="U110" s="83">
        <f t="shared" si="26"/>
        <v>8.5751717019335594E-3</v>
      </c>
      <c r="V110" s="83">
        <f t="shared" si="27"/>
        <v>1.8149521161569426E-2</v>
      </c>
      <c r="W110" s="84">
        <f t="shared" si="28"/>
        <v>-2.3898035050451405E-3</v>
      </c>
      <c r="X110" s="89">
        <f t="shared" si="29"/>
        <v>1.0912736682902047E-3</v>
      </c>
      <c r="Y110" s="89">
        <f t="shared" si="30"/>
        <v>4.2930173648079162E-3</v>
      </c>
    </row>
    <row r="111" spans="1:25" x14ac:dyDescent="0.25">
      <c r="A111" s="2">
        <f t="shared" si="18"/>
        <v>108</v>
      </c>
      <c r="B111" s="58">
        <v>45209</v>
      </c>
      <c r="C111" s="59">
        <f t="shared" si="19"/>
        <v>2023</v>
      </c>
      <c r="D111" s="59">
        <f t="shared" si="20"/>
        <v>10</v>
      </c>
      <c r="E111" s="54">
        <v>17.930599999999998</v>
      </c>
      <c r="F111" s="63">
        <v>50.11</v>
      </c>
      <c r="G111" s="64">
        <v>37.08</v>
      </c>
      <c r="H111" s="64">
        <v>10.97</v>
      </c>
      <c r="I111" s="64">
        <v>199.57</v>
      </c>
      <c r="J111" s="64">
        <v>12.25</v>
      </c>
      <c r="K111" s="64">
        <v>251.89</v>
      </c>
      <c r="L111" s="64">
        <v>129.47999999999999</v>
      </c>
      <c r="M111" s="65">
        <v>263.62</v>
      </c>
      <c r="N111" s="70">
        <v>50289.86</v>
      </c>
      <c r="O111" s="70">
        <v>4358.24</v>
      </c>
      <c r="P111" s="82">
        <f t="shared" si="21"/>
        <v>2.1194212349704422E-2</v>
      </c>
      <c r="Q111" s="83">
        <f t="shared" si="22"/>
        <v>8.9795918367345795E-3</v>
      </c>
      <c r="R111" s="83">
        <f t="shared" si="23"/>
        <v>2.0465116279069884E-2</v>
      </c>
      <c r="S111" s="83">
        <f t="shared" si="24"/>
        <v>1.7331905999897979E-2</v>
      </c>
      <c r="T111" s="83">
        <f t="shared" si="25"/>
        <v>4.4330775788576249E-2</v>
      </c>
      <c r="U111" s="83">
        <f t="shared" si="26"/>
        <v>4.5837658293543582E-2</v>
      </c>
      <c r="V111" s="83">
        <f t="shared" si="27"/>
        <v>9.511928894433197E-3</v>
      </c>
      <c r="W111" s="84">
        <f t="shared" si="28"/>
        <v>1.521161474178756E-2</v>
      </c>
      <c r="X111" s="89">
        <f t="shared" si="29"/>
        <v>2.0137269598749619E-2</v>
      </c>
      <c r="Y111" s="89">
        <f t="shared" si="30"/>
        <v>5.2079729499083793E-3</v>
      </c>
    </row>
    <row r="112" spans="1:25" x14ac:dyDescent="0.25">
      <c r="A112" s="2">
        <f t="shared" si="18"/>
        <v>109</v>
      </c>
      <c r="B112" s="58">
        <v>45208</v>
      </c>
      <c r="C112" s="59">
        <f t="shared" si="19"/>
        <v>2023</v>
      </c>
      <c r="D112" s="59">
        <f t="shared" si="20"/>
        <v>10</v>
      </c>
      <c r="E112" s="54">
        <v>18.1873</v>
      </c>
      <c r="F112" s="63">
        <v>49.07</v>
      </c>
      <c r="G112" s="64">
        <v>36.75</v>
      </c>
      <c r="H112" s="64">
        <v>10.75</v>
      </c>
      <c r="I112" s="64">
        <v>196.17</v>
      </c>
      <c r="J112" s="64">
        <v>11.73</v>
      </c>
      <c r="K112" s="64">
        <v>240.85</v>
      </c>
      <c r="L112" s="64">
        <v>128.26</v>
      </c>
      <c r="M112" s="65">
        <v>259.67</v>
      </c>
      <c r="N112" s="70">
        <v>49297.15</v>
      </c>
      <c r="O112" s="70">
        <v>4335.66</v>
      </c>
      <c r="P112" s="82">
        <f t="shared" si="21"/>
        <v>-8.0857085102081783E-3</v>
      </c>
      <c r="Q112" s="83">
        <f t="shared" si="22"/>
        <v>-2.9842647856754834E-3</v>
      </c>
      <c r="R112" s="83">
        <f t="shared" si="23"/>
        <v>7.4976569821931793E-3</v>
      </c>
      <c r="S112" s="83">
        <f t="shared" si="24"/>
        <v>-1.1202199704669624E-3</v>
      </c>
      <c r="T112" s="83">
        <f t="shared" si="25"/>
        <v>-5.7073954983922759E-2</v>
      </c>
      <c r="U112" s="83">
        <f t="shared" si="26"/>
        <v>7.0633205916559305E-4</v>
      </c>
      <c r="V112" s="83">
        <f t="shared" si="27"/>
        <v>2.3444826508283167E-3</v>
      </c>
      <c r="W112" s="84">
        <f t="shared" si="28"/>
        <v>-3.3009634207191718E-3</v>
      </c>
      <c r="X112" s="89">
        <f t="shared" si="29"/>
        <v>-7.4366021362487489E-3</v>
      </c>
      <c r="Y112" s="89">
        <f t="shared" si="30"/>
        <v>6.3038180341186134E-3</v>
      </c>
    </row>
    <row r="113" spans="1:25" x14ac:dyDescent="0.25">
      <c r="A113" s="2">
        <f t="shared" si="18"/>
        <v>110</v>
      </c>
      <c r="B113" s="58">
        <v>45205</v>
      </c>
      <c r="C113" s="59">
        <f t="shared" si="19"/>
        <v>2023</v>
      </c>
      <c r="D113" s="59">
        <f t="shared" si="20"/>
        <v>10</v>
      </c>
      <c r="E113" s="54">
        <v>18.163799999999998</v>
      </c>
      <c r="F113" s="63">
        <v>49.47</v>
      </c>
      <c r="G113" s="64">
        <v>36.86</v>
      </c>
      <c r="H113" s="64">
        <v>10.67</v>
      </c>
      <c r="I113" s="64">
        <v>196.39</v>
      </c>
      <c r="J113" s="64">
        <v>12.44</v>
      </c>
      <c r="K113" s="64">
        <v>240.68</v>
      </c>
      <c r="L113" s="64">
        <v>127.96</v>
      </c>
      <c r="M113" s="65">
        <v>260.52999999999997</v>
      </c>
      <c r="N113" s="70">
        <v>49666.5</v>
      </c>
      <c r="O113" s="70">
        <v>4308.5</v>
      </c>
      <c r="P113" s="82">
        <f t="shared" si="21"/>
        <v>4.467005076142172E-3</v>
      </c>
      <c r="Q113" s="83">
        <f t="shared" si="22"/>
        <v>9.0336709553791028E-3</v>
      </c>
      <c r="R113" s="83">
        <f t="shared" si="23"/>
        <v>-4.6641791044776948E-3</v>
      </c>
      <c r="S113" s="83">
        <f t="shared" si="24"/>
        <v>1.6353568286497921E-2</v>
      </c>
      <c r="T113" s="83">
        <f t="shared" si="25"/>
        <v>7.3339085418464123E-2</v>
      </c>
      <c r="U113" s="83">
        <f t="shared" si="26"/>
        <v>5.3811462848636138E-2</v>
      </c>
      <c r="V113" s="83">
        <f t="shared" si="27"/>
        <v>1.5878056525881146E-2</v>
      </c>
      <c r="W113" s="84">
        <f t="shared" si="28"/>
        <v>1.8457988848297191E-3</v>
      </c>
      <c r="X113" s="89">
        <f t="shared" si="29"/>
        <v>4.2849409933436444E-3</v>
      </c>
      <c r="Y113" s="89">
        <f t="shared" si="30"/>
        <v>1.1814879091820885E-2</v>
      </c>
    </row>
    <row r="114" spans="1:25" x14ac:dyDescent="0.25">
      <c r="A114" s="2">
        <f t="shared" si="18"/>
        <v>111</v>
      </c>
      <c r="B114" s="58">
        <v>45204</v>
      </c>
      <c r="C114" s="59">
        <f t="shared" si="19"/>
        <v>2023</v>
      </c>
      <c r="D114" s="59">
        <f t="shared" si="20"/>
        <v>10</v>
      </c>
      <c r="E114" s="54">
        <v>18.246200000000002</v>
      </c>
      <c r="F114" s="63">
        <v>49.25</v>
      </c>
      <c r="G114" s="64">
        <v>36.53</v>
      </c>
      <c r="H114" s="64">
        <v>10.72</v>
      </c>
      <c r="I114" s="64">
        <v>193.23</v>
      </c>
      <c r="J114" s="64">
        <v>11.59</v>
      </c>
      <c r="K114" s="64">
        <v>228.39</v>
      </c>
      <c r="L114" s="64">
        <v>125.96</v>
      </c>
      <c r="M114" s="65">
        <v>260.05</v>
      </c>
      <c r="N114" s="70">
        <v>49454.59</v>
      </c>
      <c r="O114" s="70">
        <v>4258.1899999999996</v>
      </c>
      <c r="P114" s="82">
        <f t="shared" si="21"/>
        <v>-2.4559318676965813E-2</v>
      </c>
      <c r="Q114" s="83">
        <f t="shared" si="22"/>
        <v>-5.445140212360311E-3</v>
      </c>
      <c r="R114" s="83">
        <f t="shared" si="23"/>
        <v>-4.6263345195729499E-2</v>
      </c>
      <c r="S114" s="83">
        <f t="shared" si="24"/>
        <v>-4.1230737514817983E-3</v>
      </c>
      <c r="T114" s="83">
        <f t="shared" si="25"/>
        <v>-3.0125523012552224E-2</v>
      </c>
      <c r="U114" s="83">
        <f t="shared" si="26"/>
        <v>-0.22276671771311907</v>
      </c>
      <c r="V114" s="83">
        <f t="shared" si="27"/>
        <v>-8.1889763779527946E-3</v>
      </c>
      <c r="W114" s="84">
        <f t="shared" si="28"/>
        <v>-4.250268034921123E-3</v>
      </c>
      <c r="X114" s="89">
        <f t="shared" si="29"/>
        <v>-2.5192829317743803E-2</v>
      </c>
      <c r="Y114" s="89">
        <f t="shared" si="30"/>
        <v>-1.3040164174730196E-3</v>
      </c>
    </row>
    <row r="115" spans="1:25" x14ac:dyDescent="0.25">
      <c r="A115" s="2">
        <f t="shared" si="18"/>
        <v>112</v>
      </c>
      <c r="B115" s="58">
        <v>45203</v>
      </c>
      <c r="C115" s="59">
        <f t="shared" si="19"/>
        <v>2023</v>
      </c>
      <c r="D115" s="59">
        <f t="shared" si="20"/>
        <v>10</v>
      </c>
      <c r="E115" s="54">
        <v>17.949000000000002</v>
      </c>
      <c r="F115" s="63">
        <v>50.49</v>
      </c>
      <c r="G115" s="64">
        <v>36.729999999999997</v>
      </c>
      <c r="H115" s="64">
        <v>11.24</v>
      </c>
      <c r="I115" s="64">
        <v>194.03</v>
      </c>
      <c r="J115" s="64">
        <v>11.95</v>
      </c>
      <c r="K115" s="64">
        <v>293.85000000000002</v>
      </c>
      <c r="L115" s="64">
        <v>127</v>
      </c>
      <c r="M115" s="65">
        <v>261.16000000000003</v>
      </c>
      <c r="N115" s="70">
        <v>50732.69</v>
      </c>
      <c r="O115" s="70">
        <v>4263.75</v>
      </c>
      <c r="P115" s="82">
        <f t="shared" si="21"/>
        <v>6.5789473684212396E-3</v>
      </c>
      <c r="Q115" s="83">
        <f t="shared" si="22"/>
        <v>3.8261820169442906E-3</v>
      </c>
      <c r="R115" s="83">
        <f t="shared" si="23"/>
        <v>1.7194570135746545E-2</v>
      </c>
      <c r="S115" s="83">
        <f t="shared" si="24"/>
        <v>-6.044772296501244E-3</v>
      </c>
      <c r="T115" s="83">
        <f t="shared" si="25"/>
        <v>6.7917783735478077E-2</v>
      </c>
      <c r="U115" s="83">
        <f t="shared" si="26"/>
        <v>2.4795982423101215E-2</v>
      </c>
      <c r="V115" s="83">
        <f t="shared" si="27"/>
        <v>1.8280949326491269E-2</v>
      </c>
      <c r="W115" s="84">
        <f t="shared" si="28"/>
        <v>5.9343690423072415E-2</v>
      </c>
      <c r="X115" s="89">
        <f t="shared" si="29"/>
        <v>7.2727070572260466E-3</v>
      </c>
      <c r="Y115" s="89">
        <f t="shared" si="30"/>
        <v>8.1098015108347354E-3</v>
      </c>
    </row>
    <row r="116" spans="1:25" x14ac:dyDescent="0.25">
      <c r="A116" s="2">
        <f t="shared" si="18"/>
        <v>113</v>
      </c>
      <c r="B116" s="58">
        <v>45202</v>
      </c>
      <c r="C116" s="59">
        <f t="shared" si="19"/>
        <v>2023</v>
      </c>
      <c r="D116" s="59">
        <f t="shared" si="20"/>
        <v>10</v>
      </c>
      <c r="E116" s="54">
        <v>18.065300000000001</v>
      </c>
      <c r="F116" s="63">
        <v>50.16</v>
      </c>
      <c r="G116" s="64">
        <v>36.590000000000003</v>
      </c>
      <c r="H116" s="64">
        <v>11.05</v>
      </c>
      <c r="I116" s="64">
        <v>195.21</v>
      </c>
      <c r="J116" s="64">
        <v>11.19</v>
      </c>
      <c r="K116" s="64">
        <v>286.74</v>
      </c>
      <c r="L116" s="64">
        <v>124.72</v>
      </c>
      <c r="M116" s="65">
        <v>246.53</v>
      </c>
      <c r="N116" s="70">
        <v>50366.39</v>
      </c>
      <c r="O116" s="70">
        <v>4229.45</v>
      </c>
      <c r="P116" s="82">
        <f t="shared" si="21"/>
        <v>-1.6856134849078885E-2</v>
      </c>
      <c r="Q116" s="83">
        <f t="shared" si="22"/>
        <v>-7.0556309362278524E-3</v>
      </c>
      <c r="R116" s="83">
        <f t="shared" si="23"/>
        <v>-3.6617262423713992E-2</v>
      </c>
      <c r="S116" s="83">
        <f t="shared" si="24"/>
        <v>-1.2279355333844055E-3</v>
      </c>
      <c r="T116" s="83">
        <f t="shared" si="25"/>
        <v>-6.2166962699822248E-3</v>
      </c>
      <c r="U116" s="83">
        <f t="shared" si="26"/>
        <v>-2.1164743633508509E-2</v>
      </c>
      <c r="V116" s="83">
        <f t="shared" si="27"/>
        <v>-3.661362583037242E-2</v>
      </c>
      <c r="W116" s="84">
        <f t="shared" si="28"/>
        <v>-2.015103338632751E-2</v>
      </c>
      <c r="X116" s="89">
        <f t="shared" si="29"/>
        <v>-1.7439983363366385E-2</v>
      </c>
      <c r="Y116" s="89">
        <f t="shared" si="30"/>
        <v>-1.374408577578079E-2</v>
      </c>
    </row>
    <row r="117" spans="1:25" x14ac:dyDescent="0.25">
      <c r="A117" s="2">
        <f t="shared" si="18"/>
        <v>114</v>
      </c>
      <c r="B117" s="58">
        <v>45201</v>
      </c>
      <c r="C117" s="59">
        <f t="shared" si="19"/>
        <v>2023</v>
      </c>
      <c r="D117" s="59">
        <f t="shared" si="20"/>
        <v>10</v>
      </c>
      <c r="E117" s="54">
        <v>17.664000000000001</v>
      </c>
      <c r="F117" s="63">
        <v>51.02</v>
      </c>
      <c r="G117" s="64">
        <v>36.85</v>
      </c>
      <c r="H117" s="64">
        <v>11.47</v>
      </c>
      <c r="I117" s="64">
        <v>195.45</v>
      </c>
      <c r="J117" s="64">
        <v>11.26</v>
      </c>
      <c r="K117" s="64">
        <v>292.94</v>
      </c>
      <c r="L117" s="64">
        <v>129.46</v>
      </c>
      <c r="M117" s="65">
        <v>251.6</v>
      </c>
      <c r="N117" s="70">
        <v>51260.37</v>
      </c>
      <c r="O117" s="70">
        <v>4288.3900000000003</v>
      </c>
      <c r="P117" s="82">
        <f t="shared" si="21"/>
        <v>7.5039494470774404E-3</v>
      </c>
      <c r="Q117" s="83">
        <f t="shared" si="22"/>
        <v>7.1057666028968569E-3</v>
      </c>
      <c r="R117" s="83">
        <f t="shared" si="23"/>
        <v>8.7950747581355682E-3</v>
      </c>
      <c r="S117" s="83">
        <f t="shared" si="24"/>
        <v>-4.867364322219514E-2</v>
      </c>
      <c r="T117" s="83">
        <f t="shared" si="25"/>
        <v>-4.9789029535864948E-2</v>
      </c>
      <c r="U117" s="83">
        <f t="shared" si="26"/>
        <v>2.2692361402038896E-2</v>
      </c>
      <c r="V117" s="83">
        <f t="shared" si="27"/>
        <v>1.8407803650094534E-2</v>
      </c>
      <c r="W117" s="84">
        <f t="shared" si="28"/>
        <v>5.5151466709295605E-3</v>
      </c>
      <c r="X117" s="89">
        <f t="shared" si="29"/>
        <v>7.575236393213336E-3</v>
      </c>
      <c r="Y117" s="89">
        <f t="shared" si="30"/>
        <v>7.9290120217789806E-5</v>
      </c>
    </row>
    <row r="118" spans="1:25" x14ac:dyDescent="0.25">
      <c r="A118" s="2">
        <f t="shared" si="18"/>
        <v>115</v>
      </c>
      <c r="B118" s="58">
        <v>45198</v>
      </c>
      <c r="C118" s="59">
        <f t="shared" si="19"/>
        <v>2023</v>
      </c>
      <c r="D118" s="59">
        <f t="shared" si="20"/>
        <v>9</v>
      </c>
      <c r="E118" s="54">
        <v>17.396999999999998</v>
      </c>
      <c r="F118" s="63">
        <v>50.64</v>
      </c>
      <c r="G118" s="64">
        <v>36.590000000000003</v>
      </c>
      <c r="H118" s="64">
        <v>11.37</v>
      </c>
      <c r="I118" s="64">
        <v>205.45</v>
      </c>
      <c r="J118" s="64">
        <v>11.85</v>
      </c>
      <c r="K118" s="64">
        <v>286.44</v>
      </c>
      <c r="L118" s="64">
        <v>127.12</v>
      </c>
      <c r="M118" s="65">
        <v>250.22</v>
      </c>
      <c r="N118" s="70">
        <v>50874.98</v>
      </c>
      <c r="O118" s="70">
        <v>4288.05</v>
      </c>
      <c r="P118" s="82">
        <f t="shared" si="21"/>
        <v>-1.3442431326709525E-2</v>
      </c>
      <c r="Q118" s="83">
        <f t="shared" si="22"/>
        <v>-2.2963951935914495E-2</v>
      </c>
      <c r="R118" s="83">
        <f t="shared" si="23"/>
        <v>-2.487135506003435E-2</v>
      </c>
      <c r="S118" s="83">
        <f t="shared" si="24"/>
        <v>-1.5714080390935692E-2</v>
      </c>
      <c r="T118" s="83">
        <f t="shared" si="25"/>
        <v>-5.9523809523809534E-2</v>
      </c>
      <c r="U118" s="83">
        <f t="shared" si="26"/>
        <v>-6.2757672927164498E-2</v>
      </c>
      <c r="V118" s="83">
        <f t="shared" si="27"/>
        <v>9.0490554056199546E-3</v>
      </c>
      <c r="W118" s="84">
        <f t="shared" si="28"/>
        <v>1.5585680655897383E-2</v>
      </c>
      <c r="X118" s="89">
        <f t="shared" si="29"/>
        <v>-1.3189228192443059E-2</v>
      </c>
      <c r="Y118" s="89">
        <f t="shared" si="30"/>
        <v>-2.7094913598622039E-3</v>
      </c>
    </row>
    <row r="119" spans="1:25" x14ac:dyDescent="0.25">
      <c r="A119" s="2">
        <f t="shared" si="18"/>
        <v>116</v>
      </c>
      <c r="B119" s="58">
        <v>45197</v>
      </c>
      <c r="C119" s="59">
        <f t="shared" si="19"/>
        <v>2023</v>
      </c>
      <c r="D119" s="59">
        <f t="shared" si="20"/>
        <v>9</v>
      </c>
      <c r="E119" s="54">
        <v>17.54</v>
      </c>
      <c r="F119" s="63">
        <v>51.33</v>
      </c>
      <c r="G119" s="64">
        <v>37.450000000000003</v>
      </c>
      <c r="H119" s="64">
        <v>11.66</v>
      </c>
      <c r="I119" s="64">
        <v>208.73</v>
      </c>
      <c r="J119" s="64">
        <v>12.6</v>
      </c>
      <c r="K119" s="64">
        <v>305.62</v>
      </c>
      <c r="L119" s="64">
        <v>125.98</v>
      </c>
      <c r="M119" s="65">
        <v>246.38</v>
      </c>
      <c r="N119" s="70">
        <v>51554.95</v>
      </c>
      <c r="O119" s="70">
        <v>4299.7</v>
      </c>
      <c r="P119" s="82">
        <f t="shared" si="21"/>
        <v>2.3432923257176164E-3</v>
      </c>
      <c r="Q119" s="83">
        <f t="shared" si="22"/>
        <v>-1.0669511869831894E-3</v>
      </c>
      <c r="R119" s="83">
        <f t="shared" si="23"/>
        <v>4.3066322136089408E-3</v>
      </c>
      <c r="S119" s="83">
        <f t="shared" si="24"/>
        <v>-5.4319340544146666E-3</v>
      </c>
      <c r="T119" s="83">
        <f t="shared" si="25"/>
        <v>-1.945525291828798E-2</v>
      </c>
      <c r="U119" s="83">
        <f t="shared" si="26"/>
        <v>1.8028649162487032E-3</v>
      </c>
      <c r="V119" s="83">
        <f t="shared" si="27"/>
        <v>0</v>
      </c>
      <c r="W119" s="84">
        <f t="shared" si="28"/>
        <v>2.4449064449064473E-2</v>
      </c>
      <c r="X119" s="89">
        <f t="shared" si="29"/>
        <v>2.4827294935156896E-3</v>
      </c>
      <c r="Y119" s="89">
        <f t="shared" si="30"/>
        <v>5.8930731241708667E-3</v>
      </c>
    </row>
    <row r="120" spans="1:25" x14ac:dyDescent="0.25">
      <c r="A120" s="2">
        <f t="shared" si="18"/>
        <v>117</v>
      </c>
      <c r="B120" s="58">
        <v>45196</v>
      </c>
      <c r="C120" s="59">
        <f t="shared" si="19"/>
        <v>2023</v>
      </c>
      <c r="D120" s="59">
        <f t="shared" si="20"/>
        <v>9</v>
      </c>
      <c r="E120" s="54">
        <v>17.6663</v>
      </c>
      <c r="F120" s="63">
        <v>51.21</v>
      </c>
      <c r="G120" s="64">
        <v>37.49</v>
      </c>
      <c r="H120" s="64">
        <v>11.61</v>
      </c>
      <c r="I120" s="64">
        <v>209.87</v>
      </c>
      <c r="J120" s="64">
        <v>12.85</v>
      </c>
      <c r="K120" s="64">
        <v>305.07</v>
      </c>
      <c r="L120" s="64">
        <v>125.98</v>
      </c>
      <c r="M120" s="65">
        <v>240.5</v>
      </c>
      <c r="N120" s="70">
        <v>51427.27</v>
      </c>
      <c r="O120" s="70">
        <v>4274.51</v>
      </c>
      <c r="P120" s="82">
        <f t="shared" si="21"/>
        <v>5.6952081696779455E-3</v>
      </c>
      <c r="Q120" s="83">
        <f t="shared" si="22"/>
        <v>1.9581180310035418E-2</v>
      </c>
      <c r="R120" s="83">
        <f t="shared" si="23"/>
        <v>9.565217391304337E-3</v>
      </c>
      <c r="S120" s="83">
        <f t="shared" si="24"/>
        <v>-1.8381665107577216E-2</v>
      </c>
      <c r="T120" s="83">
        <f t="shared" si="25"/>
        <v>4.5565500406834936E-2</v>
      </c>
      <c r="U120" s="83">
        <f t="shared" si="26"/>
        <v>2.5303976339139389E-3</v>
      </c>
      <c r="V120" s="83">
        <f t="shared" si="27"/>
        <v>0</v>
      </c>
      <c r="W120" s="84">
        <f t="shared" si="28"/>
        <v>-1.4828772734720608E-2</v>
      </c>
      <c r="X120" s="89">
        <f t="shared" si="29"/>
        <v>6.2509049499293035E-3</v>
      </c>
      <c r="Y120" s="89">
        <f t="shared" si="30"/>
        <v>2.2931861950192811E-4</v>
      </c>
    </row>
    <row r="121" spans="1:25" x14ac:dyDescent="0.25">
      <c r="A121" s="2">
        <f t="shared" si="18"/>
        <v>118</v>
      </c>
      <c r="B121" s="58">
        <v>45195</v>
      </c>
      <c r="C121" s="59">
        <f t="shared" si="19"/>
        <v>2023</v>
      </c>
      <c r="D121" s="59">
        <f t="shared" si="20"/>
        <v>9</v>
      </c>
      <c r="E121" s="54">
        <v>17.524000000000001</v>
      </c>
      <c r="F121" s="63">
        <v>50.92</v>
      </c>
      <c r="G121" s="64">
        <v>36.770000000000003</v>
      </c>
      <c r="H121" s="64">
        <v>11.5</v>
      </c>
      <c r="I121" s="64">
        <v>213.8</v>
      </c>
      <c r="J121" s="64">
        <v>12.29</v>
      </c>
      <c r="K121" s="64">
        <v>304.3</v>
      </c>
      <c r="L121" s="64">
        <v>125.98</v>
      </c>
      <c r="M121" s="65">
        <v>244.12</v>
      </c>
      <c r="N121" s="70">
        <v>51107.8</v>
      </c>
      <c r="O121" s="70">
        <v>4273.53</v>
      </c>
      <c r="P121" s="82">
        <f t="shared" si="21"/>
        <v>-5.2744676694665982E-3</v>
      </c>
      <c r="Q121" s="83">
        <f t="shared" si="22"/>
        <v>4.0961223375206579E-3</v>
      </c>
      <c r="R121" s="83">
        <f t="shared" si="23"/>
        <v>-8.6206896551723755E-3</v>
      </c>
      <c r="S121" s="83">
        <f t="shared" si="24"/>
        <v>2.2971262481834565E-3</v>
      </c>
      <c r="T121" s="83">
        <f t="shared" si="25"/>
        <v>-5.1697530864197705E-2</v>
      </c>
      <c r="U121" s="83">
        <f t="shared" si="26"/>
        <v>-1.230160018176496E-2</v>
      </c>
      <c r="V121" s="83">
        <f t="shared" si="27"/>
        <v>-4.0298621162489612E-2</v>
      </c>
      <c r="W121" s="84">
        <f t="shared" si="28"/>
        <v>-1.1619903639823459E-2</v>
      </c>
      <c r="X121" s="89">
        <f t="shared" si="29"/>
        <v>-5.0549511305405526E-3</v>
      </c>
      <c r="Y121" s="89">
        <f t="shared" si="30"/>
        <v>-1.473449776826885E-2</v>
      </c>
    </row>
    <row r="122" spans="1:25" x14ac:dyDescent="0.25">
      <c r="A122" s="2">
        <f t="shared" si="18"/>
        <v>119</v>
      </c>
      <c r="B122" s="58">
        <v>45194</v>
      </c>
      <c r="C122" s="59">
        <f t="shared" si="19"/>
        <v>2023</v>
      </c>
      <c r="D122" s="59">
        <f t="shared" si="20"/>
        <v>9</v>
      </c>
      <c r="E122" s="54">
        <v>17.389299999999999</v>
      </c>
      <c r="F122" s="63">
        <v>51.19</v>
      </c>
      <c r="G122" s="64">
        <v>36.619999999999997</v>
      </c>
      <c r="H122" s="64">
        <v>11.6</v>
      </c>
      <c r="I122" s="64">
        <v>213.31</v>
      </c>
      <c r="J122" s="64">
        <v>12.96</v>
      </c>
      <c r="K122" s="64">
        <v>308.08999999999997</v>
      </c>
      <c r="L122" s="64">
        <v>131.27000000000001</v>
      </c>
      <c r="M122" s="65">
        <v>246.99</v>
      </c>
      <c r="N122" s="70">
        <v>51367.46</v>
      </c>
      <c r="O122" s="70">
        <v>4337.4399999999996</v>
      </c>
      <c r="P122" s="82">
        <f t="shared" si="21"/>
        <v>-6.019417475728206E-3</v>
      </c>
      <c r="Q122" s="83">
        <f t="shared" si="22"/>
        <v>-2.1798365122617236E-3</v>
      </c>
      <c r="R122" s="83">
        <f t="shared" si="23"/>
        <v>6.9444444444444198E-3</v>
      </c>
      <c r="S122" s="83">
        <f t="shared" si="24"/>
        <v>-2.1334189759588895E-2</v>
      </c>
      <c r="T122" s="83">
        <f t="shared" si="25"/>
        <v>-5.1938551572787039E-2</v>
      </c>
      <c r="U122" s="83">
        <f t="shared" si="26"/>
        <v>1.1324842436974736E-2</v>
      </c>
      <c r="V122" s="83">
        <f t="shared" si="27"/>
        <v>1.6651177199504374E-2</v>
      </c>
      <c r="W122" s="84">
        <f t="shared" si="28"/>
        <v>8.6164652074485204E-3</v>
      </c>
      <c r="X122" s="89">
        <f t="shared" si="29"/>
        <v>-5.999131536599811E-3</v>
      </c>
      <c r="Y122" s="89">
        <f t="shared" si="30"/>
        <v>4.0230922718664797E-3</v>
      </c>
    </row>
    <row r="123" spans="1:25" x14ac:dyDescent="0.25">
      <c r="A123" s="2">
        <f t="shared" si="18"/>
        <v>120</v>
      </c>
      <c r="B123" s="58">
        <v>45191</v>
      </c>
      <c r="C123" s="59">
        <f t="shared" si="19"/>
        <v>2023</v>
      </c>
      <c r="D123" s="59">
        <f t="shared" si="20"/>
        <v>9</v>
      </c>
      <c r="E123" s="54">
        <v>17.198899999999998</v>
      </c>
      <c r="F123" s="63">
        <v>51.5</v>
      </c>
      <c r="G123" s="64">
        <v>36.700000000000003</v>
      </c>
      <c r="H123" s="64">
        <v>11.52</v>
      </c>
      <c r="I123" s="64">
        <v>217.96</v>
      </c>
      <c r="J123" s="64">
        <v>13.67</v>
      </c>
      <c r="K123" s="64">
        <v>304.64</v>
      </c>
      <c r="L123" s="64">
        <v>129.12</v>
      </c>
      <c r="M123" s="65">
        <v>244.88</v>
      </c>
      <c r="N123" s="70">
        <v>51677.48</v>
      </c>
      <c r="O123" s="70">
        <v>4320.0600000000004</v>
      </c>
      <c r="P123" s="82">
        <f t="shared" si="21"/>
        <v>-4.2536736272235087E-3</v>
      </c>
      <c r="Q123" s="83">
        <f t="shared" si="22"/>
        <v>7.4114740598407725E-3</v>
      </c>
      <c r="R123" s="83">
        <f t="shared" si="23"/>
        <v>-2.0408163265306145E-2</v>
      </c>
      <c r="S123" s="83">
        <f t="shared" si="24"/>
        <v>-1.3934129569308618E-2</v>
      </c>
      <c r="T123" s="83">
        <f t="shared" si="25"/>
        <v>-5.0034746351633075E-2</v>
      </c>
      <c r="U123" s="83">
        <f t="shared" si="26"/>
        <v>-8.1396106010288571E-3</v>
      </c>
      <c r="V123" s="83">
        <f t="shared" si="27"/>
        <v>-1.6237531895152424E-3</v>
      </c>
      <c r="W123" s="84">
        <f t="shared" si="28"/>
        <v>-4.2315213140398877E-2</v>
      </c>
      <c r="X123" s="89">
        <f t="shared" si="29"/>
        <v>-5.322592038612628E-3</v>
      </c>
      <c r="Y123" s="89">
        <f t="shared" si="30"/>
        <v>-2.2956120092377796E-3</v>
      </c>
    </row>
    <row r="124" spans="1:25" x14ac:dyDescent="0.25">
      <c r="A124" s="2">
        <f t="shared" si="18"/>
        <v>121</v>
      </c>
      <c r="B124" s="58">
        <v>45190</v>
      </c>
      <c r="C124" s="59">
        <f t="shared" si="19"/>
        <v>2023</v>
      </c>
      <c r="D124" s="59">
        <f t="shared" si="20"/>
        <v>9</v>
      </c>
      <c r="E124" s="54">
        <v>17.224</v>
      </c>
      <c r="F124" s="63">
        <v>51.72</v>
      </c>
      <c r="G124" s="64">
        <v>36.43</v>
      </c>
      <c r="H124" s="64">
        <v>11.76</v>
      </c>
      <c r="I124" s="64">
        <v>221.04</v>
      </c>
      <c r="J124" s="64">
        <v>14.39</v>
      </c>
      <c r="K124" s="64">
        <v>307.14</v>
      </c>
      <c r="L124" s="64">
        <v>129.33000000000001</v>
      </c>
      <c r="M124" s="65">
        <v>255.7</v>
      </c>
      <c r="N124" s="70">
        <v>51954.01</v>
      </c>
      <c r="O124" s="70">
        <v>4330</v>
      </c>
      <c r="P124" s="82">
        <f t="shared" si="21"/>
        <v>-1.0522288119380274E-2</v>
      </c>
      <c r="Q124" s="83">
        <f t="shared" si="22"/>
        <v>-1.9116855142703337E-2</v>
      </c>
      <c r="R124" s="83">
        <f t="shared" si="23"/>
        <v>-3.6855036855036993E-2</v>
      </c>
      <c r="S124" s="83">
        <f t="shared" si="24"/>
        <v>-7.8103959062753026E-3</v>
      </c>
      <c r="T124" s="83">
        <f t="shared" si="25"/>
        <v>-3.4875922199865794E-2</v>
      </c>
      <c r="U124" s="83">
        <f t="shared" si="26"/>
        <v>-3.2452781203349268E-3</v>
      </c>
      <c r="V124" s="83">
        <f t="shared" si="27"/>
        <v>-4.4053514672185545E-2</v>
      </c>
      <c r="W124" s="84">
        <f t="shared" si="28"/>
        <v>-2.6238622948322465E-2</v>
      </c>
      <c r="X124" s="89">
        <f t="shared" si="29"/>
        <v>-1.0536072841778155E-2</v>
      </c>
      <c r="Y124" s="89">
        <f t="shared" si="30"/>
        <v>-1.6400890463858953E-2</v>
      </c>
    </row>
    <row r="125" spans="1:25" x14ac:dyDescent="0.25">
      <c r="A125" s="2">
        <f t="shared" si="18"/>
        <v>122</v>
      </c>
      <c r="B125" s="58">
        <v>45189</v>
      </c>
      <c r="C125" s="59">
        <f t="shared" si="19"/>
        <v>2023</v>
      </c>
      <c r="D125" s="59">
        <f t="shared" si="20"/>
        <v>9</v>
      </c>
      <c r="E125" s="54">
        <v>17.087900000000001</v>
      </c>
      <c r="F125" s="63">
        <v>52.27</v>
      </c>
      <c r="G125" s="64">
        <v>37.14</v>
      </c>
      <c r="H125" s="64">
        <v>12.21</v>
      </c>
      <c r="I125" s="64">
        <v>222.78</v>
      </c>
      <c r="J125" s="64">
        <v>14.91</v>
      </c>
      <c r="K125" s="64">
        <v>308.14</v>
      </c>
      <c r="L125" s="64">
        <v>135.29</v>
      </c>
      <c r="M125" s="65">
        <v>262.58999999999997</v>
      </c>
      <c r="N125" s="70">
        <v>52507.23</v>
      </c>
      <c r="O125" s="70">
        <v>4402.2</v>
      </c>
      <c r="P125" s="82">
        <f t="shared" si="21"/>
        <v>5.1923076923077183E-3</v>
      </c>
      <c r="Q125" s="83">
        <f t="shared" si="22"/>
        <v>4.0627626786214677E-2</v>
      </c>
      <c r="R125" s="83">
        <f t="shared" si="23"/>
        <v>-3.2653061224489077E-3</v>
      </c>
      <c r="S125" s="83">
        <f t="shared" si="24"/>
        <v>8.985533291401282E-4</v>
      </c>
      <c r="T125" s="83">
        <f t="shared" si="25"/>
        <v>2.0533880903490731E-2</v>
      </c>
      <c r="U125" s="83">
        <f t="shared" si="26"/>
        <v>-2.8154428659267206E-3</v>
      </c>
      <c r="V125" s="83">
        <f t="shared" si="27"/>
        <v>-1.7002107098743058E-2</v>
      </c>
      <c r="W125" s="84">
        <f t="shared" si="28"/>
        <v>-1.4671669793621112E-2</v>
      </c>
      <c r="X125" s="89">
        <f t="shared" si="29"/>
        <v>5.5050042359443552E-3</v>
      </c>
      <c r="Y125" s="89">
        <f t="shared" si="30"/>
        <v>-9.3947951709627553E-3</v>
      </c>
    </row>
    <row r="126" spans="1:25" x14ac:dyDescent="0.25">
      <c r="A126" s="2">
        <f t="shared" si="18"/>
        <v>123</v>
      </c>
      <c r="B126" s="58">
        <v>45188</v>
      </c>
      <c r="C126" s="59">
        <f t="shared" si="19"/>
        <v>2023</v>
      </c>
      <c r="D126" s="59">
        <f t="shared" si="20"/>
        <v>9</v>
      </c>
      <c r="E126" s="54">
        <v>17.077400000000001</v>
      </c>
      <c r="F126" s="63">
        <v>52</v>
      </c>
      <c r="G126" s="64">
        <v>35.69</v>
      </c>
      <c r="H126" s="64">
        <v>12.25</v>
      </c>
      <c r="I126" s="64">
        <v>222.58</v>
      </c>
      <c r="J126" s="64">
        <v>14.61</v>
      </c>
      <c r="K126" s="64">
        <v>309.01</v>
      </c>
      <c r="L126" s="64">
        <v>137.63</v>
      </c>
      <c r="M126" s="65">
        <v>266.5</v>
      </c>
      <c r="N126" s="70">
        <v>52219.76</v>
      </c>
      <c r="O126" s="70">
        <v>4443.95</v>
      </c>
      <c r="P126" s="82">
        <f t="shared" si="21"/>
        <v>1.0493587252234704E-2</v>
      </c>
      <c r="Q126" s="83">
        <f t="shared" si="22"/>
        <v>-8.060033351862117E-3</v>
      </c>
      <c r="R126" s="83">
        <f t="shared" si="23"/>
        <v>2.7684563758389347E-2</v>
      </c>
      <c r="S126" s="83">
        <f t="shared" si="24"/>
        <v>1.6200162001620555E-3</v>
      </c>
      <c r="T126" s="83">
        <f t="shared" si="25"/>
        <v>-4.0899795501022629E-3</v>
      </c>
      <c r="U126" s="83">
        <f t="shared" si="26"/>
        <v>1.718101659750948E-3</v>
      </c>
      <c r="V126" s="83">
        <f t="shared" si="27"/>
        <v>-1.6788112587512449E-2</v>
      </c>
      <c r="W126" s="84">
        <f t="shared" si="28"/>
        <v>4.5989143546443234E-3</v>
      </c>
      <c r="X126" s="89">
        <f t="shared" si="29"/>
        <v>1.0340462309309961E-2</v>
      </c>
      <c r="Y126" s="89">
        <f t="shared" si="30"/>
        <v>-2.1511026084926055E-3</v>
      </c>
    </row>
    <row r="127" spans="1:25" x14ac:dyDescent="0.25">
      <c r="A127" s="2">
        <f t="shared" si="18"/>
        <v>124</v>
      </c>
      <c r="B127" s="58">
        <v>45187</v>
      </c>
      <c r="C127" s="59">
        <f t="shared" si="19"/>
        <v>2023</v>
      </c>
      <c r="D127" s="59">
        <f t="shared" si="20"/>
        <v>9</v>
      </c>
      <c r="E127" s="54">
        <v>17.131</v>
      </c>
      <c r="F127" s="63">
        <v>51.46</v>
      </c>
      <c r="G127" s="64">
        <v>35.979999999999997</v>
      </c>
      <c r="H127" s="64">
        <v>11.92</v>
      </c>
      <c r="I127" s="64">
        <v>222.22</v>
      </c>
      <c r="J127" s="64">
        <v>14.67</v>
      </c>
      <c r="K127" s="64">
        <v>308.48</v>
      </c>
      <c r="L127" s="64">
        <v>139.97999999999999</v>
      </c>
      <c r="M127" s="65">
        <v>265.27999999999997</v>
      </c>
      <c r="N127" s="70">
        <v>51685.31</v>
      </c>
      <c r="O127" s="70">
        <v>4453.53</v>
      </c>
      <c r="P127" s="82">
        <f t="shared" si="21"/>
        <v>5.8639562157936087E-3</v>
      </c>
      <c r="Q127" s="83">
        <f t="shared" si="22"/>
        <v>5.3087454596254524E-3</v>
      </c>
      <c r="R127" s="83">
        <f t="shared" si="23"/>
        <v>1.8803418803418959E-2</v>
      </c>
      <c r="S127" s="83">
        <f t="shared" si="24"/>
        <v>2.255096518130939E-3</v>
      </c>
      <c r="T127" s="83">
        <f t="shared" si="25"/>
        <v>-5.1712992889463516E-2</v>
      </c>
      <c r="U127" s="83">
        <f t="shared" si="26"/>
        <v>-1.4031386837983773E-2</v>
      </c>
      <c r="V127" s="83">
        <f t="shared" si="27"/>
        <v>-2.9204359284848991E-3</v>
      </c>
      <c r="W127" s="84">
        <f t="shared" si="28"/>
        <v>-3.3200918400816404E-2</v>
      </c>
      <c r="X127" s="89">
        <f t="shared" si="29"/>
        <v>6.4985316913201974E-3</v>
      </c>
      <c r="Y127" s="89">
        <f t="shared" si="30"/>
        <v>7.2129644609830734E-4</v>
      </c>
    </row>
    <row r="128" spans="1:25" x14ac:dyDescent="0.25">
      <c r="A128" s="2">
        <f t="shared" si="18"/>
        <v>125</v>
      </c>
      <c r="B128" s="58">
        <v>45184</v>
      </c>
      <c r="C128" s="59">
        <f t="shared" si="19"/>
        <v>2023</v>
      </c>
      <c r="D128" s="59">
        <f t="shared" si="20"/>
        <v>9</v>
      </c>
      <c r="E128" s="54">
        <v>17.064</v>
      </c>
      <c r="F128" s="63">
        <v>51.16</v>
      </c>
      <c r="G128" s="64">
        <v>35.79</v>
      </c>
      <c r="H128" s="64">
        <v>11.7</v>
      </c>
      <c r="I128" s="64">
        <v>221.72</v>
      </c>
      <c r="J128" s="64">
        <v>15.47</v>
      </c>
      <c r="K128" s="64">
        <v>312.87</v>
      </c>
      <c r="L128" s="64">
        <v>140.38999999999999</v>
      </c>
      <c r="M128" s="65">
        <v>274.39</v>
      </c>
      <c r="N128" s="70">
        <v>51351.6</v>
      </c>
      <c r="O128" s="70">
        <v>4450.32</v>
      </c>
      <c r="P128" s="82">
        <f t="shared" si="21"/>
        <v>-5.2498541707175495E-3</v>
      </c>
      <c r="Q128" s="83">
        <f t="shared" si="22"/>
        <v>1.9596864501680855E-3</v>
      </c>
      <c r="R128" s="83">
        <f t="shared" si="23"/>
        <v>-3.4071550255537764E-3</v>
      </c>
      <c r="S128" s="83">
        <f t="shared" si="24"/>
        <v>1.6597890875745147E-2</v>
      </c>
      <c r="T128" s="83">
        <f t="shared" si="25"/>
        <v>-4.9754299754299791E-2</v>
      </c>
      <c r="U128" s="83">
        <f t="shared" si="26"/>
        <v>7.2111515307600182E-3</v>
      </c>
      <c r="V128" s="83">
        <f t="shared" si="27"/>
        <v>-2.9919845218352781E-2</v>
      </c>
      <c r="W128" s="84">
        <f t="shared" si="28"/>
        <v>-5.9773945804957318E-3</v>
      </c>
      <c r="X128" s="89">
        <f t="shared" si="29"/>
        <v>-7.8074522448551287E-3</v>
      </c>
      <c r="Y128" s="89">
        <f t="shared" si="30"/>
        <v>-1.2159552507158722E-2</v>
      </c>
    </row>
    <row r="129" spans="1:25" x14ac:dyDescent="0.25">
      <c r="A129" s="2">
        <f t="shared" si="18"/>
        <v>126</v>
      </c>
      <c r="B129" s="58">
        <v>45183</v>
      </c>
      <c r="C129" s="59">
        <f t="shared" si="19"/>
        <v>2023</v>
      </c>
      <c r="D129" s="59">
        <f t="shared" si="20"/>
        <v>9</v>
      </c>
      <c r="E129" s="54">
        <v>17.103999999999999</v>
      </c>
      <c r="F129" s="63">
        <v>51.43</v>
      </c>
      <c r="G129" s="64">
        <v>35.72</v>
      </c>
      <c r="H129" s="64">
        <v>11.74</v>
      </c>
      <c r="I129" s="64">
        <v>218.1</v>
      </c>
      <c r="J129" s="64">
        <v>16.28</v>
      </c>
      <c r="K129" s="64">
        <v>310.63</v>
      </c>
      <c r="L129" s="64">
        <v>144.72</v>
      </c>
      <c r="M129" s="65">
        <v>276.04000000000002</v>
      </c>
      <c r="N129" s="70">
        <v>51755.68</v>
      </c>
      <c r="O129" s="70">
        <v>4505.1000000000004</v>
      </c>
      <c r="P129" s="82">
        <f t="shared" si="21"/>
        <v>2.1434138737335129E-3</v>
      </c>
      <c r="Q129" s="83">
        <f t="shared" si="22"/>
        <v>-1.3259668508287414E-2</v>
      </c>
      <c r="R129" s="83">
        <f t="shared" si="23"/>
        <v>-9.2827004219409037E-3</v>
      </c>
      <c r="S129" s="83">
        <f t="shared" si="24"/>
        <v>3.5071899767452841E-2</v>
      </c>
      <c r="T129" s="83">
        <f t="shared" si="25"/>
        <v>5.5589870290302379E-3</v>
      </c>
      <c r="U129" s="83">
        <f t="shared" si="26"/>
        <v>6.1542448093803159E-3</v>
      </c>
      <c r="V129" s="83">
        <f t="shared" si="27"/>
        <v>-8.9748015188118035E-4</v>
      </c>
      <c r="W129" s="84">
        <f t="shared" si="28"/>
        <v>1.7471433837080719E-2</v>
      </c>
      <c r="X129" s="89">
        <f t="shared" si="29"/>
        <v>4.5320287301506834E-3</v>
      </c>
      <c r="Y129" s="89">
        <f t="shared" si="30"/>
        <v>8.4298837813157057E-3</v>
      </c>
    </row>
    <row r="130" spans="1:25" x14ac:dyDescent="0.25">
      <c r="A130" s="2">
        <f t="shared" si="18"/>
        <v>127</v>
      </c>
      <c r="B130" s="58">
        <v>45182</v>
      </c>
      <c r="C130" s="59">
        <f t="shared" si="19"/>
        <v>2023</v>
      </c>
      <c r="D130" s="59">
        <f t="shared" si="20"/>
        <v>9</v>
      </c>
      <c r="E130" s="54">
        <v>17.146999999999998</v>
      </c>
      <c r="F130" s="63">
        <v>51.32</v>
      </c>
      <c r="G130" s="64">
        <v>36.200000000000003</v>
      </c>
      <c r="H130" s="64">
        <v>11.85</v>
      </c>
      <c r="I130" s="64">
        <v>210.71</v>
      </c>
      <c r="J130" s="64">
        <v>16.190000000000001</v>
      </c>
      <c r="K130" s="64">
        <v>308.73</v>
      </c>
      <c r="L130" s="64">
        <v>144.85</v>
      </c>
      <c r="M130" s="65">
        <v>271.3</v>
      </c>
      <c r="N130" s="70">
        <v>51522.18</v>
      </c>
      <c r="O130" s="70">
        <v>4467.4399999999996</v>
      </c>
      <c r="P130" s="82">
        <f t="shared" si="21"/>
        <v>-6.5814943863723441E-3</v>
      </c>
      <c r="Q130" s="83">
        <f t="shared" si="22"/>
        <v>-3.3039647577092213E-3</v>
      </c>
      <c r="R130" s="83">
        <f t="shared" si="23"/>
        <v>-9.1973244147157684E-3</v>
      </c>
      <c r="S130" s="83">
        <f t="shared" si="24"/>
        <v>-2.6788600988406963E-2</v>
      </c>
      <c r="T130" s="83">
        <f t="shared" si="25"/>
        <v>-5.8173356602675974E-2</v>
      </c>
      <c r="U130" s="83">
        <f t="shared" si="26"/>
        <v>-9.3845058572250561E-4</v>
      </c>
      <c r="V130" s="83">
        <f t="shared" si="27"/>
        <v>2.5631947886426421E-2</v>
      </c>
      <c r="W130" s="84">
        <f t="shared" si="28"/>
        <v>1.4281441603110512E-2</v>
      </c>
      <c r="X130" s="89">
        <f t="shared" si="29"/>
        <v>-6.5226969684990532E-3</v>
      </c>
      <c r="Y130" s="89">
        <f t="shared" si="30"/>
        <v>1.2416235236110129E-3</v>
      </c>
    </row>
    <row r="131" spans="1:25" x14ac:dyDescent="0.25">
      <c r="A131" s="2">
        <f t="shared" si="18"/>
        <v>128</v>
      </c>
      <c r="B131" s="58">
        <v>45181</v>
      </c>
      <c r="C131" s="59">
        <f t="shared" si="19"/>
        <v>2023</v>
      </c>
      <c r="D131" s="59">
        <f t="shared" si="20"/>
        <v>9</v>
      </c>
      <c r="E131" s="54">
        <v>17.199000000000002</v>
      </c>
      <c r="F131" s="63">
        <v>51.66</v>
      </c>
      <c r="G131" s="64">
        <v>36.32</v>
      </c>
      <c r="H131" s="64">
        <v>11.96</v>
      </c>
      <c r="I131" s="64">
        <v>216.51</v>
      </c>
      <c r="J131" s="64">
        <v>17.190000000000001</v>
      </c>
      <c r="K131" s="64">
        <v>309.02</v>
      </c>
      <c r="L131" s="64">
        <v>141.22999999999999</v>
      </c>
      <c r="M131" s="65">
        <v>267.48</v>
      </c>
      <c r="N131" s="70">
        <v>51860.45</v>
      </c>
      <c r="O131" s="70">
        <v>4461.8999999999996</v>
      </c>
      <c r="P131" s="82">
        <f t="shared" si="21"/>
        <v>-7.1112819527197058E-3</v>
      </c>
      <c r="Q131" s="83">
        <f t="shared" si="22"/>
        <v>-8.1922446750408717E-3</v>
      </c>
      <c r="R131" s="83">
        <f t="shared" si="23"/>
        <v>-2.1276595744680882E-2</v>
      </c>
      <c r="S131" s="83">
        <f t="shared" si="24"/>
        <v>-2.9842720795805855E-2</v>
      </c>
      <c r="T131" s="83">
        <f t="shared" si="25"/>
        <v>-9.7926267281105428E-3</v>
      </c>
      <c r="U131" s="83">
        <f t="shared" si="26"/>
        <v>6.1522520480528087E-4</v>
      </c>
      <c r="V131" s="83">
        <f t="shared" si="27"/>
        <v>-1.3067784765897983E-2</v>
      </c>
      <c r="W131" s="84">
        <f t="shared" si="28"/>
        <v>-2.229695153154454E-2</v>
      </c>
      <c r="X131" s="89">
        <f t="shared" si="29"/>
        <v>-7.7876324269636754E-3</v>
      </c>
      <c r="Y131" s="89">
        <f t="shared" si="30"/>
        <v>-5.6958724980279429E-3</v>
      </c>
    </row>
    <row r="132" spans="1:25" x14ac:dyDescent="0.25">
      <c r="A132" s="2">
        <f t="shared" ref="A132:A195" si="31">+A133-1</f>
        <v>129</v>
      </c>
      <c r="B132" s="58">
        <v>45180</v>
      </c>
      <c r="C132" s="59">
        <f t="shared" ref="C132:C195" si="32">+YEAR(B132)</f>
        <v>2023</v>
      </c>
      <c r="D132" s="59">
        <f t="shared" ref="D132:D195" si="33">+MONTH(B132)</f>
        <v>9</v>
      </c>
      <c r="E132" s="54">
        <v>17.265000000000001</v>
      </c>
      <c r="F132" s="63">
        <v>52.03</v>
      </c>
      <c r="G132" s="64">
        <v>36.619999999999997</v>
      </c>
      <c r="H132" s="64">
        <v>12.22</v>
      </c>
      <c r="I132" s="64">
        <v>223.17</v>
      </c>
      <c r="J132" s="64">
        <v>17.36</v>
      </c>
      <c r="K132" s="64">
        <v>308.83</v>
      </c>
      <c r="L132" s="64">
        <v>143.1</v>
      </c>
      <c r="M132" s="65">
        <v>273.58</v>
      </c>
      <c r="N132" s="70">
        <v>52267.49</v>
      </c>
      <c r="O132" s="70">
        <v>4487.46</v>
      </c>
      <c r="P132" s="82">
        <f t="shared" si="21"/>
        <v>-4.9722700325109948E-3</v>
      </c>
      <c r="Q132" s="83">
        <f t="shared" si="22"/>
        <v>-1.0002703433360516E-2</v>
      </c>
      <c r="R132" s="83">
        <f t="shared" si="23"/>
        <v>-3.9308176100628978E-2</v>
      </c>
      <c r="S132" s="83">
        <f t="shared" si="24"/>
        <v>-1.8946720590821142E-2</v>
      </c>
      <c r="T132" s="83">
        <f t="shared" si="25"/>
        <v>-4.0883977900552648E-2</v>
      </c>
      <c r="U132" s="83">
        <f t="shared" si="26"/>
        <v>1.4267648107915143E-3</v>
      </c>
      <c r="V132" s="83">
        <f t="shared" si="27"/>
        <v>3.5231136511611139E-2</v>
      </c>
      <c r="W132" s="84">
        <f t="shared" si="28"/>
        <v>0.10092555331991937</v>
      </c>
      <c r="X132" s="89">
        <f t="shared" si="29"/>
        <v>-4.5256547410338355E-3</v>
      </c>
      <c r="Y132" s="89">
        <f t="shared" si="30"/>
        <v>6.7235148031741243E-3</v>
      </c>
    </row>
    <row r="133" spans="1:25" x14ac:dyDescent="0.25">
      <c r="A133" s="2">
        <f t="shared" si="31"/>
        <v>130</v>
      </c>
      <c r="B133" s="58">
        <v>45177</v>
      </c>
      <c r="C133" s="59">
        <f t="shared" si="32"/>
        <v>2023</v>
      </c>
      <c r="D133" s="59">
        <f t="shared" si="33"/>
        <v>9</v>
      </c>
      <c r="E133" s="54">
        <v>17.577000000000002</v>
      </c>
      <c r="F133" s="63">
        <v>52.29</v>
      </c>
      <c r="G133" s="64">
        <v>36.99</v>
      </c>
      <c r="H133" s="64">
        <v>12.72</v>
      </c>
      <c r="I133" s="64">
        <v>227.48</v>
      </c>
      <c r="J133" s="64">
        <v>18.100000000000001</v>
      </c>
      <c r="K133" s="64">
        <v>308.39</v>
      </c>
      <c r="L133" s="64">
        <v>138.22999999999999</v>
      </c>
      <c r="M133" s="65">
        <v>248.5</v>
      </c>
      <c r="N133" s="70">
        <v>52505.11</v>
      </c>
      <c r="O133" s="70">
        <v>4457.49</v>
      </c>
      <c r="P133" s="82">
        <f t="shared" ref="P133:P196" si="34">F133/F134-1</f>
        <v>1.9127773527150005E-4</v>
      </c>
      <c r="Q133" s="83">
        <f t="shared" ref="Q133:Q196" si="35">G133/G134-1</f>
        <v>9.5524017467250033E-3</v>
      </c>
      <c r="R133" s="83">
        <f t="shared" ref="R133:R196" si="36">H133/H134-1</f>
        <v>-2.304147465437778E-2</v>
      </c>
      <c r="S133" s="83">
        <f t="shared" ref="S133:S196" si="37">I133/I134-1</f>
        <v>8.7927547700594744E-5</v>
      </c>
      <c r="T133" s="83">
        <f t="shared" ref="T133:T196" si="38">J133/J134-1</f>
        <v>0.12282878411910669</v>
      </c>
      <c r="U133" s="83">
        <f t="shared" ref="U133:U196" si="39">K133/K134-1</f>
        <v>1.879748926329694E-2</v>
      </c>
      <c r="V133" s="83">
        <f t="shared" ref="V133:V196" si="40">L133/L134-1</f>
        <v>2.7566195139643312E-3</v>
      </c>
      <c r="W133" s="84">
        <f t="shared" ref="W133:W196" si="41">M133/M134-1</f>
        <v>-1.1889140721301095E-2</v>
      </c>
      <c r="X133" s="89">
        <f t="shared" ref="X133:X196" si="42">N133/N134-1</f>
        <v>4.2185112618442488E-4</v>
      </c>
      <c r="Y133" s="89">
        <f t="shared" ref="Y133:Y196" si="43">O133/O134-1</f>
        <v>1.4266008258556617E-3</v>
      </c>
    </row>
    <row r="134" spans="1:25" x14ac:dyDescent="0.25">
      <c r="A134" s="2">
        <f t="shared" si="31"/>
        <v>131</v>
      </c>
      <c r="B134" s="58">
        <v>45176</v>
      </c>
      <c r="C134" s="59">
        <f t="shared" si="32"/>
        <v>2023</v>
      </c>
      <c r="D134" s="59">
        <f t="shared" si="33"/>
        <v>9</v>
      </c>
      <c r="E134" s="54">
        <v>17.574000000000002</v>
      </c>
      <c r="F134" s="63">
        <v>52.28</v>
      </c>
      <c r="G134" s="64">
        <v>36.64</v>
      </c>
      <c r="H134" s="64">
        <v>13.02</v>
      </c>
      <c r="I134" s="64">
        <v>227.46</v>
      </c>
      <c r="J134" s="64">
        <v>16.12</v>
      </c>
      <c r="K134" s="64">
        <v>302.7</v>
      </c>
      <c r="L134" s="64">
        <v>137.85</v>
      </c>
      <c r="M134" s="65">
        <v>251.49</v>
      </c>
      <c r="N134" s="70">
        <v>52482.97</v>
      </c>
      <c r="O134" s="70">
        <v>4451.1400000000003</v>
      </c>
      <c r="P134" s="82">
        <f t="shared" si="34"/>
        <v>-9.4732853353542978E-3</v>
      </c>
      <c r="Q134" s="83">
        <f t="shared" si="35"/>
        <v>-7.3150907613112048E-3</v>
      </c>
      <c r="R134" s="83">
        <f t="shared" si="36"/>
        <v>-2.1788129226145814E-2</v>
      </c>
      <c r="S134" s="83">
        <f t="shared" si="37"/>
        <v>4.3965706748805289E-5</v>
      </c>
      <c r="T134" s="83">
        <f t="shared" si="38"/>
        <v>-6.7775723967959944E-3</v>
      </c>
      <c r="U134" s="83">
        <f t="shared" si="39"/>
        <v>1.2238282671253042E-3</v>
      </c>
      <c r="V134" s="83">
        <f t="shared" si="40"/>
        <v>1.8395390070921946E-2</v>
      </c>
      <c r="W134" s="84">
        <f t="shared" si="41"/>
        <v>-1.7068910765321021E-3</v>
      </c>
      <c r="X134" s="89">
        <f t="shared" si="42"/>
        <v>-9.2167081766523218E-3</v>
      </c>
      <c r="Y134" s="89">
        <f t="shared" si="43"/>
        <v>-3.2113009127796577E-3</v>
      </c>
    </row>
    <row r="135" spans="1:25" x14ac:dyDescent="0.25">
      <c r="A135" s="2">
        <f t="shared" si="31"/>
        <v>132</v>
      </c>
      <c r="B135" s="58">
        <v>45175</v>
      </c>
      <c r="C135" s="59">
        <f t="shared" si="32"/>
        <v>2023</v>
      </c>
      <c r="D135" s="59">
        <f t="shared" si="33"/>
        <v>9</v>
      </c>
      <c r="E135" s="54">
        <v>17.553000000000001</v>
      </c>
      <c r="F135" s="63">
        <v>52.78</v>
      </c>
      <c r="G135" s="64">
        <v>36.909999999999997</v>
      </c>
      <c r="H135" s="64">
        <v>13.31</v>
      </c>
      <c r="I135" s="64">
        <v>227.45</v>
      </c>
      <c r="J135" s="64">
        <v>16.23</v>
      </c>
      <c r="K135" s="64">
        <v>302.33</v>
      </c>
      <c r="L135" s="64">
        <v>135.36000000000001</v>
      </c>
      <c r="M135" s="65">
        <v>251.92</v>
      </c>
      <c r="N135" s="70">
        <v>52971.19</v>
      </c>
      <c r="O135" s="70">
        <v>4465.4799999999996</v>
      </c>
      <c r="P135" s="82">
        <f t="shared" si="34"/>
        <v>1.5180265654648473E-3</v>
      </c>
      <c r="Q135" s="83">
        <f t="shared" si="35"/>
        <v>9.5733041575489786E-3</v>
      </c>
      <c r="R135" s="83">
        <f t="shared" si="36"/>
        <v>-1.2611275964391711E-2</v>
      </c>
      <c r="S135" s="83">
        <f t="shared" si="37"/>
        <v>-1.2589537660082528E-2</v>
      </c>
      <c r="T135" s="83">
        <f t="shared" si="38"/>
        <v>2.4706609017912662E-3</v>
      </c>
      <c r="U135" s="83">
        <f t="shared" si="39"/>
        <v>-1.630116483373456E-2</v>
      </c>
      <c r="V135" s="83">
        <f t="shared" si="40"/>
        <v>-1.3914183725504459E-2</v>
      </c>
      <c r="W135" s="84">
        <f t="shared" si="41"/>
        <v>-1.7817458770322481E-2</v>
      </c>
      <c r="X135" s="89">
        <f t="shared" si="42"/>
        <v>7.3093090256470816E-4</v>
      </c>
      <c r="Y135" s="89">
        <f t="shared" si="43"/>
        <v>-6.9715777558858605E-3</v>
      </c>
    </row>
    <row r="136" spans="1:25" x14ac:dyDescent="0.25">
      <c r="A136" s="2">
        <f t="shared" si="31"/>
        <v>133</v>
      </c>
      <c r="B136" s="58">
        <v>45174</v>
      </c>
      <c r="C136" s="59">
        <f t="shared" si="32"/>
        <v>2023</v>
      </c>
      <c r="D136" s="59">
        <f t="shared" si="33"/>
        <v>9</v>
      </c>
      <c r="E136" s="54">
        <v>17.405999999999999</v>
      </c>
      <c r="F136" s="63">
        <v>52.7</v>
      </c>
      <c r="G136" s="64">
        <v>36.56</v>
      </c>
      <c r="H136" s="64">
        <v>13.48</v>
      </c>
      <c r="I136" s="64">
        <v>230.35</v>
      </c>
      <c r="J136" s="64">
        <v>16.190000000000001</v>
      </c>
      <c r="K136" s="64">
        <v>307.33999999999997</v>
      </c>
      <c r="L136" s="64">
        <v>137.27000000000001</v>
      </c>
      <c r="M136" s="65">
        <v>256.49</v>
      </c>
      <c r="N136" s="70">
        <v>52932.5</v>
      </c>
      <c r="O136" s="70">
        <v>4496.83</v>
      </c>
      <c r="P136" s="82">
        <f t="shared" si="34"/>
        <v>-2.0829388373414526E-3</v>
      </c>
      <c r="Q136" s="83">
        <f t="shared" si="35"/>
        <v>-2.0364415862808127E-2</v>
      </c>
      <c r="R136" s="83">
        <f t="shared" si="36"/>
        <v>-2.0348837209302251E-2</v>
      </c>
      <c r="S136" s="83">
        <f t="shared" si="37"/>
        <v>-2.522110786678522E-2</v>
      </c>
      <c r="T136" s="83">
        <f t="shared" si="38"/>
        <v>-2.5285972305839732E-2</v>
      </c>
      <c r="U136" s="83">
        <f t="shared" si="39"/>
        <v>4.3462631940132113E-3</v>
      </c>
      <c r="V136" s="83">
        <f t="shared" si="40"/>
        <v>-6.1540689255719094E-3</v>
      </c>
      <c r="W136" s="84">
        <f t="shared" si="41"/>
        <v>4.6855230398759273E-2</v>
      </c>
      <c r="X136" s="89">
        <f t="shared" si="42"/>
        <v>-1.8483695803849232E-3</v>
      </c>
      <c r="Y136" s="89">
        <f t="shared" si="43"/>
        <v>-4.1941905810084501E-3</v>
      </c>
    </row>
    <row r="137" spans="1:25" x14ac:dyDescent="0.25">
      <c r="A137" s="2">
        <f t="shared" si="31"/>
        <v>134</v>
      </c>
      <c r="B137" s="58">
        <v>45173</v>
      </c>
      <c r="C137" s="59">
        <f t="shared" si="32"/>
        <v>2023</v>
      </c>
      <c r="D137" s="59">
        <f t="shared" si="33"/>
        <v>9</v>
      </c>
      <c r="E137" s="54">
        <v>17.167999999999999</v>
      </c>
      <c r="F137" s="63">
        <v>52.81</v>
      </c>
      <c r="G137" s="64">
        <v>37.32</v>
      </c>
      <c r="H137" s="64">
        <v>13.76</v>
      </c>
      <c r="I137" s="64">
        <v>236.31</v>
      </c>
      <c r="J137" s="64">
        <v>16.61</v>
      </c>
      <c r="K137" s="64">
        <v>306.01</v>
      </c>
      <c r="L137" s="64">
        <v>138.12</v>
      </c>
      <c r="M137" s="65">
        <v>245.01</v>
      </c>
      <c r="N137" s="70">
        <v>53030.52</v>
      </c>
      <c r="O137" s="70">
        <v>4515.7700000000004</v>
      </c>
      <c r="P137" s="82">
        <f t="shared" si="34"/>
        <v>-1.7013232514176968E-3</v>
      </c>
      <c r="Q137" s="83">
        <f t="shared" si="35"/>
        <v>1.0560519902518273E-2</v>
      </c>
      <c r="R137" s="83">
        <f t="shared" si="36"/>
        <v>0</v>
      </c>
      <c r="S137" s="83">
        <f t="shared" si="37"/>
        <v>-5.9209135123694523E-4</v>
      </c>
      <c r="T137" s="83">
        <f t="shared" si="38"/>
        <v>-2.4024024024023038E-3</v>
      </c>
      <c r="U137" s="83">
        <f t="shared" si="39"/>
        <v>7.0756269334562027E-3</v>
      </c>
      <c r="V137" s="83">
        <f t="shared" si="40"/>
        <v>0</v>
      </c>
      <c r="W137" s="84">
        <f t="shared" si="41"/>
        <v>0</v>
      </c>
      <c r="X137" s="89">
        <f t="shared" si="42"/>
        <v>-2.1608659721188417E-3</v>
      </c>
      <c r="Y137" s="89">
        <f t="shared" si="43"/>
        <v>0</v>
      </c>
    </row>
    <row r="138" spans="1:25" x14ac:dyDescent="0.25">
      <c r="A138" s="2">
        <f t="shared" si="31"/>
        <v>135</v>
      </c>
      <c r="B138" s="58">
        <v>45170</v>
      </c>
      <c r="C138" s="59">
        <f t="shared" si="32"/>
        <v>2023</v>
      </c>
      <c r="D138" s="59">
        <f t="shared" si="33"/>
        <v>9</v>
      </c>
      <c r="E138" s="54">
        <v>17.076000000000001</v>
      </c>
      <c r="F138" s="63">
        <v>52.9</v>
      </c>
      <c r="G138" s="64">
        <v>36.93</v>
      </c>
      <c r="H138" s="64">
        <v>13.76</v>
      </c>
      <c r="I138" s="64">
        <v>236.45</v>
      </c>
      <c r="J138" s="64">
        <v>16.649999999999999</v>
      </c>
      <c r="K138" s="64">
        <v>303.86</v>
      </c>
      <c r="L138" s="64">
        <v>138.12</v>
      </c>
      <c r="M138" s="65">
        <v>245.01</v>
      </c>
      <c r="N138" s="70">
        <v>53145.36</v>
      </c>
      <c r="O138" s="70">
        <v>4515.7700000000004</v>
      </c>
      <c r="P138" s="82">
        <f t="shared" si="34"/>
        <v>1.135503406510141E-3</v>
      </c>
      <c r="Q138" s="83">
        <f t="shared" si="35"/>
        <v>-1.8918918918918726E-3</v>
      </c>
      <c r="R138" s="83">
        <f t="shared" si="36"/>
        <v>2.3048327137546565E-2</v>
      </c>
      <c r="S138" s="83">
        <f t="shared" si="37"/>
        <v>-1.9530602089898874E-2</v>
      </c>
      <c r="T138" s="83">
        <f t="shared" si="38"/>
        <v>-2.0588235294117685E-2</v>
      </c>
      <c r="U138" s="83">
        <f t="shared" si="39"/>
        <v>-3.0007022920257809E-2</v>
      </c>
      <c r="V138" s="83">
        <f t="shared" si="40"/>
        <v>7.970436924862323E-4</v>
      </c>
      <c r="W138" s="84">
        <f t="shared" si="41"/>
        <v>-5.0643211407315536E-2</v>
      </c>
      <c r="X138" s="89">
        <f t="shared" si="42"/>
        <v>2.3458638448401459E-3</v>
      </c>
      <c r="Y138" s="89">
        <f t="shared" si="43"/>
        <v>1.7991596526802933E-3</v>
      </c>
    </row>
    <row r="139" spans="1:25" x14ac:dyDescent="0.25">
      <c r="A139" s="2">
        <f t="shared" si="31"/>
        <v>136</v>
      </c>
      <c r="B139" s="58">
        <v>45169</v>
      </c>
      <c r="C139" s="59">
        <f t="shared" si="32"/>
        <v>2023</v>
      </c>
      <c r="D139" s="59">
        <f t="shared" si="33"/>
        <v>8</v>
      </c>
      <c r="E139" s="54">
        <v>17.027000000000001</v>
      </c>
      <c r="F139" s="63">
        <v>52.84</v>
      </c>
      <c r="G139" s="64">
        <v>37</v>
      </c>
      <c r="H139" s="64">
        <v>13.45</v>
      </c>
      <c r="I139" s="64">
        <v>241.16</v>
      </c>
      <c r="J139" s="64">
        <v>17</v>
      </c>
      <c r="K139" s="64">
        <v>313.26</v>
      </c>
      <c r="L139" s="64">
        <v>138.01</v>
      </c>
      <c r="M139" s="65">
        <v>258.08</v>
      </c>
      <c r="N139" s="70">
        <v>53020.98</v>
      </c>
      <c r="O139" s="70">
        <v>4507.66</v>
      </c>
      <c r="P139" s="82">
        <f t="shared" si="34"/>
        <v>-2.4192059095106133E-2</v>
      </c>
      <c r="Q139" s="83">
        <f t="shared" si="35"/>
        <v>-2.8106120304701832E-2</v>
      </c>
      <c r="R139" s="83">
        <f t="shared" si="36"/>
        <v>-3.6532951289398374E-2</v>
      </c>
      <c r="S139" s="83">
        <f t="shared" si="37"/>
        <v>-2.0471161657189207E-2</v>
      </c>
      <c r="T139" s="83">
        <f t="shared" si="38"/>
        <v>2.3584905660376521E-3</v>
      </c>
      <c r="U139" s="83">
        <f t="shared" si="39"/>
        <v>-2.8440281611512575E-2</v>
      </c>
      <c r="V139" s="83">
        <f t="shared" si="40"/>
        <v>2.1766491448878433E-2</v>
      </c>
      <c r="W139" s="84">
        <f t="shared" si="41"/>
        <v>4.5932269365511758E-3</v>
      </c>
      <c r="X139" s="89">
        <f t="shared" si="42"/>
        <v>-2.5183698548686739E-2</v>
      </c>
      <c r="Y139" s="89">
        <f t="shared" si="43"/>
        <v>-1.5969452055097921E-3</v>
      </c>
    </row>
    <row r="140" spans="1:25" x14ac:dyDescent="0.25">
      <c r="A140" s="2">
        <f t="shared" si="31"/>
        <v>137</v>
      </c>
      <c r="B140" s="58">
        <v>45168</v>
      </c>
      <c r="C140" s="59">
        <f t="shared" si="32"/>
        <v>2023</v>
      </c>
      <c r="D140" s="59">
        <f t="shared" si="33"/>
        <v>8</v>
      </c>
      <c r="E140" s="54">
        <v>16.728000000000002</v>
      </c>
      <c r="F140" s="63">
        <v>54.15</v>
      </c>
      <c r="G140" s="64">
        <v>38.07</v>
      </c>
      <c r="H140" s="64">
        <v>13.96</v>
      </c>
      <c r="I140" s="64">
        <v>246.2</v>
      </c>
      <c r="J140" s="64">
        <v>16.96</v>
      </c>
      <c r="K140" s="64">
        <v>322.43</v>
      </c>
      <c r="L140" s="64">
        <v>135.07</v>
      </c>
      <c r="M140" s="65">
        <v>256.89999999999998</v>
      </c>
      <c r="N140" s="70">
        <v>54390.74</v>
      </c>
      <c r="O140" s="70">
        <v>4514.87</v>
      </c>
      <c r="P140" s="82">
        <f t="shared" si="34"/>
        <v>2.5921125717460747E-3</v>
      </c>
      <c r="Q140" s="83">
        <f t="shared" si="35"/>
        <v>-5.7456254896839365E-3</v>
      </c>
      <c r="R140" s="83">
        <f t="shared" si="36"/>
        <v>-3.5688793718771095E-3</v>
      </c>
      <c r="S140" s="83">
        <f t="shared" si="37"/>
        <v>1.0175611357295278E-2</v>
      </c>
      <c r="T140" s="83">
        <f t="shared" si="38"/>
        <v>1.3747758517633102E-2</v>
      </c>
      <c r="U140" s="83">
        <f t="shared" si="39"/>
        <v>2.1867968180521835E-2</v>
      </c>
      <c r="V140" s="83">
        <f t="shared" si="40"/>
        <v>1.1859758357424255E-3</v>
      </c>
      <c r="W140" s="84">
        <f t="shared" si="41"/>
        <v>-1.0887316276538828E-3</v>
      </c>
      <c r="X140" s="89">
        <f t="shared" si="42"/>
        <v>2.3849396983079973E-3</v>
      </c>
      <c r="Y140" s="89">
        <f t="shared" si="43"/>
        <v>3.8331298928546698E-3</v>
      </c>
    </row>
    <row r="141" spans="1:25" x14ac:dyDescent="0.25">
      <c r="A141" s="2">
        <f t="shared" si="31"/>
        <v>138</v>
      </c>
      <c r="B141" s="58">
        <v>45167</v>
      </c>
      <c r="C141" s="59">
        <f t="shared" si="32"/>
        <v>2023</v>
      </c>
      <c r="D141" s="59">
        <f t="shared" si="33"/>
        <v>8</v>
      </c>
      <c r="E141" s="54">
        <v>16.79</v>
      </c>
      <c r="F141" s="63">
        <v>54.01</v>
      </c>
      <c r="G141" s="64">
        <v>38.29</v>
      </c>
      <c r="H141" s="64">
        <v>14.01</v>
      </c>
      <c r="I141" s="64">
        <v>243.72</v>
      </c>
      <c r="J141" s="64">
        <v>16.73</v>
      </c>
      <c r="K141" s="64">
        <v>315.52999999999997</v>
      </c>
      <c r="L141" s="64">
        <v>134.91</v>
      </c>
      <c r="M141" s="65">
        <v>257.18</v>
      </c>
      <c r="N141" s="70">
        <v>54261.33</v>
      </c>
      <c r="O141" s="70">
        <v>4497.63</v>
      </c>
      <c r="P141" s="82">
        <f t="shared" si="34"/>
        <v>1.4844043592634248E-2</v>
      </c>
      <c r="Q141" s="83">
        <f t="shared" si="35"/>
        <v>-1.2889920082495454E-2</v>
      </c>
      <c r="R141" s="83">
        <f t="shared" si="36"/>
        <v>1.2283236994219626E-2</v>
      </c>
      <c r="S141" s="83">
        <f t="shared" si="37"/>
        <v>2.7184220508281731E-2</v>
      </c>
      <c r="T141" s="83">
        <f t="shared" si="38"/>
        <v>3.2078963602714339E-2</v>
      </c>
      <c r="U141" s="83">
        <f t="shared" si="39"/>
        <v>2.090141391917677E-2</v>
      </c>
      <c r="V141" s="83">
        <f t="shared" si="40"/>
        <v>1.3294276701216745E-2</v>
      </c>
      <c r="W141" s="84">
        <f t="shared" si="41"/>
        <v>7.6877983418474294E-2</v>
      </c>
      <c r="X141" s="89">
        <f t="shared" si="42"/>
        <v>1.5319041125213984E-2</v>
      </c>
      <c r="Y141" s="89">
        <f t="shared" si="43"/>
        <v>1.4508347036412905E-2</v>
      </c>
    </row>
    <row r="142" spans="1:25" x14ac:dyDescent="0.25">
      <c r="A142" s="2">
        <f t="shared" si="31"/>
        <v>139</v>
      </c>
      <c r="B142" s="58">
        <v>45166</v>
      </c>
      <c r="C142" s="59">
        <f t="shared" si="32"/>
        <v>2023</v>
      </c>
      <c r="D142" s="59">
        <f t="shared" si="33"/>
        <v>8</v>
      </c>
      <c r="E142" s="54">
        <v>16.777999999999999</v>
      </c>
      <c r="F142" s="63">
        <v>53.22</v>
      </c>
      <c r="G142" s="64">
        <v>38.79</v>
      </c>
      <c r="H142" s="64">
        <v>13.84</v>
      </c>
      <c r="I142" s="64">
        <v>237.27</v>
      </c>
      <c r="J142" s="64">
        <v>16.21</v>
      </c>
      <c r="K142" s="64">
        <v>309.07</v>
      </c>
      <c r="L142" s="64">
        <v>133.13999999999999</v>
      </c>
      <c r="M142" s="65">
        <v>238.82</v>
      </c>
      <c r="N142" s="70">
        <v>53442.64</v>
      </c>
      <c r="O142" s="70">
        <v>4433.3100000000004</v>
      </c>
      <c r="P142" s="82">
        <f t="shared" si="34"/>
        <v>4.1509433962263476E-3</v>
      </c>
      <c r="Q142" s="83">
        <f t="shared" si="35"/>
        <v>2.1058173203474473E-2</v>
      </c>
      <c r="R142" s="83">
        <f t="shared" si="36"/>
        <v>1.6899338721528379E-2</v>
      </c>
      <c r="S142" s="83">
        <f t="shared" si="37"/>
        <v>1.7147511467398235E-2</v>
      </c>
      <c r="T142" s="83">
        <f t="shared" si="38"/>
        <v>4.0436456996149062E-2</v>
      </c>
      <c r="U142" s="83">
        <f t="shared" si="39"/>
        <v>7.9246021393164501E-3</v>
      </c>
      <c r="V142" s="83">
        <f t="shared" si="40"/>
        <v>-9.0049527239988159E-4</v>
      </c>
      <c r="W142" s="84">
        <f t="shared" si="41"/>
        <v>9.639968146191169E-4</v>
      </c>
      <c r="X142" s="89">
        <f t="shared" si="42"/>
        <v>4.7208643932596939E-3</v>
      </c>
      <c r="Y142" s="89">
        <f t="shared" si="43"/>
        <v>6.2645975336552695E-3</v>
      </c>
    </row>
    <row r="143" spans="1:25" x14ac:dyDescent="0.25">
      <c r="A143" s="2">
        <f t="shared" si="31"/>
        <v>140</v>
      </c>
      <c r="B143" s="58">
        <v>45163</v>
      </c>
      <c r="C143" s="59">
        <f t="shared" si="32"/>
        <v>2023</v>
      </c>
      <c r="D143" s="59">
        <f t="shared" si="33"/>
        <v>8</v>
      </c>
      <c r="E143" s="54">
        <v>16.722999999999999</v>
      </c>
      <c r="F143" s="63">
        <v>53</v>
      </c>
      <c r="G143" s="64">
        <v>37.99</v>
      </c>
      <c r="H143" s="64">
        <v>13.61</v>
      </c>
      <c r="I143" s="64">
        <v>233.27</v>
      </c>
      <c r="J143" s="64">
        <v>15.58</v>
      </c>
      <c r="K143" s="64">
        <v>306.64</v>
      </c>
      <c r="L143" s="64">
        <v>133.26</v>
      </c>
      <c r="M143" s="65">
        <v>238.59</v>
      </c>
      <c r="N143" s="70">
        <v>53191.53</v>
      </c>
      <c r="O143" s="70">
        <v>4405.71</v>
      </c>
      <c r="P143" s="82">
        <f t="shared" si="34"/>
        <v>2.8382213812676582E-3</v>
      </c>
      <c r="Q143" s="83">
        <f t="shared" si="35"/>
        <v>-1.7330574236937291E-2</v>
      </c>
      <c r="R143" s="83">
        <f t="shared" si="36"/>
        <v>8.8954781319494636E-3</v>
      </c>
      <c r="S143" s="83">
        <f t="shared" si="37"/>
        <v>-1.3532371971074486E-2</v>
      </c>
      <c r="T143" s="83">
        <f t="shared" si="38"/>
        <v>-1.5792798483891368E-2</v>
      </c>
      <c r="U143" s="83">
        <f t="shared" si="39"/>
        <v>8.1867499589018955E-3</v>
      </c>
      <c r="V143" s="83">
        <f t="shared" si="40"/>
        <v>1.0770631067961167E-2</v>
      </c>
      <c r="W143" s="84">
        <f t="shared" si="41"/>
        <v>3.7167449139280162E-2</v>
      </c>
      <c r="X143" s="89">
        <f t="shared" si="42"/>
        <v>1.5383216252056187E-3</v>
      </c>
      <c r="Y143" s="89">
        <f t="shared" si="43"/>
        <v>6.7179884423178571E-3</v>
      </c>
    </row>
    <row r="144" spans="1:25" x14ac:dyDescent="0.25">
      <c r="A144" s="2">
        <f t="shared" si="31"/>
        <v>141</v>
      </c>
      <c r="B144" s="58">
        <v>45162</v>
      </c>
      <c r="C144" s="59">
        <f t="shared" si="32"/>
        <v>2023</v>
      </c>
      <c r="D144" s="59">
        <f t="shared" si="33"/>
        <v>8</v>
      </c>
      <c r="E144" s="54">
        <v>16.814</v>
      </c>
      <c r="F144" s="63">
        <v>52.85</v>
      </c>
      <c r="G144" s="64">
        <v>38.659999999999997</v>
      </c>
      <c r="H144" s="64">
        <v>13.49</v>
      </c>
      <c r="I144" s="64">
        <v>236.47</v>
      </c>
      <c r="J144" s="64">
        <v>15.83</v>
      </c>
      <c r="K144" s="64">
        <v>304.14999999999998</v>
      </c>
      <c r="L144" s="64">
        <v>131.84</v>
      </c>
      <c r="M144" s="65">
        <v>230.04</v>
      </c>
      <c r="N144" s="70">
        <v>53109.83</v>
      </c>
      <c r="O144" s="70">
        <v>4376.3100000000004</v>
      </c>
      <c r="P144" s="82">
        <f t="shared" si="34"/>
        <v>-9.1863517060367661E-3</v>
      </c>
      <c r="Q144" s="83">
        <f t="shared" si="35"/>
        <v>1.3633980073413543E-2</v>
      </c>
      <c r="R144" s="83">
        <f t="shared" si="36"/>
        <v>-1.2445095168374776E-2</v>
      </c>
      <c r="S144" s="83">
        <f t="shared" si="37"/>
        <v>5.5005500550042719E-4</v>
      </c>
      <c r="T144" s="83">
        <f t="shared" si="38"/>
        <v>-2.404438964241673E-2</v>
      </c>
      <c r="U144" s="83">
        <f t="shared" si="39"/>
        <v>2.6372177352891324E-3</v>
      </c>
      <c r="V144" s="83">
        <f t="shared" si="40"/>
        <v>-2.7154663518299982E-2</v>
      </c>
      <c r="W144" s="84">
        <f t="shared" si="41"/>
        <v>-2.8793380055729179E-2</v>
      </c>
      <c r="X144" s="89">
        <f t="shared" si="42"/>
        <v>-9.7978310569112326E-3</v>
      </c>
      <c r="Y144" s="89">
        <f t="shared" si="43"/>
        <v>-1.3458039995401183E-2</v>
      </c>
    </row>
    <row r="145" spans="1:25" x14ac:dyDescent="0.25">
      <c r="A145" s="2">
        <f t="shared" si="31"/>
        <v>142</v>
      </c>
      <c r="B145" s="58">
        <v>45161</v>
      </c>
      <c r="C145" s="59">
        <f t="shared" si="32"/>
        <v>2023</v>
      </c>
      <c r="D145" s="59">
        <f t="shared" si="33"/>
        <v>8</v>
      </c>
      <c r="E145" s="54">
        <v>16.79</v>
      </c>
      <c r="F145" s="63">
        <v>53.34</v>
      </c>
      <c r="G145" s="64">
        <v>38.14</v>
      </c>
      <c r="H145" s="64">
        <v>13.66</v>
      </c>
      <c r="I145" s="64">
        <v>236.34</v>
      </c>
      <c r="J145" s="64">
        <v>16.22</v>
      </c>
      <c r="K145" s="64">
        <v>303.35000000000002</v>
      </c>
      <c r="L145" s="64">
        <v>135.52000000000001</v>
      </c>
      <c r="M145" s="65">
        <v>236.86</v>
      </c>
      <c r="N145" s="70">
        <v>53635.34</v>
      </c>
      <c r="O145" s="70">
        <v>4436.01</v>
      </c>
      <c r="P145" s="82">
        <f t="shared" si="34"/>
        <v>8.6989409984872257E-3</v>
      </c>
      <c r="Q145" s="83">
        <f t="shared" si="35"/>
        <v>1.1134676564156898E-2</v>
      </c>
      <c r="R145" s="83">
        <f t="shared" si="36"/>
        <v>2.2010271460013442E-3</v>
      </c>
      <c r="S145" s="83">
        <f t="shared" si="37"/>
        <v>3.3044846577497955E-2</v>
      </c>
      <c r="T145" s="83">
        <f t="shared" si="38"/>
        <v>-7.9510703363916413E-3</v>
      </c>
      <c r="U145" s="83">
        <f t="shared" si="39"/>
        <v>6.597394029359549E-4</v>
      </c>
      <c r="V145" s="83">
        <f t="shared" si="40"/>
        <v>9.4599627560523203E-3</v>
      </c>
      <c r="W145" s="84">
        <f t="shared" si="41"/>
        <v>1.5738239204082571E-2</v>
      </c>
      <c r="X145" s="89">
        <f t="shared" si="42"/>
        <v>9.5507203085081205E-3</v>
      </c>
      <c r="Y145" s="89">
        <f t="shared" si="43"/>
        <v>1.1044888377340412E-2</v>
      </c>
    </row>
    <row r="146" spans="1:25" x14ac:dyDescent="0.25">
      <c r="A146" s="2">
        <f t="shared" si="31"/>
        <v>143</v>
      </c>
      <c r="B146" s="58">
        <v>45160</v>
      </c>
      <c r="C146" s="59">
        <f t="shared" si="32"/>
        <v>2023</v>
      </c>
      <c r="D146" s="59">
        <f t="shared" si="33"/>
        <v>8</v>
      </c>
      <c r="E146" s="54">
        <v>16.902000000000001</v>
      </c>
      <c r="F146" s="63">
        <v>52.88</v>
      </c>
      <c r="G146" s="64">
        <v>37.72</v>
      </c>
      <c r="H146" s="64">
        <v>13.63</v>
      </c>
      <c r="I146" s="64">
        <v>228.78</v>
      </c>
      <c r="J146" s="64">
        <v>16.350000000000001</v>
      </c>
      <c r="K146" s="64">
        <v>303.14999999999998</v>
      </c>
      <c r="L146" s="64">
        <v>134.25</v>
      </c>
      <c r="M146" s="65">
        <v>233.19</v>
      </c>
      <c r="N146" s="70">
        <v>53127.93</v>
      </c>
      <c r="O146" s="70">
        <v>4387.55</v>
      </c>
      <c r="P146" s="82">
        <f t="shared" si="34"/>
        <v>7.570022710068347E-4</v>
      </c>
      <c r="Q146" s="83">
        <f t="shared" si="35"/>
        <v>-4.3852978453739033E-2</v>
      </c>
      <c r="R146" s="83">
        <f t="shared" si="36"/>
        <v>8.8823094004442105E-3</v>
      </c>
      <c r="S146" s="83">
        <f t="shared" si="37"/>
        <v>4.5947058016732933E-2</v>
      </c>
      <c r="T146" s="83">
        <f t="shared" si="38"/>
        <v>-7.8883495145630755E-3</v>
      </c>
      <c r="U146" s="83">
        <f t="shared" si="39"/>
        <v>4.606309650053042E-3</v>
      </c>
      <c r="V146" s="83">
        <f t="shared" si="40"/>
        <v>-3.1927531927532504E-3</v>
      </c>
      <c r="W146" s="84">
        <f t="shared" si="41"/>
        <v>8.2583881010029891E-3</v>
      </c>
      <c r="X146" s="89">
        <f t="shared" si="42"/>
        <v>3.4212167405756055E-4</v>
      </c>
      <c r="Y146" s="89">
        <f t="shared" si="43"/>
        <v>-2.7774179104816943E-3</v>
      </c>
    </row>
    <row r="147" spans="1:25" x14ac:dyDescent="0.25">
      <c r="A147" s="2">
        <f t="shared" si="31"/>
        <v>144</v>
      </c>
      <c r="B147" s="58">
        <v>45159</v>
      </c>
      <c r="C147" s="59">
        <f t="shared" si="32"/>
        <v>2023</v>
      </c>
      <c r="D147" s="59">
        <f t="shared" si="33"/>
        <v>8</v>
      </c>
      <c r="E147" s="54">
        <v>17.02</v>
      </c>
      <c r="F147" s="63">
        <v>52.84</v>
      </c>
      <c r="G147" s="64">
        <v>39.450000000000003</v>
      </c>
      <c r="H147" s="64">
        <v>13.51</v>
      </c>
      <c r="I147" s="64">
        <v>218.73</v>
      </c>
      <c r="J147" s="64">
        <v>16.48</v>
      </c>
      <c r="K147" s="64">
        <v>301.76</v>
      </c>
      <c r="L147" s="64">
        <v>134.68</v>
      </c>
      <c r="M147" s="65">
        <v>231.28</v>
      </c>
      <c r="N147" s="70">
        <v>53109.760000000002</v>
      </c>
      <c r="O147" s="70">
        <v>4399.7700000000004</v>
      </c>
      <c r="P147" s="82">
        <f t="shared" si="34"/>
        <v>-1.5117157974300355E-3</v>
      </c>
      <c r="Q147" s="83">
        <f t="shared" si="35"/>
        <v>2.3877498053464841E-2</v>
      </c>
      <c r="R147" s="83">
        <f t="shared" si="36"/>
        <v>1.8853695324283493E-2</v>
      </c>
      <c r="S147" s="83">
        <f t="shared" si="37"/>
        <v>3.6709035011242008E-3</v>
      </c>
      <c r="T147" s="83">
        <f t="shared" si="38"/>
        <v>-2.485207100591702E-2</v>
      </c>
      <c r="U147" s="83">
        <f t="shared" si="39"/>
        <v>-4.1581413768068121E-3</v>
      </c>
      <c r="V147" s="83">
        <f t="shared" si="40"/>
        <v>1.0959315418105353E-2</v>
      </c>
      <c r="W147" s="84">
        <f t="shared" si="41"/>
        <v>7.3274861942549396E-2</v>
      </c>
      <c r="X147" s="89">
        <f t="shared" si="42"/>
        <v>-1.5909572419195994E-3</v>
      </c>
      <c r="Y147" s="89">
        <f t="shared" si="43"/>
        <v>6.8791750482297687E-3</v>
      </c>
    </row>
    <row r="148" spans="1:25" x14ac:dyDescent="0.25">
      <c r="A148" s="2">
        <f t="shared" si="31"/>
        <v>145</v>
      </c>
      <c r="B148" s="58">
        <v>45156</v>
      </c>
      <c r="C148" s="59">
        <f t="shared" si="32"/>
        <v>2023</v>
      </c>
      <c r="D148" s="59">
        <f t="shared" si="33"/>
        <v>8</v>
      </c>
      <c r="E148" s="54">
        <v>17.035</v>
      </c>
      <c r="F148" s="63">
        <v>52.92</v>
      </c>
      <c r="G148" s="64">
        <v>38.53</v>
      </c>
      <c r="H148" s="64">
        <v>13.26</v>
      </c>
      <c r="I148" s="64">
        <v>217.93</v>
      </c>
      <c r="J148" s="64">
        <v>16.899999999999999</v>
      </c>
      <c r="K148" s="64">
        <v>303.02</v>
      </c>
      <c r="L148" s="64">
        <v>133.22</v>
      </c>
      <c r="M148" s="65">
        <v>215.49</v>
      </c>
      <c r="N148" s="70">
        <v>53194.39</v>
      </c>
      <c r="O148" s="70">
        <v>4369.71</v>
      </c>
      <c r="P148" s="82">
        <f t="shared" si="34"/>
        <v>-5.6657223796041656E-4</v>
      </c>
      <c r="Q148" s="83">
        <f t="shared" si="35"/>
        <v>-2.594706798131341E-4</v>
      </c>
      <c r="R148" s="83">
        <f t="shared" si="36"/>
        <v>3.0257186081694698E-3</v>
      </c>
      <c r="S148" s="83">
        <f t="shared" si="37"/>
        <v>1.2215513237343156E-2</v>
      </c>
      <c r="T148" s="83">
        <f t="shared" si="38"/>
        <v>-1.1820330969268822E-3</v>
      </c>
      <c r="U148" s="83">
        <f t="shared" si="39"/>
        <v>-1.0219892526291963E-3</v>
      </c>
      <c r="V148" s="83">
        <f t="shared" si="40"/>
        <v>-5.6724884311090129E-3</v>
      </c>
      <c r="W148" s="84">
        <f t="shared" si="41"/>
        <v>-1.7014870905939228E-2</v>
      </c>
      <c r="X148" s="89">
        <f t="shared" si="42"/>
        <v>-1.3251521011470313E-4</v>
      </c>
      <c r="Y148" s="89">
        <f t="shared" si="43"/>
        <v>-1.4872916647590273E-4</v>
      </c>
    </row>
    <row r="149" spans="1:25" x14ac:dyDescent="0.25">
      <c r="A149" s="2">
        <f t="shared" si="31"/>
        <v>146</v>
      </c>
      <c r="B149" s="58">
        <v>45155</v>
      </c>
      <c r="C149" s="59">
        <f t="shared" si="32"/>
        <v>2023</v>
      </c>
      <c r="D149" s="59">
        <f t="shared" si="33"/>
        <v>8</v>
      </c>
      <c r="E149" s="54">
        <v>17.097999999999999</v>
      </c>
      <c r="F149" s="63">
        <v>52.95</v>
      </c>
      <c r="G149" s="64">
        <v>38.54</v>
      </c>
      <c r="H149" s="64">
        <v>13.22</v>
      </c>
      <c r="I149" s="64">
        <v>215.3</v>
      </c>
      <c r="J149" s="64">
        <v>16.920000000000002</v>
      </c>
      <c r="K149" s="64">
        <v>303.33</v>
      </c>
      <c r="L149" s="64">
        <v>133.97999999999999</v>
      </c>
      <c r="M149" s="65">
        <v>219.22</v>
      </c>
      <c r="N149" s="70">
        <v>53201.440000000002</v>
      </c>
      <c r="O149" s="70">
        <v>4370.3599999999997</v>
      </c>
      <c r="P149" s="82">
        <f t="shared" si="34"/>
        <v>-1.1204481792716936E-2</v>
      </c>
      <c r="Q149" s="83">
        <f t="shared" si="35"/>
        <v>1.5011851461680381E-2</v>
      </c>
      <c r="R149" s="83">
        <f t="shared" si="36"/>
        <v>-4.202898550724643E-2</v>
      </c>
      <c r="S149" s="83">
        <f t="shared" si="37"/>
        <v>-4.0381529684435757E-2</v>
      </c>
      <c r="T149" s="83">
        <f t="shared" si="38"/>
        <v>-2.9259896729776136E-2</v>
      </c>
      <c r="U149" s="83">
        <f t="shared" si="39"/>
        <v>-3.42884431709648E-2</v>
      </c>
      <c r="V149" s="83">
        <f t="shared" si="40"/>
        <v>-8.0698896868290904E-3</v>
      </c>
      <c r="W149" s="84">
        <f t="shared" si="41"/>
        <v>-2.8280141843971651E-2</v>
      </c>
      <c r="X149" s="89">
        <f t="shared" si="42"/>
        <v>-1.1634713793323148E-2</v>
      </c>
      <c r="Y149" s="89">
        <f t="shared" si="43"/>
        <v>-7.7128643857296009E-3</v>
      </c>
    </row>
    <row r="150" spans="1:25" x14ac:dyDescent="0.25">
      <c r="A150" s="2">
        <f t="shared" si="31"/>
        <v>147</v>
      </c>
      <c r="B150" s="58">
        <v>45154</v>
      </c>
      <c r="C150" s="59">
        <f t="shared" si="32"/>
        <v>2023</v>
      </c>
      <c r="D150" s="59">
        <f t="shared" si="33"/>
        <v>8</v>
      </c>
      <c r="E150" s="54">
        <v>17.132000000000001</v>
      </c>
      <c r="F150" s="63">
        <v>53.55</v>
      </c>
      <c r="G150" s="64">
        <v>37.97</v>
      </c>
      <c r="H150" s="64">
        <v>13.8</v>
      </c>
      <c r="I150" s="64">
        <v>224.36</v>
      </c>
      <c r="J150" s="64">
        <v>17.43</v>
      </c>
      <c r="K150" s="64">
        <v>314.10000000000002</v>
      </c>
      <c r="L150" s="64">
        <v>135.07</v>
      </c>
      <c r="M150" s="65">
        <v>225.6</v>
      </c>
      <c r="N150" s="70">
        <v>53827.71</v>
      </c>
      <c r="O150" s="70">
        <v>4404.33</v>
      </c>
      <c r="P150" s="82">
        <f t="shared" si="34"/>
        <v>4.5019696117050145E-3</v>
      </c>
      <c r="Q150" s="83">
        <f t="shared" si="35"/>
        <v>-2.5410677618069921E-2</v>
      </c>
      <c r="R150" s="83">
        <f t="shared" si="36"/>
        <v>8.0350620891163071E-3</v>
      </c>
      <c r="S150" s="83">
        <f t="shared" si="37"/>
        <v>-2.7558005156013143E-3</v>
      </c>
      <c r="T150" s="83">
        <f t="shared" si="38"/>
        <v>-1.3023782559456465E-2</v>
      </c>
      <c r="U150" s="83">
        <f t="shared" si="39"/>
        <v>-1.8748609742921252E-3</v>
      </c>
      <c r="V150" s="83">
        <f t="shared" si="40"/>
        <v>-1.8885741265344591E-2</v>
      </c>
      <c r="W150" s="84">
        <f t="shared" si="41"/>
        <v>-3.1593406593406703E-2</v>
      </c>
      <c r="X150" s="89">
        <f t="shared" si="42"/>
        <v>4.8422276449961998E-3</v>
      </c>
      <c r="Y150" s="89">
        <f t="shared" si="43"/>
        <v>-7.5554433893813E-3</v>
      </c>
    </row>
    <row r="151" spans="1:25" x14ac:dyDescent="0.25">
      <c r="A151" s="2">
        <f t="shared" si="31"/>
        <v>148</v>
      </c>
      <c r="B151" s="58">
        <v>45153</v>
      </c>
      <c r="C151" s="59">
        <f t="shared" si="32"/>
        <v>2023</v>
      </c>
      <c r="D151" s="59">
        <f t="shared" si="33"/>
        <v>8</v>
      </c>
      <c r="E151" s="54">
        <v>17.14</v>
      </c>
      <c r="F151" s="63">
        <v>53.31</v>
      </c>
      <c r="G151" s="64">
        <v>38.96</v>
      </c>
      <c r="H151" s="64">
        <v>13.69</v>
      </c>
      <c r="I151" s="64">
        <v>224.98</v>
      </c>
      <c r="J151" s="64">
        <v>17.66</v>
      </c>
      <c r="K151" s="64">
        <v>314.69</v>
      </c>
      <c r="L151" s="64">
        <v>137.66999999999999</v>
      </c>
      <c r="M151" s="65">
        <v>232.96</v>
      </c>
      <c r="N151" s="70">
        <v>53568.32</v>
      </c>
      <c r="O151" s="70">
        <v>4437.8599999999997</v>
      </c>
      <c r="P151" s="82">
        <f t="shared" si="34"/>
        <v>4.711647191858237E-3</v>
      </c>
      <c r="Q151" s="83">
        <f t="shared" si="35"/>
        <v>-2.2579026593075757E-2</v>
      </c>
      <c r="R151" s="83">
        <f t="shared" si="36"/>
        <v>7.3583517292126199E-3</v>
      </c>
      <c r="S151" s="83">
        <f t="shared" si="37"/>
        <v>5.18273612724518E-3</v>
      </c>
      <c r="T151" s="83">
        <f t="shared" si="38"/>
        <v>-1.285634432643934E-2</v>
      </c>
      <c r="U151" s="83">
        <f t="shared" si="39"/>
        <v>1.6407738768127622E-2</v>
      </c>
      <c r="V151" s="83">
        <f t="shared" si="40"/>
        <v>-2.0630290958241537E-2</v>
      </c>
      <c r="W151" s="84">
        <f t="shared" si="41"/>
        <v>-2.8361695028361611E-2</v>
      </c>
      <c r="X151" s="89">
        <f t="shared" si="42"/>
        <v>5.3729174033125826E-3</v>
      </c>
      <c r="Y151" s="89">
        <f t="shared" si="43"/>
        <v>-1.1550831677699436E-2</v>
      </c>
    </row>
    <row r="152" spans="1:25" x14ac:dyDescent="0.25">
      <c r="A152" s="2">
        <f t="shared" si="31"/>
        <v>149</v>
      </c>
      <c r="B152" s="58">
        <v>45152</v>
      </c>
      <c r="C152" s="59">
        <f t="shared" si="32"/>
        <v>2023</v>
      </c>
      <c r="D152" s="59">
        <f t="shared" si="33"/>
        <v>8</v>
      </c>
      <c r="E152" s="54">
        <v>17.038</v>
      </c>
      <c r="F152" s="63">
        <v>53.06</v>
      </c>
      <c r="G152" s="64">
        <v>39.86</v>
      </c>
      <c r="H152" s="64">
        <v>13.59</v>
      </c>
      <c r="I152" s="64">
        <v>223.82</v>
      </c>
      <c r="J152" s="64">
        <v>17.89</v>
      </c>
      <c r="K152" s="64">
        <v>309.61</v>
      </c>
      <c r="L152" s="64">
        <v>140.57</v>
      </c>
      <c r="M152" s="65">
        <v>239.76</v>
      </c>
      <c r="N152" s="70">
        <v>53282.04</v>
      </c>
      <c r="O152" s="70">
        <v>4489.72</v>
      </c>
      <c r="P152" s="82">
        <f t="shared" si="34"/>
        <v>5.6571751838574436E-4</v>
      </c>
      <c r="Q152" s="83">
        <f t="shared" si="35"/>
        <v>1.2559658377291338E-3</v>
      </c>
      <c r="R152" s="83">
        <f t="shared" si="36"/>
        <v>2.9545454545454541E-2</v>
      </c>
      <c r="S152" s="83">
        <f t="shared" si="37"/>
        <v>-2.584670231729147E-3</v>
      </c>
      <c r="T152" s="83">
        <f t="shared" si="38"/>
        <v>-2.2404371584699434E-2</v>
      </c>
      <c r="U152" s="83">
        <f t="shared" si="39"/>
        <v>1.0377573997323974E-2</v>
      </c>
      <c r="V152" s="83">
        <f t="shared" si="40"/>
        <v>1.5605808828841772E-2</v>
      </c>
      <c r="W152" s="84">
        <f t="shared" si="41"/>
        <v>-1.1910158664743542E-2</v>
      </c>
      <c r="X152" s="89">
        <f t="shared" si="42"/>
        <v>7.49030467584344E-4</v>
      </c>
      <c r="Y152" s="89">
        <f t="shared" si="43"/>
        <v>5.7503836202552616E-3</v>
      </c>
    </row>
    <row r="153" spans="1:25" x14ac:dyDescent="0.25">
      <c r="A153" s="2">
        <f t="shared" si="31"/>
        <v>150</v>
      </c>
      <c r="B153" s="58">
        <v>45149</v>
      </c>
      <c r="C153" s="59">
        <f t="shared" si="32"/>
        <v>2023</v>
      </c>
      <c r="D153" s="59">
        <f t="shared" si="33"/>
        <v>8</v>
      </c>
      <c r="E153" s="54">
        <v>16.988</v>
      </c>
      <c r="F153" s="63">
        <v>53.03</v>
      </c>
      <c r="G153" s="64">
        <v>39.81</v>
      </c>
      <c r="H153" s="64">
        <v>13.2</v>
      </c>
      <c r="I153" s="64">
        <v>224.4</v>
      </c>
      <c r="J153" s="64">
        <v>18.3</v>
      </c>
      <c r="K153" s="64">
        <v>306.43</v>
      </c>
      <c r="L153" s="64">
        <v>138.41</v>
      </c>
      <c r="M153" s="65">
        <v>242.65</v>
      </c>
      <c r="N153" s="70">
        <v>53242.16</v>
      </c>
      <c r="O153" s="70">
        <v>4464.05</v>
      </c>
      <c r="P153" s="82">
        <f t="shared" si="34"/>
        <v>-1.0449710766934128E-2</v>
      </c>
      <c r="Q153" s="83">
        <f t="shared" si="35"/>
        <v>6.8285280728377362E-3</v>
      </c>
      <c r="R153" s="83">
        <f t="shared" si="36"/>
        <v>-7.5187969924812581E-3</v>
      </c>
      <c r="S153" s="83">
        <f t="shared" si="37"/>
        <v>-1.093088857545832E-2</v>
      </c>
      <c r="T153" s="83">
        <f t="shared" si="38"/>
        <v>-4.3387349712493362E-2</v>
      </c>
      <c r="U153" s="83">
        <f t="shared" si="39"/>
        <v>-1.390185036202729E-2</v>
      </c>
      <c r="V153" s="83">
        <f t="shared" si="40"/>
        <v>-1.0825635103925979E-3</v>
      </c>
      <c r="W153" s="84">
        <f t="shared" si="41"/>
        <v>-1.0964375968044338E-2</v>
      </c>
      <c r="X153" s="89">
        <f t="shared" si="42"/>
        <v>-1.2003741763397802E-2</v>
      </c>
      <c r="Y153" s="89">
        <f t="shared" si="43"/>
        <v>-1.0696312010077813E-3</v>
      </c>
    </row>
    <row r="154" spans="1:25" x14ac:dyDescent="0.25">
      <c r="A154" s="2">
        <f t="shared" si="31"/>
        <v>151</v>
      </c>
      <c r="B154" s="58">
        <v>45148</v>
      </c>
      <c r="C154" s="59">
        <f t="shared" si="32"/>
        <v>2023</v>
      </c>
      <c r="D154" s="59">
        <f t="shared" si="33"/>
        <v>8</v>
      </c>
      <c r="E154" s="54">
        <v>17.13</v>
      </c>
      <c r="F154" s="63">
        <v>53.59</v>
      </c>
      <c r="G154" s="64">
        <v>39.54</v>
      </c>
      <c r="H154" s="64">
        <v>13.3</v>
      </c>
      <c r="I154" s="64">
        <v>226.88</v>
      </c>
      <c r="J154" s="64">
        <v>19.13</v>
      </c>
      <c r="K154" s="64">
        <v>310.75</v>
      </c>
      <c r="L154" s="64">
        <v>138.56</v>
      </c>
      <c r="M154" s="65">
        <v>245.34</v>
      </c>
      <c r="N154" s="70">
        <v>53889.03</v>
      </c>
      <c r="O154" s="70">
        <v>4468.83</v>
      </c>
      <c r="P154" s="82">
        <f t="shared" si="34"/>
        <v>-6.1201780415429674E-3</v>
      </c>
      <c r="Q154" s="83">
        <f t="shared" si="35"/>
        <v>-1.1994002998500841E-2</v>
      </c>
      <c r="R154" s="83">
        <f t="shared" si="36"/>
        <v>-1.8450184501844991E-2</v>
      </c>
      <c r="S154" s="83">
        <f t="shared" si="37"/>
        <v>1.5892636411796168E-3</v>
      </c>
      <c r="T154" s="83">
        <f t="shared" si="38"/>
        <v>-1.136950904392775E-2</v>
      </c>
      <c r="U154" s="83">
        <f t="shared" si="39"/>
        <v>-3.2169856844144196E-4</v>
      </c>
      <c r="V154" s="83">
        <f t="shared" si="40"/>
        <v>5.1505259339863496E-3</v>
      </c>
      <c r="W154" s="84">
        <f t="shared" si="41"/>
        <v>1.3006317354143482E-2</v>
      </c>
      <c r="X154" s="89">
        <f t="shared" si="42"/>
        <v>-6.1177696947699589E-3</v>
      </c>
      <c r="Y154" s="89">
        <f t="shared" si="43"/>
        <v>2.5068771249703303E-4</v>
      </c>
    </row>
    <row r="155" spans="1:25" x14ac:dyDescent="0.25">
      <c r="A155" s="2">
        <f t="shared" si="31"/>
        <v>152</v>
      </c>
      <c r="B155" s="58">
        <v>45147</v>
      </c>
      <c r="C155" s="59">
        <f t="shared" si="32"/>
        <v>2023</v>
      </c>
      <c r="D155" s="59">
        <f t="shared" si="33"/>
        <v>8</v>
      </c>
      <c r="E155" s="54">
        <v>17.0533</v>
      </c>
      <c r="F155" s="63">
        <v>53.92</v>
      </c>
      <c r="G155" s="64">
        <v>40.020000000000003</v>
      </c>
      <c r="H155" s="64">
        <v>13.55</v>
      </c>
      <c r="I155" s="64">
        <v>226.52</v>
      </c>
      <c r="J155" s="64">
        <v>19.350000000000001</v>
      </c>
      <c r="K155" s="64">
        <v>310.85000000000002</v>
      </c>
      <c r="L155" s="64">
        <v>137.85</v>
      </c>
      <c r="M155" s="65">
        <v>242.19</v>
      </c>
      <c r="N155" s="70">
        <v>54220.74</v>
      </c>
      <c r="O155" s="70">
        <v>4467.71</v>
      </c>
      <c r="P155" s="82">
        <f t="shared" si="34"/>
        <v>9.7378277153559178E-3</v>
      </c>
      <c r="Q155" s="83">
        <f t="shared" si="35"/>
        <v>-3.4860557768923162E-3</v>
      </c>
      <c r="R155" s="83">
        <f t="shared" si="36"/>
        <v>2.9607698001481442E-3</v>
      </c>
      <c r="S155" s="83">
        <f t="shared" si="37"/>
        <v>2.8234226055378953E-2</v>
      </c>
      <c r="T155" s="83">
        <f t="shared" si="38"/>
        <v>-1.1746680286006006E-2</v>
      </c>
      <c r="U155" s="83">
        <f t="shared" si="39"/>
        <v>2.5478939560086289E-3</v>
      </c>
      <c r="V155" s="83">
        <f t="shared" si="40"/>
        <v>-1.4934972130913327E-2</v>
      </c>
      <c r="W155" s="84">
        <f t="shared" si="41"/>
        <v>-3.0076091309571451E-2</v>
      </c>
      <c r="X155" s="89">
        <f t="shared" si="42"/>
        <v>1.0393004344518841E-2</v>
      </c>
      <c r="Y155" s="89">
        <f t="shared" si="43"/>
        <v>-7.0387475607750494E-3</v>
      </c>
    </row>
    <row r="156" spans="1:25" x14ac:dyDescent="0.25">
      <c r="A156" s="2">
        <f t="shared" si="31"/>
        <v>153</v>
      </c>
      <c r="B156" s="58">
        <v>45146</v>
      </c>
      <c r="C156" s="59">
        <f t="shared" si="32"/>
        <v>2023</v>
      </c>
      <c r="D156" s="59">
        <f t="shared" si="33"/>
        <v>8</v>
      </c>
      <c r="E156" s="54">
        <v>17.107399999999998</v>
      </c>
      <c r="F156" s="63">
        <v>53.4</v>
      </c>
      <c r="G156" s="64">
        <v>40.159999999999997</v>
      </c>
      <c r="H156" s="64">
        <v>13.51</v>
      </c>
      <c r="I156" s="64">
        <v>220.3</v>
      </c>
      <c r="J156" s="64">
        <v>19.579999999999998</v>
      </c>
      <c r="K156" s="64">
        <v>310.06</v>
      </c>
      <c r="L156" s="64">
        <v>139.94</v>
      </c>
      <c r="M156" s="65">
        <v>249.7</v>
      </c>
      <c r="N156" s="70">
        <v>53663.02</v>
      </c>
      <c r="O156" s="70">
        <v>4499.38</v>
      </c>
      <c r="P156" s="82">
        <f t="shared" si="34"/>
        <v>-6.8811604984192476E-3</v>
      </c>
      <c r="Q156" s="83">
        <f t="shared" si="35"/>
        <v>-1.5686274509803977E-2</v>
      </c>
      <c r="R156" s="83">
        <f t="shared" si="36"/>
        <v>1.0471204188481797E-2</v>
      </c>
      <c r="S156" s="83">
        <f t="shared" si="37"/>
        <v>-1.2638938687701606E-2</v>
      </c>
      <c r="T156" s="83">
        <f t="shared" si="38"/>
        <v>-2.2954091816367317E-2</v>
      </c>
      <c r="U156" s="83">
        <f t="shared" si="39"/>
        <v>6.4507805444424804E-5</v>
      </c>
      <c r="V156" s="83">
        <f t="shared" si="40"/>
        <v>-1.603150049219515E-2</v>
      </c>
      <c r="W156" s="84">
        <f t="shared" si="41"/>
        <v>-6.9596341220918845E-3</v>
      </c>
      <c r="X156" s="89">
        <f t="shared" si="42"/>
        <v>-6.84417233004464E-3</v>
      </c>
      <c r="Y156" s="89">
        <f t="shared" si="43"/>
        <v>-4.2182700223970526E-3</v>
      </c>
    </row>
    <row r="157" spans="1:25" x14ac:dyDescent="0.25">
      <c r="A157" s="2">
        <f t="shared" si="31"/>
        <v>154</v>
      </c>
      <c r="B157" s="58">
        <v>45145</v>
      </c>
      <c r="C157" s="59">
        <f t="shared" si="32"/>
        <v>2023</v>
      </c>
      <c r="D157" s="59">
        <f t="shared" si="33"/>
        <v>8</v>
      </c>
      <c r="E157" s="54">
        <v>17.045000000000002</v>
      </c>
      <c r="F157" s="63">
        <v>53.77</v>
      </c>
      <c r="G157" s="64">
        <v>40.799999999999997</v>
      </c>
      <c r="H157" s="64">
        <v>13.37</v>
      </c>
      <c r="I157" s="64">
        <v>223.12</v>
      </c>
      <c r="J157" s="64">
        <v>20.04</v>
      </c>
      <c r="K157" s="64">
        <v>310.04000000000002</v>
      </c>
      <c r="L157" s="64">
        <v>142.22</v>
      </c>
      <c r="M157" s="65">
        <v>251.45</v>
      </c>
      <c r="N157" s="70">
        <v>54032.83</v>
      </c>
      <c r="O157" s="70">
        <v>4518.4399999999996</v>
      </c>
      <c r="P157" s="82">
        <f t="shared" si="34"/>
        <v>7.4446305602093865E-4</v>
      </c>
      <c r="Q157" s="83">
        <f t="shared" si="35"/>
        <v>1.4925373134328179E-2</v>
      </c>
      <c r="R157" s="83">
        <f t="shared" si="36"/>
        <v>2.2171253822629966E-2</v>
      </c>
      <c r="S157" s="83">
        <f t="shared" si="37"/>
        <v>-1.7895490336435893E-3</v>
      </c>
      <c r="T157" s="83">
        <f t="shared" si="38"/>
        <v>2.0366598778003953E-2</v>
      </c>
      <c r="U157" s="83">
        <f t="shared" si="39"/>
        <v>-1.3528312826127653E-3</v>
      </c>
      <c r="V157" s="83">
        <f t="shared" si="40"/>
        <v>1.8986888299777904E-2</v>
      </c>
      <c r="W157" s="84">
        <f t="shared" si="41"/>
        <v>-9.4934215709446823E-3</v>
      </c>
      <c r="X157" s="89">
        <f t="shared" si="42"/>
        <v>7.6697371545342286E-4</v>
      </c>
      <c r="Y157" s="89">
        <f t="shared" si="43"/>
        <v>9.02405745383561E-3</v>
      </c>
    </row>
    <row r="158" spans="1:25" x14ac:dyDescent="0.25">
      <c r="A158" s="2">
        <f t="shared" si="31"/>
        <v>155</v>
      </c>
      <c r="B158" s="58">
        <v>45142</v>
      </c>
      <c r="C158" s="59">
        <f t="shared" si="32"/>
        <v>2023</v>
      </c>
      <c r="D158" s="59">
        <f t="shared" si="33"/>
        <v>8</v>
      </c>
      <c r="E158" s="54">
        <v>17.050999999999998</v>
      </c>
      <c r="F158" s="63">
        <v>53.73</v>
      </c>
      <c r="G158" s="64">
        <v>40.200000000000003</v>
      </c>
      <c r="H158" s="64">
        <v>13.08</v>
      </c>
      <c r="I158" s="64">
        <v>223.52</v>
      </c>
      <c r="J158" s="64">
        <v>19.64</v>
      </c>
      <c r="K158" s="64">
        <v>310.45999999999998</v>
      </c>
      <c r="L158" s="64">
        <v>139.57</v>
      </c>
      <c r="M158" s="65">
        <v>253.86</v>
      </c>
      <c r="N158" s="70">
        <v>53991.42</v>
      </c>
      <c r="O158" s="70">
        <v>4478.03</v>
      </c>
      <c r="P158" s="82">
        <f t="shared" si="34"/>
        <v>1.0152284263959421E-2</v>
      </c>
      <c r="Q158" s="83">
        <f t="shared" si="35"/>
        <v>3.5281998454803176E-2</v>
      </c>
      <c r="R158" s="83">
        <f t="shared" si="36"/>
        <v>7.7041602465330872E-3</v>
      </c>
      <c r="S158" s="83">
        <f t="shared" si="37"/>
        <v>1.5907644759567408E-2</v>
      </c>
      <c r="T158" s="83">
        <f t="shared" si="38"/>
        <v>1.8672199170124415E-2</v>
      </c>
      <c r="U158" s="83">
        <f t="shared" si="39"/>
        <v>5.6361751749156586E-3</v>
      </c>
      <c r="V158" s="83">
        <f t="shared" si="40"/>
        <v>8.2693351950973604E-2</v>
      </c>
      <c r="W158" s="84">
        <f t="shared" si="41"/>
        <v>-2.1055067098565416E-2</v>
      </c>
      <c r="X158" s="89">
        <f t="shared" si="42"/>
        <v>1.0222267377602012E-2</v>
      </c>
      <c r="Y158" s="89">
        <f t="shared" si="43"/>
        <v>-5.2999962238083898E-3</v>
      </c>
    </row>
    <row r="159" spans="1:25" x14ac:dyDescent="0.25">
      <c r="A159" s="2">
        <f t="shared" si="31"/>
        <v>156</v>
      </c>
      <c r="B159" s="58">
        <v>45141</v>
      </c>
      <c r="C159" s="59">
        <f t="shared" si="32"/>
        <v>2023</v>
      </c>
      <c r="D159" s="59">
        <f t="shared" si="33"/>
        <v>8</v>
      </c>
      <c r="E159" s="54">
        <v>17.323</v>
      </c>
      <c r="F159" s="63">
        <v>53.19</v>
      </c>
      <c r="G159" s="64">
        <v>38.83</v>
      </c>
      <c r="H159" s="64">
        <v>12.98</v>
      </c>
      <c r="I159" s="64">
        <v>220.02</v>
      </c>
      <c r="J159" s="64">
        <v>19.28</v>
      </c>
      <c r="K159" s="64">
        <v>308.72000000000003</v>
      </c>
      <c r="L159" s="64">
        <v>128.91</v>
      </c>
      <c r="M159" s="65">
        <v>259.32</v>
      </c>
      <c r="N159" s="70">
        <v>53445.09</v>
      </c>
      <c r="O159" s="70">
        <v>4501.8900000000003</v>
      </c>
      <c r="P159" s="82">
        <f t="shared" si="34"/>
        <v>2.4500565397662655E-3</v>
      </c>
      <c r="Q159" s="83">
        <f t="shared" si="35"/>
        <v>-1.7708069820389638E-2</v>
      </c>
      <c r="R159" s="83">
        <f t="shared" si="36"/>
        <v>7.763975155279379E-3</v>
      </c>
      <c r="S159" s="83">
        <f t="shared" si="37"/>
        <v>-1.3163269937814803E-3</v>
      </c>
      <c r="T159" s="83">
        <f t="shared" si="38"/>
        <v>-4.1322314049585529E-3</v>
      </c>
      <c r="U159" s="83">
        <f t="shared" si="39"/>
        <v>2.891206185232198E-3</v>
      </c>
      <c r="V159" s="83">
        <f t="shared" si="40"/>
        <v>5.4597925278838666E-3</v>
      </c>
      <c r="W159" s="84">
        <f t="shared" si="41"/>
        <v>2.0502931801188451E-2</v>
      </c>
      <c r="X159" s="89">
        <f t="shared" si="42"/>
        <v>3.0315166629255597E-3</v>
      </c>
      <c r="Y159" s="89">
        <f t="shared" si="43"/>
        <v>-2.5479739176096361E-3</v>
      </c>
    </row>
    <row r="160" spans="1:25" x14ac:dyDescent="0.25">
      <c r="A160" s="2">
        <f t="shared" si="31"/>
        <v>157</v>
      </c>
      <c r="B160" s="58">
        <v>45140</v>
      </c>
      <c r="C160" s="59">
        <f t="shared" si="32"/>
        <v>2023</v>
      </c>
      <c r="D160" s="59">
        <f t="shared" si="33"/>
        <v>8</v>
      </c>
      <c r="E160" s="54">
        <v>17.007999999999999</v>
      </c>
      <c r="F160" s="63">
        <v>53.06</v>
      </c>
      <c r="G160" s="64">
        <v>39.53</v>
      </c>
      <c r="H160" s="64">
        <v>12.88</v>
      </c>
      <c r="I160" s="64">
        <v>220.31</v>
      </c>
      <c r="J160" s="64">
        <v>19.36</v>
      </c>
      <c r="K160" s="64">
        <v>307.83</v>
      </c>
      <c r="L160" s="64">
        <v>128.21</v>
      </c>
      <c r="M160" s="65">
        <v>254.11</v>
      </c>
      <c r="N160" s="70">
        <v>53283.56</v>
      </c>
      <c r="O160" s="70">
        <v>4513.3900000000003</v>
      </c>
      <c r="P160" s="82">
        <f t="shared" si="34"/>
        <v>-1.6679021497405411E-2</v>
      </c>
      <c r="Q160" s="83">
        <f t="shared" si="35"/>
        <v>-3.4912109375E-2</v>
      </c>
      <c r="R160" s="83">
        <f t="shared" si="36"/>
        <v>-1.5503875968991832E-3</v>
      </c>
      <c r="S160" s="83">
        <f t="shared" si="37"/>
        <v>-5.369185172458224E-2</v>
      </c>
      <c r="T160" s="83">
        <f t="shared" si="38"/>
        <v>-1.8753167764825163E-2</v>
      </c>
      <c r="U160" s="83">
        <f t="shared" si="39"/>
        <v>-1.8336628611518635E-2</v>
      </c>
      <c r="V160" s="83">
        <f t="shared" si="40"/>
        <v>-2.6425696711975033E-2</v>
      </c>
      <c r="W160" s="84">
        <f t="shared" si="41"/>
        <v>-2.6659516604741973E-2</v>
      </c>
      <c r="X160" s="89">
        <f t="shared" si="42"/>
        <v>-1.7101077242798635E-2</v>
      </c>
      <c r="Y160" s="89">
        <f t="shared" si="43"/>
        <v>-1.383957541738301E-2</v>
      </c>
    </row>
    <row r="161" spans="1:25" x14ac:dyDescent="0.25">
      <c r="A161" s="2">
        <f t="shared" si="31"/>
        <v>158</v>
      </c>
      <c r="B161" s="58">
        <v>45139</v>
      </c>
      <c r="C161" s="59">
        <f t="shared" si="32"/>
        <v>2023</v>
      </c>
      <c r="D161" s="59">
        <f t="shared" si="33"/>
        <v>8</v>
      </c>
      <c r="E161" s="54">
        <v>16.875</v>
      </c>
      <c r="F161" s="63">
        <v>53.96</v>
      </c>
      <c r="G161" s="64">
        <v>40.96</v>
      </c>
      <c r="H161" s="64">
        <v>12.9</v>
      </c>
      <c r="I161" s="64">
        <v>232.81</v>
      </c>
      <c r="J161" s="64">
        <v>19.73</v>
      </c>
      <c r="K161" s="64">
        <v>313.58</v>
      </c>
      <c r="L161" s="64">
        <v>131.69</v>
      </c>
      <c r="M161" s="65">
        <v>261.07</v>
      </c>
      <c r="N161" s="70">
        <v>54210.62</v>
      </c>
      <c r="O161" s="70">
        <v>4576.7299999999996</v>
      </c>
      <c r="P161" s="82">
        <f t="shared" si="34"/>
        <v>-1.1178303096939679E-2</v>
      </c>
      <c r="Q161" s="83">
        <f t="shared" si="35"/>
        <v>-1.6094162863319772E-2</v>
      </c>
      <c r="R161" s="83">
        <f t="shared" si="36"/>
        <v>1.4150943396226356E-2</v>
      </c>
      <c r="S161" s="83">
        <f t="shared" si="37"/>
        <v>-2.764899970763901E-2</v>
      </c>
      <c r="T161" s="83">
        <f t="shared" si="38"/>
        <v>-2.0357497517378365E-2</v>
      </c>
      <c r="U161" s="83">
        <f t="shared" si="39"/>
        <v>-1.7144648174267418E-2</v>
      </c>
      <c r="V161" s="83">
        <f t="shared" si="40"/>
        <v>-1.488629563135857E-2</v>
      </c>
      <c r="W161" s="84">
        <f t="shared" si="41"/>
        <v>-2.3781924241857766E-2</v>
      </c>
      <c r="X161" s="89">
        <f t="shared" si="42"/>
        <v>-1.1098878948102908E-2</v>
      </c>
      <c r="Y161" s="89">
        <f t="shared" si="43"/>
        <v>-2.6650918726683903E-3</v>
      </c>
    </row>
    <row r="162" spans="1:25" x14ac:dyDescent="0.25">
      <c r="A162" s="2">
        <f t="shared" si="31"/>
        <v>159</v>
      </c>
      <c r="B162" s="58">
        <v>45138</v>
      </c>
      <c r="C162" s="59">
        <f t="shared" si="32"/>
        <v>2023</v>
      </c>
      <c r="D162" s="59">
        <f t="shared" si="33"/>
        <v>7</v>
      </c>
      <c r="E162" s="54">
        <v>16.728000000000002</v>
      </c>
      <c r="F162" s="63">
        <v>54.57</v>
      </c>
      <c r="G162" s="64">
        <v>41.63</v>
      </c>
      <c r="H162" s="64">
        <v>12.72</v>
      </c>
      <c r="I162" s="64">
        <v>239.43</v>
      </c>
      <c r="J162" s="64">
        <v>20.14</v>
      </c>
      <c r="K162" s="64">
        <v>319.05</v>
      </c>
      <c r="L162" s="64">
        <v>133.68</v>
      </c>
      <c r="M162" s="65">
        <v>267.43</v>
      </c>
      <c r="N162" s="70">
        <v>54819.05</v>
      </c>
      <c r="O162" s="70">
        <v>4588.96</v>
      </c>
      <c r="P162" s="82">
        <f t="shared" si="34"/>
        <v>-1.0982976386600951E-3</v>
      </c>
      <c r="Q162" s="83">
        <f t="shared" si="35"/>
        <v>2.5622074402562145E-2</v>
      </c>
      <c r="R162" s="83">
        <f t="shared" si="36"/>
        <v>-7.0257611241217877E-3</v>
      </c>
      <c r="S162" s="83">
        <f t="shared" si="37"/>
        <v>2.6715265866209315E-2</v>
      </c>
      <c r="T162" s="83">
        <f t="shared" si="38"/>
        <v>-2.9865125240847834E-2</v>
      </c>
      <c r="U162" s="83">
        <f t="shared" si="39"/>
        <v>9.7158047977718986E-3</v>
      </c>
      <c r="V162" s="83">
        <f t="shared" si="40"/>
        <v>1.1118674835489006E-2</v>
      </c>
      <c r="W162" s="84">
        <f t="shared" si="41"/>
        <v>3.715658309563219E-3</v>
      </c>
      <c r="X162" s="89">
        <f t="shared" si="42"/>
        <v>-1.6732552153095881E-3</v>
      </c>
      <c r="Y162" s="89">
        <f t="shared" si="43"/>
        <v>1.4687171966489831E-3</v>
      </c>
    </row>
    <row r="163" spans="1:25" x14ac:dyDescent="0.25">
      <c r="A163" s="2">
        <f t="shared" si="31"/>
        <v>160</v>
      </c>
      <c r="B163" s="58">
        <v>45135</v>
      </c>
      <c r="C163" s="59">
        <f t="shared" si="32"/>
        <v>2023</v>
      </c>
      <c r="D163" s="59">
        <f t="shared" si="33"/>
        <v>7</v>
      </c>
      <c r="E163" s="54">
        <v>16.672999999999998</v>
      </c>
      <c r="F163" s="63">
        <v>54.63</v>
      </c>
      <c r="G163" s="64">
        <v>40.590000000000003</v>
      </c>
      <c r="H163" s="64">
        <v>12.81</v>
      </c>
      <c r="I163" s="64">
        <v>233.2</v>
      </c>
      <c r="J163" s="64">
        <v>20.76</v>
      </c>
      <c r="K163" s="64">
        <v>315.98</v>
      </c>
      <c r="L163" s="64">
        <v>132.21</v>
      </c>
      <c r="M163" s="65">
        <v>266.44</v>
      </c>
      <c r="N163" s="70">
        <v>54910.93</v>
      </c>
      <c r="O163" s="70">
        <v>4582.2299999999996</v>
      </c>
      <c r="P163" s="82">
        <f t="shared" si="34"/>
        <v>3.1215571061329328E-3</v>
      </c>
      <c r="Q163" s="83">
        <f t="shared" si="35"/>
        <v>-6.6079295154184425E-3</v>
      </c>
      <c r="R163" s="83">
        <f t="shared" si="36"/>
        <v>2.3474178403757318E-3</v>
      </c>
      <c r="S163" s="83">
        <f t="shared" si="37"/>
        <v>4.5229377557611805E-3</v>
      </c>
      <c r="T163" s="83">
        <f t="shared" si="38"/>
        <v>-3.8387715930900956E-3</v>
      </c>
      <c r="U163" s="83">
        <f t="shared" si="39"/>
        <v>5.1213538187486751E-3</v>
      </c>
      <c r="V163" s="83">
        <f t="shared" si="40"/>
        <v>3.0877192982456281E-2</v>
      </c>
      <c r="W163" s="84">
        <f t="shared" si="41"/>
        <v>4.1961597121739524E-2</v>
      </c>
      <c r="X163" s="89">
        <f t="shared" si="42"/>
        <v>2.8772647684462971E-3</v>
      </c>
      <c r="Y163" s="89">
        <f t="shared" si="43"/>
        <v>9.8778818753428865E-3</v>
      </c>
    </row>
    <row r="164" spans="1:25" x14ac:dyDescent="0.25">
      <c r="A164" s="2">
        <f t="shared" si="31"/>
        <v>161</v>
      </c>
      <c r="B164" s="58">
        <v>45134</v>
      </c>
      <c r="C164" s="59">
        <f t="shared" si="32"/>
        <v>2023</v>
      </c>
      <c r="D164" s="59">
        <f t="shared" si="33"/>
        <v>7</v>
      </c>
      <c r="E164" s="54">
        <v>16.86</v>
      </c>
      <c r="F164" s="63">
        <v>54.46</v>
      </c>
      <c r="G164" s="64">
        <v>40.86</v>
      </c>
      <c r="H164" s="64">
        <v>12.78</v>
      </c>
      <c r="I164" s="64">
        <v>232.15</v>
      </c>
      <c r="J164" s="64">
        <v>20.84</v>
      </c>
      <c r="K164" s="64">
        <v>314.37</v>
      </c>
      <c r="L164" s="64">
        <v>128.25</v>
      </c>
      <c r="M164" s="65">
        <v>255.71</v>
      </c>
      <c r="N164" s="70">
        <v>54753.39</v>
      </c>
      <c r="O164" s="70">
        <v>4537.41</v>
      </c>
      <c r="P164" s="82">
        <f t="shared" si="34"/>
        <v>1.8395879323032105E-3</v>
      </c>
      <c r="Q164" s="83">
        <f t="shared" si="35"/>
        <v>8.1421169504070079E-3</v>
      </c>
      <c r="R164" s="83">
        <f t="shared" si="36"/>
        <v>-3.1201248049922414E-3</v>
      </c>
      <c r="S164" s="83">
        <f t="shared" si="37"/>
        <v>1.6395564568321142E-3</v>
      </c>
      <c r="T164" s="83">
        <f t="shared" si="38"/>
        <v>-4.6224256292906274E-2</v>
      </c>
      <c r="U164" s="83">
        <f t="shared" si="39"/>
        <v>1.1258725512272028E-2</v>
      </c>
      <c r="V164" s="83">
        <f t="shared" si="40"/>
        <v>7.803355442839166E-4</v>
      </c>
      <c r="W164" s="84">
        <f t="shared" si="41"/>
        <v>-3.2683941743900213E-2</v>
      </c>
      <c r="X164" s="89">
        <f t="shared" si="42"/>
        <v>4.610832355236294E-3</v>
      </c>
      <c r="Y164" s="89">
        <f t="shared" si="43"/>
        <v>-6.4247002791920638E-3</v>
      </c>
    </row>
    <row r="165" spans="1:25" x14ac:dyDescent="0.25">
      <c r="A165" s="2">
        <f t="shared" si="31"/>
        <v>162</v>
      </c>
      <c r="B165" s="58">
        <v>45133</v>
      </c>
      <c r="C165" s="59">
        <f t="shared" si="32"/>
        <v>2023</v>
      </c>
      <c r="D165" s="59">
        <f t="shared" si="33"/>
        <v>7</v>
      </c>
      <c r="E165" s="54">
        <v>16.834</v>
      </c>
      <c r="F165" s="63">
        <v>54.36</v>
      </c>
      <c r="G165" s="64">
        <v>40.53</v>
      </c>
      <c r="H165" s="64">
        <v>12.82</v>
      </c>
      <c r="I165" s="64">
        <v>231.77</v>
      </c>
      <c r="J165" s="64">
        <v>21.85</v>
      </c>
      <c r="K165" s="64">
        <v>310.87</v>
      </c>
      <c r="L165" s="64">
        <v>128.15</v>
      </c>
      <c r="M165" s="65">
        <v>264.35000000000002</v>
      </c>
      <c r="N165" s="70">
        <v>54502.09</v>
      </c>
      <c r="O165" s="70">
        <v>4566.75</v>
      </c>
      <c r="P165" s="82">
        <f t="shared" si="34"/>
        <v>8.7214696604194231E-3</v>
      </c>
      <c r="Q165" s="83">
        <f t="shared" si="35"/>
        <v>-8.3190604355272146E-3</v>
      </c>
      <c r="R165" s="83">
        <f t="shared" si="36"/>
        <v>1.3438735177865535E-2</v>
      </c>
      <c r="S165" s="83">
        <f t="shared" si="37"/>
        <v>-2.9398216005695255E-2</v>
      </c>
      <c r="T165" s="83">
        <f t="shared" si="38"/>
        <v>4.1360294117647189E-3</v>
      </c>
      <c r="U165" s="83">
        <f t="shared" si="39"/>
        <v>4.8253304558942611E-2</v>
      </c>
      <c r="V165" s="83">
        <f t="shared" si="40"/>
        <v>-7.5892511422596121E-3</v>
      </c>
      <c r="W165" s="84">
        <f t="shared" si="41"/>
        <v>-3.5057297949334654E-3</v>
      </c>
      <c r="X165" s="89">
        <f t="shared" si="42"/>
        <v>9.0442070308984768E-3</v>
      </c>
      <c r="Y165" s="89">
        <f t="shared" si="43"/>
        <v>-1.5544744781559316E-4</v>
      </c>
    </row>
    <row r="166" spans="1:25" x14ac:dyDescent="0.25">
      <c r="A166" s="2">
        <f t="shared" si="31"/>
        <v>163</v>
      </c>
      <c r="B166" s="58">
        <v>45132</v>
      </c>
      <c r="C166" s="59">
        <f t="shared" si="32"/>
        <v>2023</v>
      </c>
      <c r="D166" s="59">
        <f t="shared" si="33"/>
        <v>7</v>
      </c>
      <c r="E166" s="54">
        <v>16.920000000000002</v>
      </c>
      <c r="F166" s="63">
        <v>53.89</v>
      </c>
      <c r="G166" s="64">
        <v>40.869999999999997</v>
      </c>
      <c r="H166" s="64">
        <v>12.65</v>
      </c>
      <c r="I166" s="64">
        <v>238.79</v>
      </c>
      <c r="J166" s="64">
        <v>21.76</v>
      </c>
      <c r="K166" s="64">
        <v>296.56</v>
      </c>
      <c r="L166" s="64">
        <v>129.13</v>
      </c>
      <c r="M166" s="65">
        <v>265.27999999999997</v>
      </c>
      <c r="N166" s="70">
        <v>54013.58</v>
      </c>
      <c r="O166" s="70">
        <v>4567.46</v>
      </c>
      <c r="P166" s="82">
        <f t="shared" si="34"/>
        <v>8.0433969322857291E-3</v>
      </c>
      <c r="Q166" s="83">
        <f t="shared" si="35"/>
        <v>2.4054121773991577E-2</v>
      </c>
      <c r="R166" s="83">
        <f t="shared" si="36"/>
        <v>1.688102893890675E-2</v>
      </c>
      <c r="S166" s="83">
        <f t="shared" si="37"/>
        <v>2.3619684499314175E-2</v>
      </c>
      <c r="T166" s="83">
        <f t="shared" si="38"/>
        <v>-5.6783701777199824E-2</v>
      </c>
      <c r="U166" s="83">
        <f t="shared" si="39"/>
        <v>-8.6578639478521735E-3</v>
      </c>
      <c r="V166" s="83">
        <f t="shared" si="40"/>
        <v>2.5621118012422173E-3</v>
      </c>
      <c r="W166" s="84">
        <f t="shared" si="41"/>
        <v>-1.4048911023563648E-2</v>
      </c>
      <c r="X166" s="89">
        <f t="shared" si="42"/>
        <v>9.2429012474282146E-3</v>
      </c>
      <c r="Y166" s="89">
        <f t="shared" si="43"/>
        <v>2.8147120299297779E-3</v>
      </c>
    </row>
    <row r="167" spans="1:25" x14ac:dyDescent="0.25">
      <c r="A167" s="2">
        <f t="shared" si="31"/>
        <v>164</v>
      </c>
      <c r="B167" s="58">
        <v>45131</v>
      </c>
      <c r="C167" s="59">
        <f t="shared" si="32"/>
        <v>2023</v>
      </c>
      <c r="D167" s="59">
        <f t="shared" si="33"/>
        <v>7</v>
      </c>
      <c r="E167" s="54">
        <v>16.82</v>
      </c>
      <c r="F167" s="63">
        <v>53.46</v>
      </c>
      <c r="G167" s="64">
        <v>39.909999999999997</v>
      </c>
      <c r="H167" s="64">
        <v>12.44</v>
      </c>
      <c r="I167" s="64">
        <v>233.28</v>
      </c>
      <c r="J167" s="64">
        <v>23.07</v>
      </c>
      <c r="K167" s="64">
        <v>299.14999999999998</v>
      </c>
      <c r="L167" s="64">
        <v>128.80000000000001</v>
      </c>
      <c r="M167" s="65">
        <v>269.06</v>
      </c>
      <c r="N167" s="70">
        <v>53518.91</v>
      </c>
      <c r="O167" s="70">
        <v>4554.6400000000003</v>
      </c>
      <c r="P167" s="82">
        <f t="shared" si="34"/>
        <v>-2.4258257137526051E-3</v>
      </c>
      <c r="Q167" s="83">
        <f t="shared" si="35"/>
        <v>-1.7962598425196985E-2</v>
      </c>
      <c r="R167" s="83">
        <f t="shared" si="36"/>
        <v>-1.1128775834658211E-2</v>
      </c>
      <c r="S167" s="83">
        <f t="shared" si="37"/>
        <v>-3.9707954399897938E-3</v>
      </c>
      <c r="T167" s="83">
        <f t="shared" si="38"/>
        <v>-1.6624040920716121E-2</v>
      </c>
      <c r="U167" s="83">
        <f t="shared" si="39"/>
        <v>-2.560177192925317E-2</v>
      </c>
      <c r="V167" s="83">
        <f t="shared" si="40"/>
        <v>-9.2307692307691536E-3</v>
      </c>
      <c r="W167" s="84">
        <f t="shared" si="41"/>
        <v>3.476655641873716E-2</v>
      </c>
      <c r="X167" s="89">
        <f t="shared" si="42"/>
        <v>-3.4123394664199447E-3</v>
      </c>
      <c r="Y167" s="89">
        <f t="shared" si="43"/>
        <v>4.0340891555747938E-3</v>
      </c>
    </row>
    <row r="168" spans="1:25" x14ac:dyDescent="0.25">
      <c r="A168" s="2">
        <f t="shared" si="31"/>
        <v>165</v>
      </c>
      <c r="B168" s="58">
        <v>45128</v>
      </c>
      <c r="C168" s="59">
        <f t="shared" si="32"/>
        <v>2023</v>
      </c>
      <c r="D168" s="59">
        <f t="shared" si="33"/>
        <v>7</v>
      </c>
      <c r="E168" s="54">
        <v>16.975999999999999</v>
      </c>
      <c r="F168" s="63">
        <v>53.59</v>
      </c>
      <c r="G168" s="64">
        <v>40.64</v>
      </c>
      <c r="H168" s="64">
        <v>12.58</v>
      </c>
      <c r="I168" s="64">
        <v>234.21</v>
      </c>
      <c r="J168" s="64">
        <v>23.46</v>
      </c>
      <c r="K168" s="64">
        <v>307.01</v>
      </c>
      <c r="L168" s="64">
        <v>130</v>
      </c>
      <c r="M168" s="65">
        <v>260.02</v>
      </c>
      <c r="N168" s="70">
        <v>53702.16</v>
      </c>
      <c r="O168" s="70">
        <v>4536.34</v>
      </c>
      <c r="P168" s="82">
        <f t="shared" si="34"/>
        <v>2.0568436798804601E-3</v>
      </c>
      <c r="Q168" s="83">
        <f t="shared" si="35"/>
        <v>2.7819929185634917E-2</v>
      </c>
      <c r="R168" s="83">
        <f t="shared" si="36"/>
        <v>-1.5873015873015817E-3</v>
      </c>
      <c r="S168" s="83">
        <f t="shared" si="37"/>
        <v>6.9217540842649861E-3</v>
      </c>
      <c r="T168" s="83">
        <f t="shared" si="38"/>
        <v>1.6464471403812908E-2</v>
      </c>
      <c r="U168" s="83">
        <f t="shared" si="39"/>
        <v>-2.6050994822357509E-4</v>
      </c>
      <c r="V168" s="83">
        <f t="shared" si="40"/>
        <v>3.0778701138811648E-4</v>
      </c>
      <c r="W168" s="84">
        <f t="shared" si="41"/>
        <v>-1.0954735640928082E-2</v>
      </c>
      <c r="X168" s="89">
        <f t="shared" si="42"/>
        <v>2.6285735409681266E-3</v>
      </c>
      <c r="Y168" s="89">
        <f t="shared" si="43"/>
        <v>3.2415482692993436E-4</v>
      </c>
    </row>
    <row r="169" spans="1:25" x14ac:dyDescent="0.25">
      <c r="A169" s="2">
        <f t="shared" si="31"/>
        <v>166</v>
      </c>
      <c r="B169" s="58">
        <v>45127</v>
      </c>
      <c r="C169" s="59">
        <f t="shared" si="32"/>
        <v>2023</v>
      </c>
      <c r="D169" s="59">
        <f t="shared" si="33"/>
        <v>7</v>
      </c>
      <c r="E169" s="54">
        <v>16.873000000000001</v>
      </c>
      <c r="F169" s="63">
        <v>53.48</v>
      </c>
      <c r="G169" s="64">
        <v>39.54</v>
      </c>
      <c r="H169" s="64">
        <v>12.6</v>
      </c>
      <c r="I169" s="64">
        <v>232.6</v>
      </c>
      <c r="J169" s="64">
        <v>23.08</v>
      </c>
      <c r="K169" s="64">
        <v>307.08999999999997</v>
      </c>
      <c r="L169" s="64">
        <v>129.96</v>
      </c>
      <c r="M169" s="65">
        <v>262.89999999999998</v>
      </c>
      <c r="N169" s="70">
        <v>53561.37</v>
      </c>
      <c r="O169" s="70">
        <v>4534.87</v>
      </c>
      <c r="P169" s="82">
        <f t="shared" si="34"/>
        <v>-3.3544539694372322E-3</v>
      </c>
      <c r="Q169" s="83">
        <f t="shared" si="35"/>
        <v>-2.0559821649739907E-2</v>
      </c>
      <c r="R169" s="83">
        <f t="shared" si="36"/>
        <v>9.6153846153845812E-3</v>
      </c>
      <c r="S169" s="83">
        <f t="shared" si="37"/>
        <v>-2.3468659473529496E-2</v>
      </c>
      <c r="T169" s="83">
        <f t="shared" si="38"/>
        <v>7.8602620087335762E-3</v>
      </c>
      <c r="U169" s="83">
        <f t="shared" si="39"/>
        <v>-2.0821376187743268E-2</v>
      </c>
      <c r="V169" s="83">
        <f t="shared" si="40"/>
        <v>-3.9893617021276584E-2</v>
      </c>
      <c r="W169" s="84">
        <f t="shared" si="41"/>
        <v>-9.7370047380347491E-2</v>
      </c>
      <c r="X169" s="89">
        <f t="shared" si="42"/>
        <v>-3.3269346425466306E-3</v>
      </c>
      <c r="Y169" s="89">
        <f t="shared" si="43"/>
        <v>-6.7568751478409572E-3</v>
      </c>
    </row>
    <row r="170" spans="1:25" x14ac:dyDescent="0.25">
      <c r="A170" s="2">
        <f t="shared" si="31"/>
        <v>167</v>
      </c>
      <c r="B170" s="58">
        <v>45126</v>
      </c>
      <c r="C170" s="59">
        <f t="shared" si="32"/>
        <v>2023</v>
      </c>
      <c r="D170" s="59">
        <f t="shared" si="33"/>
        <v>7</v>
      </c>
      <c r="E170" s="54">
        <v>16.706600000000002</v>
      </c>
      <c r="F170" s="63">
        <v>53.66</v>
      </c>
      <c r="G170" s="64">
        <v>40.369999999999997</v>
      </c>
      <c r="H170" s="64">
        <v>12.48</v>
      </c>
      <c r="I170" s="64">
        <v>238.19</v>
      </c>
      <c r="J170" s="64">
        <v>22.9</v>
      </c>
      <c r="K170" s="64">
        <v>313.62</v>
      </c>
      <c r="L170" s="64">
        <v>135.36000000000001</v>
      </c>
      <c r="M170" s="65">
        <v>291.26</v>
      </c>
      <c r="N170" s="70">
        <v>53740.160000000003</v>
      </c>
      <c r="O170" s="70">
        <v>4565.72</v>
      </c>
      <c r="P170" s="82">
        <f t="shared" si="34"/>
        <v>-5.5596738324685813E-3</v>
      </c>
      <c r="Q170" s="83">
        <f t="shared" si="35"/>
        <v>-1.7309594460930278E-3</v>
      </c>
      <c r="R170" s="83">
        <f t="shared" si="36"/>
        <v>-3.1948881789136685E-3</v>
      </c>
      <c r="S170" s="83">
        <f t="shared" si="37"/>
        <v>-8.5744016649323962E-3</v>
      </c>
      <c r="T170" s="83">
        <f t="shared" si="38"/>
        <v>4.8266783677051173E-3</v>
      </c>
      <c r="U170" s="83">
        <f t="shared" si="39"/>
        <v>-1.401006177163544E-3</v>
      </c>
      <c r="V170" s="83">
        <f t="shared" si="40"/>
        <v>1.9046902055258608E-2</v>
      </c>
      <c r="W170" s="84">
        <f t="shared" si="41"/>
        <v>-7.0907479375468263E-3</v>
      </c>
      <c r="X170" s="89">
        <f t="shared" si="42"/>
        <v>-5.4798378940662529E-3</v>
      </c>
      <c r="Y170" s="89">
        <f t="shared" si="43"/>
        <v>2.3578588709500803E-3</v>
      </c>
    </row>
    <row r="171" spans="1:25" x14ac:dyDescent="0.25">
      <c r="A171" s="2">
        <f t="shared" si="31"/>
        <v>168</v>
      </c>
      <c r="B171" s="58">
        <v>45125</v>
      </c>
      <c r="C171" s="59">
        <f t="shared" si="32"/>
        <v>2023</v>
      </c>
      <c r="D171" s="59">
        <f t="shared" si="33"/>
        <v>7</v>
      </c>
      <c r="E171" s="54">
        <v>16.739999999999998</v>
      </c>
      <c r="F171" s="63">
        <v>53.96</v>
      </c>
      <c r="G171" s="64">
        <v>40.44</v>
      </c>
      <c r="H171" s="64">
        <v>12.52</v>
      </c>
      <c r="I171" s="64">
        <v>240.25</v>
      </c>
      <c r="J171" s="64">
        <v>22.79</v>
      </c>
      <c r="K171" s="64">
        <v>314.06</v>
      </c>
      <c r="L171" s="64">
        <v>132.83000000000001</v>
      </c>
      <c r="M171" s="65">
        <v>293.33999999999997</v>
      </c>
      <c r="N171" s="70">
        <v>54036.27</v>
      </c>
      <c r="O171" s="70">
        <v>4554.9799999999996</v>
      </c>
      <c r="P171" s="82">
        <f t="shared" si="34"/>
        <v>8.2212257100149344E-3</v>
      </c>
      <c r="Q171" s="83">
        <f t="shared" si="35"/>
        <v>-1.1246943765281237E-2</v>
      </c>
      <c r="R171" s="83">
        <f t="shared" si="36"/>
        <v>1.3765182186234792E-2</v>
      </c>
      <c r="S171" s="83">
        <f t="shared" si="37"/>
        <v>4.5806612809196068E-4</v>
      </c>
      <c r="T171" s="83">
        <f t="shared" si="38"/>
        <v>1.0195035460992985E-2</v>
      </c>
      <c r="U171" s="83">
        <f t="shared" si="39"/>
        <v>1.5947983049202641E-2</v>
      </c>
      <c r="V171" s="83">
        <f t="shared" si="40"/>
        <v>-5.4657082958968761E-3</v>
      </c>
      <c r="W171" s="84">
        <f t="shared" si="41"/>
        <v>1.0193539499965487E-2</v>
      </c>
      <c r="X171" s="89">
        <f t="shared" si="42"/>
        <v>7.701880172544584E-3</v>
      </c>
      <c r="Y171" s="89">
        <f t="shared" si="43"/>
        <v>7.1172882225352119E-3</v>
      </c>
    </row>
    <row r="172" spans="1:25" x14ac:dyDescent="0.25">
      <c r="A172" s="2">
        <f t="shared" si="31"/>
        <v>169</v>
      </c>
      <c r="B172" s="58">
        <v>45124</v>
      </c>
      <c r="C172" s="59">
        <f t="shared" si="32"/>
        <v>2023</v>
      </c>
      <c r="D172" s="59">
        <f t="shared" si="33"/>
        <v>7</v>
      </c>
      <c r="E172" s="54">
        <v>16.72</v>
      </c>
      <c r="F172" s="63">
        <v>53.52</v>
      </c>
      <c r="G172" s="64">
        <v>40.9</v>
      </c>
      <c r="H172" s="64">
        <v>12.35</v>
      </c>
      <c r="I172" s="64">
        <v>240.14</v>
      </c>
      <c r="J172" s="64">
        <v>22.56</v>
      </c>
      <c r="K172" s="64">
        <v>309.13</v>
      </c>
      <c r="L172" s="64">
        <v>133.56</v>
      </c>
      <c r="M172" s="65">
        <v>290.38</v>
      </c>
      <c r="N172" s="70">
        <v>53623.27</v>
      </c>
      <c r="O172" s="70">
        <v>4522.79</v>
      </c>
      <c r="P172" s="82">
        <f t="shared" si="34"/>
        <v>-2.0510908073839706E-3</v>
      </c>
      <c r="Q172" s="83">
        <f t="shared" si="35"/>
        <v>1.5140233308513329E-2</v>
      </c>
      <c r="R172" s="83">
        <f t="shared" si="36"/>
        <v>1.0638297872340274E-2</v>
      </c>
      <c r="S172" s="83">
        <f t="shared" si="37"/>
        <v>-4.931007334355586E-3</v>
      </c>
      <c r="T172" s="83">
        <f t="shared" si="38"/>
        <v>-6.6050198150595651E-3</v>
      </c>
      <c r="U172" s="83">
        <f t="shared" si="39"/>
        <v>2.6921829386961083E-3</v>
      </c>
      <c r="V172" s="83">
        <f t="shared" si="40"/>
        <v>-8.3160083160083165E-3</v>
      </c>
      <c r="W172" s="84">
        <f t="shared" si="41"/>
        <v>3.1985215722510452E-2</v>
      </c>
      <c r="X172" s="89">
        <f t="shared" si="42"/>
        <v>-2.7436824447470975E-3</v>
      </c>
      <c r="Y172" s="89">
        <f t="shared" si="43"/>
        <v>3.8553564373575711E-3</v>
      </c>
    </row>
    <row r="173" spans="1:25" x14ac:dyDescent="0.25">
      <c r="A173" s="2">
        <f t="shared" si="31"/>
        <v>170</v>
      </c>
      <c r="B173" s="58">
        <v>45121</v>
      </c>
      <c r="C173" s="59">
        <f t="shared" si="32"/>
        <v>2023</v>
      </c>
      <c r="D173" s="59">
        <f t="shared" si="33"/>
        <v>7</v>
      </c>
      <c r="E173" s="54">
        <v>16.736000000000001</v>
      </c>
      <c r="F173" s="63">
        <v>53.63</v>
      </c>
      <c r="G173" s="64">
        <v>40.29</v>
      </c>
      <c r="H173" s="64">
        <v>12.22</v>
      </c>
      <c r="I173" s="64">
        <v>241.33</v>
      </c>
      <c r="J173" s="64">
        <v>22.71</v>
      </c>
      <c r="K173" s="64">
        <v>308.3</v>
      </c>
      <c r="L173" s="64">
        <v>134.68</v>
      </c>
      <c r="M173" s="65">
        <v>281.38</v>
      </c>
      <c r="N173" s="70">
        <v>53770.8</v>
      </c>
      <c r="O173" s="70">
        <v>4505.42</v>
      </c>
      <c r="P173" s="82">
        <f t="shared" si="34"/>
        <v>-9.0539541759052655E-3</v>
      </c>
      <c r="Q173" s="83">
        <f t="shared" si="35"/>
        <v>1.7938352703385618E-2</v>
      </c>
      <c r="R173" s="83">
        <f t="shared" si="36"/>
        <v>-1.3720742534301889E-2</v>
      </c>
      <c r="S173" s="83">
        <f t="shared" si="37"/>
        <v>-1.2238048461034601E-2</v>
      </c>
      <c r="T173" s="83">
        <f t="shared" si="38"/>
        <v>-3.811944091486652E-2</v>
      </c>
      <c r="U173" s="83">
        <f t="shared" si="39"/>
        <v>-1.952677776364331E-2</v>
      </c>
      <c r="V173" s="83">
        <f t="shared" si="40"/>
        <v>2.8294862248696706E-3</v>
      </c>
      <c r="W173" s="84">
        <f t="shared" si="41"/>
        <v>1.2522490104354134E-2</v>
      </c>
      <c r="X173" s="89">
        <f t="shared" si="42"/>
        <v>-8.7237282051971787E-3</v>
      </c>
      <c r="Y173" s="89">
        <f t="shared" si="43"/>
        <v>-1.0243811584819129E-3</v>
      </c>
    </row>
    <row r="174" spans="1:25" x14ac:dyDescent="0.25">
      <c r="A174" s="2">
        <f t="shared" si="31"/>
        <v>171</v>
      </c>
      <c r="B174" s="58">
        <v>45120</v>
      </c>
      <c r="C174" s="59">
        <f t="shared" si="32"/>
        <v>2023</v>
      </c>
      <c r="D174" s="59">
        <f t="shared" si="33"/>
        <v>7</v>
      </c>
      <c r="E174" s="54">
        <v>16.8371</v>
      </c>
      <c r="F174" s="63">
        <v>54.12</v>
      </c>
      <c r="G174" s="64">
        <v>39.58</v>
      </c>
      <c r="H174" s="64">
        <v>12.39</v>
      </c>
      <c r="I174" s="64">
        <v>244.32</v>
      </c>
      <c r="J174" s="64">
        <v>23.61</v>
      </c>
      <c r="K174" s="64">
        <v>314.44</v>
      </c>
      <c r="L174" s="64">
        <v>134.30000000000001</v>
      </c>
      <c r="M174" s="65">
        <v>277.89999999999998</v>
      </c>
      <c r="N174" s="70">
        <v>54244.01</v>
      </c>
      <c r="O174" s="70">
        <v>4510.04</v>
      </c>
      <c r="P174" s="82">
        <f t="shared" si="34"/>
        <v>7.2585147962032082E-3</v>
      </c>
      <c r="Q174" s="83">
        <f t="shared" si="35"/>
        <v>1.0209290454313402E-2</v>
      </c>
      <c r="R174" s="83">
        <f t="shared" si="36"/>
        <v>4.2929292929292817E-2</v>
      </c>
      <c r="S174" s="83">
        <f t="shared" si="37"/>
        <v>1.0798063795457225E-2</v>
      </c>
      <c r="T174" s="83">
        <f t="shared" si="38"/>
        <v>1.3304721030042765E-2</v>
      </c>
      <c r="U174" s="83">
        <f t="shared" si="39"/>
        <v>3.6066515591586246E-3</v>
      </c>
      <c r="V174" s="83">
        <f t="shared" si="40"/>
        <v>2.6758409785932802E-2</v>
      </c>
      <c r="W174" s="84">
        <f t="shared" si="41"/>
        <v>2.1728740027206817E-2</v>
      </c>
      <c r="X174" s="89">
        <f t="shared" si="42"/>
        <v>5.3246389559333807E-3</v>
      </c>
      <c r="Y174" s="89">
        <f t="shared" si="43"/>
        <v>8.4701799577833192E-3</v>
      </c>
    </row>
    <row r="175" spans="1:25" x14ac:dyDescent="0.25">
      <c r="A175" s="2">
        <f t="shared" si="31"/>
        <v>172</v>
      </c>
      <c r="B175" s="58">
        <v>45119</v>
      </c>
      <c r="C175" s="59">
        <f t="shared" si="32"/>
        <v>2023</v>
      </c>
      <c r="D175" s="59">
        <f t="shared" si="33"/>
        <v>7</v>
      </c>
      <c r="E175" s="54">
        <v>16.884</v>
      </c>
      <c r="F175" s="63">
        <v>53.73</v>
      </c>
      <c r="G175" s="64">
        <v>39.18</v>
      </c>
      <c r="H175" s="64">
        <v>11.88</v>
      </c>
      <c r="I175" s="64">
        <v>241.71</v>
      </c>
      <c r="J175" s="64">
        <v>23.3</v>
      </c>
      <c r="K175" s="64">
        <v>313.31</v>
      </c>
      <c r="L175" s="64">
        <v>130.80000000000001</v>
      </c>
      <c r="M175" s="65">
        <v>271.99</v>
      </c>
      <c r="N175" s="70">
        <v>53956.71</v>
      </c>
      <c r="O175" s="70">
        <v>4472.16</v>
      </c>
      <c r="P175" s="82">
        <f t="shared" si="34"/>
        <v>-3.8932146829810943E-3</v>
      </c>
      <c r="Q175" s="83">
        <f t="shared" si="35"/>
        <v>1.0575187000257946E-2</v>
      </c>
      <c r="R175" s="83">
        <f t="shared" si="36"/>
        <v>-1.6806722689075571E-3</v>
      </c>
      <c r="S175" s="83">
        <f t="shared" si="37"/>
        <v>1.8626996502170368E-2</v>
      </c>
      <c r="T175" s="83">
        <f t="shared" si="38"/>
        <v>-7.6660988074956915E-3</v>
      </c>
      <c r="U175" s="83">
        <f t="shared" si="39"/>
        <v>-8.6695143173548539E-3</v>
      </c>
      <c r="V175" s="83">
        <f t="shared" si="40"/>
        <v>1.5685665476005584E-2</v>
      </c>
      <c r="W175" s="84">
        <f t="shared" si="41"/>
        <v>8.154490529671099E-3</v>
      </c>
      <c r="X175" s="89">
        <f t="shared" si="42"/>
        <v>-3.351241841703434E-3</v>
      </c>
      <c r="Y175" s="89">
        <f t="shared" si="43"/>
        <v>7.4111451007599083E-3</v>
      </c>
    </row>
    <row r="176" spans="1:25" x14ac:dyDescent="0.25">
      <c r="A176" s="2">
        <f t="shared" si="31"/>
        <v>173</v>
      </c>
      <c r="B176" s="58">
        <v>45118</v>
      </c>
      <c r="C176" s="59">
        <f t="shared" si="32"/>
        <v>2023</v>
      </c>
      <c r="D176" s="59">
        <f t="shared" si="33"/>
        <v>7</v>
      </c>
      <c r="E176" s="54">
        <v>17.0379</v>
      </c>
      <c r="F176" s="63">
        <v>53.94</v>
      </c>
      <c r="G176" s="64">
        <v>38.770000000000003</v>
      </c>
      <c r="H176" s="64">
        <v>11.9</v>
      </c>
      <c r="I176" s="64">
        <v>237.29</v>
      </c>
      <c r="J176" s="64">
        <v>23.48</v>
      </c>
      <c r="K176" s="64">
        <v>316.05</v>
      </c>
      <c r="L176" s="64">
        <v>128.78</v>
      </c>
      <c r="M176" s="65">
        <v>269.79000000000002</v>
      </c>
      <c r="N176" s="70">
        <v>54138.14</v>
      </c>
      <c r="O176" s="70">
        <v>4439.26</v>
      </c>
      <c r="P176" s="82">
        <f t="shared" si="34"/>
        <v>1.0301554598239226E-2</v>
      </c>
      <c r="Q176" s="83">
        <f t="shared" si="35"/>
        <v>-7.6785257230610471E-3</v>
      </c>
      <c r="R176" s="83">
        <f t="shared" si="36"/>
        <v>1.7094017094017255E-2</v>
      </c>
      <c r="S176" s="83">
        <f t="shared" si="37"/>
        <v>1.662310954971935E-2</v>
      </c>
      <c r="T176" s="83">
        <f t="shared" si="38"/>
        <v>2.4879965080750743E-2</v>
      </c>
      <c r="U176" s="83">
        <f t="shared" si="39"/>
        <v>-3.7825059101654901E-3</v>
      </c>
      <c r="V176" s="83">
        <f t="shared" si="40"/>
        <v>1.2978840556910232E-2</v>
      </c>
      <c r="W176" s="84">
        <f t="shared" si="41"/>
        <v>6.6763102258815543E-4</v>
      </c>
      <c r="X176" s="89">
        <f t="shared" si="42"/>
        <v>8.9979843575711538E-3</v>
      </c>
      <c r="Y176" s="89">
        <f t="shared" si="43"/>
        <v>6.7422151567175792E-3</v>
      </c>
    </row>
    <row r="177" spans="1:25" x14ac:dyDescent="0.25">
      <c r="A177" s="2">
        <f t="shared" si="31"/>
        <v>174</v>
      </c>
      <c r="B177" s="58">
        <v>45117</v>
      </c>
      <c r="C177" s="59">
        <f t="shared" si="32"/>
        <v>2023</v>
      </c>
      <c r="D177" s="59">
        <f t="shared" si="33"/>
        <v>7</v>
      </c>
      <c r="E177" s="54">
        <v>17.04</v>
      </c>
      <c r="F177" s="63">
        <v>53.39</v>
      </c>
      <c r="G177" s="64">
        <v>39.07</v>
      </c>
      <c r="H177" s="64">
        <v>11.7</v>
      </c>
      <c r="I177" s="64">
        <v>233.41</v>
      </c>
      <c r="J177" s="64">
        <v>22.91</v>
      </c>
      <c r="K177" s="64">
        <v>317.25</v>
      </c>
      <c r="L177" s="64">
        <v>127.13</v>
      </c>
      <c r="M177" s="65">
        <v>269.61</v>
      </c>
      <c r="N177" s="70">
        <v>53655.35</v>
      </c>
      <c r="O177" s="70">
        <v>4409.53</v>
      </c>
      <c r="P177" s="82">
        <f t="shared" si="34"/>
        <v>-6.1429635145197059E-3</v>
      </c>
      <c r="Q177" s="83">
        <f t="shared" si="35"/>
        <v>-5.0929462694169203E-3</v>
      </c>
      <c r="R177" s="83">
        <f t="shared" si="36"/>
        <v>1.3864818024263537E-2</v>
      </c>
      <c r="S177" s="83">
        <f t="shared" si="37"/>
        <v>2.10372660140834E-3</v>
      </c>
      <c r="T177" s="83">
        <f t="shared" si="38"/>
        <v>-1.7160017160017138E-2</v>
      </c>
      <c r="U177" s="83">
        <f t="shared" si="39"/>
        <v>-7.2908192002002492E-3</v>
      </c>
      <c r="V177" s="83">
        <f t="shared" si="40"/>
        <v>-2.0419170904607875E-2</v>
      </c>
      <c r="W177" s="84">
        <f t="shared" si="41"/>
        <v>-1.7563677440513015E-2</v>
      </c>
      <c r="X177" s="89">
        <f t="shared" si="42"/>
        <v>-4.6181853058449018E-3</v>
      </c>
      <c r="Y177" s="89">
        <f t="shared" si="43"/>
        <v>2.4051194034939716E-3</v>
      </c>
    </row>
    <row r="178" spans="1:25" x14ac:dyDescent="0.25">
      <c r="A178" s="2">
        <f t="shared" si="31"/>
        <v>175</v>
      </c>
      <c r="B178" s="58">
        <v>45114</v>
      </c>
      <c r="C178" s="59">
        <f t="shared" si="32"/>
        <v>2023</v>
      </c>
      <c r="D178" s="59">
        <f t="shared" si="33"/>
        <v>7</v>
      </c>
      <c r="E178" s="54">
        <v>17.135999999999999</v>
      </c>
      <c r="F178" s="63">
        <v>53.72</v>
      </c>
      <c r="G178" s="64">
        <v>39.270000000000003</v>
      </c>
      <c r="H178" s="64">
        <v>11.54</v>
      </c>
      <c r="I178" s="64">
        <v>232.92</v>
      </c>
      <c r="J178" s="64">
        <v>23.31</v>
      </c>
      <c r="K178" s="64">
        <v>319.58</v>
      </c>
      <c r="L178" s="64">
        <v>129.78</v>
      </c>
      <c r="M178" s="65">
        <v>274.43</v>
      </c>
      <c r="N178" s="70">
        <v>53904.29</v>
      </c>
      <c r="O178" s="70">
        <v>4398.95</v>
      </c>
      <c r="P178" s="82">
        <f t="shared" si="34"/>
        <v>9.205335337215903E-3</v>
      </c>
      <c r="Q178" s="83">
        <f t="shared" si="35"/>
        <v>3.7790697674418672E-2</v>
      </c>
      <c r="R178" s="83">
        <f t="shared" si="36"/>
        <v>1.6740088105726914E-2</v>
      </c>
      <c r="S178" s="83">
        <f t="shared" si="37"/>
        <v>-1.1150184406897301E-3</v>
      </c>
      <c r="T178" s="83">
        <f t="shared" si="38"/>
        <v>9.9653379549393684E-3</v>
      </c>
      <c r="U178" s="83">
        <f t="shared" si="39"/>
        <v>1.9816829945431769E-2</v>
      </c>
      <c r="V178" s="83">
        <f t="shared" si="40"/>
        <v>1.1062636335306797E-2</v>
      </c>
      <c r="W178" s="84">
        <f t="shared" si="41"/>
        <v>-7.6299992767773217E-3</v>
      </c>
      <c r="X178" s="89">
        <f t="shared" si="42"/>
        <v>9.2980974653469328E-3</v>
      </c>
      <c r="Y178" s="89">
        <f t="shared" si="43"/>
        <v>-2.8651801277997935E-3</v>
      </c>
    </row>
    <row r="179" spans="1:25" x14ac:dyDescent="0.25">
      <c r="A179" s="2">
        <f t="shared" si="31"/>
        <v>176</v>
      </c>
      <c r="B179" s="58">
        <v>45113</v>
      </c>
      <c r="C179" s="59">
        <f t="shared" si="32"/>
        <v>2023</v>
      </c>
      <c r="D179" s="59">
        <f t="shared" si="33"/>
        <v>7</v>
      </c>
      <c r="E179" s="54">
        <v>17.227</v>
      </c>
      <c r="F179" s="63">
        <v>53.23</v>
      </c>
      <c r="G179" s="64">
        <v>37.840000000000003</v>
      </c>
      <c r="H179" s="64">
        <v>11.35</v>
      </c>
      <c r="I179" s="64">
        <v>233.18</v>
      </c>
      <c r="J179" s="64">
        <v>23.08</v>
      </c>
      <c r="K179" s="64">
        <v>313.37</v>
      </c>
      <c r="L179" s="64">
        <v>128.36000000000001</v>
      </c>
      <c r="M179" s="65">
        <v>276.54000000000002</v>
      </c>
      <c r="N179" s="70">
        <v>53407.7</v>
      </c>
      <c r="O179" s="70">
        <v>4411.59</v>
      </c>
      <c r="P179" s="82">
        <f t="shared" si="34"/>
        <v>-1.0410857036623922E-2</v>
      </c>
      <c r="Q179" s="83">
        <f t="shared" si="35"/>
        <v>-1.3041210224308819E-2</v>
      </c>
      <c r="R179" s="83">
        <f t="shared" si="36"/>
        <v>-4.6218487394958041E-2</v>
      </c>
      <c r="S179" s="83">
        <f t="shared" si="37"/>
        <v>-3.5050693151251755E-2</v>
      </c>
      <c r="T179" s="83">
        <f t="shared" si="38"/>
        <v>-2.9436501261564496E-2</v>
      </c>
      <c r="U179" s="83">
        <f t="shared" si="39"/>
        <v>-1.2385754806177096E-2</v>
      </c>
      <c r="V179" s="83">
        <f t="shared" si="40"/>
        <v>-1.5493173799662419E-2</v>
      </c>
      <c r="W179" s="84">
        <f t="shared" si="41"/>
        <v>-2.10280373831776E-2</v>
      </c>
      <c r="X179" s="89">
        <f t="shared" si="42"/>
        <v>-1.1694374094877835E-2</v>
      </c>
      <c r="Y179" s="89">
        <f t="shared" si="43"/>
        <v>-7.9225154155103672E-3</v>
      </c>
    </row>
    <row r="180" spans="1:25" x14ac:dyDescent="0.25">
      <c r="A180" s="2">
        <f t="shared" si="31"/>
        <v>177</v>
      </c>
      <c r="B180" s="58">
        <v>45112</v>
      </c>
      <c r="C180" s="59">
        <f t="shared" si="32"/>
        <v>2023</v>
      </c>
      <c r="D180" s="59">
        <f t="shared" si="33"/>
        <v>7</v>
      </c>
      <c r="E180" s="54">
        <v>17.002600000000001</v>
      </c>
      <c r="F180" s="63">
        <v>53.79</v>
      </c>
      <c r="G180" s="64">
        <v>38.340000000000003</v>
      </c>
      <c r="H180" s="64">
        <v>11.9</v>
      </c>
      <c r="I180" s="64">
        <v>241.65</v>
      </c>
      <c r="J180" s="64">
        <v>23.78</v>
      </c>
      <c r="K180" s="64">
        <v>317.3</v>
      </c>
      <c r="L180" s="64">
        <v>130.38</v>
      </c>
      <c r="M180" s="65">
        <v>282.48</v>
      </c>
      <c r="N180" s="70">
        <v>54039.66</v>
      </c>
      <c r="O180" s="70">
        <v>4446.82</v>
      </c>
      <c r="P180" s="82">
        <f t="shared" si="34"/>
        <v>1.6759776536312554E-3</v>
      </c>
      <c r="Q180" s="83">
        <f t="shared" si="35"/>
        <v>3.4022507197069007E-3</v>
      </c>
      <c r="R180" s="83">
        <f t="shared" si="36"/>
        <v>-1.7341040462427681E-2</v>
      </c>
      <c r="S180" s="83">
        <f t="shared" si="37"/>
        <v>2.2812111157197723E-3</v>
      </c>
      <c r="T180" s="83">
        <f t="shared" si="38"/>
        <v>-8.340283569641338E-3</v>
      </c>
      <c r="U180" s="83">
        <f t="shared" si="39"/>
        <v>8.0376147663374642E-3</v>
      </c>
      <c r="V180" s="83">
        <f t="shared" si="40"/>
        <v>1.2286899093840731E-3</v>
      </c>
      <c r="W180" s="84">
        <f t="shared" si="41"/>
        <v>9.5061110714032004E-3</v>
      </c>
      <c r="X180" s="89">
        <f t="shared" si="42"/>
        <v>2.0173978312232332E-3</v>
      </c>
      <c r="Y180" s="89">
        <f t="shared" si="43"/>
        <v>-1.9683139606652134E-3</v>
      </c>
    </row>
    <row r="181" spans="1:25" x14ac:dyDescent="0.25">
      <c r="A181" s="2">
        <f t="shared" si="31"/>
        <v>178</v>
      </c>
      <c r="B181" s="58">
        <v>45111</v>
      </c>
      <c r="C181" s="59">
        <f t="shared" si="32"/>
        <v>2023</v>
      </c>
      <c r="D181" s="59">
        <f t="shared" si="33"/>
        <v>7</v>
      </c>
      <c r="E181" s="54">
        <v>17.0608</v>
      </c>
      <c r="F181" s="63">
        <v>53.7</v>
      </c>
      <c r="G181" s="64">
        <v>38.21</v>
      </c>
      <c r="H181" s="64">
        <v>12.11</v>
      </c>
      <c r="I181" s="64">
        <v>241.1</v>
      </c>
      <c r="J181" s="64">
        <v>23.98</v>
      </c>
      <c r="K181" s="64">
        <v>314.77</v>
      </c>
      <c r="L181" s="64">
        <v>130.22</v>
      </c>
      <c r="M181" s="65">
        <v>279.82</v>
      </c>
      <c r="N181" s="70">
        <v>53930.86</v>
      </c>
      <c r="O181" s="70">
        <v>4455.59</v>
      </c>
      <c r="P181" s="82">
        <f t="shared" si="34"/>
        <v>-8.8593576965669829E-3</v>
      </c>
      <c r="Q181" s="83">
        <f t="shared" si="35"/>
        <v>-5.2314935914188343E-4</v>
      </c>
      <c r="R181" s="83">
        <f t="shared" si="36"/>
        <v>-2.4711696869852418E-3</v>
      </c>
      <c r="S181" s="83">
        <f t="shared" si="37"/>
        <v>3.6215293676893356E-3</v>
      </c>
      <c r="T181" s="83">
        <f t="shared" si="38"/>
        <v>-4.1684035014577514E-4</v>
      </c>
      <c r="U181" s="83">
        <f t="shared" si="39"/>
        <v>-3.4003375786404888E-2</v>
      </c>
      <c r="V181" s="83">
        <f t="shared" si="40"/>
        <v>0</v>
      </c>
      <c r="W181" s="84">
        <f t="shared" si="41"/>
        <v>0</v>
      </c>
      <c r="X181" s="89">
        <f t="shared" si="42"/>
        <v>-8.6074953445920421E-3</v>
      </c>
      <c r="Y181" s="89">
        <f t="shared" si="43"/>
        <v>0</v>
      </c>
    </row>
    <row r="182" spans="1:25" x14ac:dyDescent="0.25">
      <c r="A182" s="2">
        <f t="shared" si="31"/>
        <v>179</v>
      </c>
      <c r="B182" s="58">
        <v>45110</v>
      </c>
      <c r="C182" s="59">
        <f t="shared" si="32"/>
        <v>2023</v>
      </c>
      <c r="D182" s="59">
        <f t="shared" si="33"/>
        <v>7</v>
      </c>
      <c r="E182" s="54">
        <v>17.042000000000002</v>
      </c>
      <c r="F182" s="63">
        <v>54.18</v>
      </c>
      <c r="G182" s="64">
        <v>38.229999999999997</v>
      </c>
      <c r="H182" s="64">
        <v>12.14</v>
      </c>
      <c r="I182" s="64">
        <v>240.23</v>
      </c>
      <c r="J182" s="64">
        <v>23.99</v>
      </c>
      <c r="K182" s="64">
        <v>325.85000000000002</v>
      </c>
      <c r="L182" s="64">
        <v>130.22</v>
      </c>
      <c r="M182" s="65">
        <v>279.82</v>
      </c>
      <c r="N182" s="70">
        <v>54399.1</v>
      </c>
      <c r="O182" s="70">
        <v>4455.59</v>
      </c>
      <c r="P182" s="82">
        <f t="shared" si="34"/>
        <v>1.593849615600984E-2</v>
      </c>
      <c r="Q182" s="83">
        <f t="shared" si="35"/>
        <v>1.5944724953494305E-2</v>
      </c>
      <c r="R182" s="83">
        <f t="shared" si="36"/>
        <v>3.3057851239670644E-3</v>
      </c>
      <c r="S182" s="83">
        <f t="shared" si="37"/>
        <v>-8.3184294805149772E-4</v>
      </c>
      <c r="T182" s="83">
        <f t="shared" si="38"/>
        <v>8.343763037128582E-4</v>
      </c>
      <c r="U182" s="83">
        <f t="shared" si="39"/>
        <v>6.0606060606060552E-2</v>
      </c>
      <c r="V182" s="83">
        <f t="shared" si="40"/>
        <v>-1.0739490641301641E-3</v>
      </c>
      <c r="W182" s="84">
        <f t="shared" si="41"/>
        <v>6.8953661611338202E-2</v>
      </c>
      <c r="X182" s="89">
        <f t="shared" si="42"/>
        <v>1.6309800265664753E-2</v>
      </c>
      <c r="Y182" s="89">
        <f t="shared" si="43"/>
        <v>1.1706865481149187E-3</v>
      </c>
    </row>
    <row r="183" spans="1:25" x14ac:dyDescent="0.25">
      <c r="A183" s="2">
        <f t="shared" si="31"/>
        <v>180</v>
      </c>
      <c r="B183" s="58">
        <v>45107</v>
      </c>
      <c r="C183" s="59">
        <f t="shared" si="32"/>
        <v>2023</v>
      </c>
      <c r="D183" s="59">
        <f t="shared" si="33"/>
        <v>6</v>
      </c>
      <c r="E183" s="54">
        <v>17.113499999999998</v>
      </c>
      <c r="F183" s="63">
        <v>53.33</v>
      </c>
      <c r="G183" s="64">
        <v>37.630000000000003</v>
      </c>
      <c r="H183" s="64">
        <v>12.1</v>
      </c>
      <c r="I183" s="64">
        <v>240.43</v>
      </c>
      <c r="J183" s="64">
        <v>23.97</v>
      </c>
      <c r="K183" s="64">
        <v>307.23</v>
      </c>
      <c r="L183" s="64">
        <v>130.36000000000001</v>
      </c>
      <c r="M183" s="65">
        <v>261.77</v>
      </c>
      <c r="N183" s="70">
        <v>53526.1</v>
      </c>
      <c r="O183" s="70">
        <v>4450.38</v>
      </c>
      <c r="P183" s="82">
        <f t="shared" si="34"/>
        <v>-1.1238059561715641E-3</v>
      </c>
      <c r="Q183" s="83">
        <f t="shared" si="35"/>
        <v>-3.5128205128205026E-2</v>
      </c>
      <c r="R183" s="83">
        <f t="shared" si="36"/>
        <v>1.0860484544694904E-2</v>
      </c>
      <c r="S183" s="83">
        <f t="shared" si="37"/>
        <v>1.8751562630219265E-3</v>
      </c>
      <c r="T183" s="83">
        <f t="shared" si="38"/>
        <v>-6.6307501036054761E-3</v>
      </c>
      <c r="U183" s="83">
        <f t="shared" si="39"/>
        <v>9.9937539038101875E-3</v>
      </c>
      <c r="V183" s="83">
        <f t="shared" si="40"/>
        <v>1.9233776387802992E-2</v>
      </c>
      <c r="W183" s="84">
        <f t="shared" si="41"/>
        <v>1.6582524271844479E-2</v>
      </c>
      <c r="X183" s="89">
        <f t="shared" si="42"/>
        <v>-1.1032893025353374E-3</v>
      </c>
      <c r="Y183" s="89">
        <f t="shared" si="43"/>
        <v>1.2269017659743087E-2</v>
      </c>
    </row>
    <row r="184" spans="1:25" x14ac:dyDescent="0.25">
      <c r="A184" s="2">
        <f t="shared" si="31"/>
        <v>181</v>
      </c>
      <c r="B184" s="58">
        <v>45106</v>
      </c>
      <c r="C184" s="59">
        <f t="shared" si="32"/>
        <v>2023</v>
      </c>
      <c r="D184" s="59">
        <f t="shared" si="33"/>
        <v>6</v>
      </c>
      <c r="E184" s="54">
        <v>17.123100000000001</v>
      </c>
      <c r="F184" s="63">
        <v>53.39</v>
      </c>
      <c r="G184" s="64">
        <v>39</v>
      </c>
      <c r="H184" s="64">
        <v>11.97</v>
      </c>
      <c r="I184" s="64">
        <v>239.98</v>
      </c>
      <c r="J184" s="64">
        <v>24.13</v>
      </c>
      <c r="K184" s="64">
        <v>304.19</v>
      </c>
      <c r="L184" s="64">
        <v>127.9</v>
      </c>
      <c r="M184" s="65">
        <v>257.5</v>
      </c>
      <c r="N184" s="70">
        <v>53585.22</v>
      </c>
      <c r="O184" s="70">
        <v>4396.4399999999996</v>
      </c>
      <c r="P184" s="82">
        <f t="shared" si="34"/>
        <v>2.4408561772437665E-3</v>
      </c>
      <c r="Q184" s="83">
        <f t="shared" si="35"/>
        <v>0</v>
      </c>
      <c r="R184" s="83">
        <f t="shared" si="36"/>
        <v>7.575757575757569E-3</v>
      </c>
      <c r="S184" s="83">
        <f t="shared" si="37"/>
        <v>-6.9930069930069783E-3</v>
      </c>
      <c r="T184" s="83">
        <f t="shared" si="38"/>
        <v>-4.9484536082474717E-3</v>
      </c>
      <c r="U184" s="83">
        <f t="shared" si="39"/>
        <v>-3.8641647837049931E-3</v>
      </c>
      <c r="V184" s="83">
        <f t="shared" si="40"/>
        <v>-8.8344699318040343E-3</v>
      </c>
      <c r="W184" s="84">
        <f t="shared" si="41"/>
        <v>4.917265064002363E-3</v>
      </c>
      <c r="X184" s="89">
        <f t="shared" si="42"/>
        <v>2.3411870469280949E-3</v>
      </c>
      <c r="Y184" s="89">
        <f t="shared" si="43"/>
        <v>4.4735266835127518E-3</v>
      </c>
    </row>
    <row r="185" spans="1:25" x14ac:dyDescent="0.25">
      <c r="A185" s="2">
        <f t="shared" si="31"/>
        <v>182</v>
      </c>
      <c r="B185" s="58">
        <v>45105</v>
      </c>
      <c r="C185" s="59">
        <f t="shared" si="32"/>
        <v>2023</v>
      </c>
      <c r="D185" s="59">
        <f t="shared" si="33"/>
        <v>6</v>
      </c>
      <c r="E185" s="54">
        <v>17.07</v>
      </c>
      <c r="F185" s="63">
        <v>53.26</v>
      </c>
      <c r="G185" s="64">
        <v>39</v>
      </c>
      <c r="H185" s="64">
        <v>11.88</v>
      </c>
      <c r="I185" s="64">
        <v>241.67</v>
      </c>
      <c r="J185" s="64">
        <v>24.25</v>
      </c>
      <c r="K185" s="64">
        <v>305.37</v>
      </c>
      <c r="L185" s="64">
        <v>129.04</v>
      </c>
      <c r="M185" s="65">
        <v>256.24</v>
      </c>
      <c r="N185" s="70">
        <v>53460.06</v>
      </c>
      <c r="O185" s="70">
        <v>4376.8599999999997</v>
      </c>
      <c r="P185" s="82">
        <f t="shared" si="34"/>
        <v>-1.6980435585086773E-2</v>
      </c>
      <c r="Q185" s="83">
        <f t="shared" si="35"/>
        <v>-8.1383519837232576E-3</v>
      </c>
      <c r="R185" s="83">
        <f t="shared" si="36"/>
        <v>-1.7369727047146344E-2</v>
      </c>
      <c r="S185" s="83">
        <f t="shared" si="37"/>
        <v>-8.8992782152231831E-3</v>
      </c>
      <c r="T185" s="83">
        <f t="shared" si="38"/>
        <v>1.652209830648399E-3</v>
      </c>
      <c r="U185" s="83">
        <f t="shared" si="39"/>
        <v>-8.957258300068105E-3</v>
      </c>
      <c r="V185" s="83">
        <f t="shared" si="40"/>
        <v>-1.0837590958353571E-3</v>
      </c>
      <c r="W185" s="84">
        <f t="shared" si="41"/>
        <v>2.4099756204787992E-2</v>
      </c>
      <c r="X185" s="89">
        <f t="shared" si="42"/>
        <v>-8.6570878991584221E-3</v>
      </c>
      <c r="Y185" s="89">
        <f t="shared" si="43"/>
        <v>-3.5400978894173374E-4</v>
      </c>
    </row>
    <row r="186" spans="1:25" x14ac:dyDescent="0.25">
      <c r="A186" s="2">
        <f t="shared" si="31"/>
        <v>183</v>
      </c>
      <c r="B186" s="58">
        <v>45104</v>
      </c>
      <c r="C186" s="59">
        <f t="shared" si="32"/>
        <v>2023</v>
      </c>
      <c r="D186" s="59">
        <f t="shared" si="33"/>
        <v>6</v>
      </c>
      <c r="E186" s="54">
        <v>17.079699999999999</v>
      </c>
      <c r="F186" s="63">
        <v>54.18</v>
      </c>
      <c r="G186" s="64">
        <v>39.32</v>
      </c>
      <c r="H186" s="64">
        <v>12.09</v>
      </c>
      <c r="I186" s="64">
        <v>243.84</v>
      </c>
      <c r="J186" s="64">
        <v>24.21</v>
      </c>
      <c r="K186" s="64">
        <v>308.13</v>
      </c>
      <c r="L186" s="64">
        <v>129.18</v>
      </c>
      <c r="M186" s="65">
        <v>250.21</v>
      </c>
      <c r="N186" s="70">
        <v>53926.91</v>
      </c>
      <c r="O186" s="70">
        <v>4378.41</v>
      </c>
      <c r="P186" s="82">
        <f t="shared" si="34"/>
        <v>1.100951670087702E-2</v>
      </c>
      <c r="Q186" s="83">
        <f t="shared" si="35"/>
        <v>2.4225058609012695E-2</v>
      </c>
      <c r="R186" s="83">
        <f t="shared" si="36"/>
        <v>2.1114864864864913E-2</v>
      </c>
      <c r="S186" s="83">
        <f t="shared" si="37"/>
        <v>-1.0269107440029179E-2</v>
      </c>
      <c r="T186" s="83">
        <f t="shared" si="38"/>
        <v>1.0012515644555853E-2</v>
      </c>
      <c r="U186" s="83">
        <f t="shared" si="39"/>
        <v>6.5331721817527555E-3</v>
      </c>
      <c r="V186" s="83">
        <f t="shared" si="40"/>
        <v>1.452917615644389E-2</v>
      </c>
      <c r="W186" s="84">
        <f t="shared" si="41"/>
        <v>3.8000414851690589E-2</v>
      </c>
      <c r="X186" s="89">
        <f t="shared" si="42"/>
        <v>1.1083937337327709E-2</v>
      </c>
      <c r="Y186" s="89">
        <f t="shared" si="43"/>
        <v>1.1455777787018118E-2</v>
      </c>
    </row>
    <row r="187" spans="1:25" x14ac:dyDescent="0.25">
      <c r="A187" s="2">
        <f t="shared" si="31"/>
        <v>184</v>
      </c>
      <c r="B187" s="58">
        <v>45103</v>
      </c>
      <c r="C187" s="59">
        <f t="shared" si="32"/>
        <v>2023</v>
      </c>
      <c r="D187" s="59">
        <f t="shared" si="33"/>
        <v>6</v>
      </c>
      <c r="E187" s="54">
        <v>17.132999999999999</v>
      </c>
      <c r="F187" s="63">
        <v>53.59</v>
      </c>
      <c r="G187" s="64">
        <v>38.39</v>
      </c>
      <c r="H187" s="64">
        <v>11.84</v>
      </c>
      <c r="I187" s="64">
        <v>246.37</v>
      </c>
      <c r="J187" s="64">
        <v>23.97</v>
      </c>
      <c r="K187" s="64">
        <v>306.13</v>
      </c>
      <c r="L187" s="64">
        <v>127.33</v>
      </c>
      <c r="M187" s="65">
        <v>241.05</v>
      </c>
      <c r="N187" s="70">
        <v>53335.74</v>
      </c>
      <c r="O187" s="70">
        <v>4328.82</v>
      </c>
      <c r="P187" s="82">
        <f t="shared" si="34"/>
        <v>5.6011949215828416E-4</v>
      </c>
      <c r="Q187" s="83">
        <f t="shared" si="35"/>
        <v>4.7108086888250078E-3</v>
      </c>
      <c r="R187" s="83">
        <f t="shared" si="36"/>
        <v>-4.205214465937801E-3</v>
      </c>
      <c r="S187" s="83">
        <f t="shared" si="37"/>
        <v>-2.6717402744605989E-3</v>
      </c>
      <c r="T187" s="83">
        <f t="shared" si="38"/>
        <v>-4.1701417848216682E-4</v>
      </c>
      <c r="U187" s="83">
        <f t="shared" si="39"/>
        <v>-5.0053628888094837E-3</v>
      </c>
      <c r="V187" s="83">
        <f t="shared" si="40"/>
        <v>-1.5464316090621044E-2</v>
      </c>
      <c r="W187" s="84">
        <f t="shared" si="41"/>
        <v>-6.0600155884645401E-2</v>
      </c>
      <c r="X187" s="89">
        <f t="shared" si="42"/>
        <v>-1.1566889899528032E-4</v>
      </c>
      <c r="Y187" s="89">
        <f t="shared" si="43"/>
        <v>-4.4867799822001508E-3</v>
      </c>
    </row>
    <row r="188" spans="1:25" x14ac:dyDescent="0.25">
      <c r="A188" s="2">
        <f t="shared" si="31"/>
        <v>185</v>
      </c>
      <c r="B188" s="58">
        <v>45100</v>
      </c>
      <c r="C188" s="59">
        <f t="shared" si="32"/>
        <v>2023</v>
      </c>
      <c r="D188" s="59">
        <f t="shared" si="33"/>
        <v>6</v>
      </c>
      <c r="E188" s="54">
        <v>17.157</v>
      </c>
      <c r="F188" s="63">
        <v>53.56</v>
      </c>
      <c r="G188" s="64">
        <v>38.21</v>
      </c>
      <c r="H188" s="64">
        <v>11.89</v>
      </c>
      <c r="I188" s="64">
        <v>247.03</v>
      </c>
      <c r="J188" s="64">
        <v>23.98</v>
      </c>
      <c r="K188" s="64">
        <v>307.67</v>
      </c>
      <c r="L188" s="64">
        <v>129.33000000000001</v>
      </c>
      <c r="M188" s="65">
        <v>256.60000000000002</v>
      </c>
      <c r="N188" s="70">
        <v>53341.91</v>
      </c>
      <c r="O188" s="70">
        <v>4348.33</v>
      </c>
      <c r="P188" s="82">
        <f t="shared" si="34"/>
        <v>-4.8309178743960457E-3</v>
      </c>
      <c r="Q188" s="83">
        <f t="shared" si="35"/>
        <v>-2.0256410256410229E-2</v>
      </c>
      <c r="R188" s="83">
        <f t="shared" si="36"/>
        <v>2.5295109612142319E-3</v>
      </c>
      <c r="S188" s="83">
        <f t="shared" si="37"/>
        <v>-2.9061553985872957E-3</v>
      </c>
      <c r="T188" s="83">
        <f t="shared" si="38"/>
        <v>-7.8609846917666593E-3</v>
      </c>
      <c r="U188" s="83">
        <f t="shared" si="39"/>
        <v>-2.1436977195381846E-2</v>
      </c>
      <c r="V188" s="83">
        <f t="shared" si="40"/>
        <v>-6.3004225893199539E-3</v>
      </c>
      <c r="W188" s="84">
        <f t="shared" si="41"/>
        <v>-3.0270964816144441E-2</v>
      </c>
      <c r="X188" s="89">
        <f t="shared" si="42"/>
        <v>-4.1334264069937676E-3</v>
      </c>
      <c r="Y188" s="89">
        <f t="shared" si="43"/>
        <v>-7.6587956338476371E-3</v>
      </c>
    </row>
    <row r="189" spans="1:25" x14ac:dyDescent="0.25">
      <c r="A189" s="2">
        <f t="shared" si="31"/>
        <v>186</v>
      </c>
      <c r="B189" s="58">
        <v>45099</v>
      </c>
      <c r="C189" s="59">
        <f t="shared" si="32"/>
        <v>2023</v>
      </c>
      <c r="D189" s="59">
        <f t="shared" si="33"/>
        <v>6</v>
      </c>
      <c r="E189" s="54">
        <v>17.164999999999999</v>
      </c>
      <c r="F189" s="63">
        <v>53.82</v>
      </c>
      <c r="G189" s="64">
        <v>39</v>
      </c>
      <c r="H189" s="64">
        <v>11.86</v>
      </c>
      <c r="I189" s="64">
        <v>247.75</v>
      </c>
      <c r="J189" s="64">
        <v>24.17</v>
      </c>
      <c r="K189" s="64">
        <v>314.41000000000003</v>
      </c>
      <c r="L189" s="64">
        <v>130.15</v>
      </c>
      <c r="M189" s="65">
        <v>264.61</v>
      </c>
      <c r="N189" s="70">
        <v>53563.31</v>
      </c>
      <c r="O189" s="70">
        <v>4381.8900000000003</v>
      </c>
      <c r="P189" s="82">
        <f t="shared" si="34"/>
        <v>-8.6572112727942852E-3</v>
      </c>
      <c r="Q189" s="83">
        <f t="shared" si="35"/>
        <v>-1.2658227848101222E-2</v>
      </c>
      <c r="R189" s="83">
        <f t="shared" si="36"/>
        <v>-1.6583747927031545E-2</v>
      </c>
      <c r="S189" s="83">
        <f t="shared" si="37"/>
        <v>-4.1474832669168626E-2</v>
      </c>
      <c r="T189" s="83">
        <f t="shared" si="38"/>
        <v>-8.267879288962332E-4</v>
      </c>
      <c r="U189" s="83">
        <f t="shared" si="39"/>
        <v>-7.4502004609020567E-3</v>
      </c>
      <c r="V189" s="83">
        <f t="shared" si="40"/>
        <v>4.2617960426179602E-2</v>
      </c>
      <c r="W189" s="84">
        <f t="shared" si="41"/>
        <v>1.9848916981423104E-2</v>
      </c>
      <c r="X189" s="89">
        <f t="shared" si="42"/>
        <v>-9.2594116851705266E-3</v>
      </c>
      <c r="Y189" s="89">
        <f t="shared" si="43"/>
        <v>3.7107536265745811E-3</v>
      </c>
    </row>
    <row r="190" spans="1:25" x14ac:dyDescent="0.25">
      <c r="A190" s="2">
        <f t="shared" si="31"/>
        <v>187</v>
      </c>
      <c r="B190" s="58">
        <v>45098</v>
      </c>
      <c r="C190" s="59">
        <f t="shared" si="32"/>
        <v>2023</v>
      </c>
      <c r="D190" s="59">
        <f t="shared" si="33"/>
        <v>6</v>
      </c>
      <c r="E190" s="54">
        <v>17.116</v>
      </c>
      <c r="F190" s="63">
        <v>54.29</v>
      </c>
      <c r="G190" s="64">
        <v>39.5</v>
      </c>
      <c r="H190" s="64">
        <v>12.06</v>
      </c>
      <c r="I190" s="64">
        <v>258.47000000000003</v>
      </c>
      <c r="J190" s="64">
        <v>24.19</v>
      </c>
      <c r="K190" s="64">
        <v>316.77</v>
      </c>
      <c r="L190" s="64">
        <v>124.83</v>
      </c>
      <c r="M190" s="65">
        <v>259.45999999999998</v>
      </c>
      <c r="N190" s="70">
        <v>54063.91</v>
      </c>
      <c r="O190" s="70">
        <v>4365.6899999999996</v>
      </c>
      <c r="P190" s="82">
        <f t="shared" si="34"/>
        <v>-4.9486803519062095E-3</v>
      </c>
      <c r="Q190" s="83">
        <f t="shared" si="35"/>
        <v>-7.0387129210658372E-3</v>
      </c>
      <c r="R190" s="83">
        <f t="shared" si="36"/>
        <v>-1.6556291390728006E-3</v>
      </c>
      <c r="S190" s="83">
        <f t="shared" si="37"/>
        <v>-2.7796584668622559E-2</v>
      </c>
      <c r="T190" s="83">
        <f t="shared" si="38"/>
        <v>-1.1846405228758128E-2</v>
      </c>
      <c r="U190" s="83">
        <f t="shared" si="39"/>
        <v>-2.7389497544390018E-3</v>
      </c>
      <c r="V190" s="83">
        <f t="shared" si="40"/>
        <v>-7.5528700906344337E-3</v>
      </c>
      <c r="W190" s="84">
        <f t="shared" si="41"/>
        <v>-5.461832756421936E-2</v>
      </c>
      <c r="X190" s="89">
        <f t="shared" si="42"/>
        <v>-5.5507445138182065E-3</v>
      </c>
      <c r="Y190" s="89">
        <f t="shared" si="43"/>
        <v>-5.245277085977551E-3</v>
      </c>
    </row>
    <row r="191" spans="1:25" x14ac:dyDescent="0.25">
      <c r="A191" s="2">
        <f t="shared" si="31"/>
        <v>188</v>
      </c>
      <c r="B191" s="58">
        <v>45097</v>
      </c>
      <c r="C191" s="59">
        <f t="shared" si="32"/>
        <v>2023</v>
      </c>
      <c r="D191" s="59">
        <f t="shared" si="33"/>
        <v>6</v>
      </c>
      <c r="E191" s="54">
        <v>17.202999999999999</v>
      </c>
      <c r="F191" s="63">
        <v>54.56</v>
      </c>
      <c r="G191" s="64">
        <v>39.78</v>
      </c>
      <c r="H191" s="64">
        <v>12.08</v>
      </c>
      <c r="I191" s="64">
        <v>265.86</v>
      </c>
      <c r="J191" s="64">
        <v>24.48</v>
      </c>
      <c r="K191" s="64">
        <v>317.64</v>
      </c>
      <c r="L191" s="64">
        <v>125.78</v>
      </c>
      <c r="M191" s="65">
        <v>274.45</v>
      </c>
      <c r="N191" s="70">
        <v>54365.68</v>
      </c>
      <c r="O191" s="70">
        <v>4388.71</v>
      </c>
      <c r="P191" s="82">
        <f t="shared" si="34"/>
        <v>-1.087744742567065E-2</v>
      </c>
      <c r="Q191" s="83">
        <f t="shared" si="35"/>
        <v>2.01511335012583E-3</v>
      </c>
      <c r="R191" s="83">
        <f t="shared" si="36"/>
        <v>-2.1069692058346856E-2</v>
      </c>
      <c r="S191" s="83">
        <f t="shared" si="37"/>
        <v>1.4313695946963634E-3</v>
      </c>
      <c r="T191" s="83">
        <f t="shared" si="38"/>
        <v>-1.7656500802568309E-2</v>
      </c>
      <c r="U191" s="83">
        <f t="shared" si="39"/>
        <v>-2.1049711837766383E-2</v>
      </c>
      <c r="V191" s="83">
        <f t="shared" si="40"/>
        <v>2.3109411108455102E-3</v>
      </c>
      <c r="W191" s="84">
        <f t="shared" si="41"/>
        <v>5.338911491517595E-2</v>
      </c>
      <c r="X191" s="89">
        <f t="shared" si="42"/>
        <v>-1.0292537591664819E-2</v>
      </c>
      <c r="Y191" s="89">
        <f t="shared" si="43"/>
        <v>-4.7351341054383544E-3</v>
      </c>
    </row>
    <row r="192" spans="1:25" x14ac:dyDescent="0.25">
      <c r="A192" s="2">
        <f t="shared" si="31"/>
        <v>189</v>
      </c>
      <c r="B192" s="58">
        <v>45096</v>
      </c>
      <c r="C192" s="59">
        <f t="shared" si="32"/>
        <v>2023</v>
      </c>
      <c r="D192" s="59">
        <f t="shared" si="33"/>
        <v>6</v>
      </c>
      <c r="E192" s="54">
        <v>17.07</v>
      </c>
      <c r="F192" s="63">
        <v>55.16</v>
      </c>
      <c r="G192" s="64">
        <v>39.700000000000003</v>
      </c>
      <c r="H192" s="64">
        <v>12.34</v>
      </c>
      <c r="I192" s="64">
        <v>265.48</v>
      </c>
      <c r="J192" s="64">
        <v>24.92</v>
      </c>
      <c r="K192" s="64">
        <v>324.47000000000003</v>
      </c>
      <c r="L192" s="64">
        <v>125.49</v>
      </c>
      <c r="M192" s="65">
        <v>260.54000000000002</v>
      </c>
      <c r="N192" s="70">
        <v>54931.06</v>
      </c>
      <c r="O192" s="70">
        <v>4409.59</v>
      </c>
      <c r="P192" s="82">
        <f t="shared" si="34"/>
        <v>5.4416832940318294E-4</v>
      </c>
      <c r="Q192" s="83">
        <f t="shared" si="35"/>
        <v>7.5623897151499975E-4</v>
      </c>
      <c r="R192" s="83">
        <f t="shared" si="36"/>
        <v>-4.8387096774193949E-3</v>
      </c>
      <c r="S192" s="83">
        <f t="shared" si="37"/>
        <v>-4.275748255944789E-3</v>
      </c>
      <c r="T192" s="83">
        <f t="shared" si="38"/>
        <v>-2.4019215372297342E-3</v>
      </c>
      <c r="U192" s="83">
        <f t="shared" si="39"/>
        <v>-2.0408779398001342E-2</v>
      </c>
      <c r="V192" s="83">
        <f t="shared" si="40"/>
        <v>0</v>
      </c>
      <c r="W192" s="84">
        <f t="shared" si="41"/>
        <v>0</v>
      </c>
      <c r="X192" s="89">
        <f t="shared" si="42"/>
        <v>1.6146234007159421E-3</v>
      </c>
      <c r="Y192" s="89">
        <f t="shared" si="43"/>
        <v>0</v>
      </c>
    </row>
    <row r="193" spans="1:25" x14ac:dyDescent="0.25">
      <c r="A193" s="2">
        <f t="shared" si="31"/>
        <v>190</v>
      </c>
      <c r="B193" s="58">
        <v>45093</v>
      </c>
      <c r="C193" s="59">
        <f t="shared" si="32"/>
        <v>2023</v>
      </c>
      <c r="D193" s="59">
        <f t="shared" si="33"/>
        <v>6</v>
      </c>
      <c r="E193" s="54">
        <v>17.062000000000001</v>
      </c>
      <c r="F193" s="63">
        <v>55.13</v>
      </c>
      <c r="G193" s="64">
        <v>39.67</v>
      </c>
      <c r="H193" s="64">
        <v>12.4</v>
      </c>
      <c r="I193" s="64">
        <v>266.62</v>
      </c>
      <c r="J193" s="64">
        <v>24.98</v>
      </c>
      <c r="K193" s="64">
        <v>331.23</v>
      </c>
      <c r="L193" s="64">
        <v>125.49</v>
      </c>
      <c r="M193" s="65">
        <v>260.54000000000002</v>
      </c>
      <c r="N193" s="70">
        <v>54842.51</v>
      </c>
      <c r="O193" s="70">
        <v>4409.59</v>
      </c>
      <c r="P193" s="82">
        <f t="shared" si="34"/>
        <v>-7.2033135242210999E-3</v>
      </c>
      <c r="Q193" s="83">
        <f t="shared" si="35"/>
        <v>-1.0073029463610883E-3</v>
      </c>
      <c r="R193" s="83">
        <f t="shared" si="36"/>
        <v>-1.1164274322168932E-2</v>
      </c>
      <c r="S193" s="83">
        <f t="shared" si="37"/>
        <v>-1.2920661952537937E-2</v>
      </c>
      <c r="T193" s="83">
        <f t="shared" si="38"/>
        <v>-4.7808764940239223E-3</v>
      </c>
      <c r="U193" s="83">
        <f t="shared" si="39"/>
        <v>1.0587014888943314E-2</v>
      </c>
      <c r="V193" s="83">
        <f t="shared" si="40"/>
        <v>-1.2744866650932329E-2</v>
      </c>
      <c r="W193" s="84">
        <f t="shared" si="41"/>
        <v>1.813208284486123E-2</v>
      </c>
      <c r="X193" s="89">
        <f t="shared" si="42"/>
        <v>-9.0658017770589572E-3</v>
      </c>
      <c r="Y193" s="89">
        <f t="shared" si="43"/>
        <v>-3.6716193988033385E-3</v>
      </c>
    </row>
    <row r="194" spans="1:25" x14ac:dyDescent="0.25">
      <c r="A194" s="2">
        <f t="shared" si="31"/>
        <v>191</v>
      </c>
      <c r="B194" s="58">
        <v>45092</v>
      </c>
      <c r="C194" s="59">
        <f t="shared" si="32"/>
        <v>2023</v>
      </c>
      <c r="D194" s="59">
        <f t="shared" si="33"/>
        <v>6</v>
      </c>
      <c r="E194" s="54">
        <v>17.105</v>
      </c>
      <c r="F194" s="63">
        <v>55.53</v>
      </c>
      <c r="G194" s="64">
        <v>39.71</v>
      </c>
      <c r="H194" s="64">
        <v>12.54</v>
      </c>
      <c r="I194" s="64">
        <v>270.11</v>
      </c>
      <c r="J194" s="64">
        <v>25.1</v>
      </c>
      <c r="K194" s="64">
        <v>327.76</v>
      </c>
      <c r="L194" s="64">
        <v>127.11</v>
      </c>
      <c r="M194" s="65">
        <v>255.9</v>
      </c>
      <c r="N194" s="70">
        <v>55344.25</v>
      </c>
      <c r="O194" s="70">
        <v>4425.84</v>
      </c>
      <c r="P194" s="82">
        <f t="shared" si="34"/>
        <v>3.9775809076116886E-3</v>
      </c>
      <c r="Q194" s="83">
        <f t="shared" si="35"/>
        <v>-2.7624309392264568E-3</v>
      </c>
      <c r="R194" s="83">
        <f t="shared" si="36"/>
        <v>3.1999999999998696E-3</v>
      </c>
      <c r="S194" s="83">
        <f t="shared" si="37"/>
        <v>-2.2532505910165535E-3</v>
      </c>
      <c r="T194" s="83">
        <f t="shared" si="38"/>
        <v>-1.5300117693212933E-2</v>
      </c>
      <c r="U194" s="83">
        <f t="shared" si="39"/>
        <v>4.7823421213979422E-3</v>
      </c>
      <c r="V194" s="83">
        <f t="shared" si="40"/>
        <v>5.4579971523494031E-3</v>
      </c>
      <c r="W194" s="84">
        <f t="shared" si="41"/>
        <v>-3.4658670508976863E-3</v>
      </c>
      <c r="X194" s="89">
        <f t="shared" si="42"/>
        <v>3.6053758217136078E-3</v>
      </c>
      <c r="Y194" s="89">
        <f t="shared" si="43"/>
        <v>1.2178136985173449E-2</v>
      </c>
    </row>
    <row r="195" spans="1:25" x14ac:dyDescent="0.25">
      <c r="A195" s="2">
        <f t="shared" si="31"/>
        <v>192</v>
      </c>
      <c r="B195" s="58">
        <v>45091</v>
      </c>
      <c r="C195" s="59">
        <f t="shared" si="32"/>
        <v>2023</v>
      </c>
      <c r="D195" s="59">
        <f t="shared" si="33"/>
        <v>6</v>
      </c>
      <c r="E195" s="54">
        <v>17.102</v>
      </c>
      <c r="F195" s="63">
        <v>55.31</v>
      </c>
      <c r="G195" s="64">
        <v>39.82</v>
      </c>
      <c r="H195" s="64">
        <v>12.5</v>
      </c>
      <c r="I195" s="64">
        <v>270.72000000000003</v>
      </c>
      <c r="J195" s="64">
        <v>25.49</v>
      </c>
      <c r="K195" s="64">
        <v>326.2</v>
      </c>
      <c r="L195" s="64">
        <v>126.42</v>
      </c>
      <c r="M195" s="65">
        <v>256.79000000000002</v>
      </c>
      <c r="N195" s="70">
        <v>55145.43</v>
      </c>
      <c r="O195" s="70">
        <v>4372.59</v>
      </c>
      <c r="P195" s="82">
        <f t="shared" si="34"/>
        <v>1.0412860796492618E-2</v>
      </c>
      <c r="Q195" s="83">
        <f t="shared" si="35"/>
        <v>1.0659898477157315E-2</v>
      </c>
      <c r="R195" s="83">
        <f t="shared" si="36"/>
        <v>1.5434606011372809E-2</v>
      </c>
      <c r="S195" s="83">
        <f t="shared" si="37"/>
        <v>-1.6672115070284321E-2</v>
      </c>
      <c r="T195" s="83">
        <f t="shared" si="38"/>
        <v>1.5537848605577498E-2</v>
      </c>
      <c r="U195" s="83">
        <f t="shared" si="39"/>
        <v>2.0076302457939788E-2</v>
      </c>
      <c r="V195" s="83">
        <f t="shared" si="40"/>
        <v>-1.8948365703457259E-3</v>
      </c>
      <c r="W195" s="84">
        <f t="shared" si="41"/>
        <v>-7.4214371303774618E-3</v>
      </c>
      <c r="X195" s="89">
        <f t="shared" si="42"/>
        <v>1.0456850466561862E-2</v>
      </c>
      <c r="Y195" s="89">
        <f t="shared" si="43"/>
        <v>8.1940760034870941E-4</v>
      </c>
    </row>
    <row r="196" spans="1:25" x14ac:dyDescent="0.25">
      <c r="A196" s="2">
        <f t="shared" ref="A196:A255" si="44">+A197-1</f>
        <v>193</v>
      </c>
      <c r="B196" s="58">
        <v>45090</v>
      </c>
      <c r="C196" s="59">
        <f t="shared" ref="C196:C256" si="45">+YEAR(B196)</f>
        <v>2023</v>
      </c>
      <c r="D196" s="59">
        <f t="shared" ref="D196:D256" si="46">+MONTH(B196)</f>
        <v>6</v>
      </c>
      <c r="E196" s="54">
        <v>17.201000000000001</v>
      </c>
      <c r="F196" s="63">
        <v>54.74</v>
      </c>
      <c r="G196" s="64">
        <v>39.4</v>
      </c>
      <c r="H196" s="64">
        <v>12.31</v>
      </c>
      <c r="I196" s="64">
        <v>275.31</v>
      </c>
      <c r="J196" s="64">
        <v>25.1</v>
      </c>
      <c r="K196" s="64">
        <v>319.77999999999997</v>
      </c>
      <c r="L196" s="64">
        <v>126.66</v>
      </c>
      <c r="M196" s="65">
        <v>258.70999999999998</v>
      </c>
      <c r="N196" s="70">
        <v>54574.75</v>
      </c>
      <c r="O196" s="70">
        <v>4369.01</v>
      </c>
      <c r="P196" s="82">
        <f t="shared" si="34"/>
        <v>4.9568569854967492E-3</v>
      </c>
      <c r="Q196" s="83">
        <f t="shared" si="35"/>
        <v>1.0162601626015899E-3</v>
      </c>
      <c r="R196" s="83">
        <f t="shared" si="36"/>
        <v>2.6688907422852459E-2</v>
      </c>
      <c r="S196" s="83">
        <f t="shared" si="37"/>
        <v>-1.1418722395777237E-2</v>
      </c>
      <c r="T196" s="83">
        <f t="shared" si="38"/>
        <v>2.3961661341853624E-3</v>
      </c>
      <c r="U196" s="83">
        <f t="shared" si="39"/>
        <v>1.1962025316455627E-2</v>
      </c>
      <c r="V196" s="83">
        <f t="shared" si="40"/>
        <v>7.1106897369044297E-4</v>
      </c>
      <c r="W196" s="84">
        <f t="shared" si="41"/>
        <v>3.5544170035624045E-2</v>
      </c>
      <c r="X196" s="89">
        <f t="shared" si="42"/>
        <v>5.4650013670332065E-3</v>
      </c>
      <c r="Y196" s="89">
        <f t="shared" si="43"/>
        <v>6.9325847616807934E-3</v>
      </c>
    </row>
    <row r="197" spans="1:25" x14ac:dyDescent="0.25">
      <c r="A197" s="2">
        <f t="shared" si="44"/>
        <v>194</v>
      </c>
      <c r="B197" s="58">
        <v>45089</v>
      </c>
      <c r="C197" s="59">
        <f t="shared" si="45"/>
        <v>2023</v>
      </c>
      <c r="D197" s="59">
        <f t="shared" si="46"/>
        <v>6</v>
      </c>
      <c r="E197" s="54">
        <v>17.27</v>
      </c>
      <c r="F197" s="63">
        <v>54.47</v>
      </c>
      <c r="G197" s="64">
        <v>39.36</v>
      </c>
      <c r="H197" s="64">
        <v>11.99</v>
      </c>
      <c r="I197" s="64">
        <v>278.49</v>
      </c>
      <c r="J197" s="64">
        <v>25.04</v>
      </c>
      <c r="K197" s="64">
        <v>316</v>
      </c>
      <c r="L197" s="64">
        <v>126.57</v>
      </c>
      <c r="M197" s="65">
        <v>249.83</v>
      </c>
      <c r="N197" s="70">
        <v>54278.12</v>
      </c>
      <c r="O197" s="70">
        <v>4338.93</v>
      </c>
      <c r="P197" s="82">
        <f t="shared" ref="P197:P255" si="47">F197/F198-1</f>
        <v>-4.0226732492228967E-3</v>
      </c>
      <c r="Q197" s="83">
        <f t="shared" ref="Q197:Q255" si="48">G197/G198-1</f>
        <v>-5.3070507960576441E-3</v>
      </c>
      <c r="R197" s="83">
        <f t="shared" ref="R197:R255" si="49">H197/H198-1</f>
        <v>-5.8043117744610573E-3</v>
      </c>
      <c r="S197" s="83">
        <f t="shared" ref="S197:S255" si="50">I197/I198-1</f>
        <v>-4.6789430449069025E-2</v>
      </c>
      <c r="T197" s="83">
        <f t="shared" ref="T197:T255" si="51">J197/J198-1</f>
        <v>-1.1838989739542227E-2</v>
      </c>
      <c r="U197" s="83">
        <f t="shared" ref="U197:U255" si="52">K197/K198-1</f>
        <v>2.8578868563244431E-2</v>
      </c>
      <c r="V197" s="83">
        <f t="shared" ref="V197:V255" si="53">L197/L198-1</f>
        <v>2.5439520375921454E-2</v>
      </c>
      <c r="W197" s="84">
        <f t="shared" ref="W197:W255" si="54">M197/M198-1</f>
        <v>2.2217675941080151E-2</v>
      </c>
      <c r="X197" s="89">
        <f t="shared" ref="X197:X255" si="55">N197/N198-1</f>
        <v>-4.2929886810533224E-3</v>
      </c>
      <c r="Y197" s="89">
        <f t="shared" ref="Y197:Y255" si="56">O197/O198-1</f>
        <v>9.3210758201012212E-3</v>
      </c>
    </row>
    <row r="198" spans="1:25" x14ac:dyDescent="0.25">
      <c r="A198" s="2">
        <f t="shared" si="44"/>
        <v>195</v>
      </c>
      <c r="B198" s="58">
        <v>45086</v>
      </c>
      <c r="C198" s="59">
        <f t="shared" si="45"/>
        <v>2023</v>
      </c>
      <c r="D198" s="59">
        <f t="shared" si="46"/>
        <v>6</v>
      </c>
      <c r="E198" s="54">
        <v>17.277999999999999</v>
      </c>
      <c r="F198" s="63">
        <v>54.69</v>
      </c>
      <c r="G198" s="64">
        <v>39.57</v>
      </c>
      <c r="H198" s="64">
        <v>12.06</v>
      </c>
      <c r="I198" s="64">
        <v>292.16000000000003</v>
      </c>
      <c r="J198" s="64">
        <v>25.34</v>
      </c>
      <c r="K198" s="64">
        <v>307.22000000000003</v>
      </c>
      <c r="L198" s="64">
        <v>123.43</v>
      </c>
      <c r="M198" s="65">
        <v>244.4</v>
      </c>
      <c r="N198" s="70">
        <v>54512.14</v>
      </c>
      <c r="O198" s="70">
        <v>4298.8599999999997</v>
      </c>
      <c r="P198" s="82">
        <f t="shared" si="47"/>
        <v>1.8318373328447546E-3</v>
      </c>
      <c r="Q198" s="83">
        <f t="shared" si="48"/>
        <v>1.3575819672131173E-2</v>
      </c>
      <c r="R198" s="83">
        <f t="shared" si="49"/>
        <v>5.0000000000001155E-3</v>
      </c>
      <c r="S198" s="83">
        <f t="shared" si="50"/>
        <v>8.0391953904013214E-3</v>
      </c>
      <c r="T198" s="83">
        <f t="shared" si="51"/>
        <v>7.898894154818592E-4</v>
      </c>
      <c r="U198" s="83">
        <f t="shared" si="52"/>
        <v>-1.205904106505451E-2</v>
      </c>
      <c r="V198" s="83">
        <f t="shared" si="53"/>
        <v>-6.599597585512984E-3</v>
      </c>
      <c r="W198" s="84">
        <f t="shared" si="54"/>
        <v>4.0619943796304181E-2</v>
      </c>
      <c r="X198" s="89">
        <f t="shared" si="55"/>
        <v>3.2014322158011588E-3</v>
      </c>
      <c r="Y198" s="89">
        <f t="shared" si="56"/>
        <v>1.1481323635922358E-3</v>
      </c>
    </row>
    <row r="199" spans="1:25" x14ac:dyDescent="0.25">
      <c r="A199" s="2">
        <f t="shared" si="44"/>
        <v>196</v>
      </c>
      <c r="B199" s="58">
        <v>45085</v>
      </c>
      <c r="C199" s="59">
        <f t="shared" si="45"/>
        <v>2023</v>
      </c>
      <c r="D199" s="59">
        <f t="shared" si="46"/>
        <v>6</v>
      </c>
      <c r="E199" s="54">
        <v>17.364999999999998</v>
      </c>
      <c r="F199" s="63">
        <v>54.59</v>
      </c>
      <c r="G199" s="64">
        <v>39.04</v>
      </c>
      <c r="H199" s="64">
        <v>12</v>
      </c>
      <c r="I199" s="64">
        <v>289.83</v>
      </c>
      <c r="J199" s="64">
        <v>25.32</v>
      </c>
      <c r="K199" s="64">
        <v>310.97000000000003</v>
      </c>
      <c r="L199" s="64">
        <v>124.25</v>
      </c>
      <c r="M199" s="65">
        <v>234.86</v>
      </c>
      <c r="N199" s="70">
        <v>54338.18</v>
      </c>
      <c r="O199" s="70">
        <v>4293.93</v>
      </c>
      <c r="P199" s="82">
        <f t="shared" si="47"/>
        <v>8.3117842630218153E-3</v>
      </c>
      <c r="Q199" s="83">
        <f t="shared" si="48"/>
        <v>1.2823800974608446E-3</v>
      </c>
      <c r="R199" s="83">
        <f t="shared" si="49"/>
        <v>7.5566750629723067E-3</v>
      </c>
      <c r="S199" s="83">
        <f t="shared" si="50"/>
        <v>5.4886260236578721E-2</v>
      </c>
      <c r="T199" s="83">
        <f t="shared" si="51"/>
        <v>5.5599682287530428E-3</v>
      </c>
      <c r="U199" s="83">
        <f t="shared" si="52"/>
        <v>-1.1161282116509796E-2</v>
      </c>
      <c r="V199" s="83">
        <f t="shared" si="53"/>
        <v>2.4911325579477062E-2</v>
      </c>
      <c r="W199" s="84">
        <f t="shared" si="54"/>
        <v>4.5820902168588917E-2</v>
      </c>
      <c r="X199" s="89">
        <f t="shared" si="55"/>
        <v>8.6090919673531552E-4</v>
      </c>
      <c r="Y199" s="89">
        <f t="shared" si="56"/>
        <v>6.1886060287941191E-3</v>
      </c>
    </row>
    <row r="200" spans="1:25" x14ac:dyDescent="0.25">
      <c r="A200" s="2">
        <f t="shared" si="44"/>
        <v>197</v>
      </c>
      <c r="B200" s="58">
        <v>45084</v>
      </c>
      <c r="C200" s="59">
        <f t="shared" si="45"/>
        <v>2023</v>
      </c>
      <c r="D200" s="59">
        <f t="shared" si="46"/>
        <v>6</v>
      </c>
      <c r="E200" s="54">
        <v>17.356999999999999</v>
      </c>
      <c r="F200" s="63">
        <v>54.14</v>
      </c>
      <c r="G200" s="64">
        <v>38.99</v>
      </c>
      <c r="H200" s="64">
        <v>11.91</v>
      </c>
      <c r="I200" s="64">
        <v>274.75</v>
      </c>
      <c r="J200" s="64">
        <v>25.18</v>
      </c>
      <c r="K200" s="64">
        <v>314.48</v>
      </c>
      <c r="L200" s="64">
        <v>121.23</v>
      </c>
      <c r="M200" s="65">
        <v>224.57</v>
      </c>
      <c r="N200" s="70">
        <v>54291.44</v>
      </c>
      <c r="O200" s="70">
        <v>4267.5200000000004</v>
      </c>
      <c r="P200" s="82">
        <f t="shared" si="47"/>
        <v>-2.5792188651436732E-3</v>
      </c>
      <c r="Q200" s="83">
        <f t="shared" si="48"/>
        <v>-6.3710499490315931E-3</v>
      </c>
      <c r="R200" s="83">
        <f t="shared" si="49"/>
        <v>2.1440823327615766E-2</v>
      </c>
      <c r="S200" s="83">
        <f t="shared" si="50"/>
        <v>-1.0872304424523804E-2</v>
      </c>
      <c r="T200" s="83">
        <f t="shared" si="51"/>
        <v>7.9491255961849916E-4</v>
      </c>
      <c r="U200" s="83">
        <f t="shared" si="52"/>
        <v>-8.2623777988016789E-3</v>
      </c>
      <c r="V200" s="83">
        <f t="shared" si="53"/>
        <v>-4.2492694099992012E-2</v>
      </c>
      <c r="W200" s="84">
        <f t="shared" si="54"/>
        <v>1.4730468573494138E-2</v>
      </c>
      <c r="X200" s="89">
        <f t="shared" si="55"/>
        <v>-2.5857860945884825E-3</v>
      </c>
      <c r="Y200" s="89">
        <f t="shared" si="56"/>
        <v>-3.8119915496573897E-3</v>
      </c>
    </row>
    <row r="201" spans="1:25" x14ac:dyDescent="0.25">
      <c r="A201" s="2">
        <f t="shared" si="44"/>
        <v>198</v>
      </c>
      <c r="B201" s="58">
        <v>45083</v>
      </c>
      <c r="C201" s="59">
        <f t="shared" si="45"/>
        <v>2023</v>
      </c>
      <c r="D201" s="59">
        <f t="shared" si="46"/>
        <v>6</v>
      </c>
      <c r="E201" s="54">
        <v>17.375</v>
      </c>
      <c r="F201" s="63">
        <v>54.28</v>
      </c>
      <c r="G201" s="64">
        <v>39.24</v>
      </c>
      <c r="H201" s="64">
        <v>11.66</v>
      </c>
      <c r="I201" s="64">
        <v>277.77</v>
      </c>
      <c r="J201" s="64">
        <v>25.16</v>
      </c>
      <c r="K201" s="64">
        <v>317.10000000000002</v>
      </c>
      <c r="L201" s="64">
        <v>126.61</v>
      </c>
      <c r="M201" s="65">
        <v>221.31</v>
      </c>
      <c r="N201" s="70">
        <v>54432.19</v>
      </c>
      <c r="O201" s="70">
        <v>4283.8500000000004</v>
      </c>
      <c r="P201" s="82">
        <f t="shared" si="47"/>
        <v>1.6098839385997765E-2</v>
      </c>
      <c r="Q201" s="83">
        <f t="shared" si="48"/>
        <v>4.0941658137154668E-3</v>
      </c>
      <c r="R201" s="83">
        <f t="shared" si="49"/>
        <v>4.3867502238137845E-2</v>
      </c>
      <c r="S201" s="83">
        <f t="shared" si="50"/>
        <v>2.4830283353010518E-2</v>
      </c>
      <c r="T201" s="83">
        <f t="shared" si="51"/>
        <v>4.7923322683707248E-3</v>
      </c>
      <c r="U201" s="83">
        <f t="shared" si="52"/>
        <v>4.0490878067988012E-2</v>
      </c>
      <c r="V201" s="83">
        <f t="shared" si="53"/>
        <v>1.0454908220271397E-2</v>
      </c>
      <c r="W201" s="84">
        <f t="shared" si="54"/>
        <v>1.7002895087541825E-2</v>
      </c>
      <c r="X201" s="89">
        <f t="shared" si="55"/>
        <v>1.6739001102995088E-2</v>
      </c>
      <c r="Y201" s="89">
        <f t="shared" si="56"/>
        <v>2.3538826194080542E-3</v>
      </c>
    </row>
    <row r="202" spans="1:25" x14ac:dyDescent="0.25">
      <c r="A202" s="2">
        <f t="shared" si="44"/>
        <v>199</v>
      </c>
      <c r="B202" s="58">
        <v>45082</v>
      </c>
      <c r="C202" s="59">
        <f t="shared" si="45"/>
        <v>2023</v>
      </c>
      <c r="D202" s="59">
        <f t="shared" si="46"/>
        <v>6</v>
      </c>
      <c r="E202" s="54">
        <v>17.457000000000001</v>
      </c>
      <c r="F202" s="63">
        <v>53.42</v>
      </c>
      <c r="G202" s="64">
        <v>39.08</v>
      </c>
      <c r="H202" s="64">
        <v>11.17</v>
      </c>
      <c r="I202" s="64">
        <v>271.04000000000002</v>
      </c>
      <c r="J202" s="64">
        <v>25.04</v>
      </c>
      <c r="K202" s="64">
        <v>304.76</v>
      </c>
      <c r="L202" s="64">
        <v>125.3</v>
      </c>
      <c r="M202" s="65">
        <v>217.61</v>
      </c>
      <c r="N202" s="70">
        <v>53536.05</v>
      </c>
      <c r="O202" s="70">
        <v>4273.79</v>
      </c>
      <c r="P202" s="82">
        <f t="shared" si="47"/>
        <v>5.6475903614459089E-3</v>
      </c>
      <c r="Q202" s="83">
        <f t="shared" si="48"/>
        <v>-6.1037639877925542E-3</v>
      </c>
      <c r="R202" s="83">
        <f t="shared" si="49"/>
        <v>2.6929982046677292E-3</v>
      </c>
      <c r="S202" s="83">
        <f t="shared" si="50"/>
        <v>-6.4880319636376749E-3</v>
      </c>
      <c r="T202" s="83">
        <f t="shared" si="51"/>
        <v>1.6000000000000458E-3</v>
      </c>
      <c r="U202" s="83">
        <f t="shared" si="52"/>
        <v>-2.0757020757020905E-2</v>
      </c>
      <c r="V202" s="83">
        <f t="shared" si="53"/>
        <v>8.4507042253521014E-3</v>
      </c>
      <c r="W202" s="84">
        <f t="shared" si="54"/>
        <v>1.7011730616441678E-2</v>
      </c>
      <c r="X202" s="89">
        <f t="shared" si="55"/>
        <v>5.698376054873E-3</v>
      </c>
      <c r="Y202" s="89">
        <f t="shared" si="56"/>
        <v>-2.0035634473434261E-3</v>
      </c>
    </row>
    <row r="203" spans="1:25" x14ac:dyDescent="0.25">
      <c r="A203" s="2">
        <f t="shared" si="44"/>
        <v>200</v>
      </c>
      <c r="B203" s="58">
        <v>45079</v>
      </c>
      <c r="C203" s="59">
        <f t="shared" si="45"/>
        <v>2023</v>
      </c>
      <c r="D203" s="59">
        <f t="shared" si="46"/>
        <v>6</v>
      </c>
      <c r="E203" s="54">
        <v>17.541</v>
      </c>
      <c r="F203" s="63">
        <v>53.12</v>
      </c>
      <c r="G203" s="64">
        <v>39.32</v>
      </c>
      <c r="H203" s="64">
        <v>11.14</v>
      </c>
      <c r="I203" s="64">
        <v>272.81</v>
      </c>
      <c r="J203" s="64">
        <v>25</v>
      </c>
      <c r="K203" s="64">
        <v>311.22000000000003</v>
      </c>
      <c r="L203" s="64">
        <v>124.25</v>
      </c>
      <c r="M203" s="65">
        <v>213.97</v>
      </c>
      <c r="N203" s="70">
        <v>53232.71</v>
      </c>
      <c r="O203" s="70">
        <v>4282.37</v>
      </c>
      <c r="P203" s="82">
        <f t="shared" si="47"/>
        <v>9.1185410334346795E-3</v>
      </c>
      <c r="Q203" s="83">
        <f t="shared" si="48"/>
        <v>2.1829521829521914E-2</v>
      </c>
      <c r="R203" s="83">
        <f t="shared" si="49"/>
        <v>4.7977422389463786E-2</v>
      </c>
      <c r="S203" s="83">
        <f t="shared" si="50"/>
        <v>9.8837639742357375E-3</v>
      </c>
      <c r="T203" s="83">
        <f t="shared" si="51"/>
        <v>5.6315366049879412E-3</v>
      </c>
      <c r="U203" s="83">
        <f t="shared" si="52"/>
        <v>3.2615547961113656E-2</v>
      </c>
      <c r="V203" s="83">
        <f t="shared" si="53"/>
        <v>1.2055062311639775E-2</v>
      </c>
      <c r="W203" s="84">
        <f t="shared" si="54"/>
        <v>3.1081341557440245E-2</v>
      </c>
      <c r="X203" s="89">
        <f t="shared" si="55"/>
        <v>9.6479726606635285E-3</v>
      </c>
      <c r="Y203" s="89">
        <f t="shared" si="56"/>
        <v>1.4534401637518846E-2</v>
      </c>
    </row>
    <row r="204" spans="1:25" x14ac:dyDescent="0.25">
      <c r="A204" s="2">
        <f t="shared" si="44"/>
        <v>201</v>
      </c>
      <c r="B204" s="58">
        <v>45078</v>
      </c>
      <c r="C204" s="59">
        <f t="shared" si="45"/>
        <v>2023</v>
      </c>
      <c r="D204" s="59">
        <f t="shared" si="46"/>
        <v>6</v>
      </c>
      <c r="E204" s="54">
        <v>17.5474</v>
      </c>
      <c r="F204" s="63">
        <v>52.64</v>
      </c>
      <c r="G204" s="64">
        <v>38.479999999999997</v>
      </c>
      <c r="H204" s="64">
        <v>10.63</v>
      </c>
      <c r="I204" s="64">
        <v>270.14</v>
      </c>
      <c r="J204" s="64">
        <v>24.86</v>
      </c>
      <c r="K204" s="64">
        <v>301.39</v>
      </c>
      <c r="L204" s="64">
        <v>122.77</v>
      </c>
      <c r="M204" s="65">
        <v>207.52</v>
      </c>
      <c r="N204" s="70">
        <v>52724.03</v>
      </c>
      <c r="O204" s="70">
        <v>4221.0200000000004</v>
      </c>
      <c r="P204" s="82">
        <f t="shared" si="47"/>
        <v>-7.5930144267277733E-4</v>
      </c>
      <c r="Q204" s="83">
        <f t="shared" si="48"/>
        <v>5.2246603970740324E-3</v>
      </c>
      <c r="R204" s="83">
        <f t="shared" si="49"/>
        <v>-9.3984962406012951E-4</v>
      </c>
      <c r="S204" s="83">
        <f t="shared" si="50"/>
        <v>-1.9949756169647115E-3</v>
      </c>
      <c r="T204" s="83">
        <f t="shared" si="51"/>
        <v>1.885245901639343E-2</v>
      </c>
      <c r="U204" s="83">
        <f t="shared" si="52"/>
        <v>-3.7000351471387138E-2</v>
      </c>
      <c r="V204" s="83">
        <f t="shared" si="53"/>
        <v>1.8162215956211591E-2</v>
      </c>
      <c r="W204" s="84">
        <f t="shared" si="54"/>
        <v>1.7604079831314623E-2</v>
      </c>
      <c r="X204" s="89">
        <f t="shared" si="55"/>
        <v>-2.3190874741596534E-4</v>
      </c>
      <c r="Y204" s="89">
        <f t="shared" si="56"/>
        <v>9.8544677654355262E-3</v>
      </c>
    </row>
    <row r="205" spans="1:25" x14ac:dyDescent="0.25">
      <c r="A205" s="2">
        <f t="shared" si="44"/>
        <v>202</v>
      </c>
      <c r="B205" s="58">
        <v>45077</v>
      </c>
      <c r="C205" s="59">
        <f t="shared" si="45"/>
        <v>2023</v>
      </c>
      <c r="D205" s="59">
        <f t="shared" si="46"/>
        <v>5</v>
      </c>
      <c r="E205" s="54">
        <v>17.681899999999999</v>
      </c>
      <c r="F205" s="63">
        <v>52.68</v>
      </c>
      <c r="G205" s="64">
        <v>38.28</v>
      </c>
      <c r="H205" s="64">
        <v>10.64</v>
      </c>
      <c r="I205" s="64">
        <v>270.68</v>
      </c>
      <c r="J205" s="64">
        <v>24.4</v>
      </c>
      <c r="K205" s="64">
        <v>312.97000000000003</v>
      </c>
      <c r="L205" s="64">
        <v>120.58</v>
      </c>
      <c r="M205" s="65">
        <v>203.93</v>
      </c>
      <c r="N205" s="70">
        <v>52736.26</v>
      </c>
      <c r="O205" s="70">
        <v>4179.83</v>
      </c>
      <c r="P205" s="82">
        <f t="shared" si="47"/>
        <v>-1.0704225352112684E-2</v>
      </c>
      <c r="Q205" s="83">
        <f t="shared" si="48"/>
        <v>6.8385060494475791E-3</v>
      </c>
      <c r="R205" s="83">
        <f t="shared" si="49"/>
        <v>7.575757575757569E-3</v>
      </c>
      <c r="S205" s="83">
        <f t="shared" si="50"/>
        <v>-6.992406281139385E-2</v>
      </c>
      <c r="T205" s="83">
        <f t="shared" si="51"/>
        <v>1.7939090529828894E-2</v>
      </c>
      <c r="U205" s="83">
        <f t="shared" si="52"/>
        <v>3.9455956887151089E-3</v>
      </c>
      <c r="V205" s="83">
        <f t="shared" si="53"/>
        <v>-8.8771987506164329E-3</v>
      </c>
      <c r="W205" s="84">
        <f t="shared" si="54"/>
        <v>1.3770133227281711E-2</v>
      </c>
      <c r="X205" s="89">
        <f t="shared" si="55"/>
        <v>-1.1352999567881383E-2</v>
      </c>
      <c r="Y205" s="89">
        <f t="shared" si="56"/>
        <v>-6.1086381707852189E-3</v>
      </c>
    </row>
    <row r="206" spans="1:25" x14ac:dyDescent="0.25">
      <c r="A206" s="2">
        <f t="shared" si="44"/>
        <v>203</v>
      </c>
      <c r="B206" s="58">
        <v>45076</v>
      </c>
      <c r="C206" s="59">
        <f t="shared" si="45"/>
        <v>2023</v>
      </c>
      <c r="D206" s="59">
        <f t="shared" si="46"/>
        <v>5</v>
      </c>
      <c r="E206" s="54">
        <v>17.643000000000001</v>
      </c>
      <c r="F206" s="63">
        <v>53.25</v>
      </c>
      <c r="G206" s="64">
        <v>38.020000000000003</v>
      </c>
      <c r="H206" s="64">
        <v>10.56</v>
      </c>
      <c r="I206" s="64">
        <v>291.02999999999997</v>
      </c>
      <c r="J206" s="64">
        <v>23.97</v>
      </c>
      <c r="K206" s="64">
        <v>311.74</v>
      </c>
      <c r="L206" s="64">
        <v>121.66</v>
      </c>
      <c r="M206" s="65">
        <v>201.16</v>
      </c>
      <c r="N206" s="70">
        <v>53341.85</v>
      </c>
      <c r="O206" s="70">
        <v>4205.5200000000004</v>
      </c>
      <c r="P206" s="82">
        <f t="shared" si="47"/>
        <v>-1.6802067946824151E-2</v>
      </c>
      <c r="Q206" s="83">
        <f t="shared" si="48"/>
        <v>-2.2370789406016889E-2</v>
      </c>
      <c r="R206" s="83">
        <f t="shared" si="49"/>
        <v>-3.208065994500453E-2</v>
      </c>
      <c r="S206" s="83">
        <f t="shared" si="50"/>
        <v>4.8076923076922906E-2</v>
      </c>
      <c r="T206" s="83">
        <f t="shared" si="51"/>
        <v>-8.3368070029177233E-4</v>
      </c>
      <c r="U206" s="83">
        <f t="shared" si="52"/>
        <v>-5.2173913043478182E-2</v>
      </c>
      <c r="V206" s="83">
        <f t="shared" si="53"/>
        <v>1.2904837232536881E-2</v>
      </c>
      <c r="W206" s="84">
        <f t="shared" si="54"/>
        <v>4.1362530413625365E-2</v>
      </c>
      <c r="X206" s="89">
        <f t="shared" si="55"/>
        <v>-1.6063034711258473E-2</v>
      </c>
      <c r="Y206" s="89">
        <f t="shared" si="56"/>
        <v>1.6645067709930572E-5</v>
      </c>
    </row>
    <row r="207" spans="1:25" x14ac:dyDescent="0.25">
      <c r="A207" s="2">
        <f t="shared" si="44"/>
        <v>204</v>
      </c>
      <c r="B207" s="58">
        <v>45075</v>
      </c>
      <c r="C207" s="59">
        <f t="shared" si="45"/>
        <v>2023</v>
      </c>
      <c r="D207" s="59">
        <f t="shared" si="46"/>
        <v>5</v>
      </c>
      <c r="E207" s="54">
        <v>17.574999999999999</v>
      </c>
      <c r="F207" s="63">
        <v>54.16</v>
      </c>
      <c r="G207" s="64">
        <v>38.89</v>
      </c>
      <c r="H207" s="64">
        <v>10.91</v>
      </c>
      <c r="I207" s="64">
        <v>277.68</v>
      </c>
      <c r="J207" s="64">
        <v>23.99</v>
      </c>
      <c r="K207" s="64">
        <v>328.9</v>
      </c>
      <c r="L207" s="64">
        <v>120.11</v>
      </c>
      <c r="M207" s="65">
        <v>193.17</v>
      </c>
      <c r="N207" s="70">
        <v>54212.67</v>
      </c>
      <c r="O207" s="70">
        <v>4205.45</v>
      </c>
      <c r="P207" s="82">
        <f t="shared" si="47"/>
        <v>1.1090573012937366E-3</v>
      </c>
      <c r="Q207" s="83">
        <f t="shared" si="48"/>
        <v>-4.0973111395645745E-3</v>
      </c>
      <c r="R207" s="83">
        <f t="shared" si="49"/>
        <v>-1.534296028880866E-2</v>
      </c>
      <c r="S207" s="83">
        <f t="shared" si="50"/>
        <v>3.6738351254480328E-2</v>
      </c>
      <c r="T207" s="83">
        <f t="shared" si="51"/>
        <v>-5.3897180762852992E-3</v>
      </c>
      <c r="U207" s="83">
        <f t="shared" si="52"/>
        <v>3.2750337551417541E-2</v>
      </c>
      <c r="V207" s="83">
        <f t="shared" si="53"/>
        <v>0</v>
      </c>
      <c r="W207" s="84">
        <f t="shared" si="54"/>
        <v>0</v>
      </c>
      <c r="X207" s="89">
        <f t="shared" si="55"/>
        <v>3.4654038050585534E-3</v>
      </c>
      <c r="Y207" s="89">
        <f t="shared" si="56"/>
        <v>0</v>
      </c>
    </row>
    <row r="208" spans="1:25" x14ac:dyDescent="0.25">
      <c r="A208" s="2">
        <f t="shared" si="44"/>
        <v>205</v>
      </c>
      <c r="B208" s="58">
        <v>45072</v>
      </c>
      <c r="C208" s="59">
        <f t="shared" si="45"/>
        <v>2023</v>
      </c>
      <c r="D208" s="59">
        <f t="shared" si="46"/>
        <v>5</v>
      </c>
      <c r="E208" s="54">
        <v>17.61</v>
      </c>
      <c r="F208" s="63">
        <v>54.1</v>
      </c>
      <c r="G208" s="64">
        <v>39.049999999999997</v>
      </c>
      <c r="H208" s="64">
        <v>11.08</v>
      </c>
      <c r="I208" s="64">
        <v>267.83999999999997</v>
      </c>
      <c r="J208" s="64">
        <v>24.12</v>
      </c>
      <c r="K208" s="64">
        <v>318.47000000000003</v>
      </c>
      <c r="L208" s="64">
        <v>120.11</v>
      </c>
      <c r="M208" s="65">
        <v>193.17</v>
      </c>
      <c r="N208" s="70">
        <v>54025.45</v>
      </c>
      <c r="O208" s="70">
        <v>4205.45</v>
      </c>
      <c r="P208" s="82">
        <f t="shared" si="47"/>
        <v>5.3893328377625505E-3</v>
      </c>
      <c r="Q208" s="83">
        <f t="shared" si="48"/>
        <v>2.8248587570620654E-3</v>
      </c>
      <c r="R208" s="83">
        <f t="shared" si="49"/>
        <v>-1.8018018018017834E-3</v>
      </c>
      <c r="S208" s="83">
        <f t="shared" si="50"/>
        <v>2.2875692190184926E-2</v>
      </c>
      <c r="T208" s="83">
        <f t="shared" si="51"/>
        <v>4.5513654096228873E-2</v>
      </c>
      <c r="U208" s="83">
        <f t="shared" si="52"/>
        <v>1.9397586504913411E-2</v>
      </c>
      <c r="V208" s="83">
        <f t="shared" si="53"/>
        <v>4.4434782608695711E-2</v>
      </c>
      <c r="W208" s="84">
        <f t="shared" si="54"/>
        <v>4.7162140185395884E-2</v>
      </c>
      <c r="X208" s="89">
        <f t="shared" si="55"/>
        <v>5.2241449758374525E-3</v>
      </c>
      <c r="Y208" s="89">
        <f t="shared" si="56"/>
        <v>1.3048987300302572E-2</v>
      </c>
    </row>
    <row r="209" spans="1:25" x14ac:dyDescent="0.25">
      <c r="A209" s="2">
        <f t="shared" si="44"/>
        <v>206</v>
      </c>
      <c r="B209" s="58">
        <v>45071</v>
      </c>
      <c r="C209" s="59">
        <f t="shared" si="45"/>
        <v>2023</v>
      </c>
      <c r="D209" s="59">
        <f t="shared" si="46"/>
        <v>5</v>
      </c>
      <c r="E209" s="54">
        <v>17.847999999999999</v>
      </c>
      <c r="F209" s="63">
        <v>53.81</v>
      </c>
      <c r="G209" s="64">
        <v>38.94</v>
      </c>
      <c r="H209" s="64">
        <v>11.1</v>
      </c>
      <c r="I209" s="64">
        <v>261.85000000000002</v>
      </c>
      <c r="J209" s="64">
        <v>23.07</v>
      </c>
      <c r="K209" s="64">
        <v>312.41000000000003</v>
      </c>
      <c r="L209" s="64">
        <v>115</v>
      </c>
      <c r="M209" s="65">
        <v>184.47</v>
      </c>
      <c r="N209" s="70">
        <v>53744.68</v>
      </c>
      <c r="O209" s="70">
        <v>4151.28</v>
      </c>
      <c r="P209" s="82">
        <f t="shared" si="47"/>
        <v>8.4332833583209421E-3</v>
      </c>
      <c r="Q209" s="83">
        <f t="shared" si="48"/>
        <v>-1.6169782718544745E-2</v>
      </c>
      <c r="R209" s="83">
        <f t="shared" si="49"/>
        <v>1.0928961748633892E-2</v>
      </c>
      <c r="S209" s="83">
        <f t="shared" si="50"/>
        <v>1.5709852598913887E-2</v>
      </c>
      <c r="T209" s="83">
        <f t="shared" si="51"/>
        <v>2.1700620017714778E-2</v>
      </c>
      <c r="U209" s="83">
        <f t="shared" si="52"/>
        <v>-1.3745045390612942E-3</v>
      </c>
      <c r="V209" s="83">
        <f t="shared" si="53"/>
        <v>-1.498929336188437E-2</v>
      </c>
      <c r="W209" s="84">
        <f t="shared" si="54"/>
        <v>8.5839256424276034E-3</v>
      </c>
      <c r="X209" s="89">
        <f t="shared" si="55"/>
        <v>6.5790902995501721E-3</v>
      </c>
      <c r="Y209" s="89">
        <f t="shared" si="56"/>
        <v>8.7576909244662104E-3</v>
      </c>
    </row>
    <row r="210" spans="1:25" x14ac:dyDescent="0.25">
      <c r="A210" s="2">
        <f t="shared" si="44"/>
        <v>207</v>
      </c>
      <c r="B210" s="58">
        <v>45070</v>
      </c>
      <c r="C210" s="59">
        <f t="shared" si="45"/>
        <v>2023</v>
      </c>
      <c r="D210" s="59">
        <f t="shared" si="46"/>
        <v>5</v>
      </c>
      <c r="E210" s="54">
        <v>17.795000000000002</v>
      </c>
      <c r="F210" s="63">
        <v>53.36</v>
      </c>
      <c r="G210" s="64">
        <v>39.58</v>
      </c>
      <c r="H210" s="64">
        <v>10.98</v>
      </c>
      <c r="I210" s="64">
        <v>257.8</v>
      </c>
      <c r="J210" s="64">
        <v>22.58</v>
      </c>
      <c r="K210" s="64">
        <v>312.83999999999997</v>
      </c>
      <c r="L210" s="64">
        <v>116.75</v>
      </c>
      <c r="M210" s="65">
        <v>182.9</v>
      </c>
      <c r="N210" s="70">
        <v>53393.4</v>
      </c>
      <c r="O210" s="70">
        <v>4115.24</v>
      </c>
      <c r="P210" s="82">
        <f t="shared" si="47"/>
        <v>3.762227238525151E-3</v>
      </c>
      <c r="Q210" s="83">
        <f t="shared" si="48"/>
        <v>-6.0271220492215116E-3</v>
      </c>
      <c r="R210" s="83">
        <f t="shared" si="49"/>
        <v>-6.3348416289592535E-3</v>
      </c>
      <c r="S210" s="83">
        <f t="shared" si="50"/>
        <v>2.4845955078513171E-2</v>
      </c>
      <c r="T210" s="83">
        <f t="shared" si="51"/>
        <v>-3.530450132391949E-3</v>
      </c>
      <c r="U210" s="83">
        <f t="shared" si="52"/>
        <v>4.3984974475870242E-3</v>
      </c>
      <c r="V210" s="83">
        <f t="shared" si="53"/>
        <v>1.5305678754674368E-2</v>
      </c>
      <c r="W210" s="84">
        <f t="shared" si="54"/>
        <v>-1.5449211390429096E-2</v>
      </c>
      <c r="X210" s="89">
        <f t="shared" si="55"/>
        <v>5.0859115844257285E-3</v>
      </c>
      <c r="Y210" s="89">
        <f t="shared" si="56"/>
        <v>-7.3186381640205633E-3</v>
      </c>
    </row>
    <row r="211" spans="1:25" x14ac:dyDescent="0.25">
      <c r="A211" s="2">
        <f t="shared" si="44"/>
        <v>208</v>
      </c>
      <c r="B211" s="58">
        <v>45069</v>
      </c>
      <c r="C211" s="59">
        <f t="shared" si="45"/>
        <v>2023</v>
      </c>
      <c r="D211" s="59">
        <f t="shared" si="46"/>
        <v>5</v>
      </c>
      <c r="E211" s="54">
        <v>17.946000000000002</v>
      </c>
      <c r="F211" s="63">
        <v>53.16</v>
      </c>
      <c r="G211" s="64">
        <v>39.82</v>
      </c>
      <c r="H211" s="64">
        <v>11.05</v>
      </c>
      <c r="I211" s="64">
        <v>251.55</v>
      </c>
      <c r="J211" s="64">
        <v>22.66</v>
      </c>
      <c r="K211" s="64">
        <v>311.47000000000003</v>
      </c>
      <c r="L211" s="64">
        <v>114.99</v>
      </c>
      <c r="M211" s="65">
        <v>185.77</v>
      </c>
      <c r="N211" s="70">
        <v>53123.22</v>
      </c>
      <c r="O211" s="70">
        <v>4145.58</v>
      </c>
      <c r="P211" s="82">
        <f t="shared" si="47"/>
        <v>-4.3079228319911067E-3</v>
      </c>
      <c r="Q211" s="83">
        <f t="shared" si="48"/>
        <v>-3.746676335508814E-2</v>
      </c>
      <c r="R211" s="83">
        <f t="shared" si="49"/>
        <v>-2.3851590106007015E-2</v>
      </c>
      <c r="S211" s="83">
        <f t="shared" si="50"/>
        <v>-5.0073637702503615E-2</v>
      </c>
      <c r="T211" s="83">
        <f t="shared" si="51"/>
        <v>-7.8809106830122211E-3</v>
      </c>
      <c r="U211" s="83">
        <f t="shared" si="52"/>
        <v>-2.504147494287412E-2</v>
      </c>
      <c r="V211" s="83">
        <f t="shared" si="53"/>
        <v>-1.7389792191990772E-4</v>
      </c>
      <c r="W211" s="84">
        <f t="shared" si="54"/>
        <v>-1.6413406046487E-2</v>
      </c>
      <c r="X211" s="89">
        <f t="shared" si="55"/>
        <v>-6.4171239015514692E-3</v>
      </c>
      <c r="Y211" s="89">
        <f t="shared" si="56"/>
        <v>-1.1222073018606449E-2</v>
      </c>
    </row>
    <row r="212" spans="1:25" x14ac:dyDescent="0.25">
      <c r="A212" s="2">
        <f t="shared" si="44"/>
        <v>209</v>
      </c>
      <c r="B212" s="58">
        <v>45068</v>
      </c>
      <c r="C212" s="59">
        <f t="shared" si="45"/>
        <v>2023</v>
      </c>
      <c r="D212" s="59">
        <f t="shared" si="46"/>
        <v>5</v>
      </c>
      <c r="E212" s="54">
        <v>17.879000000000001</v>
      </c>
      <c r="F212" s="63">
        <v>53.39</v>
      </c>
      <c r="G212" s="64">
        <v>41.37</v>
      </c>
      <c r="H212" s="64">
        <v>11.32</v>
      </c>
      <c r="I212" s="64">
        <v>264.81</v>
      </c>
      <c r="J212" s="64">
        <v>22.84</v>
      </c>
      <c r="K212" s="64">
        <v>319.47000000000003</v>
      </c>
      <c r="L212" s="64">
        <v>115.01</v>
      </c>
      <c r="M212" s="65">
        <v>188.87</v>
      </c>
      <c r="N212" s="70">
        <v>53466.32</v>
      </c>
      <c r="O212" s="70">
        <v>4192.63</v>
      </c>
      <c r="P212" s="82">
        <f t="shared" si="47"/>
        <v>-1.6939790093905338E-2</v>
      </c>
      <c r="Q212" s="83">
        <f t="shared" si="48"/>
        <v>3.8664323374340892E-2</v>
      </c>
      <c r="R212" s="83">
        <f t="shared" si="49"/>
        <v>-1.565217391304341E-2</v>
      </c>
      <c r="S212" s="83">
        <f t="shared" si="50"/>
        <v>-4.2970726418503746E-2</v>
      </c>
      <c r="T212" s="83">
        <f t="shared" si="51"/>
        <v>-1.7634408602150597E-2</v>
      </c>
      <c r="U212" s="83">
        <f t="shared" si="52"/>
        <v>2.2588235294118686E-3</v>
      </c>
      <c r="V212" s="83">
        <f t="shared" si="53"/>
        <v>-1.0666666666666602E-2</v>
      </c>
      <c r="W212" s="84">
        <f t="shared" si="54"/>
        <v>4.8462307094482071E-2</v>
      </c>
      <c r="X212" s="89">
        <f t="shared" si="55"/>
        <v>-1.5281590465604844E-2</v>
      </c>
      <c r="Y212" s="89">
        <f t="shared" si="56"/>
        <v>1.5505799168891166E-4</v>
      </c>
    </row>
    <row r="213" spans="1:25" x14ac:dyDescent="0.25">
      <c r="A213" s="2">
        <f t="shared" si="44"/>
        <v>210</v>
      </c>
      <c r="B213" s="58">
        <v>45065</v>
      </c>
      <c r="C213" s="59">
        <f t="shared" si="45"/>
        <v>2023</v>
      </c>
      <c r="D213" s="59">
        <f t="shared" si="46"/>
        <v>5</v>
      </c>
      <c r="E213" s="54">
        <v>17.77</v>
      </c>
      <c r="F213" s="63">
        <v>54.31</v>
      </c>
      <c r="G213" s="64">
        <v>39.83</v>
      </c>
      <c r="H213" s="64">
        <v>11.5</v>
      </c>
      <c r="I213" s="64">
        <v>276.7</v>
      </c>
      <c r="J213" s="64">
        <v>23.25</v>
      </c>
      <c r="K213" s="64">
        <v>318.75</v>
      </c>
      <c r="L213" s="64">
        <v>116.25</v>
      </c>
      <c r="M213" s="65">
        <v>180.14</v>
      </c>
      <c r="N213" s="70">
        <v>54296.05</v>
      </c>
      <c r="O213" s="70">
        <v>4191.9799999999996</v>
      </c>
      <c r="P213" s="82">
        <f t="shared" si="47"/>
        <v>-1.7191458559536632E-2</v>
      </c>
      <c r="Q213" s="83">
        <f t="shared" si="48"/>
        <v>2.5113008538424353E-4</v>
      </c>
      <c r="R213" s="83">
        <f t="shared" si="49"/>
        <v>-1.2027491408934776E-2</v>
      </c>
      <c r="S213" s="83">
        <f t="shared" si="50"/>
        <v>2.5362318840578268E-3</v>
      </c>
      <c r="T213" s="83">
        <f t="shared" si="51"/>
        <v>-6.8346860316104152E-3</v>
      </c>
      <c r="U213" s="83">
        <f t="shared" si="52"/>
        <v>-2.8023418918094789E-2</v>
      </c>
      <c r="V213" s="83">
        <f t="shared" si="53"/>
        <v>-1.6081252644942867E-2</v>
      </c>
      <c r="W213" s="84">
        <f t="shared" si="54"/>
        <v>1.8373000169596976E-2</v>
      </c>
      <c r="X213" s="89">
        <f t="shared" si="55"/>
        <v>-1.7499196118350935E-2</v>
      </c>
      <c r="Y213" s="89">
        <f t="shared" si="56"/>
        <v>-1.445909410321633E-3</v>
      </c>
    </row>
    <row r="214" spans="1:25" x14ac:dyDescent="0.25">
      <c r="A214" s="2">
        <f t="shared" si="44"/>
        <v>211</v>
      </c>
      <c r="B214" s="58">
        <v>45064</v>
      </c>
      <c r="C214" s="59">
        <f t="shared" si="45"/>
        <v>2023</v>
      </c>
      <c r="D214" s="59">
        <f t="shared" si="46"/>
        <v>5</v>
      </c>
      <c r="E214" s="54">
        <v>17.702999999999999</v>
      </c>
      <c r="F214" s="63">
        <v>55.26</v>
      </c>
      <c r="G214" s="64">
        <v>39.82</v>
      </c>
      <c r="H214" s="64">
        <v>11.64</v>
      </c>
      <c r="I214" s="64">
        <v>276</v>
      </c>
      <c r="J214" s="64">
        <v>23.41</v>
      </c>
      <c r="K214" s="64">
        <v>327.94</v>
      </c>
      <c r="L214" s="64">
        <v>118.15</v>
      </c>
      <c r="M214" s="65">
        <v>176.89</v>
      </c>
      <c r="N214" s="70">
        <v>55263.11</v>
      </c>
      <c r="O214" s="70">
        <v>4198.05</v>
      </c>
      <c r="P214" s="82">
        <f t="shared" si="47"/>
        <v>4.362050163576825E-3</v>
      </c>
      <c r="Q214" s="83">
        <f t="shared" si="48"/>
        <v>1.0055304172951196E-3</v>
      </c>
      <c r="R214" s="83">
        <f t="shared" si="49"/>
        <v>4.3140638481449223E-3</v>
      </c>
      <c r="S214" s="83">
        <f t="shared" si="50"/>
        <v>-1.488382053753079E-2</v>
      </c>
      <c r="T214" s="83">
        <f t="shared" si="51"/>
        <v>1.3419913419913332E-2</v>
      </c>
      <c r="U214" s="83">
        <f t="shared" si="52"/>
        <v>6.1052308636293517E-3</v>
      </c>
      <c r="V214" s="83">
        <f t="shared" si="53"/>
        <v>2.2943722943723044E-2</v>
      </c>
      <c r="W214" s="84">
        <f t="shared" si="54"/>
        <v>1.7427815483722409E-2</v>
      </c>
      <c r="X214" s="89">
        <f t="shared" si="55"/>
        <v>3.5545550840725415E-3</v>
      </c>
      <c r="Y214" s="89">
        <f t="shared" si="56"/>
        <v>9.4451003541911049E-3</v>
      </c>
    </row>
    <row r="215" spans="1:25" x14ac:dyDescent="0.25">
      <c r="A215" s="2">
        <f t="shared" si="44"/>
        <v>212</v>
      </c>
      <c r="B215" s="58">
        <v>45063</v>
      </c>
      <c r="C215" s="59">
        <f t="shared" si="45"/>
        <v>2023</v>
      </c>
      <c r="D215" s="59">
        <f t="shared" si="46"/>
        <v>5</v>
      </c>
      <c r="E215" s="54">
        <v>17.587</v>
      </c>
      <c r="F215" s="63">
        <v>55.02</v>
      </c>
      <c r="G215" s="64">
        <v>39.78</v>
      </c>
      <c r="H215" s="64">
        <v>11.59</v>
      </c>
      <c r="I215" s="64">
        <v>280.17</v>
      </c>
      <c r="J215" s="64">
        <v>23.1</v>
      </c>
      <c r="K215" s="64">
        <v>325.95</v>
      </c>
      <c r="L215" s="64">
        <v>115.5</v>
      </c>
      <c r="M215" s="65">
        <v>173.86</v>
      </c>
      <c r="N215" s="70">
        <v>55067.37</v>
      </c>
      <c r="O215" s="70">
        <v>4158.7700000000004</v>
      </c>
      <c r="P215" s="82">
        <f t="shared" si="47"/>
        <v>-2.3572076155937705E-3</v>
      </c>
      <c r="Q215" s="83">
        <f t="shared" si="48"/>
        <v>7.5471698113216412E-4</v>
      </c>
      <c r="R215" s="83">
        <f t="shared" si="49"/>
        <v>5.2038161318299636E-3</v>
      </c>
      <c r="S215" s="83">
        <f t="shared" si="50"/>
        <v>6.5023710303204751E-3</v>
      </c>
      <c r="T215" s="83">
        <f t="shared" si="51"/>
        <v>2.1671826625387025E-2</v>
      </c>
      <c r="U215" s="83">
        <f t="shared" si="52"/>
        <v>1.0071273628757371E-2</v>
      </c>
      <c r="V215" s="83">
        <f t="shared" si="53"/>
        <v>1.8518518518518379E-2</v>
      </c>
      <c r="W215" s="84">
        <f t="shared" si="54"/>
        <v>4.4078789334614399E-2</v>
      </c>
      <c r="X215" s="89">
        <f t="shared" si="55"/>
        <v>-2.0586807372179328E-3</v>
      </c>
      <c r="Y215" s="89">
        <f t="shared" si="56"/>
        <v>1.1890800262780221E-2</v>
      </c>
    </row>
    <row r="216" spans="1:25" x14ac:dyDescent="0.25">
      <c r="A216" s="2">
        <f t="shared" si="44"/>
        <v>213</v>
      </c>
      <c r="B216" s="58">
        <v>45062</v>
      </c>
      <c r="C216" s="59">
        <f t="shared" si="45"/>
        <v>2023</v>
      </c>
      <c r="D216" s="59">
        <f t="shared" si="46"/>
        <v>5</v>
      </c>
      <c r="E216" s="54">
        <v>17.488</v>
      </c>
      <c r="F216" s="63">
        <v>55.15</v>
      </c>
      <c r="G216" s="64">
        <v>39.75</v>
      </c>
      <c r="H216" s="64">
        <v>11.53</v>
      </c>
      <c r="I216" s="64">
        <v>278.36</v>
      </c>
      <c r="J216" s="64">
        <v>22.61</v>
      </c>
      <c r="K216" s="64">
        <v>322.7</v>
      </c>
      <c r="L216" s="64">
        <v>113.4</v>
      </c>
      <c r="M216" s="65">
        <v>166.52</v>
      </c>
      <c r="N216" s="70">
        <v>55180.97</v>
      </c>
      <c r="O216" s="70">
        <v>4109.8999999999996</v>
      </c>
      <c r="P216" s="82">
        <f t="shared" si="47"/>
        <v>-1.0867596449919414E-3</v>
      </c>
      <c r="Q216" s="83">
        <f t="shared" si="48"/>
        <v>-7.4906367041197575E-3</v>
      </c>
      <c r="R216" s="83">
        <f t="shared" si="49"/>
        <v>8.7489063867016714E-3</v>
      </c>
      <c r="S216" s="83">
        <f t="shared" si="50"/>
        <v>-1.3397604026369803E-2</v>
      </c>
      <c r="T216" s="83">
        <f t="shared" si="51"/>
        <v>2.6793823796548599E-2</v>
      </c>
      <c r="U216" s="83">
        <f t="shared" si="52"/>
        <v>-6.3125481139337802E-3</v>
      </c>
      <c r="V216" s="83">
        <f t="shared" si="53"/>
        <v>1.9784172661870603E-2</v>
      </c>
      <c r="W216" s="84">
        <f t="shared" si="54"/>
        <v>1.02194168920966E-3</v>
      </c>
      <c r="X216" s="89">
        <f t="shared" si="55"/>
        <v>-1.4558076864473746E-3</v>
      </c>
      <c r="Y216" s="89">
        <f t="shared" si="56"/>
        <v>-6.3777113735047353E-3</v>
      </c>
    </row>
    <row r="217" spans="1:25" x14ac:dyDescent="0.25">
      <c r="A217" s="2">
        <f t="shared" si="44"/>
        <v>214</v>
      </c>
      <c r="B217" s="58">
        <v>45061</v>
      </c>
      <c r="C217" s="59">
        <f t="shared" si="45"/>
        <v>2023</v>
      </c>
      <c r="D217" s="59">
        <f t="shared" si="46"/>
        <v>5</v>
      </c>
      <c r="E217" s="54">
        <v>17.434000000000001</v>
      </c>
      <c r="F217" s="63">
        <v>55.21</v>
      </c>
      <c r="G217" s="64">
        <v>40.049999999999997</v>
      </c>
      <c r="H217" s="64">
        <v>11.43</v>
      </c>
      <c r="I217" s="64">
        <v>282.14</v>
      </c>
      <c r="J217" s="64">
        <v>22.02</v>
      </c>
      <c r="K217" s="64">
        <v>324.75</v>
      </c>
      <c r="L217" s="64">
        <v>111.2</v>
      </c>
      <c r="M217" s="65">
        <v>166.35</v>
      </c>
      <c r="N217" s="70">
        <v>55261.42</v>
      </c>
      <c r="O217" s="70">
        <v>4136.28</v>
      </c>
      <c r="P217" s="82">
        <f t="shared" si="47"/>
        <v>4.9144521295960697E-3</v>
      </c>
      <c r="Q217" s="83">
        <f t="shared" si="48"/>
        <v>1.4694704839118167E-2</v>
      </c>
      <c r="R217" s="83">
        <f t="shared" si="49"/>
        <v>-1.380500431406384E-2</v>
      </c>
      <c r="S217" s="83">
        <f t="shared" si="50"/>
        <v>4.8029419412354724E-2</v>
      </c>
      <c r="T217" s="83">
        <f t="shared" si="51"/>
        <v>4.1627246925260097E-2</v>
      </c>
      <c r="U217" s="83">
        <f t="shared" si="52"/>
        <v>1.3039273793555184E-2</v>
      </c>
      <c r="V217" s="83">
        <f t="shared" si="53"/>
        <v>8.5253038273171988E-3</v>
      </c>
      <c r="W217" s="84">
        <f t="shared" si="54"/>
        <v>-9.7035361352542093E-3</v>
      </c>
      <c r="X217" s="89">
        <f t="shared" si="55"/>
        <v>5.6977153449950801E-3</v>
      </c>
      <c r="Y217" s="89">
        <f t="shared" si="56"/>
        <v>2.958235533743192E-3</v>
      </c>
    </row>
    <row r="218" spans="1:25" x14ac:dyDescent="0.25">
      <c r="A218" s="2">
        <f t="shared" si="44"/>
        <v>215</v>
      </c>
      <c r="B218" s="58">
        <v>45058</v>
      </c>
      <c r="C218" s="59">
        <f t="shared" si="45"/>
        <v>2023</v>
      </c>
      <c r="D218" s="59">
        <f t="shared" si="46"/>
        <v>5</v>
      </c>
      <c r="E218" s="54">
        <v>17.581</v>
      </c>
      <c r="F218" s="63">
        <v>54.94</v>
      </c>
      <c r="G218" s="64">
        <v>39.47</v>
      </c>
      <c r="H218" s="64">
        <v>11.59</v>
      </c>
      <c r="I218" s="64">
        <v>269.20999999999998</v>
      </c>
      <c r="J218" s="64">
        <v>21.14</v>
      </c>
      <c r="K218" s="64">
        <v>320.57</v>
      </c>
      <c r="L218" s="64">
        <v>110.26</v>
      </c>
      <c r="M218" s="65">
        <v>167.98</v>
      </c>
      <c r="N218" s="70">
        <v>54948.34</v>
      </c>
      <c r="O218" s="70">
        <v>4124.08</v>
      </c>
      <c r="P218" s="82">
        <f t="shared" si="47"/>
        <v>-3.639010189229186E-4</v>
      </c>
      <c r="Q218" s="83">
        <f t="shared" si="48"/>
        <v>-7.5949367088612441E-4</v>
      </c>
      <c r="R218" s="83">
        <f t="shared" si="49"/>
        <v>-4.2955326460482057E-3</v>
      </c>
      <c r="S218" s="83">
        <f t="shared" si="50"/>
        <v>-2.6673582039788979E-3</v>
      </c>
      <c r="T218" s="83">
        <f t="shared" si="51"/>
        <v>-9.3720712277413076E-3</v>
      </c>
      <c r="U218" s="83">
        <f t="shared" si="52"/>
        <v>-2.9237037728220283E-3</v>
      </c>
      <c r="V218" s="83">
        <f t="shared" si="53"/>
        <v>-1.7115350329827028E-2</v>
      </c>
      <c r="W218" s="84">
        <f t="shared" si="54"/>
        <v>-2.3826127382612916E-2</v>
      </c>
      <c r="X218" s="89">
        <f t="shared" si="55"/>
        <v>-1.1964192491534797E-3</v>
      </c>
      <c r="Y218" s="89">
        <f t="shared" si="56"/>
        <v>-1.5832974226629437E-3</v>
      </c>
    </row>
    <row r="219" spans="1:25" x14ac:dyDescent="0.25">
      <c r="A219" s="2">
        <f t="shared" si="44"/>
        <v>216</v>
      </c>
      <c r="B219" s="58">
        <v>45057</v>
      </c>
      <c r="C219" s="59">
        <f t="shared" si="45"/>
        <v>2023</v>
      </c>
      <c r="D219" s="59">
        <f t="shared" si="46"/>
        <v>5</v>
      </c>
      <c r="E219" s="54">
        <v>17.573</v>
      </c>
      <c r="F219" s="63">
        <v>54.96</v>
      </c>
      <c r="G219" s="64">
        <v>39.5</v>
      </c>
      <c r="H219" s="64">
        <v>11.64</v>
      </c>
      <c r="I219" s="64">
        <v>269.93</v>
      </c>
      <c r="J219" s="64">
        <v>21.34</v>
      </c>
      <c r="K219" s="64">
        <v>321.51</v>
      </c>
      <c r="L219" s="64">
        <v>112.18</v>
      </c>
      <c r="M219" s="65">
        <v>172.08</v>
      </c>
      <c r="N219" s="70">
        <v>55014.16</v>
      </c>
      <c r="O219" s="70">
        <v>4130.62</v>
      </c>
      <c r="P219" s="82">
        <f t="shared" si="47"/>
        <v>-8.3002526163840074E-3</v>
      </c>
      <c r="Q219" s="83">
        <f t="shared" si="48"/>
        <v>-5.0377833753149082E-3</v>
      </c>
      <c r="R219" s="83">
        <f t="shared" si="49"/>
        <v>6.9204152249136008E-3</v>
      </c>
      <c r="S219" s="83">
        <f t="shared" si="50"/>
        <v>-3.9531739254198728E-2</v>
      </c>
      <c r="T219" s="83">
        <f t="shared" si="51"/>
        <v>5.1813471502590858E-3</v>
      </c>
      <c r="U219" s="83">
        <f t="shared" si="52"/>
        <v>-6.9802637674892809E-3</v>
      </c>
      <c r="V219" s="83">
        <f t="shared" si="53"/>
        <v>1.8059715037662238E-2</v>
      </c>
      <c r="W219" s="84">
        <f t="shared" si="54"/>
        <v>2.1003915984336263E-2</v>
      </c>
      <c r="X219" s="89">
        <f t="shared" si="55"/>
        <v>-9.3728819541230024E-3</v>
      </c>
      <c r="Y219" s="89">
        <f t="shared" si="56"/>
        <v>-1.6966193288928677E-3</v>
      </c>
    </row>
    <row r="220" spans="1:25" x14ac:dyDescent="0.25">
      <c r="A220" s="2">
        <f t="shared" si="44"/>
        <v>217</v>
      </c>
      <c r="B220" s="58">
        <v>45056</v>
      </c>
      <c r="C220" s="59">
        <f t="shared" si="45"/>
        <v>2023</v>
      </c>
      <c r="D220" s="59">
        <f t="shared" si="46"/>
        <v>5</v>
      </c>
      <c r="E220" s="54">
        <v>17.546500000000002</v>
      </c>
      <c r="F220" s="63">
        <v>55.42</v>
      </c>
      <c r="G220" s="64">
        <v>39.700000000000003</v>
      </c>
      <c r="H220" s="64">
        <v>11.56</v>
      </c>
      <c r="I220" s="64">
        <v>281.04000000000002</v>
      </c>
      <c r="J220" s="64">
        <v>21.23</v>
      </c>
      <c r="K220" s="64">
        <v>323.77</v>
      </c>
      <c r="L220" s="64">
        <v>110.19</v>
      </c>
      <c r="M220" s="65">
        <v>168.54</v>
      </c>
      <c r="N220" s="70">
        <v>55534.68</v>
      </c>
      <c r="O220" s="70">
        <v>4137.6400000000003</v>
      </c>
      <c r="P220" s="82">
        <f t="shared" si="47"/>
        <v>1.4456089627754576E-3</v>
      </c>
      <c r="Q220" s="83">
        <f t="shared" si="48"/>
        <v>9.6642929806713962E-3</v>
      </c>
      <c r="R220" s="83">
        <f t="shared" si="49"/>
        <v>-3.2635983263598178E-2</v>
      </c>
      <c r="S220" s="83">
        <f t="shared" si="50"/>
        <v>-1.3148075761344469E-3</v>
      </c>
      <c r="T220" s="83">
        <f t="shared" si="51"/>
        <v>1.4333492594362118E-2</v>
      </c>
      <c r="U220" s="83">
        <f t="shared" si="52"/>
        <v>4.2182314444338953E-3</v>
      </c>
      <c r="V220" s="83">
        <f t="shared" si="53"/>
        <v>3.3483398987056878E-2</v>
      </c>
      <c r="W220" s="84">
        <f t="shared" si="54"/>
        <v>-3.6062666272540511E-3</v>
      </c>
      <c r="X220" s="89">
        <f t="shared" si="55"/>
        <v>1.477835266180616E-3</v>
      </c>
      <c r="Y220" s="89">
        <f t="shared" si="56"/>
        <v>4.4839130213125689E-3</v>
      </c>
    </row>
    <row r="221" spans="1:25" x14ac:dyDescent="0.25">
      <c r="A221" s="2">
        <f t="shared" si="44"/>
        <v>218</v>
      </c>
      <c r="B221" s="58">
        <v>45055</v>
      </c>
      <c r="C221" s="59">
        <f t="shared" si="45"/>
        <v>2023</v>
      </c>
      <c r="D221" s="59">
        <f t="shared" si="46"/>
        <v>5</v>
      </c>
      <c r="E221" s="54">
        <v>17.747</v>
      </c>
      <c r="F221" s="63">
        <v>55.34</v>
      </c>
      <c r="G221" s="64">
        <v>39.32</v>
      </c>
      <c r="H221" s="64">
        <v>11.95</v>
      </c>
      <c r="I221" s="64">
        <v>281.41000000000003</v>
      </c>
      <c r="J221" s="64">
        <v>20.93</v>
      </c>
      <c r="K221" s="64">
        <v>322.41000000000003</v>
      </c>
      <c r="L221" s="64">
        <v>106.62</v>
      </c>
      <c r="M221" s="65">
        <v>169.15</v>
      </c>
      <c r="N221" s="70">
        <v>55452.73</v>
      </c>
      <c r="O221" s="70">
        <v>4119.17</v>
      </c>
      <c r="P221" s="82">
        <f t="shared" si="47"/>
        <v>7.4640451483707349E-3</v>
      </c>
      <c r="Q221" s="83">
        <f t="shared" si="48"/>
        <v>7.4301819113502532E-3</v>
      </c>
      <c r="R221" s="83">
        <f t="shared" si="49"/>
        <v>2.7515047291487349E-2</v>
      </c>
      <c r="S221" s="83">
        <f t="shared" si="50"/>
        <v>1.5993934580114111E-2</v>
      </c>
      <c r="T221" s="83">
        <f t="shared" si="51"/>
        <v>-1.2269938650306789E-2</v>
      </c>
      <c r="U221" s="83">
        <f t="shared" si="52"/>
        <v>9.0132381935970063E-3</v>
      </c>
      <c r="V221" s="83">
        <f t="shared" si="53"/>
        <v>7.4648020410092997E-3</v>
      </c>
      <c r="W221" s="84">
        <f t="shared" si="54"/>
        <v>-1.5367599976715662E-2</v>
      </c>
      <c r="X221" s="89">
        <f t="shared" si="55"/>
        <v>7.6246812828348887E-3</v>
      </c>
      <c r="Y221" s="89">
        <f t="shared" si="56"/>
        <v>-4.5793742085777911E-3</v>
      </c>
    </row>
    <row r="222" spans="1:25" x14ac:dyDescent="0.25">
      <c r="A222" s="2">
        <f t="shared" si="44"/>
        <v>219</v>
      </c>
      <c r="B222" s="58">
        <v>45054</v>
      </c>
      <c r="C222" s="59">
        <f t="shared" si="45"/>
        <v>2023</v>
      </c>
      <c r="D222" s="59">
        <f t="shared" si="46"/>
        <v>5</v>
      </c>
      <c r="E222" s="54">
        <v>17.79</v>
      </c>
      <c r="F222" s="63">
        <v>54.93</v>
      </c>
      <c r="G222" s="64">
        <v>39.03</v>
      </c>
      <c r="H222" s="64">
        <v>11.63</v>
      </c>
      <c r="I222" s="64">
        <v>276.98</v>
      </c>
      <c r="J222" s="64">
        <v>21.19</v>
      </c>
      <c r="K222" s="64">
        <v>319.52999999999997</v>
      </c>
      <c r="L222" s="64">
        <v>105.83</v>
      </c>
      <c r="M222" s="65">
        <v>171.79</v>
      </c>
      <c r="N222" s="70">
        <v>55033.120000000003</v>
      </c>
      <c r="O222" s="70">
        <v>4138.12</v>
      </c>
      <c r="P222" s="82">
        <f t="shared" si="47"/>
        <v>2.3722627737225999E-3</v>
      </c>
      <c r="Q222" s="83">
        <f t="shared" si="48"/>
        <v>-2.5555839509328049E-3</v>
      </c>
      <c r="R222" s="83">
        <f t="shared" si="49"/>
        <v>-3.4275921165380918E-3</v>
      </c>
      <c r="S222" s="83">
        <f t="shared" si="50"/>
        <v>2.8594771241830186E-2</v>
      </c>
      <c r="T222" s="83">
        <f t="shared" si="51"/>
        <v>1.7282765242438991E-2</v>
      </c>
      <c r="U222" s="83">
        <f t="shared" si="52"/>
        <v>1.5832141154029422E-2</v>
      </c>
      <c r="V222" s="83">
        <f t="shared" si="53"/>
        <v>1.7037387600566944E-3</v>
      </c>
      <c r="W222" s="84">
        <f t="shared" si="54"/>
        <v>1.0172880159943443E-2</v>
      </c>
      <c r="X222" s="89">
        <f t="shared" si="55"/>
        <v>1.7425290862926879E-3</v>
      </c>
      <c r="Y222" s="89">
        <f t="shared" si="56"/>
        <v>4.5210033242670811E-4</v>
      </c>
    </row>
    <row r="223" spans="1:25" x14ac:dyDescent="0.25">
      <c r="A223" s="2">
        <f t="shared" si="44"/>
        <v>220</v>
      </c>
      <c r="B223" s="58">
        <v>45051</v>
      </c>
      <c r="C223" s="59">
        <f t="shared" si="45"/>
        <v>2023</v>
      </c>
      <c r="D223" s="59">
        <f t="shared" si="46"/>
        <v>5</v>
      </c>
      <c r="E223" s="54">
        <v>17.745000000000001</v>
      </c>
      <c r="F223" s="63">
        <v>54.8</v>
      </c>
      <c r="G223" s="64">
        <v>39.130000000000003</v>
      </c>
      <c r="H223" s="64">
        <v>11.67</v>
      </c>
      <c r="I223" s="64">
        <v>269.27999999999997</v>
      </c>
      <c r="J223" s="64">
        <v>20.83</v>
      </c>
      <c r="K223" s="64">
        <v>314.55</v>
      </c>
      <c r="L223" s="64">
        <v>105.65</v>
      </c>
      <c r="M223" s="65">
        <v>170.06</v>
      </c>
      <c r="N223" s="70">
        <v>54937.39</v>
      </c>
      <c r="O223" s="70">
        <v>4136.25</v>
      </c>
      <c r="P223" s="82">
        <f t="shared" si="47"/>
        <v>4.5829514207149646E-3</v>
      </c>
      <c r="Q223" s="83">
        <f t="shared" si="48"/>
        <v>3.0761343245322426E-3</v>
      </c>
      <c r="R223" s="83">
        <f t="shared" si="49"/>
        <v>3.1830238726790361E-2</v>
      </c>
      <c r="S223" s="83">
        <f t="shared" si="50"/>
        <v>8.3882564409825111E-3</v>
      </c>
      <c r="T223" s="83">
        <f t="shared" si="51"/>
        <v>1.9579050416054677E-2</v>
      </c>
      <c r="U223" s="83">
        <f t="shared" si="52"/>
        <v>1.226105425757873E-2</v>
      </c>
      <c r="V223" s="83">
        <f t="shared" si="53"/>
        <v>1.586538461538467E-2</v>
      </c>
      <c r="W223" s="84">
        <f t="shared" si="54"/>
        <v>5.4962779156327635E-2</v>
      </c>
      <c r="X223" s="89">
        <f t="shared" si="55"/>
        <v>4.9422679518489332E-3</v>
      </c>
      <c r="Y223" s="89">
        <f t="shared" si="56"/>
        <v>1.8474744042430657E-2</v>
      </c>
    </row>
    <row r="224" spans="1:25" x14ac:dyDescent="0.25">
      <c r="A224" s="2">
        <f t="shared" si="44"/>
        <v>221</v>
      </c>
      <c r="B224" s="58">
        <v>45050</v>
      </c>
      <c r="C224" s="59">
        <f t="shared" si="45"/>
        <v>2023</v>
      </c>
      <c r="D224" s="59">
        <f t="shared" si="46"/>
        <v>5</v>
      </c>
      <c r="E224" s="54">
        <v>17.902000000000001</v>
      </c>
      <c r="F224" s="63">
        <v>54.55</v>
      </c>
      <c r="G224" s="64">
        <v>39.01</v>
      </c>
      <c r="H224" s="64">
        <v>11.31</v>
      </c>
      <c r="I224" s="64">
        <v>267.04000000000002</v>
      </c>
      <c r="J224" s="64">
        <v>20.43</v>
      </c>
      <c r="K224" s="64">
        <v>310.74</v>
      </c>
      <c r="L224" s="64">
        <v>104</v>
      </c>
      <c r="M224" s="65">
        <v>161.19999999999999</v>
      </c>
      <c r="N224" s="70">
        <v>54667.21</v>
      </c>
      <c r="O224" s="70">
        <v>4061.22</v>
      </c>
      <c r="P224" s="82">
        <f t="shared" si="47"/>
        <v>-3.2888726475425178E-3</v>
      </c>
      <c r="Q224" s="83">
        <f t="shared" si="48"/>
        <v>-9.1440182880365706E-3</v>
      </c>
      <c r="R224" s="83">
        <f t="shared" si="49"/>
        <v>1.7714791851197731E-3</v>
      </c>
      <c r="S224" s="83">
        <f t="shared" si="50"/>
        <v>-7.4338388343740958E-3</v>
      </c>
      <c r="T224" s="83">
        <f t="shared" si="51"/>
        <v>-4.9767441860465111E-2</v>
      </c>
      <c r="U224" s="83">
        <f t="shared" si="52"/>
        <v>-2.2245996035367033E-2</v>
      </c>
      <c r="V224" s="83">
        <f t="shared" si="53"/>
        <v>3.3767486734201935E-3</v>
      </c>
      <c r="W224" s="84">
        <f t="shared" si="54"/>
        <v>3.6734948010708202E-3</v>
      </c>
      <c r="X224" s="89">
        <f t="shared" si="55"/>
        <v>-5.0921788100936061E-3</v>
      </c>
      <c r="Y224" s="89">
        <f t="shared" si="56"/>
        <v>-7.2187251726456569E-3</v>
      </c>
    </row>
    <row r="225" spans="1:25" x14ac:dyDescent="0.25">
      <c r="A225" s="2">
        <f t="shared" si="44"/>
        <v>222</v>
      </c>
      <c r="B225" s="58">
        <v>45049</v>
      </c>
      <c r="C225" s="59">
        <f t="shared" si="45"/>
        <v>2023</v>
      </c>
      <c r="D225" s="59">
        <f t="shared" si="46"/>
        <v>5</v>
      </c>
      <c r="E225" s="54">
        <v>17.916</v>
      </c>
      <c r="F225" s="63">
        <v>54.73</v>
      </c>
      <c r="G225" s="64">
        <v>39.369999999999997</v>
      </c>
      <c r="H225" s="64">
        <v>11.29</v>
      </c>
      <c r="I225" s="64">
        <v>269.04000000000002</v>
      </c>
      <c r="J225" s="64">
        <v>21.5</v>
      </c>
      <c r="K225" s="64">
        <v>317.81</v>
      </c>
      <c r="L225" s="64">
        <v>103.65</v>
      </c>
      <c r="M225" s="65">
        <v>160.61000000000001</v>
      </c>
      <c r="N225" s="70">
        <v>54947.01</v>
      </c>
      <c r="O225" s="70">
        <v>4090.75</v>
      </c>
      <c r="P225" s="82">
        <f t="shared" si="47"/>
        <v>-4.0036396724295598E-3</v>
      </c>
      <c r="Q225" s="83">
        <f t="shared" si="48"/>
        <v>4.8494129657987717E-3</v>
      </c>
      <c r="R225" s="83">
        <f t="shared" si="49"/>
        <v>-1.5693112467306092E-2</v>
      </c>
      <c r="S225" s="83">
        <f t="shared" si="50"/>
        <v>-1.070049641478199E-2</v>
      </c>
      <c r="T225" s="83">
        <f t="shared" si="51"/>
        <v>-8.3025830258302014E-3</v>
      </c>
      <c r="U225" s="83">
        <f t="shared" si="52"/>
        <v>-1.749775867932124E-2</v>
      </c>
      <c r="V225" s="83">
        <f t="shared" si="53"/>
        <v>1.9299430666808171E-4</v>
      </c>
      <c r="W225" s="84">
        <f t="shared" si="54"/>
        <v>1.871374212463417E-3</v>
      </c>
      <c r="X225" s="89">
        <f t="shared" si="55"/>
        <v>-4.2120768554513299E-3</v>
      </c>
      <c r="Y225" s="89">
        <f t="shared" si="56"/>
        <v>-6.9982862330625339E-3</v>
      </c>
    </row>
    <row r="226" spans="1:25" x14ac:dyDescent="0.25">
      <c r="A226" s="2">
        <f t="shared" si="44"/>
        <v>223</v>
      </c>
      <c r="B226" s="58">
        <v>45048</v>
      </c>
      <c r="C226" s="59">
        <f t="shared" si="45"/>
        <v>2023</v>
      </c>
      <c r="D226" s="59">
        <f t="shared" si="46"/>
        <v>5</v>
      </c>
      <c r="E226" s="54">
        <v>17.974</v>
      </c>
      <c r="F226" s="63">
        <v>54.95</v>
      </c>
      <c r="G226" s="64">
        <v>39.18</v>
      </c>
      <c r="H226" s="64">
        <v>11.47</v>
      </c>
      <c r="I226" s="64">
        <v>271.95</v>
      </c>
      <c r="J226" s="64">
        <v>21.68</v>
      </c>
      <c r="K226" s="64">
        <v>323.47000000000003</v>
      </c>
      <c r="L226" s="64">
        <v>103.63</v>
      </c>
      <c r="M226" s="65">
        <v>160.31</v>
      </c>
      <c r="N226" s="70">
        <v>55179.43</v>
      </c>
      <c r="O226" s="70">
        <v>4119.58</v>
      </c>
      <c r="P226" s="82">
        <f t="shared" si="47"/>
        <v>9.107468123863427E-4</v>
      </c>
      <c r="Q226" s="83">
        <f t="shared" si="48"/>
        <v>0</v>
      </c>
      <c r="R226" s="83">
        <f t="shared" si="49"/>
        <v>6.2037037037037113E-2</v>
      </c>
      <c r="S226" s="83">
        <f t="shared" si="50"/>
        <v>-1.570813275905758E-2</v>
      </c>
      <c r="T226" s="83">
        <f t="shared" si="51"/>
        <v>2.3607176581680767E-2</v>
      </c>
      <c r="U226" s="83">
        <f t="shared" si="52"/>
        <v>1.1191347025540255E-2</v>
      </c>
      <c r="V226" s="83">
        <f t="shared" si="53"/>
        <v>-1.7259364627785767E-2</v>
      </c>
      <c r="W226" s="84">
        <f t="shared" si="54"/>
        <v>-2.4344227375083682E-2</v>
      </c>
      <c r="X226" s="89">
        <f t="shared" si="55"/>
        <v>1.0560361327272005E-3</v>
      </c>
      <c r="Y226" s="89">
        <f t="shared" si="56"/>
        <v>-1.1967919260914894E-2</v>
      </c>
    </row>
    <row r="227" spans="1:25" x14ac:dyDescent="0.25">
      <c r="A227" s="2">
        <f t="shared" si="44"/>
        <v>224</v>
      </c>
      <c r="B227" s="58">
        <v>45044</v>
      </c>
      <c r="C227" s="59">
        <f t="shared" si="45"/>
        <v>2023</v>
      </c>
      <c r="D227" s="59">
        <f t="shared" si="46"/>
        <v>4</v>
      </c>
      <c r="E227" s="54">
        <v>17.98</v>
      </c>
      <c r="F227" s="63">
        <v>54.9</v>
      </c>
      <c r="G227" s="64">
        <v>39.18</v>
      </c>
      <c r="H227" s="64">
        <v>10.8</v>
      </c>
      <c r="I227" s="64">
        <v>276.29000000000002</v>
      </c>
      <c r="J227" s="64">
        <v>21.18</v>
      </c>
      <c r="K227" s="64">
        <v>319.89</v>
      </c>
      <c r="L227" s="64">
        <v>105.45</v>
      </c>
      <c r="M227" s="65">
        <v>164.31</v>
      </c>
      <c r="N227" s="70">
        <v>55121.22</v>
      </c>
      <c r="O227" s="70">
        <v>4169.4799999999996</v>
      </c>
      <c r="P227" s="82">
        <f t="shared" si="47"/>
        <v>1.2915129151291449E-2</v>
      </c>
      <c r="Q227" s="83">
        <f t="shared" si="48"/>
        <v>-1.6072325464590698E-2</v>
      </c>
      <c r="R227" s="83">
        <f t="shared" si="49"/>
        <v>1.6949152542373058E-2</v>
      </c>
      <c r="S227" s="83">
        <f t="shared" si="50"/>
        <v>-1.5178345560332707E-3</v>
      </c>
      <c r="T227" s="83">
        <f t="shared" si="51"/>
        <v>3.2163742690058506E-2</v>
      </c>
      <c r="U227" s="83">
        <f t="shared" si="52"/>
        <v>1.9667219176335404E-2</v>
      </c>
      <c r="V227" s="83">
        <f t="shared" si="53"/>
        <v>-3.9792387543252539E-2</v>
      </c>
      <c r="W227" s="84">
        <f t="shared" si="54"/>
        <v>2.5719458143454776E-2</v>
      </c>
      <c r="X227" s="89">
        <f t="shared" si="55"/>
        <v>1.2472867999199888E-2</v>
      </c>
      <c r="Y227" s="89">
        <f t="shared" si="56"/>
        <v>8.2532312863479174E-3</v>
      </c>
    </row>
    <row r="228" spans="1:25" x14ac:dyDescent="0.25">
      <c r="A228" s="2">
        <f t="shared" si="44"/>
        <v>225</v>
      </c>
      <c r="B228" s="58">
        <v>45043</v>
      </c>
      <c r="C228" s="59">
        <f t="shared" si="45"/>
        <v>2023</v>
      </c>
      <c r="D228" s="59">
        <f t="shared" si="46"/>
        <v>4</v>
      </c>
      <c r="E228" s="54">
        <v>18.026</v>
      </c>
      <c r="F228" s="63">
        <v>54.2</v>
      </c>
      <c r="G228" s="64">
        <v>39.82</v>
      </c>
      <c r="H228" s="64">
        <v>10.62</v>
      </c>
      <c r="I228" s="64">
        <v>276.70999999999998</v>
      </c>
      <c r="J228" s="64">
        <v>20.52</v>
      </c>
      <c r="K228" s="64">
        <v>313.72000000000003</v>
      </c>
      <c r="L228" s="64">
        <v>109.82</v>
      </c>
      <c r="M228" s="65">
        <v>160.19</v>
      </c>
      <c r="N228" s="70">
        <v>54442.17</v>
      </c>
      <c r="O228" s="70">
        <v>4135.3500000000004</v>
      </c>
      <c r="P228" s="82">
        <f t="shared" si="47"/>
        <v>7.8095946448493159E-3</v>
      </c>
      <c r="Q228" s="83">
        <f t="shared" si="48"/>
        <v>1.8153924827409851E-2</v>
      </c>
      <c r="R228" s="83">
        <f t="shared" si="49"/>
        <v>8.5470085470085166E-3</v>
      </c>
      <c r="S228" s="83">
        <f t="shared" si="50"/>
        <v>-8.9893274120766975E-3</v>
      </c>
      <c r="T228" s="83">
        <f t="shared" si="51"/>
        <v>4.0040547389761816E-2</v>
      </c>
      <c r="U228" s="83">
        <f t="shared" si="52"/>
        <v>8.4865629420085575E-3</v>
      </c>
      <c r="V228" s="83">
        <f t="shared" si="53"/>
        <v>4.6104019813297592E-2</v>
      </c>
      <c r="W228" s="84">
        <f t="shared" si="54"/>
        <v>4.1886178861788581E-2</v>
      </c>
      <c r="X228" s="89">
        <f t="shared" si="55"/>
        <v>7.7531332765183869E-3</v>
      </c>
      <c r="Y228" s="89">
        <f t="shared" si="56"/>
        <v>1.9566123190639217E-2</v>
      </c>
    </row>
    <row r="229" spans="1:25" x14ac:dyDescent="0.25">
      <c r="A229" s="2">
        <f t="shared" si="44"/>
        <v>226</v>
      </c>
      <c r="B229" s="58">
        <v>45042</v>
      </c>
      <c r="C229" s="59">
        <f t="shared" si="45"/>
        <v>2023</v>
      </c>
      <c r="D229" s="59">
        <f t="shared" si="46"/>
        <v>4</v>
      </c>
      <c r="E229" s="54">
        <v>18.137</v>
      </c>
      <c r="F229" s="63">
        <v>53.78</v>
      </c>
      <c r="G229" s="64">
        <v>39.11</v>
      </c>
      <c r="H229" s="64">
        <v>10.53</v>
      </c>
      <c r="I229" s="64">
        <v>279.22000000000003</v>
      </c>
      <c r="J229" s="64">
        <v>19.73</v>
      </c>
      <c r="K229" s="64">
        <v>311.08</v>
      </c>
      <c r="L229" s="64">
        <v>104.98</v>
      </c>
      <c r="M229" s="65">
        <v>153.75</v>
      </c>
      <c r="N229" s="70">
        <v>54023.32</v>
      </c>
      <c r="O229" s="70">
        <v>4055.99</v>
      </c>
      <c r="P229" s="82">
        <f t="shared" si="47"/>
        <v>-9.2114959469418167E-3</v>
      </c>
      <c r="Q229" s="83">
        <f t="shared" si="48"/>
        <v>-1.5853044791142468E-2</v>
      </c>
      <c r="R229" s="83">
        <f t="shared" si="49"/>
        <v>1.9029495718363432E-3</v>
      </c>
      <c r="S229" s="83">
        <f t="shared" si="50"/>
        <v>-2.0280701754385899E-2</v>
      </c>
      <c r="T229" s="83">
        <f t="shared" si="51"/>
        <v>-1.5182186234818928E-3</v>
      </c>
      <c r="U229" s="83">
        <f t="shared" si="52"/>
        <v>-5.4987212276215169E-3</v>
      </c>
      <c r="V229" s="83">
        <f t="shared" si="53"/>
        <v>2.3496148971434261E-2</v>
      </c>
      <c r="W229" s="84">
        <f t="shared" si="54"/>
        <v>-4.3069645857969685E-2</v>
      </c>
      <c r="X229" s="89">
        <f t="shared" si="55"/>
        <v>-6.3962300553473961E-3</v>
      </c>
      <c r="Y229" s="89">
        <f t="shared" si="56"/>
        <v>-3.8412134697898281E-3</v>
      </c>
    </row>
    <row r="230" spans="1:25" x14ac:dyDescent="0.25">
      <c r="A230" s="2">
        <f t="shared" si="44"/>
        <v>227</v>
      </c>
      <c r="B230" s="58">
        <v>45041</v>
      </c>
      <c r="C230" s="59">
        <f t="shared" si="45"/>
        <v>2023</v>
      </c>
      <c r="D230" s="59">
        <f t="shared" si="46"/>
        <v>4</v>
      </c>
      <c r="E230" s="54">
        <v>18.07</v>
      </c>
      <c r="F230" s="63">
        <v>54.28</v>
      </c>
      <c r="G230" s="64">
        <v>39.74</v>
      </c>
      <c r="H230" s="64">
        <v>10.51</v>
      </c>
      <c r="I230" s="64">
        <v>285</v>
      </c>
      <c r="J230" s="64">
        <v>19.760000000000002</v>
      </c>
      <c r="K230" s="64">
        <v>312.8</v>
      </c>
      <c r="L230" s="64">
        <v>102.57</v>
      </c>
      <c r="M230" s="65">
        <v>160.66999999999999</v>
      </c>
      <c r="N230" s="70">
        <v>54371.09</v>
      </c>
      <c r="O230" s="70">
        <v>4071.63</v>
      </c>
      <c r="P230" s="82">
        <f t="shared" si="47"/>
        <v>-5.1319648093841597E-3</v>
      </c>
      <c r="Q230" s="83">
        <f t="shared" si="48"/>
        <v>-4.0100250626565748E-3</v>
      </c>
      <c r="R230" s="83">
        <f t="shared" si="49"/>
        <v>1.0576923076923039E-2</v>
      </c>
      <c r="S230" s="83">
        <f t="shared" si="50"/>
        <v>1.308118868192798E-2</v>
      </c>
      <c r="T230" s="83">
        <f t="shared" si="51"/>
        <v>-7.0117647058823507E-2</v>
      </c>
      <c r="U230" s="83">
        <f t="shared" si="52"/>
        <v>-1.1284255776464192E-2</v>
      </c>
      <c r="V230" s="83">
        <f t="shared" si="53"/>
        <v>-3.4271725826193422E-2</v>
      </c>
      <c r="W230" s="84">
        <f t="shared" si="54"/>
        <v>-1.156567210089221E-2</v>
      </c>
      <c r="X230" s="89">
        <f t="shared" si="55"/>
        <v>-6.2618685996377321E-3</v>
      </c>
      <c r="Y230" s="89">
        <f t="shared" si="56"/>
        <v>-1.5810821263512076E-2</v>
      </c>
    </row>
    <row r="231" spans="1:25" x14ac:dyDescent="0.25">
      <c r="A231" s="2">
        <f t="shared" si="44"/>
        <v>228</v>
      </c>
      <c r="B231" s="58">
        <v>45040</v>
      </c>
      <c r="C231" s="59">
        <f t="shared" si="45"/>
        <v>2023</v>
      </c>
      <c r="D231" s="59">
        <f t="shared" si="46"/>
        <v>4</v>
      </c>
      <c r="E231" s="54">
        <v>17.966999999999999</v>
      </c>
      <c r="F231" s="63">
        <v>54.56</v>
      </c>
      <c r="G231" s="64">
        <v>39.9</v>
      </c>
      <c r="H231" s="64">
        <v>10.4</v>
      </c>
      <c r="I231" s="64">
        <v>281.32</v>
      </c>
      <c r="J231" s="64">
        <v>21.25</v>
      </c>
      <c r="K231" s="64">
        <v>316.37</v>
      </c>
      <c r="L231" s="64">
        <v>106.21</v>
      </c>
      <c r="M231" s="65">
        <v>162.55000000000001</v>
      </c>
      <c r="N231" s="70">
        <v>54713.7</v>
      </c>
      <c r="O231" s="70">
        <v>4137.04</v>
      </c>
      <c r="P231" s="82">
        <f t="shared" si="47"/>
        <v>9.0623266136489189E-3</v>
      </c>
      <c r="Q231" s="83">
        <f t="shared" si="48"/>
        <v>7.575757575757569E-3</v>
      </c>
      <c r="R231" s="83">
        <f t="shared" si="49"/>
        <v>2.8929604628737948E-3</v>
      </c>
      <c r="S231" s="83">
        <f t="shared" si="50"/>
        <v>1.6402919286075734E-2</v>
      </c>
      <c r="T231" s="83">
        <f t="shared" si="51"/>
        <v>5.2034058656575954E-3</v>
      </c>
      <c r="U231" s="83">
        <f t="shared" si="52"/>
        <v>9.0903291656034835E-3</v>
      </c>
      <c r="V231" s="83">
        <f t="shared" si="53"/>
        <v>-7.0119670905011144E-3</v>
      </c>
      <c r="W231" s="84">
        <f t="shared" si="54"/>
        <v>-1.5325902592682294E-2</v>
      </c>
      <c r="X231" s="89">
        <f t="shared" si="55"/>
        <v>9.9384811670562012E-3</v>
      </c>
      <c r="Y231" s="89">
        <f t="shared" si="56"/>
        <v>8.5157444502503843E-4</v>
      </c>
    </row>
    <row r="232" spans="1:25" x14ac:dyDescent="0.25">
      <c r="A232" s="2">
        <f t="shared" si="44"/>
        <v>229</v>
      </c>
      <c r="B232" s="58">
        <v>45037</v>
      </c>
      <c r="C232" s="59">
        <f t="shared" si="45"/>
        <v>2023</v>
      </c>
      <c r="D232" s="59">
        <f t="shared" si="46"/>
        <v>4</v>
      </c>
      <c r="E232" s="54">
        <v>17.968</v>
      </c>
      <c r="F232" s="63">
        <v>54.07</v>
      </c>
      <c r="G232" s="64">
        <v>39.6</v>
      </c>
      <c r="H232" s="64">
        <v>10.37</v>
      </c>
      <c r="I232" s="64">
        <v>276.77999999999997</v>
      </c>
      <c r="J232" s="64">
        <v>21.14</v>
      </c>
      <c r="K232" s="64">
        <v>313.52</v>
      </c>
      <c r="L232" s="64">
        <v>106.96</v>
      </c>
      <c r="M232" s="65">
        <v>165.08</v>
      </c>
      <c r="N232" s="70">
        <v>54175.28</v>
      </c>
      <c r="O232" s="70">
        <v>4133.5200000000004</v>
      </c>
      <c r="P232" s="82">
        <f t="shared" si="47"/>
        <v>-1.8460402436772938E-3</v>
      </c>
      <c r="Q232" s="83">
        <f t="shared" si="48"/>
        <v>-2.7700831024930483E-3</v>
      </c>
      <c r="R232" s="83">
        <f t="shared" si="49"/>
        <v>-9.551098376313405E-3</v>
      </c>
      <c r="S232" s="83">
        <f t="shared" si="50"/>
        <v>1.1253196930946174E-2</v>
      </c>
      <c r="T232" s="83">
        <f t="shared" si="51"/>
        <v>-1.1687704534829368E-2</v>
      </c>
      <c r="U232" s="83">
        <f t="shared" si="52"/>
        <v>-3.33302500539574E-2</v>
      </c>
      <c r="V232" s="83">
        <f t="shared" si="53"/>
        <v>3.0343897505057171E-2</v>
      </c>
      <c r="W232" s="84">
        <f t="shared" si="54"/>
        <v>1.282287256886927E-2</v>
      </c>
      <c r="X232" s="89">
        <f t="shared" si="55"/>
        <v>-2.1812839829881137E-3</v>
      </c>
      <c r="Y232" s="89">
        <f t="shared" si="56"/>
        <v>9.0319362485757893E-4</v>
      </c>
    </row>
    <row r="233" spans="1:25" x14ac:dyDescent="0.25">
      <c r="A233" s="2">
        <f t="shared" si="44"/>
        <v>230</v>
      </c>
      <c r="B233" s="58">
        <v>45036</v>
      </c>
      <c r="C233" s="59">
        <f t="shared" si="45"/>
        <v>2023</v>
      </c>
      <c r="D233" s="59">
        <f t="shared" si="46"/>
        <v>4</v>
      </c>
      <c r="E233" s="54">
        <v>17.986999999999998</v>
      </c>
      <c r="F233" s="63">
        <v>54.17</v>
      </c>
      <c r="G233" s="64">
        <v>39.71</v>
      </c>
      <c r="H233" s="64">
        <v>10.47</v>
      </c>
      <c r="I233" s="64">
        <v>273.7</v>
      </c>
      <c r="J233" s="64">
        <v>21.39</v>
      </c>
      <c r="K233" s="64">
        <v>324.33</v>
      </c>
      <c r="L233" s="64">
        <v>103.81</v>
      </c>
      <c r="M233" s="65">
        <v>162.99</v>
      </c>
      <c r="N233" s="70">
        <v>54293.71</v>
      </c>
      <c r="O233" s="70">
        <v>4129.79</v>
      </c>
      <c r="P233" s="82">
        <f t="shared" si="47"/>
        <v>-9.2216894134999894E-4</v>
      </c>
      <c r="Q233" s="83">
        <f t="shared" si="48"/>
        <v>2.5188916876572875E-4</v>
      </c>
      <c r="R233" s="83">
        <f t="shared" si="49"/>
        <v>-1.5051740357478804E-2</v>
      </c>
      <c r="S233" s="83">
        <f t="shared" si="50"/>
        <v>-3.2411959648930289E-3</v>
      </c>
      <c r="T233" s="83">
        <f t="shared" si="51"/>
        <v>-1.4005602240897419E-3</v>
      </c>
      <c r="U233" s="83">
        <f t="shared" si="52"/>
        <v>-3.2947701115152994E-2</v>
      </c>
      <c r="V233" s="83">
        <f t="shared" si="53"/>
        <v>-4.6979865771811236E-3</v>
      </c>
      <c r="W233" s="84">
        <f t="shared" si="54"/>
        <v>-9.7458331026081146E-2</v>
      </c>
      <c r="X233" s="89">
        <f t="shared" si="55"/>
        <v>-2.6478559640008559E-4</v>
      </c>
      <c r="Y233" s="89">
        <f t="shared" si="56"/>
        <v>-5.952552882162232E-3</v>
      </c>
    </row>
    <row r="234" spans="1:25" x14ac:dyDescent="0.25">
      <c r="A234" s="2">
        <f t="shared" si="44"/>
        <v>231</v>
      </c>
      <c r="B234" s="58">
        <v>45035</v>
      </c>
      <c r="C234" s="59">
        <f t="shared" si="45"/>
        <v>2023</v>
      </c>
      <c r="D234" s="59">
        <f t="shared" si="46"/>
        <v>4</v>
      </c>
      <c r="E234" s="54">
        <v>18.033000000000001</v>
      </c>
      <c r="F234" s="63">
        <v>54.22</v>
      </c>
      <c r="G234" s="64">
        <v>39.700000000000003</v>
      </c>
      <c r="H234" s="64">
        <v>10.63</v>
      </c>
      <c r="I234" s="64">
        <v>274.58999999999997</v>
      </c>
      <c r="J234" s="64">
        <v>21.42</v>
      </c>
      <c r="K234" s="64">
        <v>335.38</v>
      </c>
      <c r="L234" s="64">
        <v>104.3</v>
      </c>
      <c r="M234" s="65">
        <v>180.59</v>
      </c>
      <c r="N234" s="70">
        <v>54308.09</v>
      </c>
      <c r="O234" s="70">
        <v>4154.5200000000004</v>
      </c>
      <c r="P234" s="82">
        <f t="shared" si="47"/>
        <v>1.8446781036707272E-4</v>
      </c>
      <c r="Q234" s="83">
        <f t="shared" si="48"/>
        <v>5.040322580645018E-4</v>
      </c>
      <c r="R234" s="83">
        <f t="shared" si="49"/>
        <v>-1.87793427230043E-3</v>
      </c>
      <c r="S234" s="83">
        <f t="shared" si="50"/>
        <v>-1.2905313106621685E-2</v>
      </c>
      <c r="T234" s="83">
        <f t="shared" si="51"/>
        <v>9.345794392525697E-4</v>
      </c>
      <c r="U234" s="83">
        <f t="shared" si="52"/>
        <v>3.7110193332137165E-3</v>
      </c>
      <c r="V234" s="83">
        <f t="shared" si="53"/>
        <v>1.9550342130987275E-2</v>
      </c>
      <c r="W234" s="84">
        <f t="shared" si="54"/>
        <v>-2.0183386685475591E-2</v>
      </c>
      <c r="X234" s="89">
        <f t="shared" si="55"/>
        <v>-1.423724550211114E-3</v>
      </c>
      <c r="Y234" s="89">
        <f t="shared" si="56"/>
        <v>-8.4238496029787058E-5</v>
      </c>
    </row>
    <row r="235" spans="1:25" x14ac:dyDescent="0.25">
      <c r="A235" s="2">
        <f t="shared" si="44"/>
        <v>232</v>
      </c>
      <c r="B235" s="58">
        <v>45034</v>
      </c>
      <c r="C235" s="59">
        <f t="shared" si="45"/>
        <v>2023</v>
      </c>
      <c r="D235" s="59">
        <f t="shared" si="46"/>
        <v>4</v>
      </c>
      <c r="E235" s="54">
        <v>18.050999999999998</v>
      </c>
      <c r="F235" s="63">
        <v>54.21</v>
      </c>
      <c r="G235" s="64">
        <v>39.68</v>
      </c>
      <c r="H235" s="64">
        <v>10.65</v>
      </c>
      <c r="I235" s="64">
        <v>278.18</v>
      </c>
      <c r="J235" s="64">
        <v>21.4</v>
      </c>
      <c r="K235" s="64">
        <v>334.14</v>
      </c>
      <c r="L235" s="64">
        <v>102.3</v>
      </c>
      <c r="M235" s="65">
        <v>184.31</v>
      </c>
      <c r="N235" s="70">
        <v>54385.52</v>
      </c>
      <c r="O235" s="70">
        <v>4154.87</v>
      </c>
      <c r="P235" s="82">
        <f t="shared" si="47"/>
        <v>-7.5064079091906599E-3</v>
      </c>
      <c r="Q235" s="83">
        <f t="shared" si="48"/>
        <v>-1.2689723811893483E-2</v>
      </c>
      <c r="R235" s="83">
        <f t="shared" si="49"/>
        <v>-1.7527675276752697E-2</v>
      </c>
      <c r="S235" s="83">
        <f t="shared" si="50"/>
        <v>8.2748695808598782E-4</v>
      </c>
      <c r="T235" s="83">
        <f t="shared" si="51"/>
        <v>-2.1490626428898096E-2</v>
      </c>
      <c r="U235" s="83">
        <f t="shared" si="52"/>
        <v>-5.1762302060275878E-2</v>
      </c>
      <c r="V235" s="83">
        <f t="shared" si="53"/>
        <v>-4.282655246252709E-3</v>
      </c>
      <c r="W235" s="84">
        <f t="shared" si="54"/>
        <v>-1.4595808383233488E-2</v>
      </c>
      <c r="X235" s="89">
        <f t="shared" si="55"/>
        <v>-7.1817759127460468E-3</v>
      </c>
      <c r="Y235" s="89">
        <f t="shared" si="56"/>
        <v>8.5514968732836039E-4</v>
      </c>
    </row>
    <row r="236" spans="1:25" x14ac:dyDescent="0.25">
      <c r="A236" s="2">
        <f t="shared" si="44"/>
        <v>233</v>
      </c>
      <c r="B236" s="58">
        <v>45033</v>
      </c>
      <c r="C236" s="59">
        <f t="shared" si="45"/>
        <v>2023</v>
      </c>
      <c r="D236" s="59">
        <f t="shared" si="46"/>
        <v>4</v>
      </c>
      <c r="E236" s="54">
        <v>18.012</v>
      </c>
      <c r="F236" s="63">
        <v>54.62</v>
      </c>
      <c r="G236" s="64">
        <v>40.19</v>
      </c>
      <c r="H236" s="64">
        <v>10.84</v>
      </c>
      <c r="I236" s="64">
        <v>277.95</v>
      </c>
      <c r="J236" s="64">
        <v>21.87</v>
      </c>
      <c r="K236" s="64">
        <v>352.38</v>
      </c>
      <c r="L236" s="64">
        <v>102.74</v>
      </c>
      <c r="M236" s="65">
        <v>187.04</v>
      </c>
      <c r="N236" s="70">
        <v>54778.93</v>
      </c>
      <c r="O236" s="70">
        <v>4151.32</v>
      </c>
      <c r="P236" s="82">
        <f t="shared" si="47"/>
        <v>5.8931860036832706E-3</v>
      </c>
      <c r="Q236" s="83">
        <f t="shared" si="48"/>
        <v>8.2789764174611147E-3</v>
      </c>
      <c r="R236" s="83">
        <f t="shared" si="49"/>
        <v>4.6339202965710591E-3</v>
      </c>
      <c r="S236" s="83">
        <f t="shared" si="50"/>
        <v>-4.7978803394322922E-3</v>
      </c>
      <c r="T236" s="83">
        <f t="shared" si="51"/>
        <v>4.5934772622875375E-3</v>
      </c>
      <c r="U236" s="83">
        <f t="shared" si="52"/>
        <v>9.5112588093737571E-3</v>
      </c>
      <c r="V236" s="83">
        <f t="shared" si="53"/>
        <v>2.2436835430688085E-3</v>
      </c>
      <c r="W236" s="84">
        <f t="shared" si="54"/>
        <v>1.1027027027026959E-2</v>
      </c>
      <c r="X236" s="89">
        <f t="shared" si="55"/>
        <v>5.8551165753397694E-3</v>
      </c>
      <c r="Y236" s="89">
        <f t="shared" si="56"/>
        <v>3.3062325383550473E-3</v>
      </c>
    </row>
    <row r="237" spans="1:25" x14ac:dyDescent="0.25">
      <c r="A237" s="2">
        <f t="shared" si="44"/>
        <v>234</v>
      </c>
      <c r="B237" s="58">
        <v>45030</v>
      </c>
      <c r="C237" s="59">
        <f t="shared" si="45"/>
        <v>2023</v>
      </c>
      <c r="D237" s="59">
        <f t="shared" si="46"/>
        <v>4</v>
      </c>
      <c r="E237" s="54">
        <v>17.995999999999999</v>
      </c>
      <c r="F237" s="63">
        <v>54.3</v>
      </c>
      <c r="G237" s="64">
        <v>39.86</v>
      </c>
      <c r="H237" s="64">
        <v>10.79</v>
      </c>
      <c r="I237" s="64">
        <v>279.29000000000002</v>
      </c>
      <c r="J237" s="64">
        <v>21.77</v>
      </c>
      <c r="K237" s="64">
        <v>349.06</v>
      </c>
      <c r="L237" s="64">
        <v>102.51</v>
      </c>
      <c r="M237" s="65">
        <v>185</v>
      </c>
      <c r="N237" s="70">
        <v>54460.06</v>
      </c>
      <c r="O237" s="70">
        <v>4137.6400000000003</v>
      </c>
      <c r="P237" s="82">
        <f t="shared" si="47"/>
        <v>-3.8525041276830096E-3</v>
      </c>
      <c r="Q237" s="83">
        <f t="shared" si="48"/>
        <v>-2.3996082272282226E-2</v>
      </c>
      <c r="R237" s="83">
        <f t="shared" si="49"/>
        <v>4.6554934823090921E-3</v>
      </c>
      <c r="S237" s="83">
        <f t="shared" si="50"/>
        <v>-1.4850088183421484E-2</v>
      </c>
      <c r="T237" s="83">
        <f t="shared" si="51"/>
        <v>-4.2234931808183052E-2</v>
      </c>
      <c r="U237" s="83">
        <f t="shared" si="52"/>
        <v>-2.4577046181984974E-3</v>
      </c>
      <c r="V237" s="83">
        <f t="shared" si="53"/>
        <v>1.0742187499999112E-3</v>
      </c>
      <c r="W237" s="84">
        <f t="shared" si="54"/>
        <v>-4.8413125336203011E-3</v>
      </c>
      <c r="X237" s="89">
        <f t="shared" si="55"/>
        <v>-4.3096560648737681E-3</v>
      </c>
      <c r="Y237" s="89">
        <f t="shared" si="56"/>
        <v>-2.0693547375681964E-3</v>
      </c>
    </row>
    <row r="238" spans="1:25" x14ac:dyDescent="0.25">
      <c r="A238" s="2">
        <f t="shared" si="44"/>
        <v>235</v>
      </c>
      <c r="B238" s="58">
        <v>45029</v>
      </c>
      <c r="C238" s="59">
        <f t="shared" si="45"/>
        <v>2023</v>
      </c>
      <c r="D238" s="59">
        <f t="shared" si="46"/>
        <v>4</v>
      </c>
      <c r="E238" s="54">
        <v>17.998000000000001</v>
      </c>
      <c r="F238" s="63">
        <v>54.51</v>
      </c>
      <c r="G238" s="64">
        <v>40.840000000000003</v>
      </c>
      <c r="H238" s="64">
        <v>10.74</v>
      </c>
      <c r="I238" s="64">
        <v>283.5</v>
      </c>
      <c r="J238" s="64">
        <v>22.73</v>
      </c>
      <c r="K238" s="64">
        <v>349.92</v>
      </c>
      <c r="L238" s="64">
        <v>102.4</v>
      </c>
      <c r="M238" s="65">
        <v>185.9</v>
      </c>
      <c r="N238" s="70">
        <v>54695.78</v>
      </c>
      <c r="O238" s="70">
        <v>4146.22</v>
      </c>
      <c r="P238" s="82">
        <f t="shared" si="47"/>
        <v>7.3923489188689739E-3</v>
      </c>
      <c r="Q238" s="83">
        <f t="shared" si="48"/>
        <v>4.9212598425196763E-3</v>
      </c>
      <c r="R238" s="83">
        <f t="shared" si="49"/>
        <v>5.3974484789008903E-2</v>
      </c>
      <c r="S238" s="83">
        <f t="shared" si="50"/>
        <v>1.0262989095574104E-2</v>
      </c>
      <c r="T238" s="83">
        <f t="shared" si="51"/>
        <v>0.10932162030258663</v>
      </c>
      <c r="U238" s="83">
        <f t="shared" si="52"/>
        <v>-3.5027765912002407E-3</v>
      </c>
      <c r="V238" s="83">
        <f t="shared" si="53"/>
        <v>4.6713687008075322E-2</v>
      </c>
      <c r="W238" s="84">
        <f t="shared" si="54"/>
        <v>2.9688711642849253E-2</v>
      </c>
      <c r="X238" s="89">
        <f t="shared" si="55"/>
        <v>6.6747501339881055E-3</v>
      </c>
      <c r="Y238" s="89">
        <f t="shared" si="56"/>
        <v>1.3262625398648753E-2</v>
      </c>
    </row>
    <row r="239" spans="1:25" x14ac:dyDescent="0.25">
      <c r="A239" s="2">
        <f t="shared" si="44"/>
        <v>236</v>
      </c>
      <c r="B239" s="58">
        <v>45028</v>
      </c>
      <c r="C239" s="59">
        <f t="shared" si="45"/>
        <v>2023</v>
      </c>
      <c r="D239" s="59">
        <f t="shared" si="46"/>
        <v>4</v>
      </c>
      <c r="E239" s="54">
        <v>18.062999999999999</v>
      </c>
      <c r="F239" s="63">
        <v>54.11</v>
      </c>
      <c r="G239" s="64">
        <v>40.64</v>
      </c>
      <c r="H239" s="64">
        <v>10.19</v>
      </c>
      <c r="I239" s="64">
        <v>280.62</v>
      </c>
      <c r="J239" s="64">
        <v>20.49</v>
      </c>
      <c r="K239" s="64">
        <v>351.15</v>
      </c>
      <c r="L239" s="64">
        <v>97.83</v>
      </c>
      <c r="M239" s="65">
        <v>180.54</v>
      </c>
      <c r="N239" s="70">
        <v>54333.120000000003</v>
      </c>
      <c r="O239" s="70">
        <v>4091.95</v>
      </c>
      <c r="P239" s="82">
        <f t="shared" si="47"/>
        <v>-5.330882352941213E-3</v>
      </c>
      <c r="Q239" s="83">
        <f t="shared" si="48"/>
        <v>-8.2967301122497394E-3</v>
      </c>
      <c r="R239" s="83">
        <f t="shared" si="49"/>
        <v>1.4940239043824688E-2</v>
      </c>
      <c r="S239" s="83">
        <f t="shared" si="50"/>
        <v>-7.1265678449172754E-5</v>
      </c>
      <c r="T239" s="83">
        <f t="shared" si="51"/>
        <v>-7.7481840193704965E-3</v>
      </c>
      <c r="U239" s="83">
        <f t="shared" si="52"/>
        <v>-2.3297440122739266E-3</v>
      </c>
      <c r="V239" s="83">
        <f t="shared" si="53"/>
        <v>-2.0916733386709407E-2</v>
      </c>
      <c r="W239" s="84">
        <f t="shared" si="54"/>
        <v>-3.3460035333797267E-2</v>
      </c>
      <c r="X239" s="89">
        <f t="shared" si="55"/>
        <v>-4.9722889798904379E-3</v>
      </c>
      <c r="Y239" s="89">
        <f t="shared" si="56"/>
        <v>-4.1348863697205918E-3</v>
      </c>
    </row>
    <row r="240" spans="1:25" x14ac:dyDescent="0.25">
      <c r="A240" s="2">
        <f t="shared" si="44"/>
        <v>237</v>
      </c>
      <c r="B240" s="58">
        <v>45027</v>
      </c>
      <c r="C240" s="59">
        <f t="shared" si="45"/>
        <v>2023</v>
      </c>
      <c r="D240" s="59">
        <f t="shared" si="46"/>
        <v>4</v>
      </c>
      <c r="E240" s="54">
        <v>18.157</v>
      </c>
      <c r="F240" s="63">
        <v>54.4</v>
      </c>
      <c r="G240" s="64">
        <v>40.98</v>
      </c>
      <c r="H240" s="64">
        <v>10.039999999999999</v>
      </c>
      <c r="I240" s="64">
        <v>280.64</v>
      </c>
      <c r="J240" s="64">
        <v>20.65</v>
      </c>
      <c r="K240" s="64">
        <v>351.97</v>
      </c>
      <c r="L240" s="64">
        <v>99.92</v>
      </c>
      <c r="M240" s="65">
        <v>186.79</v>
      </c>
      <c r="N240" s="70">
        <v>54604.63</v>
      </c>
      <c r="O240" s="70">
        <v>4108.9399999999996</v>
      </c>
      <c r="P240" s="82">
        <f t="shared" si="47"/>
        <v>8.1541882876203786E-3</v>
      </c>
      <c r="Q240" s="83">
        <f t="shared" si="48"/>
        <v>-4.8567265662944337E-3</v>
      </c>
      <c r="R240" s="83">
        <f t="shared" si="49"/>
        <v>2.2403258655804281E-2</v>
      </c>
      <c r="S240" s="83">
        <f t="shared" si="50"/>
        <v>3.4312460841042336E-2</v>
      </c>
      <c r="T240" s="83">
        <f t="shared" si="51"/>
        <v>1.5740285292670908E-2</v>
      </c>
      <c r="U240" s="83">
        <f t="shared" si="52"/>
        <v>-1.7255339941365189E-2</v>
      </c>
      <c r="V240" s="83">
        <f t="shared" si="53"/>
        <v>-2.2022119996084943E-2</v>
      </c>
      <c r="W240" s="84">
        <f t="shared" si="54"/>
        <v>1.2357053818221164E-2</v>
      </c>
      <c r="X240" s="89">
        <f t="shared" si="55"/>
        <v>6.6013439016283648E-3</v>
      </c>
      <c r="Y240" s="89">
        <f t="shared" si="56"/>
        <v>-4.1371489203245737E-5</v>
      </c>
    </row>
    <row r="241" spans="1:25" x14ac:dyDescent="0.25">
      <c r="A241" s="2">
        <f t="shared" si="44"/>
        <v>238</v>
      </c>
      <c r="B241" s="58">
        <v>45026</v>
      </c>
      <c r="C241" s="59">
        <f t="shared" si="45"/>
        <v>2023</v>
      </c>
      <c r="D241" s="59">
        <f t="shared" si="46"/>
        <v>4</v>
      </c>
      <c r="E241" s="54">
        <v>18.161999999999999</v>
      </c>
      <c r="F241" s="63">
        <v>53.96</v>
      </c>
      <c r="G241" s="64">
        <v>41.18</v>
      </c>
      <c r="H241" s="64">
        <v>9.82</v>
      </c>
      <c r="I241" s="64">
        <v>271.33</v>
      </c>
      <c r="J241" s="64">
        <v>20.329999999999998</v>
      </c>
      <c r="K241" s="64">
        <v>358.15</v>
      </c>
      <c r="L241" s="64">
        <v>102.17</v>
      </c>
      <c r="M241" s="65">
        <v>184.51</v>
      </c>
      <c r="N241" s="70">
        <v>54246.53</v>
      </c>
      <c r="O241" s="70">
        <v>4109.1099999999997</v>
      </c>
      <c r="P241" s="82">
        <f t="shared" si="47"/>
        <v>1.1244377811094441E-2</v>
      </c>
      <c r="Q241" s="83">
        <f t="shared" si="48"/>
        <v>6.1079892499389388E-3</v>
      </c>
      <c r="R241" s="83">
        <f t="shared" si="49"/>
        <v>2.5052192066805867E-2</v>
      </c>
      <c r="S241" s="83">
        <f t="shared" si="50"/>
        <v>1.0841218985172318E-2</v>
      </c>
      <c r="T241" s="83">
        <f t="shared" si="51"/>
        <v>4.9212598425185661E-4</v>
      </c>
      <c r="U241" s="83">
        <f t="shared" si="52"/>
        <v>2.3022651318232557E-2</v>
      </c>
      <c r="V241" s="83">
        <f t="shared" si="53"/>
        <v>1.0583580613254373E-2</v>
      </c>
      <c r="W241" s="84">
        <f t="shared" si="54"/>
        <v>-5.4441569642088572E-3</v>
      </c>
      <c r="X241" s="89">
        <f t="shared" si="55"/>
        <v>1.3984346070975207E-2</v>
      </c>
      <c r="Y241" s="89">
        <f t="shared" si="56"/>
        <v>4.5790366665199311E-3</v>
      </c>
    </row>
    <row r="242" spans="1:25" x14ac:dyDescent="0.25">
      <c r="A242" s="2">
        <f t="shared" si="44"/>
        <v>239</v>
      </c>
      <c r="B242" s="58">
        <v>45021</v>
      </c>
      <c r="C242" s="59">
        <f t="shared" si="45"/>
        <v>2023</v>
      </c>
      <c r="D242" s="59">
        <f t="shared" si="46"/>
        <v>4</v>
      </c>
      <c r="E242" s="54">
        <v>18.286000000000001</v>
      </c>
      <c r="F242" s="63">
        <v>53.36</v>
      </c>
      <c r="G242" s="64">
        <v>40.93</v>
      </c>
      <c r="H242" s="64">
        <v>9.58</v>
      </c>
      <c r="I242" s="64">
        <v>268.42</v>
      </c>
      <c r="J242" s="64">
        <v>20.32</v>
      </c>
      <c r="K242" s="64">
        <v>350.09</v>
      </c>
      <c r="L242" s="64">
        <v>101.1</v>
      </c>
      <c r="M242" s="65">
        <v>185.52</v>
      </c>
      <c r="N242" s="70">
        <v>53498.39</v>
      </c>
      <c r="O242" s="70">
        <v>4090.38</v>
      </c>
      <c r="P242" s="82">
        <f t="shared" si="47"/>
        <v>-1.0385756676557945E-2</v>
      </c>
      <c r="Q242" s="83">
        <f t="shared" si="48"/>
        <v>-4.6206225680933688E-3</v>
      </c>
      <c r="R242" s="83">
        <f t="shared" si="49"/>
        <v>-1.9447287615148356E-2</v>
      </c>
      <c r="S242" s="83">
        <f t="shared" si="50"/>
        <v>-1.674053994651814E-2</v>
      </c>
      <c r="T242" s="83">
        <f t="shared" si="51"/>
        <v>-3.6053130929791233E-2</v>
      </c>
      <c r="U242" s="83">
        <f t="shared" si="52"/>
        <v>-1.6656367619796608E-2</v>
      </c>
      <c r="V242" s="83">
        <f t="shared" si="53"/>
        <v>-2.7417027417027451E-2</v>
      </c>
      <c r="W242" s="84">
        <f t="shared" si="54"/>
        <v>-3.666008931353204E-2</v>
      </c>
      <c r="X242" s="89">
        <f t="shared" si="55"/>
        <v>-1.2507750201611434E-2</v>
      </c>
      <c r="Y242" s="89">
        <f t="shared" si="56"/>
        <v>-2.4923181973370845E-3</v>
      </c>
    </row>
    <row r="243" spans="1:25" x14ac:dyDescent="0.25">
      <c r="A243" s="2">
        <f t="shared" si="44"/>
        <v>240</v>
      </c>
      <c r="B243" s="58">
        <v>45020</v>
      </c>
      <c r="C243" s="59">
        <f t="shared" si="45"/>
        <v>2023</v>
      </c>
      <c r="D243" s="59">
        <f t="shared" si="46"/>
        <v>4</v>
      </c>
      <c r="E243" s="54">
        <v>18.117000000000001</v>
      </c>
      <c r="F243" s="63">
        <v>53.92</v>
      </c>
      <c r="G243" s="64">
        <v>41.12</v>
      </c>
      <c r="H243" s="64">
        <v>9.77</v>
      </c>
      <c r="I243" s="64">
        <v>272.99</v>
      </c>
      <c r="J243" s="64">
        <v>21.08</v>
      </c>
      <c r="K243" s="64">
        <v>356.02</v>
      </c>
      <c r="L243" s="64">
        <v>103.95</v>
      </c>
      <c r="M243" s="65">
        <v>192.58</v>
      </c>
      <c r="N243" s="70">
        <v>54176.01</v>
      </c>
      <c r="O243" s="70">
        <v>4100.6000000000004</v>
      </c>
      <c r="P243" s="82">
        <f t="shared" si="47"/>
        <v>5.7825032643163965E-3</v>
      </c>
      <c r="Q243" s="83">
        <f t="shared" si="48"/>
        <v>1.4612761811980679E-3</v>
      </c>
      <c r="R243" s="83">
        <f t="shared" si="49"/>
        <v>2.0512820512819108E-3</v>
      </c>
      <c r="S243" s="83">
        <f t="shared" si="50"/>
        <v>4.2225021952430053E-2</v>
      </c>
      <c r="T243" s="83">
        <f t="shared" si="51"/>
        <v>1.4251781472682801E-3</v>
      </c>
      <c r="U243" s="83">
        <f t="shared" si="52"/>
        <v>9.8139323803039247E-3</v>
      </c>
      <c r="V243" s="83">
        <f t="shared" si="53"/>
        <v>1.5037593984962516E-2</v>
      </c>
      <c r="W243" s="84">
        <f t="shared" si="54"/>
        <v>-1.1244031421676848E-2</v>
      </c>
      <c r="X243" s="89">
        <f t="shared" si="55"/>
        <v>5.4257645872171079E-3</v>
      </c>
      <c r="Y243" s="89">
        <f t="shared" si="56"/>
        <v>-5.7970522559043225E-3</v>
      </c>
    </row>
    <row r="244" spans="1:25" x14ac:dyDescent="0.25">
      <c r="A244" s="2">
        <f t="shared" si="44"/>
        <v>241</v>
      </c>
      <c r="B244" s="58">
        <v>45019</v>
      </c>
      <c r="C244" s="59">
        <f t="shared" si="45"/>
        <v>2023</v>
      </c>
      <c r="D244" s="59">
        <f t="shared" si="46"/>
        <v>4</v>
      </c>
      <c r="E244" s="54">
        <v>18.056000000000001</v>
      </c>
      <c r="F244" s="63">
        <v>53.61</v>
      </c>
      <c r="G244" s="64">
        <v>41.06</v>
      </c>
      <c r="H244" s="64">
        <v>9.75</v>
      </c>
      <c r="I244" s="64">
        <v>261.93</v>
      </c>
      <c r="J244" s="64">
        <v>21.05</v>
      </c>
      <c r="K244" s="64">
        <v>352.56</v>
      </c>
      <c r="L244" s="64">
        <v>102.41</v>
      </c>
      <c r="M244" s="65">
        <v>194.77</v>
      </c>
      <c r="N244" s="70">
        <v>53883.65</v>
      </c>
      <c r="O244" s="70">
        <v>4124.51</v>
      </c>
      <c r="P244" s="82">
        <f t="shared" si="47"/>
        <v>-5.5928411633110464E-4</v>
      </c>
      <c r="Q244" s="83">
        <f t="shared" si="48"/>
        <v>-2.1682153919466152E-2</v>
      </c>
      <c r="R244" s="83">
        <f t="shared" si="49"/>
        <v>-1.4155712841253831E-2</v>
      </c>
      <c r="S244" s="83">
        <f t="shared" si="50"/>
        <v>-1.455981941309259E-2</v>
      </c>
      <c r="T244" s="83">
        <f t="shared" si="51"/>
        <v>-5.1801801801801717E-2</v>
      </c>
      <c r="U244" s="83">
        <f t="shared" si="52"/>
        <v>5.5617352614014681E-3</v>
      </c>
      <c r="V244" s="83">
        <f t="shared" si="53"/>
        <v>-8.5197018104367084E-3</v>
      </c>
      <c r="W244" s="84">
        <f t="shared" si="54"/>
        <v>-6.1168418008290759E-2</v>
      </c>
      <c r="X244" s="89">
        <f t="shared" si="55"/>
        <v>-3.7752300385873738E-4</v>
      </c>
      <c r="Y244" s="89">
        <f t="shared" si="56"/>
        <v>3.6989178231867648E-3</v>
      </c>
    </row>
    <row r="245" spans="1:25" x14ac:dyDescent="0.25">
      <c r="A245" s="2">
        <f t="shared" si="44"/>
        <v>242</v>
      </c>
      <c r="B245" s="58">
        <v>45016</v>
      </c>
      <c r="C245" s="59">
        <f t="shared" si="45"/>
        <v>2023</v>
      </c>
      <c r="D245" s="59">
        <f t="shared" si="46"/>
        <v>3</v>
      </c>
      <c r="E245" s="54">
        <v>18.009899999999998</v>
      </c>
      <c r="F245" s="63">
        <v>53.64</v>
      </c>
      <c r="G245" s="64">
        <v>41.97</v>
      </c>
      <c r="H245" s="64">
        <v>9.89</v>
      </c>
      <c r="I245" s="64">
        <v>265.8</v>
      </c>
      <c r="J245" s="64">
        <v>22.2</v>
      </c>
      <c r="K245" s="64">
        <v>350.61</v>
      </c>
      <c r="L245" s="64">
        <v>103.29</v>
      </c>
      <c r="M245" s="65">
        <v>207.46</v>
      </c>
      <c r="N245" s="70">
        <v>53904</v>
      </c>
      <c r="O245" s="70">
        <v>4109.3100000000004</v>
      </c>
      <c r="P245" s="82">
        <f t="shared" si="47"/>
        <v>-5.7460611677480067E-3</v>
      </c>
      <c r="Q245" s="83">
        <f t="shared" si="48"/>
        <v>-2.6140684410645987E-3</v>
      </c>
      <c r="R245" s="83">
        <f t="shared" si="49"/>
        <v>1.0214504596527174E-2</v>
      </c>
      <c r="S245" s="83">
        <f t="shared" si="50"/>
        <v>-1.1712214166201829E-2</v>
      </c>
      <c r="T245" s="83">
        <f t="shared" si="51"/>
        <v>1.4625228519195677E-2</v>
      </c>
      <c r="U245" s="83">
        <f t="shared" si="52"/>
        <v>-5.1923731699011766E-3</v>
      </c>
      <c r="V245" s="83">
        <f t="shared" si="53"/>
        <v>1.2647058823529456E-2</v>
      </c>
      <c r="W245" s="84">
        <f t="shared" si="54"/>
        <v>6.2371978697255193E-2</v>
      </c>
      <c r="X245" s="89">
        <f t="shared" si="55"/>
        <v>-5.441803843396209E-3</v>
      </c>
      <c r="Y245" s="89">
        <f t="shared" si="56"/>
        <v>1.4436547571732294E-2</v>
      </c>
    </row>
    <row r="246" spans="1:25" x14ac:dyDescent="0.25">
      <c r="A246" s="2">
        <f t="shared" si="44"/>
        <v>243</v>
      </c>
      <c r="B246" s="58">
        <v>45015</v>
      </c>
      <c r="C246" s="59">
        <f t="shared" si="45"/>
        <v>2023</v>
      </c>
      <c r="D246" s="59">
        <f t="shared" si="46"/>
        <v>3</v>
      </c>
      <c r="E246" s="54">
        <v>18.076000000000001</v>
      </c>
      <c r="F246" s="63">
        <v>53.95</v>
      </c>
      <c r="G246" s="64">
        <v>42.08</v>
      </c>
      <c r="H246" s="64">
        <v>9.7899999999999991</v>
      </c>
      <c r="I246" s="64">
        <v>268.95</v>
      </c>
      <c r="J246" s="64">
        <v>21.88</v>
      </c>
      <c r="K246" s="64">
        <v>352.44</v>
      </c>
      <c r="L246" s="64">
        <v>102</v>
      </c>
      <c r="M246" s="65">
        <v>195.28</v>
      </c>
      <c r="N246" s="70">
        <v>54198.94</v>
      </c>
      <c r="O246" s="70">
        <v>4050.83</v>
      </c>
      <c r="P246" s="82">
        <f t="shared" si="47"/>
        <v>6.9055617767823652E-3</v>
      </c>
      <c r="Q246" s="83">
        <f t="shared" si="48"/>
        <v>3.3381020505485193E-3</v>
      </c>
      <c r="R246" s="83">
        <f t="shared" si="49"/>
        <v>9.2783505154638846E-3</v>
      </c>
      <c r="S246" s="83">
        <f t="shared" si="50"/>
        <v>3.0144017159491332E-2</v>
      </c>
      <c r="T246" s="83">
        <f t="shared" si="51"/>
        <v>1.9571295433364222E-2</v>
      </c>
      <c r="U246" s="83">
        <f t="shared" si="52"/>
        <v>-5.3901509806688619E-3</v>
      </c>
      <c r="V246" s="83">
        <f t="shared" si="53"/>
        <v>1.7456359102244301E-2</v>
      </c>
      <c r="W246" s="84">
        <f t="shared" si="54"/>
        <v>7.2209614194347349E-3</v>
      </c>
      <c r="X246" s="89">
        <f t="shared" si="55"/>
        <v>5.8643782495206853E-3</v>
      </c>
      <c r="Y246" s="89">
        <f t="shared" si="56"/>
        <v>5.7152646227105475E-3</v>
      </c>
    </row>
    <row r="247" spans="1:25" x14ac:dyDescent="0.25">
      <c r="A247" s="2">
        <f t="shared" si="44"/>
        <v>244</v>
      </c>
      <c r="B247" s="58">
        <v>45014</v>
      </c>
      <c r="C247" s="59">
        <f t="shared" si="45"/>
        <v>2023</v>
      </c>
      <c r="D247" s="59">
        <f t="shared" si="46"/>
        <v>3</v>
      </c>
      <c r="E247" s="54">
        <v>18.083600000000001</v>
      </c>
      <c r="F247" s="63">
        <v>53.58</v>
      </c>
      <c r="G247" s="64">
        <v>41.94</v>
      </c>
      <c r="H247" s="64">
        <v>9.6999999999999993</v>
      </c>
      <c r="I247" s="64">
        <v>261.08</v>
      </c>
      <c r="J247" s="64">
        <v>21.46</v>
      </c>
      <c r="K247" s="64">
        <v>354.35</v>
      </c>
      <c r="L247" s="64">
        <v>100.25</v>
      </c>
      <c r="M247" s="65">
        <v>193.88</v>
      </c>
      <c r="N247" s="70">
        <v>53882.95</v>
      </c>
      <c r="O247" s="70">
        <v>4027.81</v>
      </c>
      <c r="P247" s="82">
        <f t="shared" si="47"/>
        <v>9.2296100960631566E-3</v>
      </c>
      <c r="Q247" s="83">
        <f t="shared" si="48"/>
        <v>-1.779859484777524E-2</v>
      </c>
      <c r="R247" s="83">
        <f t="shared" si="49"/>
        <v>3.7433155080213831E-2</v>
      </c>
      <c r="S247" s="83">
        <f t="shared" si="50"/>
        <v>-3.4253162684027449E-2</v>
      </c>
      <c r="T247" s="83">
        <f t="shared" si="51"/>
        <v>2.0446980504041923E-2</v>
      </c>
      <c r="U247" s="83">
        <f t="shared" si="52"/>
        <v>4.4503656669880876E-3</v>
      </c>
      <c r="V247" s="83">
        <f t="shared" si="53"/>
        <v>3.0954339777869322E-2</v>
      </c>
      <c r="W247" s="84">
        <f t="shared" si="54"/>
        <v>2.4789893757598103E-2</v>
      </c>
      <c r="X247" s="89">
        <f t="shared" si="55"/>
        <v>1.2664187140921435E-2</v>
      </c>
      <c r="Y247" s="89">
        <f t="shared" si="56"/>
        <v>1.4237259113583312E-2</v>
      </c>
    </row>
    <row r="248" spans="1:25" x14ac:dyDescent="0.25">
      <c r="A248" s="2">
        <f t="shared" si="44"/>
        <v>245</v>
      </c>
      <c r="B248" s="58">
        <v>45013</v>
      </c>
      <c r="C248" s="59">
        <f t="shared" si="45"/>
        <v>2023</v>
      </c>
      <c r="D248" s="59">
        <f t="shared" si="46"/>
        <v>3</v>
      </c>
      <c r="E248" s="54">
        <v>18.225000000000001</v>
      </c>
      <c r="F248" s="63">
        <v>53.09</v>
      </c>
      <c r="G248" s="64">
        <v>42.7</v>
      </c>
      <c r="H248" s="64">
        <v>9.35</v>
      </c>
      <c r="I248" s="64">
        <v>270.33999999999997</v>
      </c>
      <c r="J248" s="64">
        <v>21.03</v>
      </c>
      <c r="K248" s="64">
        <v>352.78</v>
      </c>
      <c r="L248" s="64">
        <v>97.24</v>
      </c>
      <c r="M248" s="65">
        <v>189.19</v>
      </c>
      <c r="N248" s="70">
        <v>53209.1</v>
      </c>
      <c r="O248" s="70">
        <v>3971.27</v>
      </c>
      <c r="P248" s="82">
        <f t="shared" si="47"/>
        <v>6.8272330741514509E-3</v>
      </c>
      <c r="Q248" s="83">
        <f t="shared" si="48"/>
        <v>1.7635843660629202E-2</v>
      </c>
      <c r="R248" s="83">
        <f t="shared" si="49"/>
        <v>1.4099783080260275E-2</v>
      </c>
      <c r="S248" s="83">
        <f t="shared" si="50"/>
        <v>5.0761815920397968E-2</v>
      </c>
      <c r="T248" s="83">
        <f t="shared" si="51"/>
        <v>1.0571840461316873E-2</v>
      </c>
      <c r="U248" s="83">
        <f t="shared" si="52"/>
        <v>2.9653843908703514E-2</v>
      </c>
      <c r="V248" s="83">
        <f t="shared" si="53"/>
        <v>-8.1599347205223438E-3</v>
      </c>
      <c r="W248" s="84">
        <f t="shared" si="54"/>
        <v>-1.3659350398832149E-2</v>
      </c>
      <c r="X248" s="89">
        <f t="shared" si="55"/>
        <v>6.7676516543926368E-3</v>
      </c>
      <c r="Y248" s="89">
        <f t="shared" si="56"/>
        <v>-1.5738410521103363E-3</v>
      </c>
    </row>
    <row r="249" spans="1:25" x14ac:dyDescent="0.25">
      <c r="A249" s="2">
        <f t="shared" si="44"/>
        <v>246</v>
      </c>
      <c r="B249" s="58">
        <v>45012</v>
      </c>
      <c r="C249" s="59">
        <f t="shared" si="45"/>
        <v>2023</v>
      </c>
      <c r="D249" s="59">
        <f t="shared" si="46"/>
        <v>3</v>
      </c>
      <c r="E249" s="54">
        <v>18.333500000000001</v>
      </c>
      <c r="F249" s="63">
        <v>52.73</v>
      </c>
      <c r="G249" s="64">
        <v>41.96</v>
      </c>
      <c r="H249" s="64">
        <v>9.2200000000000006</v>
      </c>
      <c r="I249" s="64">
        <v>257.27999999999997</v>
      </c>
      <c r="J249" s="64">
        <v>20.81</v>
      </c>
      <c r="K249" s="64">
        <v>342.62</v>
      </c>
      <c r="L249" s="64">
        <v>98.04</v>
      </c>
      <c r="M249" s="65">
        <v>191.81</v>
      </c>
      <c r="N249" s="70">
        <v>52851.42</v>
      </c>
      <c r="O249" s="70">
        <v>3977.53</v>
      </c>
      <c r="P249" s="82">
        <f t="shared" si="47"/>
        <v>1.7097264437688775E-3</v>
      </c>
      <c r="Q249" s="83">
        <f t="shared" si="48"/>
        <v>2.717258261933897E-2</v>
      </c>
      <c r="R249" s="83">
        <f t="shared" si="49"/>
        <v>-2.1645021645021467E-3</v>
      </c>
      <c r="S249" s="83">
        <f t="shared" si="50"/>
        <v>-3.8866648529034542E-5</v>
      </c>
      <c r="T249" s="83">
        <f t="shared" si="51"/>
        <v>6.7731011127236673E-3</v>
      </c>
      <c r="U249" s="83">
        <f t="shared" si="52"/>
        <v>1.7129286032358637E-2</v>
      </c>
      <c r="V249" s="83">
        <f t="shared" si="53"/>
        <v>-9.171507184345673E-4</v>
      </c>
      <c r="W249" s="84">
        <f t="shared" si="54"/>
        <v>7.3525550128670236E-3</v>
      </c>
      <c r="X249" s="89">
        <f t="shared" si="55"/>
        <v>1.5216656383263416E-3</v>
      </c>
      <c r="Y249" s="89">
        <f t="shared" si="56"/>
        <v>1.6469444647304599E-3</v>
      </c>
    </row>
    <row r="250" spans="1:25" x14ac:dyDescent="0.25">
      <c r="A250" s="2">
        <f t="shared" si="44"/>
        <v>247</v>
      </c>
      <c r="B250" s="58">
        <v>45009</v>
      </c>
      <c r="C250" s="59">
        <f t="shared" si="45"/>
        <v>2023</v>
      </c>
      <c r="D250" s="59">
        <f t="shared" si="46"/>
        <v>3</v>
      </c>
      <c r="E250" s="54">
        <v>18.414000000000001</v>
      </c>
      <c r="F250" s="63">
        <v>52.64</v>
      </c>
      <c r="G250" s="64">
        <v>40.85</v>
      </c>
      <c r="H250" s="64">
        <v>9.24</v>
      </c>
      <c r="I250" s="64">
        <v>257.29000000000002</v>
      </c>
      <c r="J250" s="64">
        <v>20.67</v>
      </c>
      <c r="K250" s="64">
        <v>336.85</v>
      </c>
      <c r="L250" s="64">
        <v>98.13</v>
      </c>
      <c r="M250" s="65">
        <v>190.41</v>
      </c>
      <c r="N250" s="70">
        <v>52771.12</v>
      </c>
      <c r="O250" s="70">
        <v>3970.99</v>
      </c>
      <c r="P250" s="82">
        <f t="shared" si="47"/>
        <v>-1.7068082685377517E-3</v>
      </c>
      <c r="Q250" s="83">
        <f t="shared" si="48"/>
        <v>-3.9014874420871815E-3</v>
      </c>
      <c r="R250" s="83">
        <f t="shared" si="49"/>
        <v>-2.0148462354188656E-2</v>
      </c>
      <c r="S250" s="83">
        <f t="shared" si="50"/>
        <v>-3.1383184812088238E-3</v>
      </c>
      <c r="T250" s="83">
        <f t="shared" si="51"/>
        <v>-7.2046109510085499E-3</v>
      </c>
      <c r="U250" s="83">
        <f t="shared" si="52"/>
        <v>2.0525940028557343E-3</v>
      </c>
      <c r="V250" s="83">
        <f t="shared" si="53"/>
        <v>-5.8757977915104842E-3</v>
      </c>
      <c r="W250" s="84">
        <f t="shared" si="54"/>
        <v>-9.4162938299864329E-3</v>
      </c>
      <c r="X250" s="89">
        <f t="shared" si="55"/>
        <v>-1.0753781191122913E-3</v>
      </c>
      <c r="Y250" s="89">
        <f t="shared" si="56"/>
        <v>5.6398022650376856E-3</v>
      </c>
    </row>
    <row r="251" spans="1:25" x14ac:dyDescent="0.25">
      <c r="A251" s="2">
        <f t="shared" si="44"/>
        <v>248</v>
      </c>
      <c r="B251" s="58">
        <v>45008</v>
      </c>
      <c r="C251" s="59">
        <f t="shared" si="45"/>
        <v>2023</v>
      </c>
      <c r="D251" s="59">
        <f t="shared" si="46"/>
        <v>3</v>
      </c>
      <c r="E251" s="54">
        <v>18.553599999999999</v>
      </c>
      <c r="F251" s="63">
        <v>52.73</v>
      </c>
      <c r="G251" s="64">
        <v>41.01</v>
      </c>
      <c r="H251" s="64">
        <v>9.43</v>
      </c>
      <c r="I251" s="64">
        <v>258.10000000000002</v>
      </c>
      <c r="J251" s="64">
        <v>20.82</v>
      </c>
      <c r="K251" s="64">
        <v>336.16</v>
      </c>
      <c r="L251" s="64">
        <v>98.71</v>
      </c>
      <c r="M251" s="65">
        <v>192.22</v>
      </c>
      <c r="N251" s="70">
        <v>52827.93</v>
      </c>
      <c r="O251" s="70">
        <v>3948.72</v>
      </c>
      <c r="P251" s="82">
        <f t="shared" si="47"/>
        <v>6.4897881275052249E-3</v>
      </c>
      <c r="Q251" s="83">
        <f t="shared" si="48"/>
        <v>1.1843079200592133E-2</v>
      </c>
      <c r="R251" s="83">
        <f t="shared" si="49"/>
        <v>1.0718113612004254E-2</v>
      </c>
      <c r="S251" s="83">
        <f t="shared" si="50"/>
        <v>-5.5099603128730967E-3</v>
      </c>
      <c r="T251" s="83">
        <f t="shared" si="51"/>
        <v>8.2324455205811109E-3</v>
      </c>
      <c r="U251" s="83">
        <f t="shared" si="52"/>
        <v>5.1729808928624443E-3</v>
      </c>
      <c r="V251" s="83">
        <f t="shared" si="53"/>
        <v>1.0131712259364711E-4</v>
      </c>
      <c r="W251" s="84">
        <f t="shared" si="54"/>
        <v>5.5976981428196293E-3</v>
      </c>
      <c r="X251" s="89">
        <f t="shared" si="55"/>
        <v>5.281215747168444E-3</v>
      </c>
      <c r="Y251" s="89">
        <f t="shared" si="56"/>
        <v>2.9845287111662788E-3</v>
      </c>
    </row>
    <row r="252" spans="1:25" x14ac:dyDescent="0.25">
      <c r="A252" s="2">
        <f t="shared" si="44"/>
        <v>249</v>
      </c>
      <c r="B252" s="58">
        <v>45007</v>
      </c>
      <c r="C252" s="59">
        <f t="shared" si="45"/>
        <v>2023</v>
      </c>
      <c r="D252" s="59">
        <f t="shared" si="46"/>
        <v>3</v>
      </c>
      <c r="E252" s="54">
        <v>18.606000000000002</v>
      </c>
      <c r="F252" s="63">
        <v>52.39</v>
      </c>
      <c r="G252" s="64">
        <v>40.53</v>
      </c>
      <c r="H252" s="64">
        <v>9.33</v>
      </c>
      <c r="I252" s="64">
        <v>259.52999999999997</v>
      </c>
      <c r="J252" s="64">
        <v>20.65</v>
      </c>
      <c r="K252" s="64">
        <v>334.43</v>
      </c>
      <c r="L252" s="64">
        <v>98.7</v>
      </c>
      <c r="M252" s="65">
        <v>191.15</v>
      </c>
      <c r="N252" s="70">
        <v>52550.400000000001</v>
      </c>
      <c r="O252" s="70">
        <v>3936.97</v>
      </c>
      <c r="P252" s="82">
        <f t="shared" si="47"/>
        <v>-1.7149390243901275E-3</v>
      </c>
      <c r="Q252" s="83">
        <f t="shared" si="48"/>
        <v>2.8680203045685415E-2</v>
      </c>
      <c r="R252" s="83">
        <f t="shared" si="49"/>
        <v>1.0729613733906351E-3</v>
      </c>
      <c r="S252" s="83">
        <f t="shared" si="50"/>
        <v>8.1967213114753079E-3</v>
      </c>
      <c r="T252" s="83">
        <f t="shared" si="51"/>
        <v>1.9249753208292031E-2</v>
      </c>
      <c r="U252" s="83">
        <f t="shared" si="52"/>
        <v>8.5343787696019469E-3</v>
      </c>
      <c r="V252" s="83">
        <f t="shared" si="53"/>
        <v>-1.8984196401948039E-2</v>
      </c>
      <c r="W252" s="84">
        <f t="shared" si="54"/>
        <v>-3.2543779734791056E-2</v>
      </c>
      <c r="X252" s="89">
        <f t="shared" si="55"/>
        <v>-1.9419725312971314E-3</v>
      </c>
      <c r="Y252" s="89">
        <f t="shared" si="56"/>
        <v>-1.646318766285193E-2</v>
      </c>
    </row>
    <row r="253" spans="1:25" x14ac:dyDescent="0.25">
      <c r="A253" s="2">
        <f t="shared" si="44"/>
        <v>250</v>
      </c>
      <c r="B253" s="58">
        <v>45006</v>
      </c>
      <c r="C253" s="59">
        <f t="shared" si="45"/>
        <v>2023</v>
      </c>
      <c r="D253" s="59">
        <f t="shared" si="46"/>
        <v>3</v>
      </c>
      <c r="E253" s="54">
        <v>18.587</v>
      </c>
      <c r="F253" s="63">
        <v>52.48</v>
      </c>
      <c r="G253" s="64">
        <v>39.4</v>
      </c>
      <c r="H253" s="64">
        <v>9.32</v>
      </c>
      <c r="I253" s="64">
        <v>257.42</v>
      </c>
      <c r="J253" s="64">
        <v>20.260000000000002</v>
      </c>
      <c r="K253" s="64">
        <v>331.6</v>
      </c>
      <c r="L253" s="64">
        <v>100.61</v>
      </c>
      <c r="M253" s="65">
        <v>197.58</v>
      </c>
      <c r="N253" s="70">
        <v>52652.65</v>
      </c>
      <c r="O253" s="70">
        <v>4002.87</v>
      </c>
      <c r="P253" s="82">
        <f t="shared" si="47"/>
        <v>1.3714506470928978E-2</v>
      </c>
      <c r="Q253" s="83">
        <f t="shared" si="48"/>
        <v>-1.228378039608935E-2</v>
      </c>
      <c r="R253" s="83">
        <f t="shared" si="49"/>
        <v>1.5250544662309462E-2</v>
      </c>
      <c r="S253" s="83">
        <f t="shared" si="50"/>
        <v>-9.3896713615023719E-3</v>
      </c>
      <c r="T253" s="83">
        <f t="shared" si="51"/>
        <v>4.6487603305785274E-2</v>
      </c>
      <c r="U253" s="83">
        <f t="shared" si="52"/>
        <v>-1.0267430754536733E-2</v>
      </c>
      <c r="V253" s="83">
        <f t="shared" si="53"/>
        <v>1.6776149570490118E-2</v>
      </c>
      <c r="W253" s="84">
        <f t="shared" si="54"/>
        <v>9.6874479542552683E-2</v>
      </c>
      <c r="X253" s="89">
        <f t="shared" si="55"/>
        <v>1.4001568782725959E-2</v>
      </c>
      <c r="Y253" s="89">
        <f t="shared" si="56"/>
        <v>2.201632011111565E-2</v>
      </c>
    </row>
    <row r="254" spans="1:25" x14ac:dyDescent="0.25">
      <c r="A254" s="2">
        <f t="shared" si="44"/>
        <v>251</v>
      </c>
      <c r="B254" s="58">
        <v>45002</v>
      </c>
      <c r="C254" s="59">
        <f t="shared" si="45"/>
        <v>2023</v>
      </c>
      <c r="D254" s="59">
        <f t="shared" si="46"/>
        <v>3</v>
      </c>
      <c r="E254" s="54">
        <v>18.882999999999999</v>
      </c>
      <c r="F254" s="63">
        <v>51.77</v>
      </c>
      <c r="G254" s="64">
        <v>39.89</v>
      </c>
      <c r="H254" s="64">
        <v>9.18</v>
      </c>
      <c r="I254" s="64">
        <v>259.86</v>
      </c>
      <c r="J254" s="64">
        <v>19.36</v>
      </c>
      <c r="K254" s="64">
        <v>335.04</v>
      </c>
      <c r="L254" s="64">
        <v>98.95</v>
      </c>
      <c r="M254" s="65">
        <v>180.13</v>
      </c>
      <c r="N254" s="70">
        <v>51925.61</v>
      </c>
      <c r="O254" s="70">
        <v>3916.64</v>
      </c>
      <c r="P254" s="82">
        <f t="shared" si="47"/>
        <v>-1.2022900763358657E-2</v>
      </c>
      <c r="Q254" s="83">
        <f t="shared" si="48"/>
        <v>-6.9703759024147827E-3</v>
      </c>
      <c r="R254" s="83">
        <f t="shared" si="49"/>
        <v>-1.2903225806451757E-2</v>
      </c>
      <c r="S254" s="83">
        <f t="shared" si="50"/>
        <v>8.8555630026809773E-2</v>
      </c>
      <c r="T254" s="83">
        <f t="shared" si="51"/>
        <v>-3.8728897715988087E-2</v>
      </c>
      <c r="U254" s="83">
        <f t="shared" si="52"/>
        <v>-6.4940841562138862E-3</v>
      </c>
      <c r="V254" s="83">
        <f t="shared" si="53"/>
        <v>-1.0895641743302709E-2</v>
      </c>
      <c r="W254" s="84">
        <f t="shared" si="54"/>
        <v>-2.1723782110465439E-2</v>
      </c>
      <c r="X254" s="89">
        <f t="shared" si="55"/>
        <v>-1.1048133821661255E-2</v>
      </c>
      <c r="Y254" s="89">
        <f t="shared" si="56"/>
        <v>-1.101942286909019E-2</v>
      </c>
    </row>
    <row r="255" spans="1:25" x14ac:dyDescent="0.25">
      <c r="A255" s="2">
        <f t="shared" si="44"/>
        <v>252</v>
      </c>
      <c r="B255" s="58">
        <v>45001</v>
      </c>
      <c r="C255" s="59">
        <f t="shared" si="45"/>
        <v>2023</v>
      </c>
      <c r="D255" s="59">
        <f t="shared" si="46"/>
        <v>3</v>
      </c>
      <c r="E255" s="54">
        <v>18.702300000000001</v>
      </c>
      <c r="F255" s="63">
        <v>52.4</v>
      </c>
      <c r="G255" s="64">
        <v>40.17</v>
      </c>
      <c r="H255" s="64">
        <v>9.3000000000000007</v>
      </c>
      <c r="I255" s="64">
        <v>238.72</v>
      </c>
      <c r="J255" s="64">
        <v>20.14</v>
      </c>
      <c r="K255" s="64">
        <v>337.23</v>
      </c>
      <c r="L255" s="64">
        <v>100.04</v>
      </c>
      <c r="M255" s="65">
        <v>184.13</v>
      </c>
      <c r="N255" s="70">
        <v>52505.7</v>
      </c>
      <c r="O255" s="70">
        <v>3960.28</v>
      </c>
      <c r="P255" s="85">
        <f t="shared" si="47"/>
        <v>8.0800307810697802E-3</v>
      </c>
      <c r="Q255" s="86">
        <f t="shared" si="48"/>
        <v>1.1583983883152849E-2</v>
      </c>
      <c r="R255" s="86">
        <f t="shared" si="49"/>
        <v>1.0869565217391353E-2</v>
      </c>
      <c r="S255" s="86">
        <f t="shared" si="50"/>
        <v>-1.7087330670729206E-2</v>
      </c>
      <c r="T255" s="86">
        <f t="shared" si="51"/>
        <v>1.9746835443037902E-2</v>
      </c>
      <c r="U255" s="86">
        <f t="shared" si="52"/>
        <v>9.8823106639116531E-3</v>
      </c>
      <c r="V255" s="86">
        <f t="shared" si="53"/>
        <v>3.9916839916839919E-2</v>
      </c>
      <c r="W255" s="87">
        <f t="shared" si="54"/>
        <v>2.0393460792463403E-2</v>
      </c>
      <c r="X255" s="90">
        <f t="shared" si="55"/>
        <v>8.0655689864377322E-3</v>
      </c>
      <c r="Y255" s="90">
        <f t="shared" si="56"/>
        <v>1.7561980816715783E-2</v>
      </c>
    </row>
    <row r="256" spans="1:25" x14ac:dyDescent="0.25">
      <c r="A256" s="2">
        <v>253</v>
      </c>
      <c r="B256" s="58">
        <v>45000</v>
      </c>
      <c r="C256" s="59">
        <f t="shared" si="45"/>
        <v>2023</v>
      </c>
      <c r="D256" s="59">
        <f t="shared" si="46"/>
        <v>3</v>
      </c>
      <c r="E256" s="55">
        <v>18.957899999999999</v>
      </c>
      <c r="F256" s="66">
        <v>51.98</v>
      </c>
      <c r="G256" s="67">
        <v>39.71</v>
      </c>
      <c r="H256" s="67">
        <v>9.1999999999999993</v>
      </c>
      <c r="I256" s="67">
        <v>242.87</v>
      </c>
      <c r="J256" s="67">
        <v>19.75</v>
      </c>
      <c r="K256" s="67">
        <v>333.93</v>
      </c>
      <c r="L256" s="67">
        <v>96.2</v>
      </c>
      <c r="M256" s="68">
        <v>180.45</v>
      </c>
      <c r="N256" s="71">
        <v>52085.599999999999</v>
      </c>
      <c r="O256" s="71">
        <v>3891.93</v>
      </c>
      <c r="P256" s="8"/>
      <c r="Q256" s="8"/>
      <c r="R256" s="8"/>
      <c r="S256" s="8"/>
      <c r="T256" s="8"/>
      <c r="U256" s="8"/>
      <c r="V256" s="8"/>
      <c r="W256" s="8"/>
      <c r="X256" s="8"/>
      <c r="Y256" s="8"/>
    </row>
    <row r="258" spans="16:23" x14ac:dyDescent="0.25">
      <c r="P258" s="10"/>
      <c r="Q258" s="10"/>
      <c r="R258" s="10"/>
      <c r="S258" s="10"/>
      <c r="T258" s="10"/>
      <c r="U258" s="10"/>
      <c r="V258" s="10"/>
      <c r="W258" s="10"/>
    </row>
  </sheetData>
  <mergeCells count="1">
    <mergeCell ref="Q2:Y2"/>
  </mergeCell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5CACE-6475-4775-9560-F658F631B514}">
  <sheetPr codeName="Hoja6"/>
  <dimension ref="A1:J20"/>
  <sheetViews>
    <sheetView zoomScale="90" zoomScaleNormal="150" workbookViewId="0">
      <selection activeCell="H22" sqref="H22"/>
    </sheetView>
  </sheetViews>
  <sheetFormatPr baseColWidth="10" defaultRowHeight="15" x14ac:dyDescent="0.25"/>
  <cols>
    <col min="1" max="1" width="17.85546875" bestFit="1" customWidth="1"/>
    <col min="2" max="2" width="17.85546875" customWidth="1"/>
    <col min="3" max="3" width="17.28515625" bestFit="1" customWidth="1"/>
    <col min="4" max="4" width="19.7109375" bestFit="1" customWidth="1"/>
    <col min="5" max="5" width="18.140625" bestFit="1" customWidth="1"/>
    <col min="6" max="6" width="13" bestFit="1" customWidth="1"/>
    <col min="7" max="7" width="14.7109375" customWidth="1"/>
    <col min="8" max="8" width="12.42578125" customWidth="1"/>
    <col min="9" max="9" width="14.140625" bestFit="1" customWidth="1"/>
    <col min="10" max="10" width="15.28515625" bestFit="1" customWidth="1"/>
  </cols>
  <sheetData>
    <row r="1" spans="1:10" s="1" customFormat="1" x14ac:dyDescent="0.25">
      <c r="A1" s="6" t="s">
        <v>0</v>
      </c>
      <c r="B1" s="6" t="s">
        <v>9</v>
      </c>
      <c r="C1" s="6" t="s">
        <v>56</v>
      </c>
      <c r="D1" s="6" t="s">
        <v>57</v>
      </c>
      <c r="E1" s="6" t="s">
        <v>58</v>
      </c>
      <c r="F1" s="6" t="s">
        <v>59</v>
      </c>
      <c r="G1" s="6" t="s">
        <v>1</v>
      </c>
      <c r="H1" s="6" t="s">
        <v>41</v>
      </c>
      <c r="I1" s="6" t="s">
        <v>60</v>
      </c>
      <c r="J1" s="6" t="s">
        <v>10</v>
      </c>
    </row>
    <row r="2" spans="1:10" x14ac:dyDescent="0.25">
      <c r="A2" s="91" t="s">
        <v>43</v>
      </c>
      <c r="B2" s="94">
        <v>5000</v>
      </c>
      <c r="C2" s="95">
        <v>45366</v>
      </c>
      <c r="D2" s="96">
        <v>45380</v>
      </c>
      <c r="E2" s="97">
        <f>+D2-C2</f>
        <v>14</v>
      </c>
      <c r="F2" s="98">
        <v>10</v>
      </c>
      <c r="G2" s="99"/>
      <c r="H2" s="100" cm="1">
        <f t="array" ref="H2" xml:space="preserve"> Cete(F2,E2,CURVA)</f>
        <v>9.9564983990780274</v>
      </c>
      <c r="I2" s="101">
        <v>1</v>
      </c>
      <c r="J2" s="102">
        <f xml:space="preserve"> B2 * H2 * I2</f>
        <v>49782.491995390134</v>
      </c>
    </row>
    <row r="3" spans="1:10" x14ac:dyDescent="0.25">
      <c r="A3" s="91" t="s">
        <v>44</v>
      </c>
      <c r="B3" s="33">
        <v>15000</v>
      </c>
      <c r="C3" s="103">
        <v>45366</v>
      </c>
      <c r="D3" s="104">
        <v>45408</v>
      </c>
      <c r="E3" s="105">
        <f t="shared" ref="E3:E10" si="0">+D3-C3</f>
        <v>42</v>
      </c>
      <c r="F3" s="106">
        <v>10</v>
      </c>
      <c r="G3" s="107"/>
      <c r="H3" s="108" cm="1">
        <f t="array" ref="H3" xml:space="preserve"> Cete(F3,E3,CURVA)</f>
        <v>9.8706492542930118</v>
      </c>
      <c r="I3" s="109">
        <v>1</v>
      </c>
      <c r="J3" s="110">
        <f t="shared" ref="J3:J18" si="1" xml:space="preserve"> B3 * H3 * I3</f>
        <v>148059.73881439518</v>
      </c>
    </row>
    <row r="4" spans="1:10" x14ac:dyDescent="0.25">
      <c r="A4" s="91" t="s">
        <v>45</v>
      </c>
      <c r="B4" s="33">
        <v>7000</v>
      </c>
      <c r="C4" s="103">
        <v>45366</v>
      </c>
      <c r="D4" s="104">
        <v>45450</v>
      </c>
      <c r="E4" s="105">
        <f t="shared" si="0"/>
        <v>84</v>
      </c>
      <c r="F4" s="106">
        <v>10</v>
      </c>
      <c r="G4" s="107"/>
      <c r="H4" s="108" cm="1">
        <f t="array" ref="H4" xml:space="preserve"> Cete(F4,E4,CURVA)</f>
        <v>9.7444580830767009</v>
      </c>
      <c r="I4" s="109">
        <v>1</v>
      </c>
      <c r="J4" s="110">
        <f t="shared" si="1"/>
        <v>68211.206581536913</v>
      </c>
    </row>
    <row r="5" spans="1:10" x14ac:dyDescent="0.25">
      <c r="A5" s="91" t="s">
        <v>46</v>
      </c>
      <c r="B5" s="33">
        <v>2000</v>
      </c>
      <c r="C5" s="103">
        <v>45366</v>
      </c>
      <c r="D5" s="104">
        <v>45478</v>
      </c>
      <c r="E5" s="105">
        <f t="shared" si="0"/>
        <v>112</v>
      </c>
      <c r="F5" s="106">
        <v>10</v>
      </c>
      <c r="G5" s="107"/>
      <c r="H5" s="108" cm="1">
        <f t="array" ref="H5" xml:space="preserve"> Cete(F5,E5,CURVA)</f>
        <v>9.6623272631895709</v>
      </c>
      <c r="I5" s="109">
        <v>1</v>
      </c>
      <c r="J5" s="110">
        <f t="shared" si="1"/>
        <v>19324.654526379141</v>
      </c>
    </row>
    <row r="6" spans="1:10" x14ac:dyDescent="0.25">
      <c r="A6" s="91" t="s">
        <v>47</v>
      </c>
      <c r="B6" s="34">
        <v>1000</v>
      </c>
      <c r="C6" s="111">
        <v>45366</v>
      </c>
      <c r="D6" s="112">
        <v>45506</v>
      </c>
      <c r="E6" s="113">
        <f t="shared" si="0"/>
        <v>140</v>
      </c>
      <c r="F6" s="114">
        <v>10</v>
      </c>
      <c r="G6" s="115"/>
      <c r="H6" s="116" cm="1">
        <f t="array" ref="H6" xml:space="preserve"> Cete(F6,E6,CURVA)</f>
        <v>9.581772029988489</v>
      </c>
      <c r="I6" s="117">
        <v>1</v>
      </c>
      <c r="J6" s="118">
        <f t="shared" si="1"/>
        <v>9581.7720299884895</v>
      </c>
    </row>
    <row r="7" spans="1:10" x14ac:dyDescent="0.25">
      <c r="A7" s="92" t="s">
        <v>2</v>
      </c>
      <c r="B7" s="94">
        <v>1500</v>
      </c>
      <c r="C7" s="95">
        <v>45366</v>
      </c>
      <c r="D7" s="96">
        <v>46541</v>
      </c>
      <c r="E7" s="97">
        <f t="shared" si="0"/>
        <v>1175</v>
      </c>
      <c r="F7" s="98">
        <v>100</v>
      </c>
      <c r="G7" s="119">
        <v>7.4999999999999997E-2</v>
      </c>
      <c r="H7" s="120" cm="1">
        <f t="array" ref="H7" xml:space="preserve"> Bono(F7,G7,E7,CURVA)</f>
        <v>95.615122983659163</v>
      </c>
      <c r="I7" s="121">
        <v>1</v>
      </c>
      <c r="J7" s="122">
        <f t="shared" si="1"/>
        <v>143422.68447548876</v>
      </c>
    </row>
    <row r="8" spans="1:10" x14ac:dyDescent="0.25">
      <c r="A8" s="92" t="s">
        <v>3</v>
      </c>
      <c r="B8" s="33">
        <v>2000</v>
      </c>
      <c r="C8" s="103">
        <v>45366</v>
      </c>
      <c r="D8" s="104">
        <v>49999</v>
      </c>
      <c r="E8" s="105">
        <f t="shared" si="0"/>
        <v>4633</v>
      </c>
      <c r="F8" s="106">
        <v>100</v>
      </c>
      <c r="G8" s="123">
        <v>0.1</v>
      </c>
      <c r="H8" s="124" cm="1">
        <f t="array" ref="H8" xml:space="preserve"> Bono(F8,G8,E8,CURVA)</f>
        <v>108.06688969714241</v>
      </c>
      <c r="I8" s="125">
        <v>1</v>
      </c>
      <c r="J8" s="126">
        <f t="shared" si="1"/>
        <v>216133.77939428482</v>
      </c>
    </row>
    <row r="9" spans="1:10" x14ac:dyDescent="0.25">
      <c r="A9" s="92" t="s">
        <v>4</v>
      </c>
      <c r="B9" s="33">
        <v>2300</v>
      </c>
      <c r="C9" s="103">
        <v>45366</v>
      </c>
      <c r="D9" s="104">
        <v>52183</v>
      </c>
      <c r="E9" s="105">
        <f t="shared" si="0"/>
        <v>6817</v>
      </c>
      <c r="F9" s="106">
        <v>100</v>
      </c>
      <c r="G9" s="123">
        <v>7.7499999999999999E-2</v>
      </c>
      <c r="H9" s="124" cm="1">
        <f t="array" ref="H9" xml:space="preserve"> Bono(F9,G9,E9,CURVA)</f>
        <v>87.378617160516626</v>
      </c>
      <c r="I9" s="125">
        <v>1</v>
      </c>
      <c r="J9" s="126">
        <f t="shared" si="1"/>
        <v>200970.81946918825</v>
      </c>
    </row>
    <row r="10" spans="1:10" x14ac:dyDescent="0.25">
      <c r="A10" s="92" t="s">
        <v>5</v>
      </c>
      <c r="B10" s="34">
        <v>1700</v>
      </c>
      <c r="C10" s="111">
        <v>45366</v>
      </c>
      <c r="D10" s="112">
        <v>54003</v>
      </c>
      <c r="E10" s="113">
        <f t="shared" si="0"/>
        <v>8637</v>
      </c>
      <c r="F10" s="114">
        <v>100</v>
      </c>
      <c r="G10" s="127">
        <v>0.08</v>
      </c>
      <c r="H10" s="128" cm="1">
        <f t="array" ref="H10" xml:space="preserve"> Bono(F10,G10,E10,CURVA)</f>
        <v>88.37414107957801</v>
      </c>
      <c r="I10" s="129">
        <v>1</v>
      </c>
      <c r="J10" s="130">
        <f t="shared" si="1"/>
        <v>150236.03983528263</v>
      </c>
    </row>
    <row r="11" spans="1:10" x14ac:dyDescent="0.25">
      <c r="A11" s="93" t="s">
        <v>11</v>
      </c>
      <c r="B11" s="94">
        <v>3000</v>
      </c>
      <c r="C11" s="95">
        <v>45366</v>
      </c>
      <c r="D11" s="99"/>
      <c r="E11" s="99"/>
      <c r="F11" s="99"/>
      <c r="G11" s="99"/>
      <c r="H11" s="132">
        <f xml:space="preserve"> 'Mercado Accionario y TC'!F4</f>
        <v>55.99</v>
      </c>
      <c r="I11" s="133">
        <v>1</v>
      </c>
      <c r="J11" s="134">
        <f t="shared" si="1"/>
        <v>167970</v>
      </c>
    </row>
    <row r="12" spans="1:10" x14ac:dyDescent="0.25">
      <c r="A12" s="93" t="s">
        <v>12</v>
      </c>
      <c r="B12" s="33">
        <v>2800</v>
      </c>
      <c r="C12" s="103">
        <v>45366</v>
      </c>
      <c r="D12" s="107"/>
      <c r="E12" s="107"/>
      <c r="F12" s="107"/>
      <c r="G12" s="107"/>
      <c r="H12" s="135">
        <f xml:space="preserve"> 'Mercado Accionario y TC'!G4</f>
        <v>38.56</v>
      </c>
      <c r="I12" s="136">
        <v>1</v>
      </c>
      <c r="J12" s="137">
        <f t="shared" si="1"/>
        <v>107968</v>
      </c>
    </row>
    <row r="13" spans="1:10" x14ac:dyDescent="0.25">
      <c r="A13" s="93" t="s">
        <v>13</v>
      </c>
      <c r="B13" s="33">
        <v>8800</v>
      </c>
      <c r="C13" s="103">
        <v>45366</v>
      </c>
      <c r="D13" s="107"/>
      <c r="E13" s="107"/>
      <c r="F13" s="107"/>
      <c r="G13" s="107"/>
      <c r="H13" s="135">
        <f xml:space="preserve"> 'Mercado Accionario y TC'!H4</f>
        <v>14.19</v>
      </c>
      <c r="I13" s="136">
        <v>1</v>
      </c>
      <c r="J13" s="137">
        <f t="shared" si="1"/>
        <v>124872</v>
      </c>
    </row>
    <row r="14" spans="1:10" x14ac:dyDescent="0.25">
      <c r="A14" s="93" t="s">
        <v>14</v>
      </c>
      <c r="B14" s="33">
        <v>1500</v>
      </c>
      <c r="C14" s="103">
        <v>45366</v>
      </c>
      <c r="D14" s="107"/>
      <c r="E14" s="107"/>
      <c r="F14" s="107"/>
      <c r="G14" s="107"/>
      <c r="H14" s="135">
        <f xml:space="preserve"> 'Mercado Accionario y TC'!I4</f>
        <v>229.62</v>
      </c>
      <c r="I14" s="136">
        <v>1</v>
      </c>
      <c r="J14" s="137">
        <f t="shared" si="1"/>
        <v>344430</v>
      </c>
    </row>
    <row r="15" spans="1:10" x14ac:dyDescent="0.25">
      <c r="A15" s="93" t="s">
        <v>15</v>
      </c>
      <c r="B15" s="33">
        <v>3000</v>
      </c>
      <c r="C15" s="103">
        <v>45366</v>
      </c>
      <c r="D15" s="107"/>
      <c r="E15" s="107"/>
      <c r="F15" s="107"/>
      <c r="G15" s="107"/>
      <c r="H15" s="135">
        <f xml:space="preserve"> 'Mercado Accionario y TC'!J4</f>
        <v>11.71</v>
      </c>
      <c r="I15" s="136">
        <v>1</v>
      </c>
      <c r="J15" s="137">
        <f t="shared" si="1"/>
        <v>35130</v>
      </c>
    </row>
    <row r="16" spans="1:10" x14ac:dyDescent="0.25">
      <c r="A16" s="93" t="s">
        <v>16</v>
      </c>
      <c r="B16" s="33">
        <v>700</v>
      </c>
      <c r="C16" s="103">
        <v>45366</v>
      </c>
      <c r="D16" s="107"/>
      <c r="E16" s="107"/>
      <c r="F16" s="107"/>
      <c r="G16" s="107"/>
      <c r="H16" s="135">
        <f xml:space="preserve"> 'Mercado Accionario y TC'!K4</f>
        <v>250.85</v>
      </c>
      <c r="I16" s="136">
        <v>1</v>
      </c>
      <c r="J16" s="137">
        <f t="shared" si="1"/>
        <v>175595</v>
      </c>
    </row>
    <row r="17" spans="1:10" x14ac:dyDescent="0.25">
      <c r="A17" s="93" t="s">
        <v>17</v>
      </c>
      <c r="B17" s="33">
        <v>300</v>
      </c>
      <c r="C17" s="103">
        <v>45366</v>
      </c>
      <c r="D17" s="107"/>
      <c r="E17" s="107"/>
      <c r="F17" s="107"/>
      <c r="G17" s="107"/>
      <c r="H17" s="135">
        <f xml:space="preserve"> 'Mercado Accionario y TC'!L4</f>
        <v>174.42</v>
      </c>
      <c r="I17" s="138">
        <f xml:space="preserve"> Factores!C5</f>
        <v>16.693000000000001</v>
      </c>
      <c r="J17" s="137">
        <f t="shared" si="1"/>
        <v>873477.91799999995</v>
      </c>
    </row>
    <row r="18" spans="1:10" x14ac:dyDescent="0.25">
      <c r="A18" s="93" t="s">
        <v>18</v>
      </c>
      <c r="B18" s="34">
        <v>250</v>
      </c>
      <c r="C18" s="111">
        <v>45366</v>
      </c>
      <c r="D18" s="115"/>
      <c r="E18" s="115"/>
      <c r="F18" s="115"/>
      <c r="G18" s="115"/>
      <c r="H18" s="139">
        <f xml:space="preserve"> 'Mercado Accionario y TC'!M4</f>
        <v>163.57</v>
      </c>
      <c r="I18" s="140">
        <f xml:space="preserve"> Factores!C5</f>
        <v>16.693000000000001</v>
      </c>
      <c r="J18" s="141">
        <f t="shared" si="1"/>
        <v>682618.50250000006</v>
      </c>
    </row>
    <row r="19" spans="1:10" ht="15.75" thickBot="1" x14ac:dyDescent="0.3">
      <c r="G19" s="20" t="s">
        <v>49</v>
      </c>
      <c r="H19" s="20"/>
      <c r="I19" s="20"/>
      <c r="J19" s="131">
        <f>SUM(J2:J18)</f>
        <v>3517784.6076219343</v>
      </c>
    </row>
    <row r="20" spans="1:10" ht="15.75" thickTop="1" x14ac:dyDescent="0.25"/>
  </sheetData>
  <mergeCells count="1">
    <mergeCell ref="G19:I19"/>
  </mergeCell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A7907-002D-4C04-9DA9-C377ADEB6364}">
  <sheetPr codeName="Hoja8"/>
  <dimension ref="A1:P24"/>
  <sheetViews>
    <sheetView topLeftCell="D1" zoomScale="94" zoomScaleNormal="160" workbookViewId="0">
      <selection activeCell="N9" sqref="N9"/>
    </sheetView>
  </sheetViews>
  <sheetFormatPr baseColWidth="10" defaultRowHeight="15" x14ac:dyDescent="0.25"/>
  <cols>
    <col min="1" max="1" width="17.85546875" bestFit="1" customWidth="1"/>
    <col min="2" max="2" width="17.85546875" customWidth="1"/>
    <col min="3" max="3" width="17.28515625" bestFit="1" customWidth="1"/>
    <col min="4" max="4" width="19.7109375" bestFit="1" customWidth="1"/>
    <col min="5" max="5" width="18.140625" bestFit="1" customWidth="1"/>
    <col min="6" max="6" width="13" bestFit="1" customWidth="1"/>
    <col min="7" max="7" width="14.7109375" customWidth="1"/>
    <col min="8" max="8" width="13.7109375" bestFit="1" customWidth="1"/>
    <col min="9" max="9" width="12.42578125" customWidth="1"/>
    <col min="10" max="10" width="16.7109375" bestFit="1" customWidth="1"/>
    <col min="11" max="11" width="14.140625" bestFit="1" customWidth="1"/>
    <col min="12" max="12" width="15.28515625" bestFit="1" customWidth="1"/>
    <col min="14" max="14" width="24.7109375" bestFit="1" customWidth="1"/>
    <col min="15" max="15" width="13.140625" bestFit="1" customWidth="1"/>
  </cols>
  <sheetData>
    <row r="1" spans="1:16" s="1" customFormat="1" x14ac:dyDescent="0.25">
      <c r="A1" s="6" t="s">
        <v>0</v>
      </c>
      <c r="B1" s="144" t="s">
        <v>9</v>
      </c>
      <c r="C1" s="144" t="s">
        <v>56</v>
      </c>
      <c r="D1" s="144" t="s">
        <v>57</v>
      </c>
      <c r="E1" s="144" t="s">
        <v>58</v>
      </c>
      <c r="F1" s="144" t="s">
        <v>59</v>
      </c>
      <c r="G1" s="144" t="s">
        <v>1</v>
      </c>
      <c r="H1" s="1" t="s">
        <v>39</v>
      </c>
      <c r="I1" s="1" t="s">
        <v>34</v>
      </c>
      <c r="J1" s="1" t="s">
        <v>40</v>
      </c>
      <c r="K1" s="144" t="s">
        <v>60</v>
      </c>
      <c r="L1" s="144" t="s">
        <v>10</v>
      </c>
      <c r="N1" s="14"/>
    </row>
    <row r="2" spans="1:16" x14ac:dyDescent="0.25">
      <c r="A2" s="91" t="s">
        <v>43</v>
      </c>
      <c r="B2" s="94">
        <v>5000</v>
      </c>
      <c r="C2" s="95">
        <v>45366</v>
      </c>
      <c r="D2" s="96">
        <v>45380</v>
      </c>
      <c r="E2" s="97">
        <f t="shared" ref="E2:E10" si="0">+D2-C2</f>
        <v>14</v>
      </c>
      <c r="F2" s="98">
        <v>10</v>
      </c>
      <c r="G2" s="99"/>
      <c r="H2" s="100">
        <f xml:space="preserve"> 'Portafolio Base'!H2</f>
        <v>9.9564983990780274</v>
      </c>
      <c r="I2" s="99"/>
      <c r="J2" s="100" cm="1">
        <f t="array" ref="J2" xml:space="preserve"> Cete(F2,E2,CURVA_IMP)</f>
        <v>9.9524521598065228</v>
      </c>
      <c r="K2" s="101">
        <v>1</v>
      </c>
      <c r="L2" s="102">
        <f xml:space="preserve"> B2 *J2 *K2</f>
        <v>49762.260799032614</v>
      </c>
      <c r="N2" s="26" t="s">
        <v>50</v>
      </c>
      <c r="O2" s="150">
        <f>SUMPRODUCT(B2:B10,J2:J10) - SUMPRODUCT(B2:B10,H2:H10)</f>
        <v>-51020.460784368101</v>
      </c>
      <c r="P2" s="8"/>
    </row>
    <row r="3" spans="1:16" x14ac:dyDescent="0.25">
      <c r="A3" s="91" t="s">
        <v>44</v>
      </c>
      <c r="B3" s="33">
        <v>15000</v>
      </c>
      <c r="C3" s="103">
        <v>45366</v>
      </c>
      <c r="D3" s="104">
        <v>45408</v>
      </c>
      <c r="E3" s="105">
        <f t="shared" si="0"/>
        <v>42</v>
      </c>
      <c r="F3" s="106">
        <v>10</v>
      </c>
      <c r="G3" s="107"/>
      <c r="H3" s="108">
        <f xml:space="preserve"> 'Portafolio Base'!H3</f>
        <v>9.8706492542930118</v>
      </c>
      <c r="I3" s="107"/>
      <c r="J3" s="108" cm="1">
        <f t="array" ref="J3" xml:space="preserve"> Cete(F3,E3,CURVA_IMP)</f>
        <v>9.8587285279973518</v>
      </c>
      <c r="K3" s="109">
        <v>1</v>
      </c>
      <c r="L3" s="110">
        <f t="shared" ref="L3:L18" si="1" xml:space="preserve"> B3 *J3 *K3</f>
        <v>147880.92791996029</v>
      </c>
      <c r="N3" s="26" t="s">
        <v>51</v>
      </c>
      <c r="O3" s="150">
        <f>SUMPRODUCT(B11:B16,J11:J16)-SUMPRODUCT(B11:B16,H11:H16)</f>
        <v>-276302.06380780763</v>
      </c>
      <c r="P3" s="8"/>
    </row>
    <row r="4" spans="1:16" x14ac:dyDescent="0.25">
      <c r="A4" s="91" t="s">
        <v>45</v>
      </c>
      <c r="B4" s="33">
        <v>7000</v>
      </c>
      <c r="C4" s="103">
        <v>45366</v>
      </c>
      <c r="D4" s="104">
        <v>45450</v>
      </c>
      <c r="E4" s="105">
        <f t="shared" si="0"/>
        <v>84</v>
      </c>
      <c r="F4" s="106">
        <v>10</v>
      </c>
      <c r="G4" s="107"/>
      <c r="H4" s="108">
        <f xml:space="preserve"> 'Portafolio Base'!H4</f>
        <v>9.7444580830767009</v>
      </c>
      <c r="I4" s="107"/>
      <c r="J4" s="108" cm="1">
        <f t="array" ref="J4" xml:space="preserve"> Cete(F4,E4,CURVA_IMP)</f>
        <v>9.7212496471996488</v>
      </c>
      <c r="K4" s="109">
        <v>1</v>
      </c>
      <c r="L4" s="110">
        <f t="shared" si="1"/>
        <v>68048.747530397537</v>
      </c>
      <c r="N4" s="26" t="s">
        <v>52</v>
      </c>
      <c r="O4" s="150">
        <f xml:space="preserve"> ( SUMPRODUCT(B17:B18,J17:J18) - SUMPRODUCT(B17:B18,H17:H18) ) * Factores!K5</f>
        <v>-661353.57869675418</v>
      </c>
      <c r="P4" s="8"/>
    </row>
    <row r="5" spans="1:16" x14ac:dyDescent="0.25">
      <c r="A5" s="91" t="s">
        <v>46</v>
      </c>
      <c r="B5" s="33">
        <v>2000</v>
      </c>
      <c r="C5" s="103">
        <v>45366</v>
      </c>
      <c r="D5" s="104">
        <v>45478</v>
      </c>
      <c r="E5" s="105">
        <f t="shared" si="0"/>
        <v>112</v>
      </c>
      <c r="F5" s="106">
        <v>10</v>
      </c>
      <c r="G5" s="107"/>
      <c r="H5" s="108">
        <f xml:space="preserve"> 'Portafolio Base'!H5</f>
        <v>9.6623272631895709</v>
      </c>
      <c r="I5" s="107"/>
      <c r="J5" s="108" cm="1">
        <f t="array" ref="J5" xml:space="preserve"> Cete(F5,E5,CURVA_IMP)</f>
        <v>9.6319254367131464</v>
      </c>
      <c r="K5" s="109">
        <v>1</v>
      </c>
      <c r="L5" s="110">
        <f t="shared" si="1"/>
        <v>19263.850873426294</v>
      </c>
      <c r="N5" s="26" t="s">
        <v>63</v>
      </c>
      <c r="O5" s="150">
        <f>SUMPRODUCT(B17:B18,H17:H18) * (Factores!K5 - Factores!C5)</f>
        <v>311219.28409999993</v>
      </c>
      <c r="P5" s="8"/>
    </row>
    <row r="6" spans="1:16" ht="15.75" thickBot="1" x14ac:dyDescent="0.3">
      <c r="A6" s="91" t="s">
        <v>47</v>
      </c>
      <c r="B6" s="34">
        <v>1000</v>
      </c>
      <c r="C6" s="111">
        <v>45366</v>
      </c>
      <c r="D6" s="112">
        <v>45506</v>
      </c>
      <c r="E6" s="113">
        <f t="shared" si="0"/>
        <v>140</v>
      </c>
      <c r="F6" s="114">
        <v>10</v>
      </c>
      <c r="G6" s="115"/>
      <c r="H6" s="116">
        <f xml:space="preserve"> 'Portafolio Base'!H6</f>
        <v>9.581772029988489</v>
      </c>
      <c r="I6" s="115"/>
      <c r="J6" s="116" cm="1">
        <f t="array" ref="J6" xml:space="preserve"> Cete(F6,E6,CURVA_IMP)</f>
        <v>9.5444289086883671</v>
      </c>
      <c r="K6" s="117">
        <v>1</v>
      </c>
      <c r="L6" s="118">
        <f t="shared" si="1"/>
        <v>9544.4289086883673</v>
      </c>
      <c r="O6" s="16">
        <f xml:space="preserve"> SUM(O2:O5)</f>
        <v>-677456.81918892998</v>
      </c>
    </row>
    <row r="7" spans="1:16" ht="15.75" thickTop="1" x14ac:dyDescent="0.25">
      <c r="A7" s="92" t="s">
        <v>2</v>
      </c>
      <c r="B7" s="94">
        <v>1500</v>
      </c>
      <c r="C7" s="95">
        <v>45366</v>
      </c>
      <c r="D7" s="96">
        <v>46541</v>
      </c>
      <c r="E7" s="97">
        <f t="shared" si="0"/>
        <v>1175</v>
      </c>
      <c r="F7" s="98">
        <v>100</v>
      </c>
      <c r="G7" s="119">
        <v>7.4999999999999997E-2</v>
      </c>
      <c r="H7" s="120">
        <f xml:space="preserve"> 'Portafolio Base'!H7</f>
        <v>95.615122983659163</v>
      </c>
      <c r="I7" s="99"/>
      <c r="J7" s="120" cm="1">
        <f t="array" ref="J7" xml:space="preserve"> Bono(F7,G7,E7,CURVA_IMP)</f>
        <v>92.907278000831667</v>
      </c>
      <c r="K7" s="121">
        <v>1</v>
      </c>
      <c r="L7" s="122">
        <f t="shared" si="1"/>
        <v>139360.91700124749</v>
      </c>
      <c r="O7" s="15"/>
    </row>
    <row r="8" spans="1:16" x14ac:dyDescent="0.25">
      <c r="A8" s="92" t="s">
        <v>3</v>
      </c>
      <c r="B8" s="33">
        <v>2000</v>
      </c>
      <c r="C8" s="103">
        <v>45366</v>
      </c>
      <c r="D8" s="104">
        <v>49999</v>
      </c>
      <c r="E8" s="105">
        <f t="shared" si="0"/>
        <v>4633</v>
      </c>
      <c r="F8" s="106">
        <v>100</v>
      </c>
      <c r="G8" s="123">
        <v>0.1</v>
      </c>
      <c r="H8" s="124">
        <f xml:space="preserve"> 'Portafolio Base'!H8</f>
        <v>108.06688969714241</v>
      </c>
      <c r="I8" s="107"/>
      <c r="J8" s="124" cm="1">
        <f t="array" ref="J8" xml:space="preserve"> Bono(F8,G8,E8,CURVA_IMP)</f>
        <v>100.39951735580489</v>
      </c>
      <c r="K8" s="125">
        <v>1</v>
      </c>
      <c r="L8" s="126">
        <f t="shared" si="1"/>
        <v>200799.03471160977</v>
      </c>
    </row>
    <row r="9" spans="1:16" x14ac:dyDescent="0.25">
      <c r="A9" s="92" t="s">
        <v>4</v>
      </c>
      <c r="B9" s="33">
        <v>2300</v>
      </c>
      <c r="C9" s="103">
        <v>45366</v>
      </c>
      <c r="D9" s="104">
        <v>52183</v>
      </c>
      <c r="E9" s="105">
        <f t="shared" si="0"/>
        <v>6817</v>
      </c>
      <c r="F9" s="106">
        <v>100</v>
      </c>
      <c r="G9" s="123">
        <v>7.7499999999999999E-2</v>
      </c>
      <c r="H9" s="124">
        <f xml:space="preserve"> 'Portafolio Base'!H9</f>
        <v>87.378617160516626</v>
      </c>
      <c r="I9" s="107"/>
      <c r="J9" s="124" cm="1">
        <f t="array" ref="J9" xml:space="preserve"> Bono(F9,G9,E9,CURVA_IMP)</f>
        <v>79.799561148445534</v>
      </c>
      <c r="K9" s="125">
        <v>1</v>
      </c>
      <c r="L9" s="126">
        <f t="shared" si="1"/>
        <v>183538.99064142472</v>
      </c>
    </row>
    <row r="10" spans="1:16" x14ac:dyDescent="0.25">
      <c r="A10" s="92" t="s">
        <v>5</v>
      </c>
      <c r="B10" s="34">
        <v>1700</v>
      </c>
      <c r="C10" s="111">
        <v>45366</v>
      </c>
      <c r="D10" s="112">
        <v>54003</v>
      </c>
      <c r="E10" s="113">
        <f t="shared" si="0"/>
        <v>8637</v>
      </c>
      <c r="F10" s="114">
        <v>100</v>
      </c>
      <c r="G10" s="127">
        <v>0.08</v>
      </c>
      <c r="H10" s="128">
        <f xml:space="preserve"> 'Portafolio Base'!H10</f>
        <v>88.37414107957801</v>
      </c>
      <c r="I10" s="115"/>
      <c r="J10" s="128" cm="1">
        <f t="array" ref="J10" xml:space="preserve"> Bono(F10,G10,E10,CURVA_IMP)</f>
        <v>80.296216442223056</v>
      </c>
      <c r="K10" s="129">
        <v>1</v>
      </c>
      <c r="L10" s="130">
        <f t="shared" si="1"/>
        <v>136503.5679517792</v>
      </c>
    </row>
    <row r="11" spans="1:16" x14ac:dyDescent="0.25">
      <c r="A11" s="93" t="s">
        <v>11</v>
      </c>
      <c r="B11" s="94">
        <v>3000</v>
      </c>
      <c r="C11" s="95">
        <v>45366</v>
      </c>
      <c r="D11" s="99"/>
      <c r="E11" s="99"/>
      <c r="F11" s="99"/>
      <c r="G11" s="99"/>
      <c r="H11" s="132">
        <f xml:space="preserve"> 'Portafolio Base'!H11</f>
        <v>55.99</v>
      </c>
      <c r="I11" s="146">
        <f xml:space="preserve"> Factores!S13</f>
        <v>0.98521271139239686</v>
      </c>
      <c r="J11" s="132">
        <f>H11*(1+I11*Factores!$N$4)</f>
        <v>42.199485072284929</v>
      </c>
      <c r="K11" s="133">
        <v>1</v>
      </c>
      <c r="L11" s="134">
        <f t="shared" si="1"/>
        <v>126598.45521685478</v>
      </c>
      <c r="M11" s="13"/>
    </row>
    <row r="12" spans="1:16" x14ac:dyDescent="0.25">
      <c r="A12" s="93" t="s">
        <v>12</v>
      </c>
      <c r="B12" s="33">
        <v>2800</v>
      </c>
      <c r="C12" s="103">
        <v>45366</v>
      </c>
      <c r="D12" s="107"/>
      <c r="E12" s="107"/>
      <c r="F12" s="107"/>
      <c r="G12" s="107"/>
      <c r="H12" s="135">
        <f xml:space="preserve"> 'Portafolio Base'!H12</f>
        <v>38.56</v>
      </c>
      <c r="I12" s="147">
        <f xml:space="preserve"> Factores!S14</f>
        <v>0.61379634960021145</v>
      </c>
      <c r="J12" s="135">
        <f>H12*(1+I12*Factores!$N$4)</f>
        <v>32.643003189853964</v>
      </c>
      <c r="K12" s="136">
        <v>1</v>
      </c>
      <c r="L12" s="137">
        <f t="shared" si="1"/>
        <v>91400.408931591097</v>
      </c>
      <c r="M12" s="13"/>
    </row>
    <row r="13" spans="1:16" x14ac:dyDescent="0.25">
      <c r="A13" s="93" t="s">
        <v>13</v>
      </c>
      <c r="B13" s="33">
        <v>8800</v>
      </c>
      <c r="C13" s="103">
        <v>45366</v>
      </c>
      <c r="D13" s="107"/>
      <c r="E13" s="107"/>
      <c r="F13" s="107"/>
      <c r="G13" s="107"/>
      <c r="H13" s="135">
        <f xml:space="preserve"> 'Portafolio Base'!H13</f>
        <v>14.19</v>
      </c>
      <c r="I13" s="147">
        <f xml:space="preserve"> Factores!S15</f>
        <v>1.402165036203433</v>
      </c>
      <c r="J13" s="135">
        <f>H13*(1+I13*Factores!$N$4)</f>
        <v>9.21581953406832</v>
      </c>
      <c r="K13" s="136">
        <v>1</v>
      </c>
      <c r="L13" s="137">
        <f t="shared" si="1"/>
        <v>81099.211899801216</v>
      </c>
      <c r="M13" s="13"/>
    </row>
    <row r="14" spans="1:16" x14ac:dyDescent="0.25">
      <c r="A14" s="93" t="s">
        <v>14</v>
      </c>
      <c r="B14" s="33">
        <v>1500</v>
      </c>
      <c r="C14" s="103">
        <v>45366</v>
      </c>
      <c r="D14" s="107"/>
      <c r="E14" s="107"/>
      <c r="F14" s="107"/>
      <c r="G14" s="107"/>
      <c r="H14" s="135">
        <f xml:space="preserve"> 'Portafolio Base'!H14</f>
        <v>229.62</v>
      </c>
      <c r="I14" s="147">
        <f xml:space="preserve"> Factores!S16</f>
        <v>0.96978898515413736</v>
      </c>
      <c r="J14" s="135">
        <f>H14*(1+I14*Factores!$N$4)</f>
        <v>173.94926330722674</v>
      </c>
      <c r="K14" s="136">
        <v>1</v>
      </c>
      <c r="L14" s="137">
        <f t="shared" si="1"/>
        <v>260923.89496084012</v>
      </c>
      <c r="M14" s="13"/>
    </row>
    <row r="15" spans="1:16" x14ac:dyDescent="0.25">
      <c r="A15" s="93" t="s">
        <v>15</v>
      </c>
      <c r="B15" s="33">
        <v>3000</v>
      </c>
      <c r="C15" s="103">
        <v>45366</v>
      </c>
      <c r="D15" s="107"/>
      <c r="E15" s="107"/>
      <c r="F15" s="107"/>
      <c r="G15" s="107"/>
      <c r="H15" s="135">
        <f xml:space="preserve"> 'Portafolio Base'!H15</f>
        <v>11.71</v>
      </c>
      <c r="I15" s="147">
        <f xml:space="preserve"> Factores!S17</f>
        <v>1.4478674844679196</v>
      </c>
      <c r="J15" s="135">
        <f>H15*(1+I15*Factores!$N$4)</f>
        <v>7.4713679392201664</v>
      </c>
      <c r="K15" s="136">
        <v>1</v>
      </c>
      <c r="L15" s="137">
        <f t="shared" si="1"/>
        <v>22414.1038176605</v>
      </c>
      <c r="M15" s="13"/>
    </row>
    <row r="16" spans="1:16" x14ac:dyDescent="0.25">
      <c r="A16" s="93" t="s">
        <v>16</v>
      </c>
      <c r="B16" s="33">
        <v>700</v>
      </c>
      <c r="C16" s="103">
        <v>45366</v>
      </c>
      <c r="D16" s="107"/>
      <c r="E16" s="107"/>
      <c r="F16" s="107"/>
      <c r="G16" s="107"/>
      <c r="H16" s="135">
        <f xml:space="preserve"> 'Portafolio Base'!H16</f>
        <v>250.85</v>
      </c>
      <c r="I16" s="147">
        <f xml:space="preserve"> Factores!S18</f>
        <v>1.7852020532374004</v>
      </c>
      <c r="J16" s="135">
        <f>H16*(1+I16*Factores!$N$4)</f>
        <v>138.89551623634952</v>
      </c>
      <c r="K16" s="136">
        <v>1</v>
      </c>
      <c r="L16" s="137">
        <f t="shared" si="1"/>
        <v>97226.861365444667</v>
      </c>
      <c r="M16" s="13"/>
    </row>
    <row r="17" spans="1:13" x14ac:dyDescent="0.25">
      <c r="A17" s="93" t="s">
        <v>17</v>
      </c>
      <c r="B17" s="33">
        <v>300</v>
      </c>
      <c r="C17" s="103">
        <v>45366</v>
      </c>
      <c r="D17" s="107"/>
      <c r="E17" s="107"/>
      <c r="F17" s="107"/>
      <c r="G17" s="107"/>
      <c r="H17" s="135">
        <f xml:space="preserve"> 'Portafolio Base'!H17</f>
        <v>174.42</v>
      </c>
      <c r="I17" s="147">
        <f xml:space="preserve"> Factores!S19</f>
        <v>1.5172235415998627</v>
      </c>
      <c r="J17" s="135">
        <f>H17*(1+I17*Factores!$N$6)</f>
        <v>121.49317397483038</v>
      </c>
      <c r="K17" s="136">
        <f xml:space="preserve"> Factores!K5</f>
        <v>20.031600000000001</v>
      </c>
      <c r="L17" s="137">
        <f t="shared" si="1"/>
        <v>730110.79913826368</v>
      </c>
      <c r="M17" s="13"/>
    </row>
    <row r="18" spans="1:13" x14ac:dyDescent="0.25">
      <c r="A18" s="93" t="s">
        <v>18</v>
      </c>
      <c r="B18" s="34">
        <v>250</v>
      </c>
      <c r="C18" s="111">
        <v>45366</v>
      </c>
      <c r="D18" s="115"/>
      <c r="E18" s="115"/>
      <c r="F18" s="115"/>
      <c r="G18" s="115"/>
      <c r="H18" s="139">
        <f xml:space="preserve"> 'Portafolio Base'!H18</f>
        <v>163.57</v>
      </c>
      <c r="I18" s="148">
        <f xml:space="preserve"> Factores!S20</f>
        <v>2.0954290657822319</v>
      </c>
      <c r="J18" s="139">
        <f>H18*(1+I18*Factores!$N$6)</f>
        <v>95.020133542000067</v>
      </c>
      <c r="K18" s="149">
        <f xml:space="preserve"> Factores!K5</f>
        <v>20.031600000000001</v>
      </c>
      <c r="L18" s="141">
        <f t="shared" si="1"/>
        <v>475851.32676498219</v>
      </c>
      <c r="M18" s="13"/>
    </row>
    <row r="19" spans="1:13" ht="15.75" thickBot="1" x14ac:dyDescent="0.3">
      <c r="I19" s="145" t="s">
        <v>61</v>
      </c>
      <c r="J19" s="145"/>
      <c r="K19" s="145"/>
      <c r="L19" s="131">
        <f xml:space="preserve"> SUM(L2:L18)</f>
        <v>2840327.7884330046</v>
      </c>
    </row>
    <row r="20" spans="1:13" ht="15.75" thickTop="1" x14ac:dyDescent="0.25"/>
    <row r="21" spans="1:13" ht="15.75" thickBot="1" x14ac:dyDescent="0.3">
      <c r="H21" s="2"/>
      <c r="I21" s="20" t="s">
        <v>49</v>
      </c>
      <c r="J21" s="20"/>
      <c r="K21" s="20"/>
      <c r="L21" s="5">
        <f xml:space="preserve"> 'Portafolio Base'!J19</f>
        <v>3517784.6076219343</v>
      </c>
    </row>
    <row r="22" spans="1:13" ht="15.75" thickTop="1" x14ac:dyDescent="0.25">
      <c r="H22" s="2"/>
    </row>
    <row r="23" spans="1:13" ht="15.75" thickBot="1" x14ac:dyDescent="0.3">
      <c r="K23" s="7" t="s">
        <v>62</v>
      </c>
      <c r="L23" s="142">
        <f xml:space="preserve"> L19 - L21</f>
        <v>-677456.81918892963</v>
      </c>
      <c r="M23" s="143">
        <f xml:space="preserve"> L23 / L21</f>
        <v>-0.19258052858639882</v>
      </c>
    </row>
    <row r="24" spans="1:13" ht="15.75" thickTop="1" x14ac:dyDescent="0.25"/>
  </sheetData>
  <mergeCells count="2">
    <mergeCell ref="I21:K21"/>
    <mergeCell ref="I19:K19"/>
  </mergeCells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Factores</vt:lpstr>
      <vt:lpstr>Mercado Accionario y TC</vt:lpstr>
      <vt:lpstr>Portafolio Base</vt:lpstr>
      <vt:lpstr>Portafolio Impactos</vt:lpstr>
      <vt:lpstr>CURVA</vt:lpstr>
      <vt:lpstr>CURVA_IMP</vt:lpstr>
      <vt:lpstr>Curva_Impactada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DAVID MENDIETA LOPEZ</cp:lastModifiedBy>
  <cp:lastPrinted>2021-04-06T05:21:06Z</cp:lastPrinted>
  <dcterms:created xsi:type="dcterms:W3CDTF">2021-03-24T23:46:32Z</dcterms:created>
  <dcterms:modified xsi:type="dcterms:W3CDTF">2024-04-13T00:49:55Z</dcterms:modified>
</cp:coreProperties>
</file>