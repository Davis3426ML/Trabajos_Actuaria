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iblioteca\Descargas\Administracion de Riesgo\Examen #2\"/>
    </mc:Choice>
  </mc:AlternateContent>
  <xr:revisionPtr revIDLastSave="0" documentId="13_ncr:1_{B53C3F39-029E-4025-BAE5-F403FFE24C58}" xr6:coauthVersionLast="47" xr6:coauthVersionMax="47" xr10:uidLastSave="{00000000-0000-0000-0000-000000000000}"/>
  <bookViews>
    <workbookView xWindow="-120" yWindow="-120" windowWidth="20730" windowHeight="11040" xr2:uid="{CF893460-09D3-4FE7-B9BA-EAA91C1C2B49}"/>
  </bookViews>
  <sheets>
    <sheet name="Integrantes" sheetId="13" r:id="rId1"/>
    <sheet name="Ejercicio 1" sheetId="11" r:id="rId2"/>
    <sheet name="1. Tabla de Amorticación" sheetId="10" r:id="rId3"/>
    <sheet name="1. Modelo de Supervivencia" sheetId="9" r:id="rId4"/>
    <sheet name="Ejercicio 2" sheetId="12" r:id="rId5"/>
    <sheet name="Información PI" sheetId="8" r:id="rId6"/>
    <sheet name="PI" sheetId="2" r:id="rId7"/>
    <sheet name="SP" sheetId="4" state="hidden" r:id="rId8"/>
    <sheet name="Reservas" sheetId="7" r:id="rId9"/>
  </sheets>
  <functionGroups builtInGroupCount="19"/>
  <definedNames>
    <definedName name="_xlnm._FilterDatabase" localSheetId="8" hidden="1">Reservas!$B$4:$W$21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1" i="7" l="1" a="1"/>
  <c r="O15" i="7" a="1"/>
  <c r="O13" i="7" a="1"/>
  <c r="O8" i="7" a="1"/>
  <c r="O18" i="7" a="1"/>
  <c r="O10" i="7" a="1"/>
  <c r="O7" i="7" a="1"/>
  <c r="O14" i="7" a="1"/>
  <c r="O6" i="7" a="1"/>
  <c r="O19" i="7" a="1"/>
  <c r="O17" i="7" a="1"/>
  <c r="O20" i="7" a="1"/>
  <c r="O16" i="7" a="1"/>
  <c r="O5" i="7" a="1"/>
  <c r="O12" i="7" a="1"/>
  <c r="O11" i="7" a="1"/>
  <c r="O9" i="7" a="1"/>
  <c r="O6" i="7" l="1"/>
  <c r="O10" i="7"/>
  <c r="O14" i="7"/>
  <c r="O16" i="7"/>
  <c r="O20" i="7"/>
  <c r="O9" i="7"/>
  <c r="O11" i="7"/>
  <c r="O15" i="7"/>
  <c r="O21" i="7"/>
  <c r="O8" i="7"/>
  <c r="O12" i="7"/>
  <c r="O18" i="7"/>
  <c r="O7" i="7"/>
  <c r="O13" i="7"/>
  <c r="O17" i="7"/>
  <c r="O19" i="7"/>
  <c r="O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5" i="7"/>
  <c r="Q6" i="7" l="1"/>
  <c r="Q10" i="7"/>
  <c r="Q14" i="7"/>
  <c r="Q18" i="7"/>
  <c r="Q7" i="7"/>
  <c r="Q11" i="7"/>
  <c r="Q15" i="7"/>
  <c r="Q21" i="7"/>
  <c r="Q8" i="7"/>
  <c r="Q12" i="7"/>
  <c r="Q16" i="7"/>
  <c r="Q20" i="7"/>
  <c r="Q9" i="7"/>
  <c r="Q13" i="7"/>
  <c r="Q17" i="7"/>
  <c r="Q19" i="7"/>
  <c r="Q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5" i="7"/>
  <c r="R13" i="7" a="1"/>
  <c r="R7" i="7" a="1"/>
  <c r="R8" i="7" a="1"/>
  <c r="R5" i="7" a="1"/>
  <c r="R17" i="7" a="1"/>
  <c r="R15" i="7" a="1"/>
  <c r="R12" i="7" a="1"/>
  <c r="R10" i="7" a="1"/>
  <c r="R14" i="7" a="1"/>
  <c r="R9" i="7" a="1"/>
  <c r="R21" i="7" a="1"/>
  <c r="R20" i="7" a="1"/>
  <c r="R18" i="7" a="1"/>
  <c r="R6" i="7" a="1"/>
  <c r="R19" i="7" a="1"/>
  <c r="R11" i="7" a="1"/>
  <c r="R16" i="7" a="1"/>
  <c r="R11" i="7" l="1"/>
  <c r="R13" i="7"/>
  <c r="R12" i="7"/>
  <c r="R10" i="7"/>
  <c r="R5" i="7"/>
  <c r="R9" i="7"/>
  <c r="R8" i="7"/>
  <c r="R7" i="7"/>
  <c r="R6" i="7"/>
  <c r="R19" i="7"/>
  <c r="R20" i="7"/>
  <c r="R21" i="7"/>
  <c r="R18" i="7"/>
  <c r="R17" i="7"/>
  <c r="R16" i="7"/>
  <c r="R15" i="7"/>
  <c r="R14" i="7"/>
  <c r="S19" i="7"/>
  <c r="S20" i="7"/>
  <c r="S21" i="7"/>
  <c r="S18" i="7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V11" i="7" a="1"/>
  <c r="V5" i="7" a="1"/>
  <c r="V6" i="7" a="1"/>
  <c r="V18" i="7" a="1"/>
  <c r="V14" i="7" a="1"/>
  <c r="V7" i="7" a="1"/>
  <c r="V15" i="7" a="1"/>
  <c r="V13" i="7" a="1"/>
  <c r="V9" i="7" a="1"/>
  <c r="V19" i="7" a="1"/>
  <c r="V17" i="7" a="1"/>
  <c r="V12" i="7" a="1"/>
  <c r="V8" i="7" a="1"/>
  <c r="V20" i="7" a="1"/>
  <c r="V16" i="7" a="1"/>
  <c r="V10" i="7" a="1"/>
  <c r="V21" i="7" a="1"/>
  <c r="V21" i="7" l="1"/>
  <c r="V10" i="7"/>
  <c r="W10" i="7" s="1"/>
  <c r="X10" i="7" s="1"/>
  <c r="V16" i="7"/>
  <c r="W16" i="7" s="1"/>
  <c r="X16" i="7" s="1"/>
  <c r="V20" i="7"/>
  <c r="W20" i="7" s="1"/>
  <c r="X20" i="7" s="1"/>
  <c r="V8" i="7"/>
  <c r="V12" i="7"/>
  <c r="V17" i="7"/>
  <c r="W17" i="7" s="1"/>
  <c r="X17" i="7" s="1"/>
  <c r="V19" i="7"/>
  <c r="W19" i="7" s="1"/>
  <c r="X19" i="7" s="1"/>
  <c r="V9" i="7"/>
  <c r="V13" i="7"/>
  <c r="V15" i="7"/>
  <c r="W15" i="7" s="1"/>
  <c r="X15" i="7" s="1"/>
  <c r="V7" i="7"/>
  <c r="W7" i="7" s="1"/>
  <c r="X7" i="7" s="1"/>
  <c r="V14" i="7"/>
  <c r="V18" i="7"/>
  <c r="V6" i="7"/>
  <c r="W6" i="7" s="1"/>
  <c r="X6" i="7" s="1"/>
  <c r="V5" i="7"/>
  <c r="W5" i="7" s="1"/>
  <c r="X5" i="7" s="1"/>
  <c r="V11" i="7"/>
  <c r="W12" i="7"/>
  <c r="X12" i="7" s="1"/>
  <c r="W9" i="7"/>
  <c r="X9" i="7" s="1"/>
  <c r="W13" i="7"/>
  <c r="X13" i="7" s="1"/>
  <c r="W21" i="7"/>
  <c r="X21" i="7" s="1"/>
  <c r="W8" i="7"/>
  <c r="X8" i="7" s="1"/>
  <c r="W14" i="7"/>
  <c r="X14" i="7" s="1"/>
  <c r="W18" i="7"/>
  <c r="X18" i="7" s="1"/>
  <c r="W11" i="7"/>
  <c r="X11" i="7" s="1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9" i="2"/>
  <c r="H7" i="9" l="1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" i="9"/>
  <c r="F8" i="9"/>
  <c r="F9" i="9" s="1"/>
  <c r="F10" i="9" s="1"/>
  <c r="F11" i="9" s="1"/>
  <c r="F12" i="9" s="1"/>
  <c r="F13" i="9" s="1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F43" i="9" s="1"/>
  <c r="F44" i="9" s="1"/>
  <c r="F45" i="9" s="1"/>
  <c r="F46" i="9" s="1"/>
  <c r="F47" i="9" s="1"/>
  <c r="F48" i="9" s="1"/>
  <c r="F49" i="9" s="1"/>
  <c r="F50" i="9" s="1"/>
  <c r="F51" i="9" s="1"/>
  <c r="F52" i="9" s="1"/>
  <c r="F53" i="9" s="1"/>
  <c r="F54" i="9" s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7" i="9"/>
  <c r="F6" i="9"/>
  <c r="B7" i="9"/>
  <c r="D7" i="9" s="1"/>
  <c r="C7" i="9"/>
  <c r="B8" i="9"/>
  <c r="D8" i="9" s="1"/>
  <c r="C8" i="9"/>
  <c r="B9" i="9"/>
  <c r="C9" i="9"/>
  <c r="D9" i="9"/>
  <c r="B10" i="9"/>
  <c r="C10" i="9"/>
  <c r="D10" i="9"/>
  <c r="B11" i="9"/>
  <c r="D11" i="9" s="1"/>
  <c r="C11" i="9"/>
  <c r="B12" i="9"/>
  <c r="D12" i="9" s="1"/>
  <c r="C12" i="9"/>
  <c r="B13" i="9"/>
  <c r="C13" i="9"/>
  <c r="D13" i="9"/>
  <c r="B14" i="9"/>
  <c r="C14" i="9"/>
  <c r="D14" i="9"/>
  <c r="B15" i="9"/>
  <c r="D15" i="9" s="1"/>
  <c r="C15" i="9"/>
  <c r="B16" i="9"/>
  <c r="D16" i="9" s="1"/>
  <c r="C16" i="9"/>
  <c r="B17" i="9"/>
  <c r="C17" i="9"/>
  <c r="D17" i="9"/>
  <c r="B18" i="9"/>
  <c r="C18" i="9"/>
  <c r="D18" i="9"/>
  <c r="B19" i="9"/>
  <c r="D19" i="9" s="1"/>
  <c r="C19" i="9"/>
  <c r="B20" i="9"/>
  <c r="D20" i="9" s="1"/>
  <c r="C20" i="9"/>
  <c r="B21" i="9"/>
  <c r="C21" i="9"/>
  <c r="D21" i="9"/>
  <c r="B22" i="9"/>
  <c r="C22" i="9"/>
  <c r="D22" i="9"/>
  <c r="B23" i="9"/>
  <c r="D23" i="9" s="1"/>
  <c r="C23" i="9"/>
  <c r="B24" i="9"/>
  <c r="D24" i="9" s="1"/>
  <c r="C24" i="9"/>
  <c r="B25" i="9"/>
  <c r="C25" i="9"/>
  <c r="D25" i="9"/>
  <c r="B26" i="9"/>
  <c r="C26" i="9"/>
  <c r="D26" i="9"/>
  <c r="B27" i="9"/>
  <c r="D27" i="9" s="1"/>
  <c r="C27" i="9"/>
  <c r="B28" i="9"/>
  <c r="D28" i="9" s="1"/>
  <c r="C28" i="9"/>
  <c r="B29" i="9"/>
  <c r="C29" i="9"/>
  <c r="D29" i="9"/>
  <c r="B30" i="9"/>
  <c r="C30" i="9"/>
  <c r="D30" i="9"/>
  <c r="B31" i="9"/>
  <c r="D31" i="9" s="1"/>
  <c r="C31" i="9"/>
  <c r="B32" i="9"/>
  <c r="D32" i="9" s="1"/>
  <c r="C32" i="9"/>
  <c r="B33" i="9"/>
  <c r="C33" i="9"/>
  <c r="D33" i="9"/>
  <c r="B34" i="9"/>
  <c r="C34" i="9"/>
  <c r="D34" i="9"/>
  <c r="B35" i="9"/>
  <c r="D35" i="9" s="1"/>
  <c r="C35" i="9"/>
  <c r="B36" i="9"/>
  <c r="D36" i="9" s="1"/>
  <c r="C36" i="9"/>
  <c r="B37" i="9"/>
  <c r="C37" i="9"/>
  <c r="D37" i="9"/>
  <c r="B38" i="9"/>
  <c r="C38" i="9"/>
  <c r="D38" i="9"/>
  <c r="B39" i="9"/>
  <c r="D39" i="9" s="1"/>
  <c r="C39" i="9"/>
  <c r="B40" i="9"/>
  <c r="D40" i="9" s="1"/>
  <c r="C40" i="9"/>
  <c r="B41" i="9"/>
  <c r="C41" i="9"/>
  <c r="D41" i="9"/>
  <c r="B42" i="9"/>
  <c r="C42" i="9"/>
  <c r="D42" i="9"/>
  <c r="B43" i="9"/>
  <c r="D43" i="9" s="1"/>
  <c r="C43" i="9"/>
  <c r="B44" i="9"/>
  <c r="D44" i="9" s="1"/>
  <c r="C44" i="9"/>
  <c r="B45" i="9"/>
  <c r="C45" i="9"/>
  <c r="D45" i="9"/>
  <c r="B46" i="9"/>
  <c r="C46" i="9"/>
  <c r="D46" i="9"/>
  <c r="B47" i="9"/>
  <c r="D47" i="9" s="1"/>
  <c r="C47" i="9"/>
  <c r="B48" i="9"/>
  <c r="D48" i="9" s="1"/>
  <c r="C48" i="9"/>
  <c r="B49" i="9"/>
  <c r="C49" i="9"/>
  <c r="D49" i="9"/>
  <c r="B50" i="9"/>
  <c r="C50" i="9"/>
  <c r="D50" i="9"/>
  <c r="B51" i="9"/>
  <c r="D51" i="9" s="1"/>
  <c r="C51" i="9"/>
  <c r="B52" i="9"/>
  <c r="D52" i="9" s="1"/>
  <c r="C52" i="9"/>
  <c r="B53" i="9"/>
  <c r="C53" i="9"/>
  <c r="D53" i="9"/>
  <c r="B54" i="9"/>
  <c r="C54" i="9"/>
  <c r="D54" i="9"/>
  <c r="B55" i="9"/>
  <c r="D55" i="9" s="1"/>
  <c r="C55" i="9"/>
  <c r="B56" i="9"/>
  <c r="D56" i="9" s="1"/>
  <c r="C56" i="9"/>
  <c r="B57" i="9"/>
  <c r="C57" i="9"/>
  <c r="D57" i="9"/>
  <c r="B58" i="9"/>
  <c r="C58" i="9"/>
  <c r="D58" i="9"/>
  <c r="B59" i="9"/>
  <c r="D59" i="9" s="1"/>
  <c r="C59" i="9"/>
  <c r="B60" i="9"/>
  <c r="D60" i="9" s="1"/>
  <c r="C60" i="9"/>
  <c r="B61" i="9"/>
  <c r="C61" i="9"/>
  <c r="D61" i="9"/>
  <c r="B62" i="9"/>
  <c r="C62" i="9"/>
  <c r="D62" i="9"/>
  <c r="B63" i="9"/>
  <c r="D63" i="9" s="1"/>
  <c r="C63" i="9"/>
  <c r="B64" i="9"/>
  <c r="D64" i="9" s="1"/>
  <c r="C64" i="9"/>
  <c r="B65" i="9"/>
  <c r="C65" i="9"/>
  <c r="D65" i="9"/>
  <c r="C6" i="9"/>
  <c r="B6" i="9"/>
  <c r="D6" i="9"/>
  <c r="E74" i="10"/>
  <c r="E62" i="10"/>
  <c r="E50" i="10"/>
  <c r="E38" i="10"/>
  <c r="E26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I15" i="10"/>
  <c r="C15" i="10"/>
  <c r="B15" i="10"/>
  <c r="I5" i="10"/>
  <c r="I6" i="10"/>
  <c r="I7" i="10"/>
  <c r="I8" i="10"/>
  <c r="I4" i="10"/>
  <c r="H5" i="10"/>
  <c r="H6" i="10"/>
  <c r="H7" i="10"/>
  <c r="H8" i="10"/>
  <c r="H4" i="10"/>
  <c r="F15" i="10" l="1"/>
  <c r="J4" i="10"/>
  <c r="J8" i="10"/>
  <c r="J7" i="10"/>
  <c r="J9" i="10" s="1"/>
  <c r="E3" i="10" s="1"/>
  <c r="B9" i="10" s="1"/>
  <c r="J6" i="10"/>
  <c r="J5" i="10"/>
  <c r="D15" i="10" l="1"/>
  <c r="D16" i="10"/>
  <c r="D20" i="10"/>
  <c r="J20" i="10" s="1"/>
  <c r="D24" i="10"/>
  <c r="J24" i="10" s="1"/>
  <c r="D28" i="10"/>
  <c r="J28" i="10" s="1"/>
  <c r="D32" i="10"/>
  <c r="J32" i="10" s="1"/>
  <c r="D36" i="10"/>
  <c r="J36" i="10" s="1"/>
  <c r="D40" i="10"/>
  <c r="J40" i="10" s="1"/>
  <c r="D44" i="10"/>
  <c r="J44" i="10" s="1"/>
  <c r="D48" i="10"/>
  <c r="J48" i="10" s="1"/>
  <c r="D52" i="10"/>
  <c r="J52" i="10" s="1"/>
  <c r="D56" i="10"/>
  <c r="J56" i="10" s="1"/>
  <c r="D60" i="10"/>
  <c r="J60" i="10" s="1"/>
  <c r="D64" i="10"/>
  <c r="J64" i="10" s="1"/>
  <c r="D68" i="10"/>
  <c r="J68" i="10" s="1"/>
  <c r="D72" i="10"/>
  <c r="J72" i="10" s="1"/>
  <c r="D26" i="10"/>
  <c r="J26" i="10" s="1"/>
  <c r="D38" i="10"/>
  <c r="J38" i="10" s="1"/>
  <c r="D46" i="10"/>
  <c r="J46" i="10" s="1"/>
  <c r="D54" i="10"/>
  <c r="J54" i="10" s="1"/>
  <c r="D62" i="10"/>
  <c r="J62" i="10" s="1"/>
  <c r="D70" i="10"/>
  <c r="J70" i="10" s="1"/>
  <c r="D19" i="10"/>
  <c r="J19" i="10" s="1"/>
  <c r="D23" i="10"/>
  <c r="J23" i="10" s="1"/>
  <c r="D31" i="10"/>
  <c r="J31" i="10" s="1"/>
  <c r="D39" i="10"/>
  <c r="J39" i="10" s="1"/>
  <c r="D47" i="10"/>
  <c r="J47" i="10" s="1"/>
  <c r="D55" i="10"/>
  <c r="J55" i="10" s="1"/>
  <c r="D17" i="10"/>
  <c r="J17" i="10" s="1"/>
  <c r="D21" i="10"/>
  <c r="J21" i="10" s="1"/>
  <c r="D25" i="10"/>
  <c r="J25" i="10" s="1"/>
  <c r="D29" i="10"/>
  <c r="J29" i="10" s="1"/>
  <c r="D33" i="10"/>
  <c r="J33" i="10" s="1"/>
  <c r="D37" i="10"/>
  <c r="J37" i="10" s="1"/>
  <c r="D41" i="10"/>
  <c r="J41" i="10" s="1"/>
  <c r="D45" i="10"/>
  <c r="J45" i="10" s="1"/>
  <c r="D49" i="10"/>
  <c r="J49" i="10" s="1"/>
  <c r="D53" i="10"/>
  <c r="J53" i="10" s="1"/>
  <c r="D57" i="10"/>
  <c r="J57" i="10" s="1"/>
  <c r="D61" i="10"/>
  <c r="J61" i="10" s="1"/>
  <c r="D65" i="10"/>
  <c r="J65" i="10" s="1"/>
  <c r="D69" i="10"/>
  <c r="J69" i="10" s="1"/>
  <c r="D73" i="10"/>
  <c r="J73" i="10" s="1"/>
  <c r="D18" i="10"/>
  <c r="J18" i="10" s="1"/>
  <c r="D22" i="10"/>
  <c r="J22" i="10" s="1"/>
  <c r="D30" i="10"/>
  <c r="J30" i="10" s="1"/>
  <c r="D34" i="10"/>
  <c r="J34" i="10" s="1"/>
  <c r="D42" i="10"/>
  <c r="J42" i="10" s="1"/>
  <c r="D50" i="10"/>
  <c r="J50" i="10" s="1"/>
  <c r="D58" i="10"/>
  <c r="J58" i="10" s="1"/>
  <c r="D66" i="10"/>
  <c r="J66" i="10" s="1"/>
  <c r="D74" i="10"/>
  <c r="J74" i="10" s="1"/>
  <c r="D27" i="10"/>
  <c r="J27" i="10" s="1"/>
  <c r="D35" i="10"/>
  <c r="J35" i="10" s="1"/>
  <c r="D43" i="10"/>
  <c r="J43" i="10" s="1"/>
  <c r="D51" i="10"/>
  <c r="J51" i="10" s="1"/>
  <c r="D71" i="10"/>
  <c r="J71" i="10" s="1"/>
  <c r="D63" i="10"/>
  <c r="J63" i="10" s="1"/>
  <c r="D67" i="10"/>
  <c r="J67" i="10" s="1"/>
  <c r="D59" i="10"/>
  <c r="J59" i="10" s="1"/>
  <c r="J16" i="10" l="1"/>
  <c r="G15" i="10"/>
  <c r="H15" i="10" s="1"/>
  <c r="J15" i="10"/>
  <c r="K15" i="10" l="1"/>
  <c r="B16" i="10"/>
  <c r="F16" i="10" l="1"/>
  <c r="G16" i="10" s="1"/>
  <c r="H16" i="10" s="1"/>
  <c r="B17" i="10" s="1"/>
  <c r="F17" i="10" s="1"/>
  <c r="G17" i="10" s="1"/>
  <c r="H17" i="10" s="1"/>
  <c r="B18" i="10" s="1"/>
  <c r="F18" i="10" s="1"/>
  <c r="G18" i="10" s="1"/>
  <c r="H18" i="10" s="1"/>
  <c r="B19" i="10" s="1"/>
  <c r="F19" i="10" s="1"/>
  <c r="G19" i="10" s="1"/>
  <c r="H19" i="10" s="1"/>
  <c r="B20" i="10" s="1"/>
  <c r="F20" i="10" s="1"/>
  <c r="G20" i="10" s="1"/>
  <c r="H20" i="10" l="1"/>
  <c r="B21" i="10" s="1"/>
  <c r="F21" i="10" l="1"/>
  <c r="G21" i="10" s="1"/>
  <c r="H21" i="10" s="1"/>
  <c r="B22" i="10" l="1"/>
  <c r="F22" i="10" l="1"/>
  <c r="G22" i="10" s="1"/>
  <c r="H22" i="10" s="1"/>
  <c r="B23" i="10" l="1"/>
  <c r="F23" i="10" l="1"/>
  <c r="G23" i="10" s="1"/>
  <c r="H23" i="10" s="1"/>
  <c r="B24" i="10" l="1"/>
  <c r="F24" i="10" l="1"/>
  <c r="G24" i="10" s="1"/>
  <c r="H24" i="10" s="1"/>
  <c r="B25" i="10" l="1"/>
  <c r="F25" i="10" l="1"/>
  <c r="G25" i="10" s="1"/>
  <c r="H25" i="10" s="1"/>
  <c r="B26" i="10" l="1"/>
  <c r="F26" i="10" l="1"/>
  <c r="G26" i="10" s="1"/>
  <c r="H26" i="10" s="1"/>
  <c r="B27" i="10" l="1"/>
  <c r="F27" i="10" l="1"/>
  <c r="G27" i="10" s="1"/>
  <c r="H27" i="10" s="1"/>
  <c r="B28" i="10" l="1"/>
  <c r="F28" i="10" l="1"/>
  <c r="G28" i="10" s="1"/>
  <c r="H28" i="10" s="1"/>
  <c r="B29" i="10" l="1"/>
  <c r="F29" i="10" l="1"/>
  <c r="G29" i="10" s="1"/>
  <c r="H29" i="10"/>
  <c r="B30" i="10" l="1"/>
  <c r="F30" i="10" l="1"/>
  <c r="G30" i="10" s="1"/>
  <c r="H30" i="10" s="1"/>
  <c r="B31" i="10" l="1"/>
  <c r="F31" i="10" l="1"/>
  <c r="G31" i="10" s="1"/>
  <c r="H31" i="10" s="1"/>
  <c r="B32" i="10" l="1"/>
  <c r="F32" i="10" l="1"/>
  <c r="G32" i="10" s="1"/>
  <c r="H32" i="10" s="1"/>
  <c r="B33" i="10" l="1"/>
  <c r="F33" i="10" l="1"/>
  <c r="G33" i="10" s="1"/>
  <c r="H33" i="10"/>
  <c r="B34" i="10" l="1"/>
  <c r="F34" i="10" l="1"/>
  <c r="G34" i="10" s="1"/>
  <c r="H34" i="10" s="1"/>
  <c r="B35" i="10" l="1"/>
  <c r="F35" i="10" l="1"/>
  <c r="G35" i="10" s="1"/>
  <c r="H35" i="10" s="1"/>
  <c r="B36" i="10" l="1"/>
  <c r="F36" i="10" l="1"/>
  <c r="G36" i="10" s="1"/>
  <c r="H36" i="10"/>
  <c r="B37" i="10" l="1"/>
  <c r="F37" i="10" l="1"/>
  <c r="G37" i="10" s="1"/>
  <c r="H37" i="10" s="1"/>
  <c r="B38" i="10" l="1"/>
  <c r="F38" i="10" l="1"/>
  <c r="G38" i="10" s="1"/>
  <c r="H38" i="10" s="1"/>
  <c r="B39" i="10" l="1"/>
  <c r="F39" i="10" l="1"/>
  <c r="G39" i="10" s="1"/>
  <c r="H39" i="10" s="1"/>
  <c r="B40" i="10" l="1"/>
  <c r="F40" i="10" l="1"/>
  <c r="G40" i="10" s="1"/>
  <c r="H40" i="10" s="1"/>
  <c r="B41" i="10" l="1"/>
  <c r="F41" i="10" l="1"/>
  <c r="G41" i="10" s="1"/>
  <c r="H41" i="10"/>
  <c r="B42" i="10" l="1"/>
  <c r="F42" i="10" l="1"/>
  <c r="G42" i="10" s="1"/>
  <c r="H42" i="10" s="1"/>
  <c r="B43" i="10" l="1"/>
  <c r="B1" i="9"/>
  <c r="F43" i="10" l="1"/>
  <c r="G43" i="10" s="1"/>
  <c r="H43" i="10" s="1"/>
  <c r="A16" i="10"/>
  <c r="A7" i="9"/>
  <c r="A8" i="9" s="1"/>
  <c r="A9" i="9" s="1"/>
  <c r="A10" i="9" s="1"/>
  <c r="A11" i="9" s="1"/>
  <c r="A17" i="10" l="1"/>
  <c r="K16" i="10"/>
  <c r="B44" i="10"/>
  <c r="A12" i="9"/>
  <c r="A13" i="9" s="1"/>
  <c r="A18" i="10" l="1"/>
  <c r="K17" i="10"/>
  <c r="F44" i="10"/>
  <c r="G44" i="10" s="1"/>
  <c r="H44" i="10" s="1"/>
  <c r="A14" i="9"/>
  <c r="A19" i="10" l="1"/>
  <c r="K18" i="10"/>
  <c r="B45" i="10"/>
  <c r="A15" i="9"/>
  <c r="A20" i="10" l="1"/>
  <c r="K19" i="10"/>
  <c r="F45" i="10"/>
  <c r="G45" i="10" s="1"/>
  <c r="H45" i="10" s="1"/>
  <c r="A16" i="9"/>
  <c r="A21" i="10" l="1"/>
  <c r="K20" i="10"/>
  <c r="B46" i="10"/>
  <c r="A17" i="9"/>
  <c r="A22" i="10" l="1"/>
  <c r="K21" i="10"/>
  <c r="F46" i="10"/>
  <c r="G46" i="10" s="1"/>
  <c r="H46" i="10" s="1"/>
  <c r="A18" i="9"/>
  <c r="A23" i="10" l="1"/>
  <c r="K22" i="10"/>
  <c r="B47" i="10"/>
  <c r="A19" i="9"/>
  <c r="A24" i="10" l="1"/>
  <c r="K23" i="10"/>
  <c r="F47" i="10"/>
  <c r="G47" i="10" s="1"/>
  <c r="H47" i="10" s="1"/>
  <c r="A20" i="9"/>
  <c r="A25" i="10" l="1"/>
  <c r="K24" i="10"/>
  <c r="B48" i="10"/>
  <c r="A21" i="9"/>
  <c r="A26" i="10" l="1"/>
  <c r="K25" i="10"/>
  <c r="F48" i="10"/>
  <c r="G48" i="10" s="1"/>
  <c r="H48" i="10" s="1"/>
  <c r="A22" i="9"/>
  <c r="A27" i="10" l="1"/>
  <c r="K26" i="10"/>
  <c r="B49" i="10"/>
  <c r="A23" i="9"/>
  <c r="A28" i="10" l="1"/>
  <c r="K27" i="10"/>
  <c r="F49" i="10"/>
  <c r="G49" i="10" s="1"/>
  <c r="H49" i="10" s="1"/>
  <c r="A24" i="9"/>
  <c r="A29" i="10" l="1"/>
  <c r="K28" i="10"/>
  <c r="B50" i="10"/>
  <c r="A25" i="9"/>
  <c r="A30" i="10" l="1"/>
  <c r="K29" i="10"/>
  <c r="F50" i="10"/>
  <c r="G50" i="10" s="1"/>
  <c r="H50" i="10" s="1"/>
  <c r="A26" i="9"/>
  <c r="A31" i="10" l="1"/>
  <c r="K30" i="10"/>
  <c r="B51" i="10"/>
  <c r="A27" i="9"/>
  <c r="A32" i="10" l="1"/>
  <c r="K31" i="10"/>
  <c r="F51" i="10"/>
  <c r="G51" i="10" s="1"/>
  <c r="H51" i="10" s="1"/>
  <c r="A28" i="9"/>
  <c r="A33" i="10" l="1"/>
  <c r="K32" i="10"/>
  <c r="B52" i="10"/>
  <c r="A29" i="9"/>
  <c r="A34" i="10" l="1"/>
  <c r="K33" i="10"/>
  <c r="F52" i="10"/>
  <c r="G52" i="10" s="1"/>
  <c r="H52" i="10" s="1"/>
  <c r="A30" i="9"/>
  <c r="A35" i="10" l="1"/>
  <c r="K34" i="10"/>
  <c r="B53" i="10"/>
  <c r="A31" i="9"/>
  <c r="A36" i="10" l="1"/>
  <c r="K35" i="10"/>
  <c r="F53" i="10"/>
  <c r="G53" i="10" s="1"/>
  <c r="H53" i="10" s="1"/>
  <c r="A32" i="9"/>
  <c r="A37" i="10" l="1"/>
  <c r="K36" i="10"/>
  <c r="B54" i="10"/>
  <c r="A33" i="9"/>
  <c r="A38" i="10" l="1"/>
  <c r="K37" i="10"/>
  <c r="F54" i="10"/>
  <c r="G54" i="10" s="1"/>
  <c r="H54" i="10" s="1"/>
  <c r="A34" i="9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E20" i="7"/>
  <c r="A39" i="10" l="1"/>
  <c r="K38" i="10"/>
  <c r="B55" i="10"/>
  <c r="A35" i="9"/>
  <c r="A40" i="10" l="1"/>
  <c r="K39" i="10"/>
  <c r="F55" i="10"/>
  <c r="G55" i="10" s="1"/>
  <c r="H55" i="10" s="1"/>
  <c r="A36" i="9"/>
  <c r="A41" i="10" l="1"/>
  <c r="K40" i="10"/>
  <c r="B56" i="10"/>
  <c r="A37" i="9"/>
  <c r="A42" i="10" l="1"/>
  <c r="K41" i="10"/>
  <c r="F56" i="10"/>
  <c r="G56" i="10" s="1"/>
  <c r="H56" i="10" s="1"/>
  <c r="A38" i="9"/>
  <c r="A43" i="10" l="1"/>
  <c r="K42" i="10"/>
  <c r="B57" i="10"/>
  <c r="A39" i="9"/>
  <c r="A44" i="10" l="1"/>
  <c r="K43" i="10"/>
  <c r="F57" i="10"/>
  <c r="G57" i="10" s="1"/>
  <c r="H57" i="10" s="1"/>
  <c r="A40" i="9"/>
  <c r="A45" i="10" l="1"/>
  <c r="K44" i="10"/>
  <c r="B58" i="10"/>
  <c r="A41" i="9"/>
  <c r="A46" i="10" l="1"/>
  <c r="K45" i="10"/>
  <c r="F58" i="10"/>
  <c r="G58" i="10" s="1"/>
  <c r="H58" i="10" s="1"/>
  <c r="A42" i="9"/>
  <c r="A47" i="10" l="1"/>
  <c r="K46" i="10"/>
  <c r="B59" i="10"/>
  <c r="A43" i="9"/>
  <c r="A48" i="10" l="1"/>
  <c r="K47" i="10"/>
  <c r="F59" i="10"/>
  <c r="G59" i="10" s="1"/>
  <c r="H59" i="10" s="1"/>
  <c r="A44" i="9"/>
  <c r="A49" i="10" l="1"/>
  <c r="K48" i="10"/>
  <c r="B60" i="10"/>
  <c r="A45" i="9"/>
  <c r="A50" i="10" l="1"/>
  <c r="K49" i="10"/>
  <c r="F60" i="10"/>
  <c r="G60" i="10" s="1"/>
  <c r="H60" i="10" s="1"/>
  <c r="A46" i="9"/>
  <c r="A51" i="10" l="1"/>
  <c r="K50" i="10"/>
  <c r="B61" i="10"/>
  <c r="A47" i="9"/>
  <c r="A52" i="10" l="1"/>
  <c r="K51" i="10"/>
  <c r="F61" i="10"/>
  <c r="G61" i="10" s="1"/>
  <c r="H61" i="10" s="1"/>
  <c r="A48" i="9"/>
  <c r="A53" i="10" l="1"/>
  <c r="K52" i="10"/>
  <c r="B62" i="10"/>
  <c r="A49" i="9"/>
  <c r="A54" i="10" l="1"/>
  <c r="K53" i="10"/>
  <c r="F62" i="10"/>
  <c r="G62" i="10" s="1"/>
  <c r="H62" i="10" s="1"/>
  <c r="A50" i="9"/>
  <c r="A55" i="10" l="1"/>
  <c r="K54" i="10"/>
  <c r="B63" i="10"/>
  <c r="A51" i="9"/>
  <c r="A56" i="10" l="1"/>
  <c r="K55" i="10"/>
  <c r="F63" i="10"/>
  <c r="G63" i="10" s="1"/>
  <c r="H63" i="10" s="1"/>
  <c r="A52" i="9"/>
  <c r="A57" i="10" l="1"/>
  <c r="K56" i="10"/>
  <c r="B64" i="10"/>
  <c r="A53" i="9"/>
  <c r="A58" i="10" l="1"/>
  <c r="K57" i="10"/>
  <c r="F64" i="10"/>
  <c r="G64" i="10" s="1"/>
  <c r="H64" i="10" s="1"/>
  <c r="A54" i="9"/>
  <c r="A59" i="10" l="1"/>
  <c r="K58" i="10"/>
  <c r="B65" i="10"/>
  <c r="A55" i="9"/>
  <c r="A60" i="10" l="1"/>
  <c r="K59" i="10"/>
  <c r="F65" i="10"/>
  <c r="G65" i="10" s="1"/>
  <c r="H65" i="10"/>
  <c r="A56" i="9"/>
  <c r="A61" i="10" l="1"/>
  <c r="K60" i="10"/>
  <c r="B66" i="10"/>
  <c r="A57" i="9"/>
  <c r="A62" i="10" l="1"/>
  <c r="K61" i="10"/>
  <c r="F66" i="10"/>
  <c r="G66" i="10" s="1"/>
  <c r="H66" i="10" s="1"/>
  <c r="A58" i="9"/>
  <c r="A63" i="10" l="1"/>
  <c r="K62" i="10"/>
  <c r="B67" i="10"/>
  <c r="A59" i="9"/>
  <c r="A64" i="10" l="1"/>
  <c r="K63" i="10"/>
  <c r="F67" i="10"/>
  <c r="G67" i="10" s="1"/>
  <c r="H67" i="10" s="1"/>
  <c r="A60" i="9"/>
  <c r="A65" i="10" l="1"/>
  <c r="K64" i="10"/>
  <c r="B68" i="10"/>
  <c r="A61" i="9"/>
  <c r="A66" i="10" l="1"/>
  <c r="K65" i="10"/>
  <c r="F68" i="10"/>
  <c r="G68" i="10" s="1"/>
  <c r="H68" i="10" s="1"/>
  <c r="A62" i="9"/>
  <c r="A67" i="10" l="1"/>
  <c r="K66" i="10"/>
  <c r="B69" i="10"/>
  <c r="A63" i="9"/>
  <c r="A68" i="10" l="1"/>
  <c r="K67" i="10"/>
  <c r="F69" i="10"/>
  <c r="G69" i="10" s="1"/>
  <c r="H69" i="10"/>
  <c r="A64" i="9"/>
  <c r="A69" i="10" l="1"/>
  <c r="K68" i="10"/>
  <c r="B70" i="10"/>
  <c r="A65" i="9"/>
  <c r="A70" i="10" l="1"/>
  <c r="K69" i="10"/>
  <c r="F70" i="10"/>
  <c r="G70" i="10" s="1"/>
  <c r="H70" i="10" s="1"/>
  <c r="H67" i="9"/>
  <c r="A71" i="10" l="1"/>
  <c r="K70" i="10"/>
  <c r="B71" i="10"/>
  <c r="E21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A72" i="10" l="1"/>
  <c r="K71" i="10"/>
  <c r="F71" i="10"/>
  <c r="G71" i="10" s="1"/>
  <c r="H71" i="10" s="1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73" i="10" l="1"/>
  <c r="K72" i="10"/>
  <c r="B72" i="10"/>
  <c r="F16" i="2"/>
  <c r="J16" i="2"/>
  <c r="L16" i="2"/>
  <c r="N16" i="2"/>
  <c r="F22" i="2"/>
  <c r="N20" i="2"/>
  <c r="L20" i="2"/>
  <c r="N19" i="2"/>
  <c r="F15" i="2"/>
  <c r="N13" i="2"/>
  <c r="L13" i="2"/>
  <c r="N12" i="2"/>
  <c r="L12" i="2"/>
  <c r="J12" i="2"/>
  <c r="F12" i="2"/>
  <c r="L11" i="2"/>
  <c r="J10" i="2"/>
  <c r="F10" i="2"/>
  <c r="P16" i="2" l="1"/>
  <c r="Q16" i="2" s="1"/>
  <c r="P12" i="2"/>
  <c r="Q12" i="2" s="1"/>
  <c r="A74" i="10"/>
  <c r="K74" i="10" s="1"/>
  <c r="K73" i="10"/>
  <c r="F72" i="10"/>
  <c r="G72" i="10" s="1"/>
  <c r="H72" i="10"/>
  <c r="L14" i="2"/>
  <c r="J14" i="2"/>
  <c r="F14" i="2"/>
  <c r="N14" i="2"/>
  <c r="N18" i="2"/>
  <c r="L18" i="2"/>
  <c r="J18" i="2"/>
  <c r="F18" i="2"/>
  <c r="J11" i="2"/>
  <c r="N21" i="2"/>
  <c r="L21" i="2"/>
  <c r="J21" i="2"/>
  <c r="F21" i="2"/>
  <c r="F9" i="2"/>
  <c r="N15" i="2"/>
  <c r="L15" i="2"/>
  <c r="J15" i="2"/>
  <c r="L17" i="2"/>
  <c r="J17" i="2"/>
  <c r="F17" i="2"/>
  <c r="N17" i="2"/>
  <c r="L9" i="2"/>
  <c r="N10" i="2"/>
  <c r="L10" i="2"/>
  <c r="J13" i="2"/>
  <c r="F13" i="2"/>
  <c r="P13" i="2" s="1"/>
  <c r="Q13" i="2" s="1"/>
  <c r="N9" i="2"/>
  <c r="J9" i="2"/>
  <c r="F11" i="2"/>
  <c r="N11" i="2"/>
  <c r="F20" i="2"/>
  <c r="J22" i="2"/>
  <c r="F19" i="2"/>
  <c r="L22" i="2"/>
  <c r="J20" i="2"/>
  <c r="N22" i="2"/>
  <c r="J19" i="2"/>
  <c r="L19" i="2"/>
  <c r="P15" i="2" l="1"/>
  <c r="Q15" i="2" s="1"/>
  <c r="P22" i="2"/>
  <c r="Q22" i="2" s="1"/>
  <c r="P10" i="2"/>
  <c r="Q10" i="2" s="1"/>
  <c r="P18" i="2"/>
  <c r="Q18" i="2" s="1"/>
  <c r="P14" i="2"/>
  <c r="Q14" i="2" s="1"/>
  <c r="P20" i="2"/>
  <c r="Q20" i="2" s="1"/>
  <c r="P9" i="2"/>
  <c r="Q9" i="2" s="1"/>
  <c r="P19" i="2"/>
  <c r="Q19" i="2" s="1"/>
  <c r="P11" i="2"/>
  <c r="Q11" i="2" s="1"/>
  <c r="P21" i="2"/>
  <c r="Q21" i="2" s="1"/>
  <c r="P17" i="2"/>
  <c r="Q17" i="2" s="1"/>
  <c r="K13" i="10"/>
  <c r="B73" i="10"/>
  <c r="F73" i="10" l="1"/>
  <c r="G73" i="10" s="1"/>
  <c r="H73" i="10" s="1"/>
  <c r="B74" i="10" l="1"/>
  <c r="F74" i="10" l="1"/>
  <c r="G74" i="10" s="1"/>
  <c r="H7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tc={F80F14AD-BD05-4F2F-96CD-F7BFA6D5088A}</author>
    <author>tc={A04CB125-ADAC-453B-A8AB-F5CD0089A5D2}</author>
    <author>tc={E55E41DC-22A1-4410-88FF-C024DCC7BC1F}</author>
    <author>tc={AEF8EED5-5D6E-4AE9-8689-C056B50C058D}</author>
    <author>tc={E278EB89-4055-40BE-889B-A9D1FB8F9ACB}</author>
  </authors>
  <commentList>
    <comment ref="A3" authorId="0" shapeId="0" xr:uid="{F80F14AD-BD05-4F2F-96CD-F7BFA6D5088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la cantidad de dinero que ofrece (presta) la entidad financiera un usuario</t>
      </text>
    </comment>
    <comment ref="A4" authorId="1" shapeId="0" xr:uid="{A04CB125-ADAC-453B-A8AB-F5CD0089A5D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tasa de interes que debe de pagar el usuario</t>
      </text>
    </comment>
    <comment ref="A5" authorId="2" shapeId="0" xr:uid="{E55E41DC-22A1-4410-88FF-C024DCC7BC1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Precio que tiene que pagar el usuario por pedir el prestamo</t>
      </text>
    </comment>
    <comment ref="A6" authorId="3" shapeId="0" xr:uid="{AEF8EED5-5D6E-4AE9-8689-C056B50C058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numero de plazo para pagar el prestamo</t>
      </text>
    </comment>
    <comment ref="A9" authorId="4" shapeId="0" xr:uid="{E278EB89-4055-40BE-889B-A9D1FB8F9AC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 que el usuario debe pagar periodicamente; en este caso es con la funcion: "PAGO" o por medio de aplicar un despeje R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tc={3D51AA1C-CD82-4E30-9270-5866D5149A11}</author>
    <author>tc={FAA05915-F656-47D4-8AB7-0B8D4CD91C82}</author>
    <author>tc={882E8C2B-56F5-4E6B-A44F-3A41EC580EF7}</author>
    <author>tc={AC97525F-0ED3-484C-BF75-51FA187229B1}</author>
    <author>tc={47D56AB8-3D89-4706-B6A3-175E882BD20A}</author>
  </authors>
  <commentList>
    <comment ref="M4" authorId="0" shapeId="0" xr:uid="{3D51AA1C-CD82-4E30-9270-5866D5149A1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 esto nos ayudara al programa: "saldo insoluto" a indicar e agregar el pago intermedio correspondiente </t>
      </text>
    </comment>
    <comment ref="O4" authorId="1" shapeId="0" xr:uid="{FAA05915-F656-47D4-8AB7-0B8D4CD91C8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Usamos la macro llmada: "Nueva_Linea_Credito"</t>
      </text>
    </comment>
    <comment ref="Q4" authorId="2" shapeId="0" xr:uid="{882E8C2B-56F5-4E6B-A44F-3A41EC580EF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Dado que hay pago intermedio; vamos a ocupar el saldo modifica de credito de al funcion: "pago"</t>
      </text>
    </comment>
    <comment ref="R4" authorId="3" shapeId="0" xr:uid="{AC97525F-0ED3-484C-BF75-51FA187229B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Vamos a usar la funcion llamada: "Saldo_Insoluto"</t>
      </text>
    </comment>
    <comment ref="V4" authorId="4" shapeId="0" xr:uid="{47D56AB8-3D89-4706-B6A3-175E882BD20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Usamos la funcion llamada: "Reservas"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<sst xmlns="http://schemas.openxmlformats.org/spreadsheetml/2006/main" count="241" uniqueCount="148">
  <si>
    <t>Periodo</t>
  </si>
  <si>
    <t>ID_Persona</t>
  </si>
  <si>
    <t>Sector</t>
  </si>
  <si>
    <t>Indicador</t>
  </si>
  <si>
    <t>Puntaje</t>
  </si>
  <si>
    <t>Alfa</t>
  </si>
  <si>
    <t>Puntaje Crediticio Total</t>
  </si>
  <si>
    <t xml:space="preserve">PI </t>
  </si>
  <si>
    <t>A</t>
  </si>
  <si>
    <t>E</t>
  </si>
  <si>
    <t>M</t>
  </si>
  <si>
    <t>C</t>
  </si>
  <si>
    <t>S</t>
  </si>
  <si>
    <t>Sin información</t>
  </si>
  <si>
    <t>Porcentaje de pagos en tiempo con entidades financieras bancarias en los últimos 12 meses</t>
  </si>
  <si>
    <t>Porcentaje de pagos en tiempo con entidades financieras no bancarias en los últimos 12 meses</t>
  </si>
  <si>
    <t>Presencia de quitas, castigos y reestructuras con entidades financieras bancarias en los últimos 12 meses
1 Sí 
0 No</t>
  </si>
  <si>
    <t>Máximo número de atrasos presentado en los últimos 4 meses considerando el mes de calificación</t>
  </si>
  <si>
    <t>Promedio de días de mora de todos los créditos del acreditado a la fecha de calificación</t>
  </si>
  <si>
    <t>Puntaje crediticio total</t>
  </si>
  <si>
    <t>Cliente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</si>
  <si>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</si>
  <si>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</si>
  <si>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</si>
  <si>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</si>
  <si>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</si>
  <si>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</si>
  <si>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</si>
  <si>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</si>
  <si>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</si>
  <si>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</si>
  <si>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</si>
  <si>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</si>
  <si>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</si>
  <si>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</si>
  <si>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SP</t>
  </si>
  <si>
    <t>A0001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</si>
  <si>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</si>
  <si>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</si>
  <si>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</si>
  <si>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</si>
  <si>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</si>
  <si>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</si>
  <si>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</si>
  <si>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</si>
  <si>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</si>
  <si>
    <t>A0011</t>
  </si>
  <si>
    <t>A0012</t>
  </si>
  <si>
    <t>A0013</t>
  </si>
  <si>
    <t>A0014</t>
  </si>
  <si>
    <t>A0015</t>
  </si>
  <si>
    <t>A0016</t>
  </si>
  <si>
    <t>A0017</t>
  </si>
  <si>
    <t>No. De Cliente</t>
  </si>
  <si>
    <t>No. De Crédito</t>
  </si>
  <si>
    <t>Días de 
Atraso</t>
  </si>
  <si>
    <t>Etapa</t>
  </si>
  <si>
    <t>Tasa Efectiva</t>
  </si>
  <si>
    <t>Saldo Original del Crédito</t>
  </si>
  <si>
    <t>MESES DE 
ATRASO</t>
  </si>
  <si>
    <t>Tasa de Interés</t>
  </si>
  <si>
    <t>Pago</t>
  </si>
  <si>
    <t>Reserva</t>
  </si>
  <si>
    <t>PI</t>
  </si>
  <si>
    <t>Meses de Atraso</t>
  </si>
  <si>
    <t>Saldo Insoluto (SI)</t>
  </si>
  <si>
    <t>Número de Pagos Vencidos</t>
  </si>
  <si>
    <t>Monto Vencido</t>
  </si>
  <si>
    <t>Información de Clientes para determinación de la PI</t>
  </si>
  <si>
    <t>Determinación de la Probabilidad de Incumplimiento (PI)</t>
  </si>
  <si>
    <t>Determinación de Reservas por Riesgo de Crédito</t>
  </si>
  <si>
    <t>Plazo del Crédito
(meses)</t>
  </si>
  <si>
    <t>Plazo Remanente
(meses)</t>
  </si>
  <si>
    <t>Reserva Total
(Final)</t>
  </si>
  <si>
    <t>12, 24, 36, 48, 60</t>
  </si>
  <si>
    <t>Pagos Intermedios  a Capital en meses:</t>
  </si>
  <si>
    <t>12, 24, 36, 48</t>
  </si>
  <si>
    <t>12, 24, 36</t>
  </si>
  <si>
    <t>Modelo de Supervivencia</t>
  </si>
  <si>
    <r>
      <t xml:space="preserve">Años </t>
    </r>
    <r>
      <rPr>
        <b/>
        <i/>
        <sz val="11"/>
        <color theme="0"/>
        <rFont val="EYInterstate Light"/>
      </rPr>
      <t>n</t>
    </r>
  </si>
  <si>
    <r>
      <t xml:space="preserve">Tasa </t>
    </r>
    <r>
      <rPr>
        <b/>
        <i/>
        <sz val="11"/>
        <color theme="0"/>
        <rFont val="EYInterstate Light"/>
      </rPr>
      <t>r</t>
    </r>
  </si>
  <si>
    <r>
      <t>EI</t>
    </r>
    <r>
      <rPr>
        <b/>
        <sz val="8"/>
        <color theme="0"/>
        <rFont val="EYInterstate Light"/>
      </rPr>
      <t>t</t>
    </r>
  </si>
  <si>
    <t>Factor de Descuento</t>
  </si>
  <si>
    <r>
      <t>PS</t>
    </r>
    <r>
      <rPr>
        <b/>
        <sz val="8"/>
        <color theme="0"/>
        <rFont val="EYInterstate Light"/>
      </rPr>
      <t>t-1</t>
    </r>
  </si>
  <si>
    <t>Reserva =</t>
  </si>
  <si>
    <t>meses</t>
  </si>
  <si>
    <t>Monto de Pagos a Capital Intermedios</t>
  </si>
  <si>
    <t>Tiempo</t>
  </si>
  <si>
    <t>SI Inicio</t>
  </si>
  <si>
    <t>Tasa</t>
  </si>
  <si>
    <t>Pagos a Capital
Intermedios</t>
  </si>
  <si>
    <t>Pago a Capital</t>
  </si>
  <si>
    <t>SI Final</t>
  </si>
  <si>
    <t>b) Calcular la tasa efectiva del crédito</t>
  </si>
  <si>
    <t>Una vez calculada la tabla de amortización, en la pestaña Modelo de Supervivencia, deberá estimar la reserva a tiempo de vida ("lifetime") del crédito, en la tabla ya viene</t>
  </si>
  <si>
    <t>la PI y la SP que debe utilizar para estimar la reserva.</t>
  </si>
  <si>
    <t>Instrucciones Ejercicio 1</t>
  </si>
  <si>
    <t>a) La tabla de amortización del crédito</t>
  </si>
  <si>
    <t>Pagos intermedios 
en los meses:</t>
  </si>
  <si>
    <t>Instrucciones Ejercicio 2</t>
  </si>
  <si>
    <t>a) La etapa del crédito</t>
  </si>
  <si>
    <t xml:space="preserve">Considere, que son créditos que tienen pagos intermedios, en la columna "Pagos Intermedios  a Capital en meses" se especifica en que meses se hacen pagos a Capital </t>
  </si>
  <si>
    <t>e) PI - este valor lo traerá de la pestaña PI una vez que lo haya construido</t>
  </si>
  <si>
    <t>f) SP - obtengalo de la misma forma que el ejercicio visto en clase</t>
  </si>
  <si>
    <t>c) Saldo Insoluto (SI). Para este campo debe construir una función en Visual Basic que calcule el Saldo Insoluto</t>
  </si>
  <si>
    <t>g) Reserva. Para este campo debe construir una función en Visual Basic que estime la reserva, ya sea 12 meses o de vida completa, según la etapa del crédito</t>
  </si>
  <si>
    <t>h) Reserva Total
(Final) - Esta incluye la Reserva más la Reserva por pagos vencidos (igual como lo hicimos en clase)</t>
  </si>
  <si>
    <t>Nota Importante:</t>
  </si>
  <si>
    <t>y en la columna "Monto de Pagos Fijo Intermedios" le dice cuanto es el monto de pago a capital en esos meses.</t>
  </si>
  <si>
    <t>Monto de Pagos 
Fijo Intermedios</t>
  </si>
  <si>
    <t>b) Pago - Debe determinar el pago mensual fijo que para el cliente</t>
  </si>
  <si>
    <t>d) Monto Vencido - Determinarlo igual como lo vimos en clase</t>
  </si>
  <si>
    <t>31/03/2023</t>
  </si>
  <si>
    <r>
      <rPr>
        <b/>
        <sz val="12"/>
        <color theme="1"/>
        <rFont val="Calibri"/>
        <family val="2"/>
        <scheme val="minor"/>
      </rPr>
      <t xml:space="preserve">1) (Valor 2 Puntos) </t>
    </r>
    <r>
      <rPr>
        <sz val="12"/>
        <color theme="1"/>
        <rFont val="Calibri"/>
        <family val="2"/>
        <scheme val="minor"/>
      </rPr>
      <t>Calcular la Probabilidad de Incumplimiento con la información que viene en la pestaña "Información PI"</t>
    </r>
  </si>
  <si>
    <r>
      <rPr>
        <b/>
        <sz val="12"/>
        <color theme="1"/>
        <rFont val="Calibri"/>
        <family val="2"/>
        <scheme val="minor"/>
      </rPr>
      <t xml:space="preserve">2) (Valor 5 Puntos) </t>
    </r>
    <r>
      <rPr>
        <sz val="12"/>
        <color theme="1"/>
        <rFont val="Calibri"/>
        <family val="2"/>
        <scheme val="minor"/>
      </rPr>
      <t>Posteriormente, considere la información proporcionada en la pestaña "Reservas" y en ella calcule para cada crédito:</t>
    </r>
  </si>
  <si>
    <r>
      <rPr>
        <b/>
        <sz val="12"/>
        <color theme="1"/>
        <rFont val="Calibri"/>
        <family val="2"/>
        <scheme val="minor"/>
      </rPr>
      <t xml:space="preserve"> ( 3 Puntos ) Para el ejercicio 1</t>
    </r>
    <r>
      <rPr>
        <sz val="12"/>
        <color theme="1"/>
        <rFont val="Calibri"/>
        <family val="2"/>
        <scheme val="minor"/>
      </rPr>
      <t>, considere un crédito con las características presentadas al inicio en la Tabla de Amortización, con los datos debe de construir:</t>
    </r>
  </si>
  <si>
    <t>Flujos a VP</t>
  </si>
  <si>
    <t>Comision de 
apertura</t>
  </si>
  <si>
    <t>Pago Total</t>
  </si>
  <si>
    <t>Tasa Efectiva =</t>
  </si>
  <si>
    <t>Integrantes:</t>
  </si>
  <si>
    <t>Apellidos</t>
  </si>
  <si>
    <t>Nombre(s)</t>
  </si>
  <si>
    <t>Integrante 1</t>
  </si>
  <si>
    <t>Integrante 2</t>
  </si>
  <si>
    <t>Integrante 3</t>
  </si>
  <si>
    <t>Integrante 4</t>
  </si>
  <si>
    <t>Línea de 
Crédito</t>
  </si>
  <si>
    <t>Tasa del 
Crédito (Anual)</t>
  </si>
  <si>
    <t xml:space="preserve">Tasa Comisión 
por Apertura </t>
  </si>
  <si>
    <t>Pago Mensual</t>
  </si>
  <si>
    <t>Plazo del Credito (n)</t>
  </si>
  <si>
    <t>Línea de 
Crédito Modificada</t>
  </si>
  <si>
    <t>Tabla de Amortización del Crédito con Pagos Iguales y adicionales</t>
  </si>
  <si>
    <t>Periodos</t>
  </si>
  <si>
    <t>Monto de Pagos</t>
  </si>
  <si>
    <t>Tasa descuento</t>
  </si>
  <si>
    <t>Total</t>
  </si>
  <si>
    <t>Pagos Intermedios</t>
  </si>
  <si>
    <t>Valor presente</t>
  </si>
  <si>
    <t>Flujos Totales</t>
  </si>
  <si>
    <t>Interes</t>
  </si>
  <si>
    <t>Hernández Bautista</t>
  </si>
  <si>
    <t>David</t>
  </si>
  <si>
    <t>Mendieta López</t>
  </si>
  <si>
    <t>Saldo Modificado del Credito</t>
  </si>
  <si>
    <t>Pagos Intermedios Realizados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</si>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</sst>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00"/>
    <numFmt numFmtId="166" formatCode="0.0"/>
    <numFmt numFmtId="167" formatCode="#,##0.00_ ;\-#,##0.00\ "/>
    <numFmt numFmtId="168" formatCode="0.0%"/>
    <numFmt numFmtId="169" formatCode="0.0000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Montserrat"/>
    </font>
    <font>
      <sz val="11"/>
      <color theme="1"/>
      <name val="Calibri"/>
      <family val="2"/>
    </font>
    <font>
      <sz val="8"/>
      <color theme="1"/>
      <name val="Montserrat"/>
    </font>
    <font>
      <sz val="8"/>
      <color theme="1"/>
      <name val="Calibri"/>
      <family val="2"/>
      <scheme val="minor"/>
    </font>
    <font>
      <sz val="9"/>
      <color theme="1"/>
      <name val="Montserrat"/>
    </font>
    <font>
      <sz val="10"/>
      <color theme="1"/>
      <name val="Calibri"/>
      <family val="2"/>
      <scheme val="minor"/>
    </font>
    <font>
      <b/>
      <sz val="8"/>
      <name val="EYInterstate Light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EYInterstate Light"/>
    </font>
    <font>
      <b/>
      <sz val="11"/>
      <color theme="0"/>
      <name val="EYInterstate Light"/>
    </font>
    <font>
      <b/>
      <i/>
      <sz val="11"/>
      <color theme="0"/>
      <name val="EYInterstate Light"/>
    </font>
    <font>
      <b/>
      <sz val="8"/>
      <color theme="0"/>
      <name val="EYInterstate Light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</fills>
  <borders count="37">
    <border>
      <left/>
      <right/>
      <top/>
      <bottom/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theme="0" tint="-0.24994659260841701"/>
      </left>
      <right style="mediumDashed">
        <color theme="0" tint="-0.24994659260841701"/>
      </right>
      <top style="mediumDashed">
        <color theme="0" tint="-0.24994659260841701"/>
      </top>
      <bottom style="mediumDashed">
        <color theme="0" tint="-0.24994659260841701"/>
      </bottom>
      <diagonal/>
    </border>
    <border>
      <left style="mediumDashed">
        <color theme="0" tint="-0.34998626667073579"/>
      </left>
      <right style="mediumDashed">
        <color theme="0" tint="-0.34998626667073579"/>
      </right>
      <top/>
      <bottom style="mediumDashed">
        <color theme="0" tint="-0.34998626667073579"/>
      </bottom>
      <diagonal/>
    </border>
    <border>
      <left style="mediumDashed">
        <color theme="0" tint="-0.34998626667073579"/>
      </left>
      <right style="mediumDashed">
        <color theme="0" tint="-0.34998626667073579"/>
      </right>
      <top style="mediumDashed">
        <color theme="0" tint="-0.34998626667073579"/>
      </top>
      <bottom style="mediumDashed">
        <color theme="0" tint="-0.34998626667073579"/>
      </bottom>
      <diagonal/>
    </border>
    <border>
      <left/>
      <right style="mediumDashed">
        <color theme="5"/>
      </right>
      <top/>
      <bottom/>
      <diagonal/>
    </border>
    <border>
      <left style="mediumDashed">
        <color theme="5"/>
      </left>
      <right style="mediumDashed">
        <color theme="5"/>
      </right>
      <top style="mediumDashed">
        <color theme="5"/>
      </top>
      <bottom/>
      <diagonal/>
    </border>
    <border>
      <left style="mediumDashed">
        <color theme="5"/>
      </left>
      <right style="mediumDashed">
        <color theme="5"/>
      </right>
      <top/>
      <bottom style="mediumDashed">
        <color theme="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7">
    <xf numFmtId="0" fontId="0" fillId="0" borderId="0" xfId="0"/>
    <xf numFmtId="0" fontId="6" fillId="0" borderId="0" xfId="0" applyFont="1" applyAlignment="1">
      <alignment vertical="center"/>
    </xf>
    <xf numFmtId="9" fontId="6" fillId="0" borderId="0" xfId="3" applyFont="1" applyFill="1" applyAlignment="1">
      <alignment vertical="center"/>
    </xf>
    <xf numFmtId="0" fontId="7" fillId="0" borderId="4" xfId="0" applyFont="1" applyBorder="1" applyAlignment="1">
      <alignment horizontal="center" vertical="center" wrapText="1"/>
    </xf>
    <xf numFmtId="14" fontId="8" fillId="0" borderId="6" xfId="0" quotePrefix="1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7" xfId="6" applyNumberFormat="1" applyFont="1" applyFill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" fontId="8" fillId="0" borderId="7" xfId="6" applyNumberFormat="1" applyFont="1" applyFill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1" fontId="8" fillId="3" borderId="7" xfId="6" applyNumberFormat="1" applyFont="1" applyFill="1" applyBorder="1" applyAlignment="1">
      <alignment horizontal="center" vertical="center"/>
    </xf>
    <xf numFmtId="165" fontId="8" fillId="0" borderId="7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8" fillId="0" borderId="3" xfId="6" applyNumberFormat="1" applyFont="1" applyFill="1" applyBorder="1" applyAlignment="1">
      <alignment horizontal="center" vertical="center"/>
    </xf>
    <xf numFmtId="1" fontId="8" fillId="0" borderId="3" xfId="6" applyNumberFormat="1" applyFont="1" applyFill="1" applyBorder="1" applyAlignment="1">
      <alignment horizontal="center" vertical="center"/>
    </xf>
    <xf numFmtId="9" fontId="9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7" borderId="7" xfId="0" applyNumberFormat="1" applyFont="1" applyFill="1" applyBorder="1" applyAlignment="1">
      <alignment horizontal="center" vertical="center"/>
    </xf>
    <xf numFmtId="44" fontId="0" fillId="7" borderId="0" xfId="2" applyFont="1" applyFill="1"/>
    <xf numFmtId="0" fontId="8" fillId="7" borderId="7" xfId="0" applyFont="1" applyFill="1" applyBorder="1" applyAlignment="1">
      <alignment horizontal="center" vertical="center"/>
    </xf>
    <xf numFmtId="10" fontId="0" fillId="7" borderId="0" xfId="3" applyNumberFormat="1" applyFont="1" applyFill="1"/>
    <xf numFmtId="0" fontId="0" fillId="7" borderId="0" xfId="0" applyFill="1" applyAlignment="1">
      <alignment horizontal="center"/>
    </xf>
    <xf numFmtId="0" fontId="8" fillId="7" borderId="0" xfId="0" applyFont="1" applyFill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166" fontId="8" fillId="7" borderId="7" xfId="0" applyNumberFormat="1" applyFont="1" applyFill="1" applyBorder="1" applyAlignment="1">
      <alignment horizontal="center" vertical="center"/>
    </xf>
    <xf numFmtId="8" fontId="0" fillId="8" borderId="0" xfId="0" applyNumberFormat="1" applyFill="1"/>
    <xf numFmtId="44" fontId="0" fillId="8" borderId="0" xfId="2" applyFont="1" applyFill="1"/>
    <xf numFmtId="10" fontId="0" fillId="8" borderId="0" xfId="3" applyNumberFormat="1" applyFont="1" applyFill="1" applyAlignment="1">
      <alignment horizontal="center"/>
    </xf>
    <xf numFmtId="43" fontId="0" fillId="8" borderId="0" xfId="1" applyFont="1" applyFill="1"/>
    <xf numFmtId="1" fontId="8" fillId="8" borderId="7" xfId="0" applyNumberFormat="1" applyFont="1" applyFill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2" fillId="0" borderId="0" xfId="0" applyFont="1"/>
    <xf numFmtId="0" fontId="14" fillId="0" borderId="0" xfId="0" applyFont="1"/>
    <xf numFmtId="43" fontId="15" fillId="8" borderId="0" xfId="1" applyFont="1" applyFill="1"/>
    <xf numFmtId="0" fontId="2" fillId="9" borderId="0" xfId="0" applyFont="1" applyFill="1" applyAlignment="1">
      <alignment horizontal="center" vertical="center" wrapText="1"/>
    </xf>
    <xf numFmtId="0" fontId="16" fillId="0" borderId="0" xfId="0" applyFont="1"/>
    <xf numFmtId="0" fontId="17" fillId="10" borderId="11" xfId="0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/>
    </xf>
    <xf numFmtId="10" fontId="3" fillId="0" borderId="12" xfId="0" applyNumberFormat="1" applyFont="1" applyBorder="1" applyAlignment="1">
      <alignment horizontal="center"/>
    </xf>
    <xf numFmtId="3" fontId="3" fillId="0" borderId="12" xfId="0" applyNumberFormat="1" applyFont="1" applyBorder="1" applyAlignment="1">
      <alignment horizontal="center"/>
    </xf>
    <xf numFmtId="2" fontId="3" fillId="0" borderId="12" xfId="0" applyNumberFormat="1" applyFont="1" applyBorder="1" applyAlignment="1">
      <alignment horizontal="center"/>
    </xf>
    <xf numFmtId="9" fontId="3" fillId="0" borderId="12" xfId="0" applyNumberFormat="1" applyFont="1" applyBorder="1" applyAlignment="1">
      <alignment horizontal="center"/>
    </xf>
    <xf numFmtId="167" fontId="15" fillId="0" borderId="12" xfId="1" applyNumberFormat="1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9" fontId="3" fillId="0" borderId="13" xfId="0" applyNumberFormat="1" applyFont="1" applyBorder="1" applyAlignment="1">
      <alignment horizontal="center"/>
    </xf>
    <xf numFmtId="167" fontId="0" fillId="0" borderId="0" xfId="0" applyNumberFormat="1"/>
    <xf numFmtId="0" fontId="0" fillId="0" borderId="4" xfId="0" applyBorder="1" applyAlignment="1">
      <alignment horizontal="center"/>
    </xf>
    <xf numFmtId="43" fontId="0" fillId="0" borderId="4" xfId="1" applyFont="1" applyBorder="1"/>
    <xf numFmtId="43" fontId="0" fillId="0" borderId="4" xfId="0" applyNumberFormat="1" applyBorder="1"/>
    <xf numFmtId="0" fontId="21" fillId="0" borderId="0" xfId="0" applyFont="1"/>
    <xf numFmtId="0" fontId="21" fillId="0" borderId="0" xfId="0" applyFont="1" applyAlignment="1">
      <alignment horizontal="left" indent="2"/>
    </xf>
    <xf numFmtId="0" fontId="22" fillId="0" borderId="0" xfId="0" applyFont="1" applyAlignment="1">
      <alignment horizontal="left" indent="2"/>
    </xf>
    <xf numFmtId="0" fontId="22" fillId="0" borderId="0" xfId="0" applyFont="1" applyAlignment="1">
      <alignment horizontal="left" indent="3"/>
    </xf>
    <xf numFmtId="2" fontId="8" fillId="7" borderId="7" xfId="0" applyNumberFormat="1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 wrapText="1"/>
    </xf>
    <xf numFmtId="0" fontId="2" fillId="11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 wrapText="1"/>
    </xf>
    <xf numFmtId="10" fontId="3" fillId="12" borderId="0" xfId="3" applyNumberFormat="1" applyFont="1" applyFill="1" applyAlignment="1">
      <alignment horizontal="center" vertical="center"/>
    </xf>
    <xf numFmtId="0" fontId="2" fillId="13" borderId="4" xfId="0" applyFont="1" applyFill="1" applyBorder="1" applyAlignment="1">
      <alignment horizontal="center"/>
    </xf>
    <xf numFmtId="0" fontId="0" fillId="0" borderId="4" xfId="0" applyBorder="1"/>
    <xf numFmtId="0" fontId="3" fillId="0" borderId="4" xfId="0" applyFont="1" applyBorder="1"/>
    <xf numFmtId="0" fontId="3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1" fontId="0" fillId="14" borderId="0" xfId="0" applyNumberFormat="1" applyFill="1" applyAlignment="1">
      <alignment horizontal="center" vertical="center" wrapText="1"/>
    </xf>
    <xf numFmtId="43" fontId="0" fillId="14" borderId="0" xfId="1" applyFont="1" applyFill="1" applyBorder="1" applyAlignment="1">
      <alignment horizontal="center" vertical="center"/>
    </xf>
    <xf numFmtId="9" fontId="0" fillId="14" borderId="0" xfId="0" applyNumberFormat="1" applyFill="1" applyAlignment="1">
      <alignment horizontal="center" vertical="center"/>
    </xf>
    <xf numFmtId="168" fontId="0" fillId="14" borderId="0" xfId="0" applyNumberFormat="1" applyFill="1" applyAlignment="1">
      <alignment horizontal="center" vertical="center"/>
    </xf>
    <xf numFmtId="1" fontId="0" fillId="14" borderId="0" xfId="0" applyNumberFormat="1" applyFill="1" applyAlignment="1">
      <alignment horizontal="center" vertical="center"/>
    </xf>
    <xf numFmtId="43" fontId="0" fillId="12" borderId="0" xfId="0" applyNumberFormat="1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19" xfId="0" applyFont="1" applyBorder="1" applyAlignment="1">
      <alignment horizontal="center" vertical="center" wrapText="1"/>
    </xf>
    <xf numFmtId="43" fontId="0" fillId="0" borderId="20" xfId="0" applyNumberFormat="1" applyBorder="1" applyAlignment="1">
      <alignment horizontal="center" vertical="center"/>
    </xf>
    <xf numFmtId="169" fontId="0" fillId="0" borderId="21" xfId="3" applyNumberFormat="1" applyFont="1" applyFill="1" applyBorder="1" applyAlignment="1">
      <alignment horizontal="center" vertical="center"/>
    </xf>
    <xf numFmtId="43" fontId="0" fillId="0" borderId="22" xfId="0" applyNumberFormat="1" applyBorder="1" applyAlignment="1">
      <alignment horizontal="center" vertical="center"/>
    </xf>
    <xf numFmtId="43" fontId="0" fillId="0" borderId="23" xfId="0" applyNumberFormat="1" applyBorder="1" applyAlignment="1">
      <alignment horizontal="center" vertical="center"/>
    </xf>
    <xf numFmtId="169" fontId="0" fillId="0" borderId="0" xfId="3" applyNumberFormat="1" applyFont="1" applyFill="1" applyBorder="1" applyAlignment="1">
      <alignment horizontal="center" vertical="center"/>
    </xf>
    <xf numFmtId="43" fontId="0" fillId="0" borderId="24" xfId="0" applyNumberFormat="1" applyBorder="1" applyAlignment="1">
      <alignment horizontal="center" vertical="center"/>
    </xf>
    <xf numFmtId="43" fontId="0" fillId="0" borderId="25" xfId="0" applyNumberFormat="1" applyBorder="1" applyAlignment="1">
      <alignment horizontal="center" vertical="center"/>
    </xf>
    <xf numFmtId="169" fontId="0" fillId="0" borderId="26" xfId="3" applyNumberFormat="1" applyFont="1" applyFill="1" applyBorder="1" applyAlignment="1">
      <alignment horizontal="center" vertical="center"/>
    </xf>
    <xf numFmtId="43" fontId="0" fillId="0" borderId="27" xfId="0" applyNumberFormat="1" applyBorder="1" applyAlignment="1">
      <alignment horizontal="center" vertical="center"/>
    </xf>
    <xf numFmtId="8" fontId="0" fillId="12" borderId="0" xfId="0" applyNumberFormat="1" applyFill="1"/>
    <xf numFmtId="43" fontId="0" fillId="14" borderId="0" xfId="0" applyNumberFormat="1" applyFill="1"/>
    <xf numFmtId="43" fontId="0" fillId="12" borderId="4" xfId="1" applyFont="1" applyFill="1" applyBorder="1"/>
    <xf numFmtId="168" fontId="0" fillId="0" borderId="4" xfId="3" applyNumberFormat="1" applyFont="1" applyBorder="1" applyAlignment="1">
      <alignment horizontal="center"/>
    </xf>
    <xf numFmtId="8" fontId="0" fillId="0" borderId="4" xfId="1" applyNumberFormat="1" applyFont="1" applyBorder="1"/>
    <xf numFmtId="0" fontId="23" fillId="11" borderId="17" xfId="0" applyFont="1" applyFill="1" applyBorder="1" applyAlignment="1">
      <alignment horizontal="center" vertical="center"/>
    </xf>
    <xf numFmtId="43" fontId="3" fillId="0" borderId="4" xfId="0" applyNumberFormat="1" applyFont="1" applyBorder="1"/>
    <xf numFmtId="2" fontId="0" fillId="0" borderId="4" xfId="0" applyNumberFormat="1" applyBorder="1"/>
    <xf numFmtId="2" fontId="0" fillId="0" borderId="0" xfId="0" applyNumberFormat="1"/>
    <xf numFmtId="8" fontId="0" fillId="0" borderId="4" xfId="0" applyNumberFormat="1" applyBorder="1"/>
    <xf numFmtId="10" fontId="3" fillId="12" borderId="0" xfId="3" applyNumberFormat="1" applyFont="1" applyFill="1" applyAlignment="1">
      <alignment horizontal="center"/>
    </xf>
    <xf numFmtId="44" fontId="0" fillId="0" borderId="0" xfId="0" applyNumberFormat="1"/>
    <xf numFmtId="2" fontId="8" fillId="0" borderId="7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0" fontId="2" fillId="9" borderId="34" xfId="0" applyFont="1" applyFill="1" applyBorder="1" applyAlignment="1">
      <alignment horizontal="center" vertical="center" wrapText="1"/>
    </xf>
    <xf numFmtId="0" fontId="0" fillId="7" borderId="35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2" fillId="9" borderId="33" xfId="0" applyFont="1" applyFill="1" applyBorder="1" applyAlignment="1">
      <alignment horizontal="center" vertical="center" wrapText="1"/>
    </xf>
    <xf numFmtId="0" fontId="0" fillId="7" borderId="34" xfId="0" applyFill="1" applyBorder="1" applyAlignment="1">
      <alignment horizontal="center"/>
    </xf>
    <xf numFmtId="44" fontId="0" fillId="7" borderId="34" xfId="0" applyNumberFormat="1" applyFill="1" applyBorder="1" applyAlignment="1">
      <alignment horizontal="center"/>
    </xf>
    <xf numFmtId="44" fontId="0" fillId="7" borderId="35" xfId="0" applyNumberFormat="1" applyFill="1" applyBorder="1" applyAlignment="1">
      <alignment horizontal="center"/>
    </xf>
    <xf numFmtId="44" fontId="0" fillId="7" borderId="36" xfId="0" applyNumberFormat="1" applyFill="1" applyBorder="1" applyAlignment="1">
      <alignment horizontal="center"/>
    </xf>
    <xf numFmtId="10" fontId="0" fillId="8" borderId="0" xfId="0" applyNumberFormat="1" applyFill="1"/>
    <xf numFmtId="0" fontId="16" fillId="0" borderId="18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 wrapText="1"/>
    </xf>
    <xf numFmtId="167" fontId="15" fillId="0" borderId="15" xfId="1" applyNumberFormat="1" applyFont="1" applyBorder="1" applyAlignment="1">
      <alignment horizontal="center" vertical="center" wrapText="1"/>
    </xf>
    <xf numFmtId="167" fontId="15" fillId="0" borderId="16" xfId="1" applyNumberFormat="1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 wrapText="1"/>
    </xf>
    <xf numFmtId="0" fontId="10" fillId="4" borderId="10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4" fillId="2" borderId="3" xfId="4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</cellXfs>
  <cellStyles count="7">
    <cellStyle name="Comma 2" xfId="6" xr:uid="{EC30B3D8-163A-4682-B4A3-FD28D9498D91}"/>
    <cellStyle name="Currency 2" xfId="5" xr:uid="{D52CCE6C-F8DD-4030-9443-04C99C9A02A0}"/>
    <cellStyle name="Millares" xfId="1" builtinId="3"/>
    <cellStyle name="Moneda" xfId="2" builtinId="4"/>
    <cellStyle name="Normal" xfId="0" builtinId="0"/>
    <cellStyle name="Normal 3" xfId="4" xr:uid="{9191A932-79AB-42B7-8B66-2AFE89AA25DF}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72571</xdr:colOff>
      <xdr:row>2</xdr:row>
      <xdr:rowOff>244929</xdr:rowOff>
    </xdr:from>
    <xdr:to>
      <xdr:col>2</xdr:col>
      <xdr:colOff>498928</xdr:colOff>
      <xdr:row>2</xdr:row>
      <xdr:rowOff>462643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C0FDEF64-D9B8-DCE9-ACA2-AF2961C8CF3E}"/>
            </a:ext>
          </a:extLst>
        </xdr:cNvPr>
        <xdr:cNvSpPr/>
      </xdr:nvSpPr>
      <xdr:spPr>
        <a:xfrm>
          <a:off x="2376714" y="752929"/>
          <a:ext cx="426357" cy="217714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3</xdr:col>
      <xdr:colOff>62313</xdr:colOff>
      <xdr:row>4</xdr:row>
      <xdr:rowOff>636423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B31F83D-4175-462F-9DD3-12D4D06107F6}"/>
            </a:ext>
          </a:extLst>
        </xdr:cNvPr>
        <xdr:cNvSpPr txBox="1"/>
      </xdr:nvSpPr>
      <xdr:spPr>
        <a:xfrm>
          <a:off x="0" y="482774"/>
          <a:ext cx="1967313" cy="1014813"/>
        </a:xfrm>
        <a:prstGeom prst="rect">
          <a:avLst/>
        </a:prstGeom>
        <a:solidFill>
          <a:schemeClr val="lt1"/>
        </a:solidFill>
        <a:ln w="28575" cmpd="sng"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i="0"/>
            <a:t>En</a:t>
          </a:r>
          <a:r>
            <a:rPr lang="es-MX" sz="1100" b="0" i="0" baseline="0"/>
            <a:t> esta seccion solo se hace una par de busquedad y aplicando una calificacion a cada cliente y por ultimo se aplica un formula de IP.....</a:t>
          </a:r>
          <a:endParaRPr lang="es-MX" sz="1100" b="0" i="0"/>
        </a:p>
      </xdr:txBody>
    </xdr:sp>
    <xdr:clientData/>
  </xdr:twoCellAnchor>
  <xdr:twoCellAnchor editAs="oneCell">
    <xdr:from>
      <xdr:col>16</xdr:col>
      <xdr:colOff>489297</xdr:colOff>
      <xdr:row>3</xdr:row>
      <xdr:rowOff>156576</xdr:rowOff>
    </xdr:from>
    <xdr:to>
      <xdr:col>21</xdr:col>
      <xdr:colOff>112051</xdr:colOff>
      <xdr:row>4</xdr:row>
      <xdr:rowOff>662803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523273-489E-4BDD-BE80-D2710F462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61300" y="828545"/>
          <a:ext cx="2591162" cy="69542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591554</xdr:colOff>
      <xdr:row>0</xdr:row>
      <xdr:rowOff>50131</xdr:rowOff>
    </xdr:from>
    <xdr:to>
      <xdr:col>21</xdr:col>
      <xdr:colOff>535242</xdr:colOff>
      <xdr:row>2</xdr:row>
      <xdr:rowOff>166526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FEADEF-32FC-48BB-8FA9-B9E1426BA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7396" y="50131"/>
          <a:ext cx="2410161" cy="64779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792080</xdr:colOff>
      <xdr:row>1</xdr:row>
      <xdr:rowOff>180474</xdr:rowOff>
    </xdr:from>
    <xdr:to>
      <xdr:col>28</xdr:col>
      <xdr:colOff>440557</xdr:colOff>
      <xdr:row>3</xdr:row>
      <xdr:rowOff>400660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C6FA98D-72CB-4464-9775-D7C9646EF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50501" y="370974"/>
          <a:ext cx="2876951" cy="77163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21</xdr:col>
      <xdr:colOff>872290</xdr:colOff>
      <xdr:row>1</xdr:row>
      <xdr:rowOff>180474</xdr:rowOff>
    </xdr:from>
    <xdr:to>
      <xdr:col>26</xdr:col>
      <xdr:colOff>185188</xdr:colOff>
      <xdr:row>3</xdr:row>
      <xdr:rowOff>120319</xdr:rowOff>
    </xdr:to>
    <xdr:cxnSp macro="">
      <xdr:nvCxnSpPr>
        <xdr:cNvPr id="4" name="Conector: angular 3">
          <a:extLst>
            <a:ext uri="{FF2B5EF4-FFF2-40B4-BE49-F238E27FC236}">
              <a16:creationId xmlns:a16="http://schemas.microsoft.com/office/drawing/2014/main" id="{0A6C4475-F1FE-4039-8704-80D752685B9E}"/>
            </a:ext>
          </a:extLst>
        </xdr:cNvPr>
        <xdr:cNvCxnSpPr>
          <a:stCxn id="3" idx="0"/>
        </xdr:cNvCxnSpPr>
      </xdr:nvCxnSpPr>
      <xdr:spPr>
        <a:xfrm rot="16200000" flipH="1" flipV="1">
          <a:off x="22601672" y="-1025040"/>
          <a:ext cx="491292" cy="3283319"/>
        </a:xfrm>
        <a:prstGeom prst="bentConnector4">
          <a:avLst>
            <a:gd name="adj1" fmla="val -46530"/>
            <a:gd name="adj2" fmla="val 71906"/>
          </a:avLst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MENDIETA LOPEZ" id="{A34935AD-92F8-4C7A-B213-205C748931FA}" userId="S::mendieta_lopez_david@comunidad.unam.mx::50135692-ec2c-489a-957d-9bedbfc7b984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4-04-25T18:45:58.21" personId="{A34935AD-92F8-4C7A-B213-205C748931FA}" id="{F80F14AD-BD05-4F2F-96CD-F7BFA6D5088A}">
    <text>Es la cantidad de dinero que ofrece (presta) la entidad financiera un usuario</text>
  </threadedComment>
  <threadedComment ref="A4" dT="2024-04-25T18:48:37.34" personId="{A34935AD-92F8-4C7A-B213-205C748931FA}" id="{A04CB125-ADAC-453B-A8AB-F5CD0089A5D2}">
    <text>La tasa de interes que debe de pagar el usuario</text>
  </threadedComment>
  <threadedComment ref="A5" dT="2024-04-25T18:50:24.58" personId="{A34935AD-92F8-4C7A-B213-205C748931FA}" id="{E55E41DC-22A1-4410-88FF-C024DCC7BC1F}">
    <text>Precio que tiene que pagar el usuario por pedir el prestamo</text>
  </threadedComment>
  <threadedComment ref="A6" dT="2024-04-25T18:49:18.85" personId="{A34935AD-92F8-4C7A-B213-205C748931FA}" id="{AEF8EED5-5D6E-4AE9-8689-C056B50C058D}">
    <text>El numero de plazo para pagar el prestamo</text>
  </threadedComment>
  <threadedComment ref="A9" dT="2024-04-25T18:55:36.26" personId="{A34935AD-92F8-4C7A-B213-205C748931FA}" id="{E278EB89-4055-40BE-889B-A9D1FB8F9ACB}">
    <text>Lo que el usuario debe pagar periodicamente; en este caso es con la funcion: "PAGO" o por medio de aplicar un despeje 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M4" dT="2024-05-18T06:22:06.45" personId="{A34935AD-92F8-4C7A-B213-205C748931FA}" id="{3D51AA1C-CD82-4E30-9270-5866D5149A11}">
    <text xml:space="preserve">Con esto nos ayudara al programa: "saldo insoluto" a indicar e agregar el pago intermedio correspondiente </text>
  </threadedComment>
  <threadedComment ref="O4" dT="2024-05-18T06:41:32.95" personId="{A34935AD-92F8-4C7A-B213-205C748931FA}" id="{FAA05915-F656-47D4-8AB7-0B8D4CD91C82}">
    <text>Usamos la macro llmada: "Nueva_Linea_Credito"</text>
  </threadedComment>
  <threadedComment ref="Q4" dT="2024-05-18T07:06:06.72" personId="{A34935AD-92F8-4C7A-B213-205C748931FA}" id="{882E8C2B-56F5-4E6B-A44F-3A41EC580EF7}">
    <text>Dado que hay pago intermedio; vamos a ocupar el saldo modifica de credito de al funcion: "pago"</text>
  </threadedComment>
  <threadedComment ref="R4" dT="2024-05-18T07:07:08.81" personId="{A34935AD-92F8-4C7A-B213-205C748931FA}" id="{AC97525F-0ED3-484C-BF75-51FA187229B1}">
    <text>Vamos a usar la funcion llamada: "Saldo_Insoluto"</text>
  </threadedComment>
  <threadedComment ref="V4" dT="2024-05-18T07:35:04.80" personId="{A34935AD-92F8-4C7A-B213-205C748931FA}" id="{47D56AB8-3D89-4706-B6A3-175E882BD20A}">
    <text>Usamos la funcion llamada: "Reservas"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4FC0-4B9A-4577-89C3-09F19E1EADD0}">
  <sheetPr codeName="Hoja3"/>
  <dimension ref="A2:C8"/>
  <sheetViews>
    <sheetView tabSelected="1" workbookViewId="0">
      <selection activeCell="F13" sqref="F13"/>
    </sheetView>
  </sheetViews>
  <sheetFormatPr baseColWidth="10" defaultRowHeight="15"/>
  <cols>
    <col min="2" max="2" width="18.7109375" customWidth="1"/>
    <col min="3" max="3" width="40.28515625" customWidth="1"/>
  </cols>
  <sheetData>
    <row r="2" spans="1:3">
      <c r="A2" s="41" t="s">
        <v>120</v>
      </c>
    </row>
    <row r="3" spans="1:3">
      <c r="A3" s="41"/>
    </row>
    <row r="4" spans="1:3">
      <c r="B4" s="68" t="s">
        <v>121</v>
      </c>
      <c r="C4" s="68" t="s">
        <v>122</v>
      </c>
    </row>
    <row r="5" spans="1:3">
      <c r="A5" s="69" t="s">
        <v>123</v>
      </c>
      <c r="B5" s="72" t="s">
        <v>142</v>
      </c>
      <c r="C5" s="72" t="s">
        <v>143</v>
      </c>
    </row>
    <row r="6" spans="1:3">
      <c r="A6" s="69" t="s">
        <v>124</v>
      </c>
      <c r="B6" s="72" t="s">
        <v>144</v>
      </c>
      <c r="C6" s="72" t="s">
        <v>143</v>
      </c>
    </row>
    <row r="7" spans="1:3">
      <c r="A7" s="69" t="s">
        <v>125</v>
      </c>
      <c r="B7" s="70"/>
      <c r="C7" s="70"/>
    </row>
    <row r="8" spans="1:3">
      <c r="A8" s="69" t="s">
        <v>126</v>
      </c>
      <c r="B8" s="70"/>
      <c r="C8" s="7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97A4-D287-4F04-B457-497A1E34F8D6}">
  <sheetPr codeName="Hoja1">
    <tabColor theme="9"/>
  </sheetPr>
  <dimension ref="A1:A9"/>
  <sheetViews>
    <sheetView showGridLines="0" workbookViewId="0">
      <selection activeCell="A5" sqref="A5"/>
    </sheetView>
  </sheetViews>
  <sheetFormatPr baseColWidth="10" defaultRowHeight="15"/>
  <sheetData>
    <row r="1" spans="1:1" ht="26.25">
      <c r="A1" s="40" t="s">
        <v>96</v>
      </c>
    </row>
    <row r="3" spans="1:1" ht="15.75">
      <c r="A3" s="58" t="s">
        <v>115</v>
      </c>
    </row>
    <row r="5" spans="1:1" ht="15.75">
      <c r="A5" s="59" t="s">
        <v>97</v>
      </c>
    </row>
    <row r="6" spans="1:1" ht="15.75">
      <c r="A6" s="59" t="s">
        <v>93</v>
      </c>
    </row>
    <row r="7" spans="1:1" ht="15.75">
      <c r="A7" s="58"/>
    </row>
    <row r="8" spans="1:1" ht="15.75">
      <c r="A8" s="58" t="s">
        <v>94</v>
      </c>
    </row>
    <row r="9" spans="1:1" ht="15.75">
      <c r="A9" s="58" t="s">
        <v>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D5A1-B5D6-4870-9DF1-9563292363A3}">
  <sheetPr codeName="Sheet6"/>
  <dimension ref="A1:K74"/>
  <sheetViews>
    <sheetView topLeftCell="A3" zoomScale="118" zoomScaleNormal="170" workbookViewId="0">
      <selection activeCell="K8" sqref="K8"/>
    </sheetView>
  </sheetViews>
  <sheetFormatPr baseColWidth="10" defaultColWidth="8.85546875" defaultRowHeight="15"/>
  <cols>
    <col min="1" max="1" width="18.7109375" bestFit="1" customWidth="1"/>
    <col min="2" max="2" width="15.7109375" customWidth="1"/>
    <col min="4" max="4" width="13.85546875" bestFit="1" customWidth="1"/>
    <col min="5" max="5" width="13.85546875" customWidth="1"/>
    <col min="6" max="6" width="11.28515625" bestFit="1" customWidth="1"/>
    <col min="7" max="7" width="13.140625" bestFit="1" customWidth="1"/>
    <col min="8" max="8" width="13.7109375" bestFit="1" customWidth="1"/>
    <col min="9" max="9" width="12.28515625" customWidth="1"/>
    <col min="10" max="10" width="13.7109375" customWidth="1"/>
    <col min="11" max="11" width="13.7109375" bestFit="1" customWidth="1"/>
  </cols>
  <sheetData>
    <row r="1" spans="1:11" ht="24" thickBot="1">
      <c r="B1" s="113" t="s">
        <v>133</v>
      </c>
      <c r="C1" s="113"/>
      <c r="D1" s="113"/>
      <c r="E1" s="113"/>
      <c r="F1" s="113"/>
      <c r="G1" s="113"/>
      <c r="H1" s="113"/>
      <c r="I1" s="113"/>
      <c r="J1" s="113"/>
      <c r="K1" s="113"/>
    </row>
    <row r="2" spans="1:11" ht="15.75" thickTop="1"/>
    <row r="3" spans="1:11" ht="45">
      <c r="A3" s="71" t="s">
        <v>127</v>
      </c>
      <c r="B3" s="74">
        <v>1200000</v>
      </c>
      <c r="D3" s="71" t="s">
        <v>132</v>
      </c>
      <c r="E3" s="78">
        <f>B3-J9</f>
        <v>1063750.8852405236</v>
      </c>
      <c r="G3" s="71" t="s">
        <v>134</v>
      </c>
      <c r="H3" s="71" t="s">
        <v>135</v>
      </c>
      <c r="I3" s="71" t="s">
        <v>136</v>
      </c>
      <c r="J3" s="71" t="s">
        <v>139</v>
      </c>
    </row>
    <row r="4" spans="1:11" ht="30">
      <c r="A4" s="71" t="s">
        <v>128</v>
      </c>
      <c r="B4" s="75">
        <v>0.22</v>
      </c>
      <c r="G4" s="79">
        <v>12</v>
      </c>
      <c r="H4" s="81">
        <f xml:space="preserve"> $B$8</f>
        <v>50000</v>
      </c>
      <c r="I4" s="82">
        <f xml:space="preserve"> (1+$B$4/12)^(-G4)</f>
        <v>0.80411929216859146</v>
      </c>
      <c r="J4" s="83">
        <f xml:space="preserve"> H4 * I4</f>
        <v>40205.964608429575</v>
      </c>
    </row>
    <row r="5" spans="1:11" ht="30">
      <c r="A5" s="71" t="s">
        <v>129</v>
      </c>
      <c r="B5" s="76">
        <v>2.5000000000000001E-2</v>
      </c>
      <c r="E5" s="71" t="s">
        <v>138</v>
      </c>
      <c r="G5" s="79">
        <v>24</v>
      </c>
      <c r="H5" s="84">
        <f t="shared" ref="H5:H8" si="0" xml:space="preserve"> $B$8</f>
        <v>50000</v>
      </c>
      <c r="I5" s="85">
        <f t="shared" ref="I5:I8" si="1" xml:space="preserve"> (1+$B$4/12)^(-G5)</f>
        <v>0.64660783603771665</v>
      </c>
      <c r="J5" s="86">
        <f t="shared" ref="J5:J8" si="2" xml:space="preserve"> H5 * I5</f>
        <v>32330.391801885831</v>
      </c>
    </row>
    <row r="6" spans="1:11">
      <c r="A6" s="72" t="s">
        <v>131</v>
      </c>
      <c r="B6" s="77">
        <v>60</v>
      </c>
      <c r="C6" s="17" t="s">
        <v>85</v>
      </c>
      <c r="G6" s="79">
        <v>36</v>
      </c>
      <c r="H6" s="84">
        <f t="shared" si="0"/>
        <v>50000</v>
      </c>
      <c r="I6" s="85">
        <f t="shared" si="1"/>
        <v>0.51994983542531337</v>
      </c>
      <c r="J6" s="86">
        <f t="shared" si="2"/>
        <v>25997.491771265668</v>
      </c>
    </row>
    <row r="7" spans="1:11" ht="30">
      <c r="A7" s="71" t="s">
        <v>98</v>
      </c>
      <c r="B7" s="73" t="s">
        <v>74</v>
      </c>
      <c r="C7" s="17"/>
      <c r="G7" s="79">
        <v>48</v>
      </c>
      <c r="H7" s="84">
        <f t="shared" si="0"/>
        <v>50000</v>
      </c>
      <c r="I7" s="85">
        <f t="shared" si="1"/>
        <v>0.41810169362537858</v>
      </c>
      <c r="J7" s="86">
        <f t="shared" si="2"/>
        <v>20905.084681268931</v>
      </c>
    </row>
    <row r="8" spans="1:11" ht="30">
      <c r="A8" s="71" t="s">
        <v>86</v>
      </c>
      <c r="B8" s="74">
        <v>50000</v>
      </c>
      <c r="C8" s="17"/>
      <c r="G8" s="79">
        <v>60</v>
      </c>
      <c r="H8" s="87">
        <f t="shared" si="0"/>
        <v>50000</v>
      </c>
      <c r="I8" s="88">
        <f t="shared" si="1"/>
        <v>0.33620363793252878</v>
      </c>
      <c r="J8" s="89">
        <f t="shared" si="2"/>
        <v>16810.18189662644</v>
      </c>
    </row>
    <row r="9" spans="1:11">
      <c r="A9" s="72" t="s">
        <v>130</v>
      </c>
      <c r="B9" s="90">
        <f xml:space="preserve"> - PMT(B4/12,B6,E3,0,0)</f>
        <v>29379.642126994131</v>
      </c>
      <c r="I9" s="80" t="s">
        <v>137</v>
      </c>
      <c r="J9" s="91">
        <f xml:space="preserve"> SUM(J4:J8)</f>
        <v>136249.11475947645</v>
      </c>
    </row>
    <row r="11" spans="1:11">
      <c r="H11" s="72" t="s">
        <v>119</v>
      </c>
      <c r="I11" s="67">
        <v>0.23182777863355006</v>
      </c>
    </row>
    <row r="12" spans="1:11">
      <c r="K12" s="95" t="s">
        <v>140</v>
      </c>
    </row>
    <row r="13" spans="1:11">
      <c r="K13" s="96">
        <f>+SUM(K15:K74)</f>
        <v>1200000.0000005888</v>
      </c>
    </row>
    <row r="14" spans="1:11" ht="45">
      <c r="A14" s="63" t="s">
        <v>87</v>
      </c>
      <c r="B14" s="63" t="s">
        <v>88</v>
      </c>
      <c r="C14" s="63" t="s">
        <v>89</v>
      </c>
      <c r="D14" s="63" t="s">
        <v>61</v>
      </c>
      <c r="E14" s="64" t="s">
        <v>90</v>
      </c>
      <c r="F14" s="63" t="s">
        <v>141</v>
      </c>
      <c r="G14" s="63" t="s">
        <v>91</v>
      </c>
      <c r="H14" s="63" t="s">
        <v>92</v>
      </c>
      <c r="I14" s="66" t="s">
        <v>117</v>
      </c>
      <c r="J14" s="65" t="s">
        <v>118</v>
      </c>
      <c r="K14" s="65" t="s">
        <v>116</v>
      </c>
    </row>
    <row r="15" spans="1:11">
      <c r="A15" s="55">
        <v>1</v>
      </c>
      <c r="B15" s="56">
        <f xml:space="preserve"> B3</f>
        <v>1200000</v>
      </c>
      <c r="C15" s="93">
        <f xml:space="preserve"> $B$4/12</f>
        <v>1.8333333333333333E-2</v>
      </c>
      <c r="D15" s="94">
        <f xml:space="preserve"> $B$9</f>
        <v>29379.642126994131</v>
      </c>
      <c r="F15" s="56">
        <f xml:space="preserve"> C15*B15</f>
        <v>22000</v>
      </c>
      <c r="G15" s="94">
        <f xml:space="preserve"> (D15 + E15) - F15</f>
        <v>7379.6421269941311</v>
      </c>
      <c r="H15" s="57">
        <f xml:space="preserve"> B15-G15</f>
        <v>1192620.3578730058</v>
      </c>
      <c r="I15" s="57">
        <f xml:space="preserve"> B3 * B5</f>
        <v>30000</v>
      </c>
      <c r="J15" s="99">
        <f xml:space="preserve"> D15 + E15 + I15</f>
        <v>59379.642126994135</v>
      </c>
      <c r="K15" s="57">
        <f t="shared" ref="K15:K46" si="3">J15/(1+$I$11/12)^A15</f>
        <v>58254.229737326394</v>
      </c>
    </row>
    <row r="16" spans="1:11">
      <c r="A16" s="55">
        <f>+A15+1</f>
        <v>2</v>
      </c>
      <c r="B16" s="57">
        <f xml:space="preserve"> H15</f>
        <v>1192620.3578730058</v>
      </c>
      <c r="C16" s="93">
        <f t="shared" ref="C16:C74" si="4" xml:space="preserve"> $B$4/12</f>
        <v>1.8333333333333333E-2</v>
      </c>
      <c r="D16" s="94">
        <f t="shared" ref="D16:D74" si="5" xml:space="preserve"> $B$9</f>
        <v>29379.642126994131</v>
      </c>
      <c r="E16" s="56"/>
      <c r="F16" s="56">
        <f t="shared" ref="F16:F74" si="6" xml:space="preserve"> C16*B16</f>
        <v>21864.706561005107</v>
      </c>
      <c r="G16" s="94">
        <f t="shared" ref="G16:G74" si="7" xml:space="preserve"> (D16 + E16) - F16</f>
        <v>7514.9355659890243</v>
      </c>
      <c r="H16" s="57">
        <f t="shared" ref="H16:H73" si="8" xml:space="preserve"> B16-G16</f>
        <v>1185105.4223070168</v>
      </c>
      <c r="I16" s="57"/>
      <c r="J16" s="99">
        <f t="shared" ref="J16:J74" si="9" xml:space="preserve"> D16 + E16 + I16</f>
        <v>29379.642126994131</v>
      </c>
      <c r="K16" s="57">
        <f t="shared" si="3"/>
        <v>28276.540732685029</v>
      </c>
    </row>
    <row r="17" spans="1:11">
      <c r="A17" s="55">
        <f t="shared" ref="A17:A73" si="10">+A16+1</f>
        <v>3</v>
      </c>
      <c r="B17" s="57">
        <f t="shared" ref="B17:B74" si="11" xml:space="preserve"> H16</f>
        <v>1185105.4223070168</v>
      </c>
      <c r="C17" s="93">
        <f t="shared" si="4"/>
        <v>1.8333333333333333E-2</v>
      </c>
      <c r="D17" s="94">
        <f t="shared" si="5"/>
        <v>29379.642126994131</v>
      </c>
      <c r="E17" s="56"/>
      <c r="F17" s="56">
        <f t="shared" si="6"/>
        <v>21726.932742295307</v>
      </c>
      <c r="G17" s="94">
        <f t="shared" si="7"/>
        <v>7652.7093846988246</v>
      </c>
      <c r="H17" s="57">
        <f t="shared" si="8"/>
        <v>1177452.7129223179</v>
      </c>
      <c r="I17" s="57"/>
      <c r="J17" s="99">
        <f t="shared" si="9"/>
        <v>29379.642126994131</v>
      </c>
      <c r="K17" s="57">
        <f t="shared" si="3"/>
        <v>27740.620202725459</v>
      </c>
    </row>
    <row r="18" spans="1:11">
      <c r="A18" s="55">
        <f t="shared" si="10"/>
        <v>4</v>
      </c>
      <c r="B18" s="57">
        <f t="shared" si="11"/>
        <v>1177452.7129223179</v>
      </c>
      <c r="C18" s="93">
        <f t="shared" si="4"/>
        <v>1.8333333333333333E-2</v>
      </c>
      <c r="D18" s="94">
        <f t="shared" si="5"/>
        <v>29379.642126994131</v>
      </c>
      <c r="E18" s="56"/>
      <c r="F18" s="56">
        <f t="shared" si="6"/>
        <v>21586.633070242497</v>
      </c>
      <c r="G18" s="94">
        <f t="shared" si="7"/>
        <v>7793.0090567516345</v>
      </c>
      <c r="H18" s="57">
        <f t="shared" si="8"/>
        <v>1169659.7038655663</v>
      </c>
      <c r="I18" s="57"/>
      <c r="J18" s="99">
        <f t="shared" si="9"/>
        <v>29379.642126994131</v>
      </c>
      <c r="K18" s="57">
        <f t="shared" si="3"/>
        <v>27214.856884609708</v>
      </c>
    </row>
    <row r="19" spans="1:11">
      <c r="A19" s="55">
        <f t="shared" si="10"/>
        <v>5</v>
      </c>
      <c r="B19" s="57">
        <f t="shared" si="11"/>
        <v>1169659.7038655663</v>
      </c>
      <c r="C19" s="93">
        <f t="shared" si="4"/>
        <v>1.8333333333333333E-2</v>
      </c>
      <c r="D19" s="94">
        <f t="shared" si="5"/>
        <v>29379.642126994131</v>
      </c>
      <c r="E19" s="56"/>
      <c r="F19" s="56">
        <f t="shared" si="6"/>
        <v>21443.761237535382</v>
      </c>
      <c r="G19" s="94">
        <f t="shared" si="7"/>
        <v>7935.8808894587492</v>
      </c>
      <c r="H19" s="57">
        <f t="shared" si="8"/>
        <v>1161723.8229761075</v>
      </c>
      <c r="I19" s="57"/>
      <c r="J19" s="99">
        <f t="shared" si="9"/>
        <v>29379.642126994131</v>
      </c>
      <c r="K19" s="57">
        <f t="shared" si="3"/>
        <v>26699.058270406698</v>
      </c>
    </row>
    <row r="20" spans="1:11">
      <c r="A20" s="55">
        <f t="shared" si="10"/>
        <v>6</v>
      </c>
      <c r="B20" s="57">
        <f t="shared" si="11"/>
        <v>1161723.8229761075</v>
      </c>
      <c r="C20" s="93">
        <f t="shared" si="4"/>
        <v>1.8333333333333333E-2</v>
      </c>
      <c r="D20" s="94">
        <f t="shared" si="5"/>
        <v>29379.642126994131</v>
      </c>
      <c r="E20" s="56"/>
      <c r="F20" s="56">
        <f t="shared" si="6"/>
        <v>21298.270087895304</v>
      </c>
      <c r="G20" s="94">
        <f t="shared" si="7"/>
        <v>8081.3720390988274</v>
      </c>
      <c r="H20" s="57">
        <f t="shared" si="8"/>
        <v>1153642.4509370087</v>
      </c>
      <c r="I20" s="57"/>
      <c r="J20" s="99">
        <f t="shared" si="9"/>
        <v>29379.642126994131</v>
      </c>
      <c r="K20" s="57">
        <f t="shared" si="3"/>
        <v>26193.035500755872</v>
      </c>
    </row>
    <row r="21" spans="1:11">
      <c r="A21" s="55">
        <f t="shared" si="10"/>
        <v>7</v>
      </c>
      <c r="B21" s="57">
        <f t="shared" si="11"/>
        <v>1153642.4509370087</v>
      </c>
      <c r="C21" s="93">
        <f t="shared" si="4"/>
        <v>1.8333333333333333E-2</v>
      </c>
      <c r="D21" s="94">
        <f t="shared" si="5"/>
        <v>29379.642126994131</v>
      </c>
      <c r="E21" s="56"/>
      <c r="F21" s="56">
        <f t="shared" si="6"/>
        <v>21150.111600511827</v>
      </c>
      <c r="G21" s="94">
        <f t="shared" si="7"/>
        <v>8229.5305264823037</v>
      </c>
      <c r="H21" s="57">
        <f t="shared" si="8"/>
        <v>1145412.9204105265</v>
      </c>
      <c r="I21" s="57"/>
      <c r="J21" s="99">
        <f t="shared" si="9"/>
        <v>29379.642126994131</v>
      </c>
      <c r="K21" s="57">
        <f t="shared" si="3"/>
        <v>25696.60329571641</v>
      </c>
    </row>
    <row r="22" spans="1:11">
      <c r="A22" s="55">
        <f t="shared" si="10"/>
        <v>8</v>
      </c>
      <c r="B22" s="57">
        <f t="shared" si="11"/>
        <v>1145412.9204105265</v>
      </c>
      <c r="C22" s="93">
        <f t="shared" si="4"/>
        <v>1.8333333333333333E-2</v>
      </c>
      <c r="D22" s="94">
        <f t="shared" si="5"/>
        <v>29379.642126994131</v>
      </c>
      <c r="E22" s="56"/>
      <c r="F22" s="56">
        <f t="shared" si="6"/>
        <v>20999.236874192986</v>
      </c>
      <c r="G22" s="94">
        <f t="shared" si="7"/>
        <v>8380.4052528011453</v>
      </c>
      <c r="H22" s="57">
        <f t="shared" si="8"/>
        <v>1137032.5151577252</v>
      </c>
      <c r="I22" s="57"/>
      <c r="J22" s="99">
        <f t="shared" si="9"/>
        <v>29379.642126994131</v>
      </c>
      <c r="K22" s="57">
        <f t="shared" si="3"/>
        <v>25209.579886927131</v>
      </c>
    </row>
    <row r="23" spans="1:11">
      <c r="A23" s="55">
        <f t="shared" si="10"/>
        <v>9</v>
      </c>
      <c r="B23" s="57">
        <f t="shared" si="11"/>
        <v>1137032.5151577252</v>
      </c>
      <c r="C23" s="93">
        <f t="shared" si="4"/>
        <v>1.8333333333333333E-2</v>
      </c>
      <c r="D23" s="94">
        <f t="shared" si="5"/>
        <v>29379.642126994131</v>
      </c>
      <c r="E23" s="56"/>
      <c r="F23" s="56">
        <f t="shared" si="6"/>
        <v>20845.596111224961</v>
      </c>
      <c r="G23" s="94">
        <f t="shared" si="7"/>
        <v>8534.0460157691705</v>
      </c>
      <c r="H23" s="57">
        <f t="shared" si="8"/>
        <v>1128498.469141956</v>
      </c>
      <c r="I23" s="57"/>
      <c r="J23" s="99">
        <f t="shared" si="9"/>
        <v>29379.642126994131</v>
      </c>
      <c r="K23" s="57">
        <f t="shared" si="3"/>
        <v>24731.78695105208</v>
      </c>
    </row>
    <row r="24" spans="1:11">
      <c r="A24" s="55">
        <f t="shared" si="10"/>
        <v>10</v>
      </c>
      <c r="B24" s="57">
        <f t="shared" si="11"/>
        <v>1128498.469141956</v>
      </c>
      <c r="C24" s="93">
        <f t="shared" si="4"/>
        <v>1.8333333333333333E-2</v>
      </c>
      <c r="D24" s="94">
        <f t="shared" si="5"/>
        <v>29379.642126994131</v>
      </c>
      <c r="E24" s="56"/>
      <c r="F24" s="56">
        <f t="shared" si="6"/>
        <v>20689.138600935858</v>
      </c>
      <c r="G24" s="94">
        <f t="shared" si="7"/>
        <v>8690.5035260582736</v>
      </c>
      <c r="H24" s="57">
        <f t="shared" si="8"/>
        <v>1119807.9656158977</v>
      </c>
      <c r="I24" s="57"/>
      <c r="J24" s="99">
        <f t="shared" si="9"/>
        <v>29379.642126994131</v>
      </c>
      <c r="K24" s="57">
        <f t="shared" si="3"/>
        <v>24263.049544487556</v>
      </c>
    </row>
    <row r="25" spans="1:11">
      <c r="A25" s="55">
        <f t="shared" si="10"/>
        <v>11</v>
      </c>
      <c r="B25" s="57">
        <f t="shared" si="11"/>
        <v>1119807.9656158977</v>
      </c>
      <c r="C25" s="93">
        <f t="shared" si="4"/>
        <v>1.8333333333333333E-2</v>
      </c>
      <c r="D25" s="94">
        <f t="shared" si="5"/>
        <v>29379.642126994131</v>
      </c>
      <c r="E25" s="56"/>
      <c r="F25" s="56">
        <f t="shared" si="6"/>
        <v>20529.812702958123</v>
      </c>
      <c r="G25" s="94">
        <f t="shared" si="7"/>
        <v>8849.8294240360083</v>
      </c>
      <c r="H25" s="57">
        <f t="shared" si="8"/>
        <v>1110958.1361918617</v>
      </c>
      <c r="I25" s="57"/>
      <c r="J25" s="99">
        <f t="shared" si="9"/>
        <v>29379.642126994131</v>
      </c>
      <c r="K25" s="57">
        <f t="shared" si="3"/>
        <v>23803.196039306607</v>
      </c>
    </row>
    <row r="26" spans="1:11">
      <c r="A26" s="55">
        <f t="shared" si="10"/>
        <v>12</v>
      </c>
      <c r="B26" s="57">
        <f t="shared" si="11"/>
        <v>1110958.1361918617</v>
      </c>
      <c r="C26" s="93">
        <f t="shared" si="4"/>
        <v>1.8333333333333333E-2</v>
      </c>
      <c r="D26" s="94">
        <f t="shared" si="5"/>
        <v>29379.642126994131</v>
      </c>
      <c r="E26" s="92">
        <f xml:space="preserve"> B8</f>
        <v>50000</v>
      </c>
      <c r="F26" s="56">
        <f t="shared" si="6"/>
        <v>20367.565830184132</v>
      </c>
      <c r="G26" s="94">
        <f t="shared" si="7"/>
        <v>59012.076296810003</v>
      </c>
      <c r="H26" s="57">
        <f t="shared" si="8"/>
        <v>1051946.0598950516</v>
      </c>
      <c r="I26" s="57"/>
      <c r="J26" s="99">
        <f t="shared" si="9"/>
        <v>79379.642126994135</v>
      </c>
      <c r="K26" s="57">
        <f t="shared" si="3"/>
        <v>63093.961585786972</v>
      </c>
    </row>
    <row r="27" spans="1:11">
      <c r="A27" s="55">
        <f t="shared" si="10"/>
        <v>13</v>
      </c>
      <c r="B27" s="57">
        <f t="shared" si="11"/>
        <v>1051946.0598950516</v>
      </c>
      <c r="C27" s="93">
        <f t="shared" si="4"/>
        <v>1.8333333333333333E-2</v>
      </c>
      <c r="D27" s="94">
        <f t="shared" si="5"/>
        <v>29379.642126994131</v>
      </c>
      <c r="E27" s="56"/>
      <c r="F27" s="56">
        <f t="shared" si="6"/>
        <v>19285.677764742613</v>
      </c>
      <c r="G27" s="94">
        <f t="shared" si="7"/>
        <v>10093.964362251518</v>
      </c>
      <c r="H27" s="57">
        <f t="shared" si="8"/>
        <v>1041852.0955328001</v>
      </c>
      <c r="I27" s="57"/>
      <c r="J27" s="99">
        <f t="shared" si="9"/>
        <v>29379.642126994131</v>
      </c>
      <c r="K27" s="57">
        <f t="shared" si="3"/>
        <v>22909.470423913674</v>
      </c>
    </row>
    <row r="28" spans="1:11">
      <c r="A28" s="55">
        <f t="shared" si="10"/>
        <v>14</v>
      </c>
      <c r="B28" s="57">
        <f t="shared" si="11"/>
        <v>1041852.0955328001</v>
      </c>
      <c r="C28" s="93">
        <f t="shared" si="4"/>
        <v>1.8333333333333333E-2</v>
      </c>
      <c r="D28" s="94">
        <f t="shared" si="5"/>
        <v>29379.642126994131</v>
      </c>
      <c r="E28" s="56"/>
      <c r="F28" s="56">
        <f t="shared" si="6"/>
        <v>19100.621751434668</v>
      </c>
      <c r="G28" s="94">
        <f t="shared" si="7"/>
        <v>10279.020375559463</v>
      </c>
      <c r="H28" s="57">
        <f t="shared" si="8"/>
        <v>1031573.0751572406</v>
      </c>
      <c r="I28" s="57"/>
      <c r="J28" s="99">
        <f t="shared" si="9"/>
        <v>29379.642126994131</v>
      </c>
      <c r="K28" s="57">
        <f t="shared" si="3"/>
        <v>22475.271076590925</v>
      </c>
    </row>
    <row r="29" spans="1:11">
      <c r="A29" s="55">
        <f t="shared" si="10"/>
        <v>15</v>
      </c>
      <c r="B29" s="57">
        <f t="shared" si="11"/>
        <v>1031573.0751572406</v>
      </c>
      <c r="C29" s="93">
        <f t="shared" si="4"/>
        <v>1.8333333333333333E-2</v>
      </c>
      <c r="D29" s="94">
        <f t="shared" si="5"/>
        <v>29379.642126994131</v>
      </c>
      <c r="E29" s="56"/>
      <c r="F29" s="56">
        <f t="shared" si="6"/>
        <v>18912.17304454941</v>
      </c>
      <c r="G29" s="94">
        <f t="shared" si="7"/>
        <v>10467.469082444721</v>
      </c>
      <c r="H29" s="57">
        <f t="shared" si="8"/>
        <v>1021105.6060747959</v>
      </c>
      <c r="I29" s="57"/>
      <c r="J29" s="99">
        <f t="shared" si="9"/>
        <v>29379.642126994131</v>
      </c>
      <c r="K29" s="57">
        <f t="shared" si="3"/>
        <v>22049.301036612564</v>
      </c>
    </row>
    <row r="30" spans="1:11">
      <c r="A30" s="55">
        <f t="shared" si="10"/>
        <v>16</v>
      </c>
      <c r="B30" s="57">
        <f t="shared" si="11"/>
        <v>1021105.6060747959</v>
      </c>
      <c r="C30" s="93">
        <f t="shared" si="4"/>
        <v>1.8333333333333333E-2</v>
      </c>
      <c r="D30" s="94">
        <f t="shared" si="5"/>
        <v>29379.642126994131</v>
      </c>
      <c r="E30" s="56"/>
      <c r="F30" s="56">
        <f t="shared" si="6"/>
        <v>18720.269444704591</v>
      </c>
      <c r="G30" s="94">
        <f t="shared" si="7"/>
        <v>10659.372682289541</v>
      </c>
      <c r="H30" s="57">
        <f t="shared" si="8"/>
        <v>1010446.2333925064</v>
      </c>
      <c r="I30" s="57"/>
      <c r="J30" s="99">
        <f t="shared" si="9"/>
        <v>29379.642126994131</v>
      </c>
      <c r="K30" s="57">
        <f t="shared" si="3"/>
        <v>21631.404335297877</v>
      </c>
    </row>
    <row r="31" spans="1:11">
      <c r="A31" s="55">
        <f t="shared" si="10"/>
        <v>17</v>
      </c>
      <c r="B31" s="57">
        <f t="shared" si="11"/>
        <v>1010446.2333925064</v>
      </c>
      <c r="C31" s="93">
        <f t="shared" si="4"/>
        <v>1.8333333333333333E-2</v>
      </c>
      <c r="D31" s="94">
        <f t="shared" si="5"/>
        <v>29379.642126994131</v>
      </c>
      <c r="E31" s="56"/>
      <c r="F31" s="56">
        <f t="shared" si="6"/>
        <v>18524.84761219595</v>
      </c>
      <c r="G31" s="94">
        <f t="shared" si="7"/>
        <v>10854.794514798181</v>
      </c>
      <c r="H31" s="57">
        <f t="shared" si="8"/>
        <v>999591.43887770816</v>
      </c>
      <c r="I31" s="57"/>
      <c r="J31" s="99">
        <f t="shared" si="9"/>
        <v>29379.642126994131</v>
      </c>
      <c r="K31" s="57">
        <f t="shared" si="3"/>
        <v>21221.427960014375</v>
      </c>
    </row>
    <row r="32" spans="1:11">
      <c r="A32" s="55">
        <f t="shared" si="10"/>
        <v>18</v>
      </c>
      <c r="B32" s="57">
        <f t="shared" si="11"/>
        <v>999591.43887770816</v>
      </c>
      <c r="C32" s="93">
        <f t="shared" si="4"/>
        <v>1.8333333333333333E-2</v>
      </c>
      <c r="D32" s="94">
        <f t="shared" si="5"/>
        <v>29379.642126994131</v>
      </c>
      <c r="E32" s="56"/>
      <c r="F32" s="56">
        <f t="shared" si="6"/>
        <v>18325.843046091315</v>
      </c>
      <c r="G32" s="94">
        <f t="shared" si="7"/>
        <v>11053.799080902816</v>
      </c>
      <c r="H32" s="57">
        <f t="shared" si="8"/>
        <v>988537.63979680534</v>
      </c>
      <c r="I32" s="57"/>
      <c r="J32" s="99">
        <f t="shared" si="9"/>
        <v>29379.642126994131</v>
      </c>
      <c r="K32" s="57">
        <f t="shared" si="3"/>
        <v>20819.221798152306</v>
      </c>
    </row>
    <row r="33" spans="1:11">
      <c r="A33" s="55">
        <f t="shared" si="10"/>
        <v>19</v>
      </c>
      <c r="B33" s="57">
        <f t="shared" si="11"/>
        <v>988537.63979680534</v>
      </c>
      <c r="C33" s="93">
        <f t="shared" si="4"/>
        <v>1.8333333333333333E-2</v>
      </c>
      <c r="D33" s="94">
        <f t="shared" si="5"/>
        <v>29379.642126994131</v>
      </c>
      <c r="E33" s="56"/>
      <c r="F33" s="56">
        <f t="shared" si="6"/>
        <v>18123.19006294143</v>
      </c>
      <c r="G33" s="94">
        <f t="shared" si="7"/>
        <v>11256.452064052701</v>
      </c>
      <c r="H33" s="57">
        <f t="shared" si="8"/>
        <v>977281.18773275265</v>
      </c>
      <c r="I33" s="57"/>
      <c r="J33" s="99">
        <f t="shared" si="9"/>
        <v>29379.642126994131</v>
      </c>
      <c r="K33" s="57">
        <f t="shared" si="3"/>
        <v>20424.638582161013</v>
      </c>
    </row>
    <row r="34" spans="1:11">
      <c r="A34" s="55">
        <f t="shared" si="10"/>
        <v>20</v>
      </c>
      <c r="B34" s="57">
        <f t="shared" si="11"/>
        <v>977281.18773275265</v>
      </c>
      <c r="C34" s="93">
        <f t="shared" si="4"/>
        <v>1.8333333333333333E-2</v>
      </c>
      <c r="D34" s="94">
        <f t="shared" si="5"/>
        <v>29379.642126994131</v>
      </c>
      <c r="E34" s="56"/>
      <c r="F34" s="56">
        <f t="shared" si="6"/>
        <v>17916.821775100467</v>
      </c>
      <c r="G34" s="94">
        <f t="shared" si="7"/>
        <v>11462.820351893664</v>
      </c>
      <c r="H34" s="57">
        <f t="shared" si="8"/>
        <v>965818.36738085898</v>
      </c>
      <c r="I34" s="57"/>
      <c r="J34" s="99">
        <f t="shared" si="9"/>
        <v>29379.642126994131</v>
      </c>
      <c r="K34" s="57">
        <f t="shared" si="3"/>
        <v>20037.533835627011</v>
      </c>
    </row>
    <row r="35" spans="1:11">
      <c r="A35" s="55">
        <f t="shared" si="10"/>
        <v>21</v>
      </c>
      <c r="B35" s="57">
        <f t="shared" si="11"/>
        <v>965818.36738085898</v>
      </c>
      <c r="C35" s="93">
        <f t="shared" si="4"/>
        <v>1.8333333333333333E-2</v>
      </c>
      <c r="D35" s="94">
        <f t="shared" si="5"/>
        <v>29379.642126994131</v>
      </c>
      <c r="E35" s="56"/>
      <c r="F35" s="56">
        <f t="shared" si="6"/>
        <v>17706.67006864908</v>
      </c>
      <c r="G35" s="94">
        <f t="shared" si="7"/>
        <v>11672.972058345051</v>
      </c>
      <c r="H35" s="57">
        <f t="shared" si="8"/>
        <v>954145.39532251388</v>
      </c>
      <c r="I35" s="57"/>
      <c r="J35" s="99">
        <f t="shared" si="9"/>
        <v>29379.642126994131</v>
      </c>
      <c r="K35" s="57">
        <f t="shared" si="3"/>
        <v>19657.765820374028</v>
      </c>
    </row>
    <row r="36" spans="1:11">
      <c r="A36" s="55">
        <f t="shared" si="10"/>
        <v>22</v>
      </c>
      <c r="B36" s="57">
        <f t="shared" si="11"/>
        <v>954145.39532251388</v>
      </c>
      <c r="C36" s="93">
        <f t="shared" si="4"/>
        <v>1.8333333333333333E-2</v>
      </c>
      <c r="D36" s="94">
        <f t="shared" si="5"/>
        <v>29379.642126994131</v>
      </c>
      <c r="E36" s="56"/>
      <c r="F36" s="56">
        <f t="shared" si="6"/>
        <v>17492.665580912755</v>
      </c>
      <c r="G36" s="94">
        <f t="shared" si="7"/>
        <v>11886.976546081376</v>
      </c>
      <c r="H36" s="57">
        <f t="shared" si="8"/>
        <v>942258.41877643252</v>
      </c>
      <c r="I36" s="57"/>
      <c r="J36" s="99">
        <f t="shared" si="9"/>
        <v>29379.642126994131</v>
      </c>
      <c r="K36" s="57">
        <f t="shared" si="3"/>
        <v>19285.195484565644</v>
      </c>
    </row>
    <row r="37" spans="1:11">
      <c r="A37" s="55">
        <f t="shared" si="10"/>
        <v>23</v>
      </c>
      <c r="B37" s="57">
        <f t="shared" si="11"/>
        <v>942258.41877643252</v>
      </c>
      <c r="C37" s="93">
        <f t="shared" si="4"/>
        <v>1.8333333333333333E-2</v>
      </c>
      <c r="D37" s="94">
        <f t="shared" si="5"/>
        <v>29379.642126994131</v>
      </c>
      <c r="E37" s="56"/>
      <c r="F37" s="56">
        <f t="shared" si="6"/>
        <v>17274.737677567929</v>
      </c>
      <c r="G37" s="94">
        <f t="shared" si="7"/>
        <v>12104.904449426202</v>
      </c>
      <c r="H37" s="57">
        <f t="shared" si="8"/>
        <v>930153.5143270063</v>
      </c>
      <c r="I37" s="57"/>
      <c r="J37" s="99">
        <f t="shared" si="9"/>
        <v>29379.642126994131</v>
      </c>
      <c r="K37" s="57">
        <f t="shared" si="3"/>
        <v>18919.686411791554</v>
      </c>
    </row>
    <row r="38" spans="1:11">
      <c r="A38" s="55">
        <f t="shared" si="10"/>
        <v>24</v>
      </c>
      <c r="B38" s="57">
        <f t="shared" si="11"/>
        <v>930153.5143270063</v>
      </c>
      <c r="C38" s="93">
        <f t="shared" si="4"/>
        <v>1.8333333333333333E-2</v>
      </c>
      <c r="D38" s="94">
        <f t="shared" si="5"/>
        <v>29379.642126994131</v>
      </c>
      <c r="E38" s="92">
        <f xml:space="preserve"> B8</f>
        <v>50000</v>
      </c>
      <c r="F38" s="56">
        <f t="shared" si="6"/>
        <v>17052.814429328449</v>
      </c>
      <c r="G38" s="94">
        <f t="shared" si="7"/>
        <v>62326.827697665685</v>
      </c>
      <c r="H38" s="57">
        <f t="shared" si="8"/>
        <v>867826.68662934063</v>
      </c>
      <c r="I38" s="57"/>
      <c r="J38" s="99">
        <f t="shared" si="9"/>
        <v>79379.642126994135</v>
      </c>
      <c r="K38" s="57">
        <f t="shared" si="3"/>
        <v>50149.482687514166</v>
      </c>
    </row>
    <row r="39" spans="1:11">
      <c r="A39" s="55">
        <f t="shared" si="10"/>
        <v>25</v>
      </c>
      <c r="B39" s="57">
        <f t="shared" si="11"/>
        <v>867826.68662934063</v>
      </c>
      <c r="C39" s="93">
        <f t="shared" si="4"/>
        <v>1.8333333333333333E-2</v>
      </c>
      <c r="D39" s="94">
        <f t="shared" si="5"/>
        <v>29379.642126994131</v>
      </c>
      <c r="E39" s="56"/>
      <c r="F39" s="56">
        <f t="shared" si="6"/>
        <v>15910.155921537911</v>
      </c>
      <c r="G39" s="94">
        <f t="shared" si="7"/>
        <v>13469.48620545622</v>
      </c>
      <c r="H39" s="57">
        <f t="shared" si="8"/>
        <v>854357.20042388444</v>
      </c>
      <c r="I39" s="57"/>
      <c r="J39" s="99">
        <f t="shared" si="9"/>
        <v>29379.642126994131</v>
      </c>
      <c r="K39" s="57">
        <f t="shared" si="3"/>
        <v>18209.31926808961</v>
      </c>
    </row>
    <row r="40" spans="1:11">
      <c r="A40" s="55">
        <f t="shared" si="10"/>
        <v>26</v>
      </c>
      <c r="B40" s="57">
        <f t="shared" si="11"/>
        <v>854357.20042388444</v>
      </c>
      <c r="C40" s="93">
        <f t="shared" si="4"/>
        <v>1.8333333333333333E-2</v>
      </c>
      <c r="D40" s="94">
        <f t="shared" si="5"/>
        <v>29379.642126994131</v>
      </c>
      <c r="E40" s="56"/>
      <c r="F40" s="56">
        <f t="shared" si="6"/>
        <v>15663.215341104547</v>
      </c>
      <c r="G40" s="94">
        <f t="shared" si="7"/>
        <v>13716.426785889584</v>
      </c>
      <c r="H40" s="57">
        <f t="shared" si="8"/>
        <v>840640.77363799489</v>
      </c>
      <c r="I40" s="57"/>
      <c r="J40" s="99">
        <f t="shared" si="9"/>
        <v>29379.642126994131</v>
      </c>
      <c r="K40" s="57">
        <f t="shared" si="3"/>
        <v>17864.201096648034</v>
      </c>
    </row>
    <row r="41" spans="1:11">
      <c r="A41" s="55">
        <f t="shared" si="10"/>
        <v>27</v>
      </c>
      <c r="B41" s="57">
        <f t="shared" si="11"/>
        <v>840640.77363799489</v>
      </c>
      <c r="C41" s="93">
        <f t="shared" si="4"/>
        <v>1.8333333333333333E-2</v>
      </c>
      <c r="D41" s="94">
        <f t="shared" si="5"/>
        <v>29379.642126994131</v>
      </c>
      <c r="E41" s="56"/>
      <c r="F41" s="56">
        <f t="shared" si="6"/>
        <v>15411.747516696572</v>
      </c>
      <c r="G41" s="94">
        <f t="shared" si="7"/>
        <v>13967.894610297559</v>
      </c>
      <c r="H41" s="57">
        <f t="shared" si="8"/>
        <v>826672.87902769737</v>
      </c>
      <c r="I41" s="57"/>
      <c r="J41" s="99">
        <f t="shared" si="9"/>
        <v>29379.642126994131</v>
      </c>
      <c r="K41" s="57">
        <f t="shared" si="3"/>
        <v>17525.623891977677</v>
      </c>
    </row>
    <row r="42" spans="1:11">
      <c r="A42" s="55">
        <f t="shared" si="10"/>
        <v>28</v>
      </c>
      <c r="B42" s="57">
        <f t="shared" si="11"/>
        <v>826672.87902769737</v>
      </c>
      <c r="C42" s="93">
        <f t="shared" si="4"/>
        <v>1.8333333333333333E-2</v>
      </c>
      <c r="D42" s="94">
        <f t="shared" si="5"/>
        <v>29379.642126994131</v>
      </c>
      <c r="E42" s="56"/>
      <c r="F42" s="56">
        <f t="shared" si="6"/>
        <v>15155.669448841119</v>
      </c>
      <c r="G42" s="94">
        <f t="shared" si="7"/>
        <v>14223.972678153012</v>
      </c>
      <c r="H42" s="57">
        <f t="shared" si="8"/>
        <v>812448.90634954441</v>
      </c>
      <c r="I42" s="57"/>
      <c r="J42" s="99">
        <f t="shared" si="9"/>
        <v>29379.642126994131</v>
      </c>
      <c r="K42" s="57">
        <f t="shared" si="3"/>
        <v>17193.463684233309</v>
      </c>
    </row>
    <row r="43" spans="1:11">
      <c r="A43" s="55">
        <f t="shared" si="10"/>
        <v>29</v>
      </c>
      <c r="B43" s="57">
        <f t="shared" si="11"/>
        <v>812448.90634954441</v>
      </c>
      <c r="C43" s="93">
        <f t="shared" si="4"/>
        <v>1.8333333333333333E-2</v>
      </c>
      <c r="D43" s="94">
        <f t="shared" si="5"/>
        <v>29379.642126994131</v>
      </c>
      <c r="E43" s="56"/>
      <c r="F43" s="56">
        <f t="shared" si="6"/>
        <v>14894.896616408314</v>
      </c>
      <c r="G43" s="94">
        <f t="shared" si="7"/>
        <v>14484.745510585817</v>
      </c>
      <c r="H43" s="57">
        <f t="shared" si="8"/>
        <v>797964.16083895857</v>
      </c>
      <c r="I43" s="57"/>
      <c r="J43" s="99">
        <f t="shared" si="9"/>
        <v>29379.642126994131</v>
      </c>
      <c r="K43" s="57">
        <f t="shared" si="3"/>
        <v>16867.598853149357</v>
      </c>
    </row>
    <row r="44" spans="1:11">
      <c r="A44" s="55">
        <f t="shared" si="10"/>
        <v>30</v>
      </c>
      <c r="B44" s="57">
        <f t="shared" si="11"/>
        <v>797964.16083895857</v>
      </c>
      <c r="C44" s="93">
        <f t="shared" si="4"/>
        <v>1.8333333333333333E-2</v>
      </c>
      <c r="D44" s="94">
        <f t="shared" si="5"/>
        <v>29379.642126994131</v>
      </c>
      <c r="E44" s="56"/>
      <c r="F44" s="56">
        <f t="shared" si="6"/>
        <v>14629.34294871424</v>
      </c>
      <c r="G44" s="94">
        <f t="shared" si="7"/>
        <v>14750.299178279891</v>
      </c>
      <c r="H44" s="57">
        <f t="shared" si="8"/>
        <v>783213.86166067864</v>
      </c>
      <c r="I44" s="57"/>
      <c r="J44" s="99">
        <f t="shared" si="9"/>
        <v>29379.642126994131</v>
      </c>
      <c r="K44" s="57">
        <f t="shared" si="3"/>
        <v>16547.910083508727</v>
      </c>
    </row>
    <row r="45" spans="1:11">
      <c r="A45" s="55">
        <f t="shared" si="10"/>
        <v>31</v>
      </c>
      <c r="B45" s="57">
        <f t="shared" si="11"/>
        <v>783213.86166067864</v>
      </c>
      <c r="C45" s="93">
        <f t="shared" si="4"/>
        <v>1.8333333333333333E-2</v>
      </c>
      <c r="D45" s="94">
        <f t="shared" si="5"/>
        <v>29379.642126994131</v>
      </c>
      <c r="E45" s="56"/>
      <c r="F45" s="56">
        <f t="shared" si="6"/>
        <v>14358.920797112442</v>
      </c>
      <c r="G45" s="94">
        <f t="shared" si="7"/>
        <v>15020.72132988169</v>
      </c>
      <c r="H45" s="57">
        <f t="shared" si="8"/>
        <v>768193.14033079694</v>
      </c>
      <c r="I45" s="57"/>
      <c r="J45" s="99">
        <f t="shared" si="9"/>
        <v>29379.642126994131</v>
      </c>
      <c r="K45" s="57">
        <f t="shared" si="3"/>
        <v>16234.280321455608</v>
      </c>
    </row>
    <row r="46" spans="1:11">
      <c r="A46" s="55">
        <f t="shared" si="10"/>
        <v>32</v>
      </c>
      <c r="B46" s="57">
        <f t="shared" si="11"/>
        <v>768193.14033079694</v>
      </c>
      <c r="C46" s="93">
        <f t="shared" si="4"/>
        <v>1.8333333333333333E-2</v>
      </c>
      <c r="D46" s="94">
        <f t="shared" si="5"/>
        <v>29379.642126994131</v>
      </c>
      <c r="E46" s="56"/>
      <c r="F46" s="56">
        <f t="shared" si="6"/>
        <v>14083.540906064611</v>
      </c>
      <c r="G46" s="94">
        <f t="shared" si="7"/>
        <v>15296.10122092952</v>
      </c>
      <c r="H46" s="57">
        <f t="shared" si="8"/>
        <v>752897.03910986742</v>
      </c>
      <c r="I46" s="57"/>
      <c r="J46" s="99">
        <f t="shared" si="9"/>
        <v>29379.642126994131</v>
      </c>
      <c r="K46" s="57">
        <f t="shared" si="3"/>
        <v>15926.594731636271</v>
      </c>
    </row>
    <row r="47" spans="1:11">
      <c r="A47" s="55">
        <f t="shared" si="10"/>
        <v>33</v>
      </c>
      <c r="B47" s="57">
        <f t="shared" si="11"/>
        <v>752897.03910986742</v>
      </c>
      <c r="C47" s="93">
        <f t="shared" si="4"/>
        <v>1.8333333333333333E-2</v>
      </c>
      <c r="D47" s="94">
        <f t="shared" si="5"/>
        <v>29379.642126994131</v>
      </c>
      <c r="E47" s="56"/>
      <c r="F47" s="56">
        <f t="shared" si="6"/>
        <v>13803.112383680902</v>
      </c>
      <c r="G47" s="94">
        <f t="shared" si="7"/>
        <v>15576.529743313229</v>
      </c>
      <c r="H47" s="57">
        <f t="shared" si="8"/>
        <v>737320.50936655421</v>
      </c>
      <c r="I47" s="57"/>
      <c r="J47" s="99">
        <f t="shared" si="9"/>
        <v>29379.642126994131</v>
      </c>
      <c r="K47" s="57">
        <f t="shared" ref="K47:K74" si="12">J47/(1+$I$11/12)^A47</f>
        <v>15624.740655152165</v>
      </c>
    </row>
    <row r="48" spans="1:11">
      <c r="A48" s="55">
        <f t="shared" si="10"/>
        <v>34</v>
      </c>
      <c r="B48" s="57">
        <f t="shared" si="11"/>
        <v>737320.50936655421</v>
      </c>
      <c r="C48" s="93">
        <f t="shared" si="4"/>
        <v>1.8333333333333333E-2</v>
      </c>
      <c r="D48" s="94">
        <f t="shared" si="5"/>
        <v>29379.642126994131</v>
      </c>
      <c r="E48" s="56"/>
      <c r="F48" s="56">
        <f t="shared" si="6"/>
        <v>13517.542671720161</v>
      </c>
      <c r="G48" s="94">
        <f t="shared" si="7"/>
        <v>15862.09945527397</v>
      </c>
      <c r="H48" s="57">
        <f t="shared" si="8"/>
        <v>721458.40991128027</v>
      </c>
      <c r="I48" s="57"/>
      <c r="J48" s="99">
        <f t="shared" si="9"/>
        <v>29379.642126994131</v>
      </c>
      <c r="K48" s="57">
        <f t="shared" si="12"/>
        <v>15328.607568309941</v>
      </c>
    </row>
    <row r="49" spans="1:11">
      <c r="A49" s="55">
        <f t="shared" si="10"/>
        <v>35</v>
      </c>
      <c r="B49" s="57">
        <f t="shared" si="11"/>
        <v>721458.40991128027</v>
      </c>
      <c r="C49" s="93">
        <f t="shared" si="4"/>
        <v>1.8333333333333333E-2</v>
      </c>
      <c r="D49" s="94">
        <f t="shared" si="5"/>
        <v>29379.642126994131</v>
      </c>
      <c r="E49" s="56"/>
      <c r="F49" s="56">
        <f t="shared" si="6"/>
        <v>13226.737515040139</v>
      </c>
      <c r="G49" s="94">
        <f t="shared" si="7"/>
        <v>16152.904611953993</v>
      </c>
      <c r="H49" s="57">
        <f t="shared" si="8"/>
        <v>705305.50529932627</v>
      </c>
      <c r="I49" s="57"/>
      <c r="J49" s="99">
        <f t="shared" si="9"/>
        <v>29379.642126994131</v>
      </c>
      <c r="K49" s="57">
        <f t="shared" si="12"/>
        <v>15038.087042153244</v>
      </c>
    </row>
    <row r="50" spans="1:11">
      <c r="A50" s="55">
        <f t="shared" si="10"/>
        <v>36</v>
      </c>
      <c r="B50" s="57">
        <f t="shared" si="11"/>
        <v>705305.50529932627</v>
      </c>
      <c r="C50" s="93">
        <f t="shared" si="4"/>
        <v>1.8333333333333333E-2</v>
      </c>
      <c r="D50" s="94">
        <f t="shared" si="5"/>
        <v>29379.642126994131</v>
      </c>
      <c r="E50" s="92">
        <f xml:space="preserve"> B8</f>
        <v>50000</v>
      </c>
      <c r="F50" s="56">
        <f t="shared" si="6"/>
        <v>12930.600930487648</v>
      </c>
      <c r="G50" s="94">
        <f t="shared" si="7"/>
        <v>66449.041196506485</v>
      </c>
      <c r="H50" s="57">
        <f t="shared" si="8"/>
        <v>638856.46410281979</v>
      </c>
      <c r="I50" s="57"/>
      <c r="J50" s="99">
        <f t="shared" si="9"/>
        <v>79379.642126994135</v>
      </c>
      <c r="K50" s="57">
        <f t="shared" si="12"/>
        <v>39860.718056287405</v>
      </c>
    </row>
    <row r="51" spans="1:11">
      <c r="A51" s="55">
        <f t="shared" si="10"/>
        <v>37</v>
      </c>
      <c r="B51" s="57">
        <f t="shared" si="11"/>
        <v>638856.46410281979</v>
      </c>
      <c r="C51" s="93">
        <f t="shared" si="4"/>
        <v>1.8333333333333333E-2</v>
      </c>
      <c r="D51" s="94">
        <f t="shared" si="5"/>
        <v>29379.642126994131</v>
      </c>
      <c r="E51" s="56"/>
      <c r="F51" s="56">
        <f t="shared" si="6"/>
        <v>11712.368508551695</v>
      </c>
      <c r="G51" s="94">
        <f t="shared" si="7"/>
        <v>17667.273618442436</v>
      </c>
      <c r="H51" s="57">
        <f t="shared" si="8"/>
        <v>621189.19048437732</v>
      </c>
      <c r="I51" s="57"/>
      <c r="J51" s="99">
        <f t="shared" si="9"/>
        <v>29379.642126994131</v>
      </c>
      <c r="K51" s="57">
        <f t="shared" si="12"/>
        <v>14473.460192301345</v>
      </c>
    </row>
    <row r="52" spans="1:11">
      <c r="A52" s="55">
        <f t="shared" si="10"/>
        <v>38</v>
      </c>
      <c r="B52" s="57">
        <f t="shared" si="11"/>
        <v>621189.19048437732</v>
      </c>
      <c r="C52" s="93">
        <f t="shared" si="4"/>
        <v>1.8333333333333333E-2</v>
      </c>
      <c r="D52" s="94">
        <f t="shared" si="5"/>
        <v>29379.642126994131</v>
      </c>
      <c r="E52" s="56"/>
      <c r="F52" s="56">
        <f t="shared" si="6"/>
        <v>11388.468492213584</v>
      </c>
      <c r="G52" s="94">
        <f t="shared" si="7"/>
        <v>17991.173634780549</v>
      </c>
      <c r="H52" s="57">
        <f t="shared" si="8"/>
        <v>603198.01684959675</v>
      </c>
      <c r="I52" s="57"/>
      <c r="J52" s="99">
        <f t="shared" si="9"/>
        <v>29379.642126994131</v>
      </c>
      <c r="K52" s="57">
        <f t="shared" si="12"/>
        <v>14199.147130815682</v>
      </c>
    </row>
    <row r="53" spans="1:11">
      <c r="A53" s="55">
        <f t="shared" si="10"/>
        <v>39</v>
      </c>
      <c r="B53" s="57">
        <f t="shared" si="11"/>
        <v>603198.01684959675</v>
      </c>
      <c r="C53" s="93">
        <f t="shared" si="4"/>
        <v>1.8333333333333333E-2</v>
      </c>
      <c r="D53" s="94">
        <f t="shared" si="5"/>
        <v>29379.642126994131</v>
      </c>
      <c r="E53" s="56"/>
      <c r="F53" s="56">
        <f t="shared" si="6"/>
        <v>11058.630308909274</v>
      </c>
      <c r="G53" s="94">
        <f t="shared" si="7"/>
        <v>18321.011818084859</v>
      </c>
      <c r="H53" s="57">
        <f t="shared" si="8"/>
        <v>584877.00503151189</v>
      </c>
      <c r="I53" s="57"/>
      <c r="J53" s="99">
        <f t="shared" si="9"/>
        <v>29379.642126994131</v>
      </c>
      <c r="K53" s="57">
        <f t="shared" si="12"/>
        <v>13930.03307873771</v>
      </c>
    </row>
    <row r="54" spans="1:11">
      <c r="A54" s="55">
        <f t="shared" si="10"/>
        <v>40</v>
      </c>
      <c r="B54" s="57">
        <f t="shared" si="11"/>
        <v>584877.00503151189</v>
      </c>
      <c r="C54" s="93">
        <f t="shared" si="4"/>
        <v>1.8333333333333333E-2</v>
      </c>
      <c r="D54" s="94">
        <f t="shared" si="5"/>
        <v>29379.642126994131</v>
      </c>
      <c r="E54" s="56"/>
      <c r="F54" s="56">
        <f t="shared" si="6"/>
        <v>10722.745092244384</v>
      </c>
      <c r="G54" s="94">
        <f t="shared" si="7"/>
        <v>18656.897034749745</v>
      </c>
      <c r="H54" s="57">
        <f t="shared" si="8"/>
        <v>566220.10799676215</v>
      </c>
      <c r="I54" s="57"/>
      <c r="J54" s="99">
        <f t="shared" si="9"/>
        <v>29379.642126994131</v>
      </c>
      <c r="K54" s="57">
        <f t="shared" si="12"/>
        <v>13666.019500114844</v>
      </c>
    </row>
    <row r="55" spans="1:11">
      <c r="A55" s="55">
        <f t="shared" si="10"/>
        <v>41</v>
      </c>
      <c r="B55" s="57">
        <f t="shared" si="11"/>
        <v>566220.10799676215</v>
      </c>
      <c r="C55" s="93">
        <f t="shared" si="4"/>
        <v>1.8333333333333333E-2</v>
      </c>
      <c r="D55" s="94">
        <f t="shared" si="5"/>
        <v>29379.642126994131</v>
      </c>
      <c r="E55" s="56"/>
      <c r="F55" s="56">
        <f t="shared" si="6"/>
        <v>10380.701979940639</v>
      </c>
      <c r="G55" s="94">
        <f t="shared" si="7"/>
        <v>18998.940147053494</v>
      </c>
      <c r="H55" s="57">
        <f t="shared" si="8"/>
        <v>547221.1678497087</v>
      </c>
      <c r="I55" s="57"/>
      <c r="J55" s="99">
        <f t="shared" si="9"/>
        <v>29379.642126994131</v>
      </c>
      <c r="K55" s="57">
        <f t="shared" si="12"/>
        <v>13407.009726529859</v>
      </c>
    </row>
    <row r="56" spans="1:11">
      <c r="A56" s="55">
        <f t="shared" si="10"/>
        <v>42</v>
      </c>
      <c r="B56" s="57">
        <f t="shared" si="11"/>
        <v>547221.1678497087</v>
      </c>
      <c r="C56" s="93">
        <f t="shared" si="4"/>
        <v>1.8333333333333333E-2</v>
      </c>
      <c r="D56" s="94">
        <f t="shared" si="5"/>
        <v>29379.642126994131</v>
      </c>
      <c r="E56" s="56"/>
      <c r="F56" s="56">
        <f t="shared" si="6"/>
        <v>10032.388077244659</v>
      </c>
      <c r="G56" s="94">
        <f t="shared" si="7"/>
        <v>19347.25404974947</v>
      </c>
      <c r="H56" s="57">
        <f t="shared" si="8"/>
        <v>527873.91379995923</v>
      </c>
      <c r="I56" s="57"/>
      <c r="J56" s="99">
        <f t="shared" si="9"/>
        <v>29379.642126994131</v>
      </c>
      <c r="K56" s="57">
        <f t="shared" si="12"/>
        <v>13152.908921705823</v>
      </c>
    </row>
    <row r="57" spans="1:11">
      <c r="A57" s="55">
        <f t="shared" si="10"/>
        <v>43</v>
      </c>
      <c r="B57" s="57">
        <f t="shared" si="11"/>
        <v>527873.91379995923</v>
      </c>
      <c r="C57" s="93">
        <f t="shared" si="4"/>
        <v>1.8333333333333333E-2</v>
      </c>
      <c r="D57" s="94">
        <f t="shared" si="5"/>
        <v>29379.642126994131</v>
      </c>
      <c r="E57" s="56"/>
      <c r="F57" s="56">
        <f t="shared" si="6"/>
        <v>9677.6884196659194</v>
      </c>
      <c r="G57" s="94">
        <f t="shared" si="7"/>
        <v>19701.953707328212</v>
      </c>
      <c r="H57" s="57">
        <f t="shared" si="8"/>
        <v>508171.96009263105</v>
      </c>
      <c r="I57" s="57"/>
      <c r="J57" s="99">
        <f t="shared" si="9"/>
        <v>29379.642126994131</v>
      </c>
      <c r="K57" s="57">
        <f t="shared" si="12"/>
        <v>12903.62404678183</v>
      </c>
    </row>
    <row r="58" spans="1:11">
      <c r="A58" s="55">
        <f t="shared" si="10"/>
        <v>44</v>
      </c>
      <c r="B58" s="57">
        <f t="shared" si="11"/>
        <v>508171.96009263105</v>
      </c>
      <c r="C58" s="93">
        <f t="shared" si="4"/>
        <v>1.8333333333333333E-2</v>
      </c>
      <c r="D58" s="94">
        <f t="shared" si="5"/>
        <v>29379.642126994131</v>
      </c>
      <c r="E58" s="56"/>
      <c r="F58" s="56">
        <f t="shared" si="6"/>
        <v>9316.4859350315692</v>
      </c>
      <c r="G58" s="94">
        <f t="shared" si="7"/>
        <v>20063.15619196256</v>
      </c>
      <c r="H58" s="57">
        <f t="shared" si="8"/>
        <v>488108.80390066851</v>
      </c>
      <c r="I58" s="57"/>
      <c r="J58" s="99">
        <f t="shared" si="9"/>
        <v>29379.642126994131</v>
      </c>
      <c r="K58" s="57">
        <f t="shared" si="12"/>
        <v>12659.063826246902</v>
      </c>
    </row>
    <row r="59" spans="1:11">
      <c r="A59" s="55">
        <f t="shared" si="10"/>
        <v>45</v>
      </c>
      <c r="B59" s="57">
        <f t="shared" si="11"/>
        <v>488108.80390066851</v>
      </c>
      <c r="C59" s="93">
        <f t="shared" si="4"/>
        <v>1.8333333333333333E-2</v>
      </c>
      <c r="D59" s="94">
        <f t="shared" si="5"/>
        <v>29379.642126994131</v>
      </c>
      <c r="E59" s="56"/>
      <c r="F59" s="56">
        <f t="shared" si="6"/>
        <v>8948.6614048455904</v>
      </c>
      <c r="G59" s="94">
        <f t="shared" si="7"/>
        <v>20430.980722148539</v>
      </c>
      <c r="H59" s="57">
        <f t="shared" si="8"/>
        <v>467677.82317851996</v>
      </c>
      <c r="I59" s="57"/>
      <c r="J59" s="99">
        <f t="shared" si="9"/>
        <v>29379.642126994131</v>
      </c>
      <c r="K59" s="57">
        <f t="shared" si="12"/>
        <v>12419.138714519488</v>
      </c>
    </row>
    <row r="60" spans="1:11">
      <c r="A60" s="55">
        <f t="shared" si="10"/>
        <v>46</v>
      </c>
      <c r="B60" s="57">
        <f t="shared" si="11"/>
        <v>467677.82317851996</v>
      </c>
      <c r="C60" s="93">
        <f t="shared" si="4"/>
        <v>1.8333333333333333E-2</v>
      </c>
      <c r="D60" s="94">
        <f t="shared" si="5"/>
        <v>29379.642126994131</v>
      </c>
      <c r="E60" s="56"/>
      <c r="F60" s="56">
        <f t="shared" si="6"/>
        <v>8574.0934249395323</v>
      </c>
      <c r="G60" s="94">
        <f t="shared" si="7"/>
        <v>20805.548702054599</v>
      </c>
      <c r="H60" s="57">
        <f t="shared" si="8"/>
        <v>446872.27447646536</v>
      </c>
      <c r="I60" s="57"/>
      <c r="J60" s="99">
        <f t="shared" si="9"/>
        <v>29379.642126994131</v>
      </c>
      <c r="K60" s="57">
        <f t="shared" si="12"/>
        <v>12183.760863160414</v>
      </c>
    </row>
    <row r="61" spans="1:11">
      <c r="A61" s="55">
        <f t="shared" si="10"/>
        <v>47</v>
      </c>
      <c r="B61" s="57">
        <f t="shared" si="11"/>
        <v>446872.27447646536</v>
      </c>
      <c r="C61" s="93">
        <f t="shared" si="4"/>
        <v>1.8333333333333333E-2</v>
      </c>
      <c r="D61" s="94">
        <f t="shared" si="5"/>
        <v>29379.642126994131</v>
      </c>
      <c r="E61" s="56"/>
      <c r="F61" s="56">
        <f t="shared" si="6"/>
        <v>8192.658365401865</v>
      </c>
      <c r="G61" s="94">
        <f t="shared" si="7"/>
        <v>21186.983761592266</v>
      </c>
      <c r="H61" s="57">
        <f t="shared" si="8"/>
        <v>425685.29071487312</v>
      </c>
      <c r="I61" s="57"/>
      <c r="J61" s="99">
        <f t="shared" si="9"/>
        <v>29379.642126994131</v>
      </c>
      <c r="K61" s="57">
        <f t="shared" si="12"/>
        <v>11952.844088707234</v>
      </c>
    </row>
    <row r="62" spans="1:11">
      <c r="A62" s="55">
        <f t="shared" si="10"/>
        <v>48</v>
      </c>
      <c r="B62" s="57">
        <f t="shared" si="11"/>
        <v>425685.29071487312</v>
      </c>
      <c r="C62" s="93">
        <f t="shared" si="4"/>
        <v>1.8333333333333333E-2</v>
      </c>
      <c r="D62" s="94">
        <f t="shared" si="5"/>
        <v>29379.642126994131</v>
      </c>
      <c r="E62" s="92">
        <f xml:space="preserve"> B8</f>
        <v>50000</v>
      </c>
      <c r="F62" s="56">
        <f t="shared" si="6"/>
        <v>7804.2303297726739</v>
      </c>
      <c r="G62" s="94">
        <f t="shared" si="7"/>
        <v>71575.411797221459</v>
      </c>
      <c r="H62" s="57">
        <f t="shared" si="8"/>
        <v>354109.87891765166</v>
      </c>
      <c r="I62" s="57"/>
      <c r="J62" s="99">
        <f t="shared" si="9"/>
        <v>79379.642126994135</v>
      </c>
      <c r="K62" s="57">
        <f t="shared" si="12"/>
        <v>31682.816228898471</v>
      </c>
    </row>
    <row r="63" spans="1:11">
      <c r="A63" s="55">
        <f t="shared" si="10"/>
        <v>49</v>
      </c>
      <c r="B63" s="57">
        <f t="shared" si="11"/>
        <v>354109.87891765166</v>
      </c>
      <c r="C63" s="93">
        <f t="shared" si="4"/>
        <v>1.8333333333333333E-2</v>
      </c>
      <c r="D63" s="94">
        <f t="shared" si="5"/>
        <v>29379.642126994131</v>
      </c>
      <c r="E63" s="56"/>
      <c r="F63" s="56">
        <f t="shared" si="6"/>
        <v>6492.014446823614</v>
      </c>
      <c r="G63" s="94">
        <f t="shared" si="7"/>
        <v>22887.627680170517</v>
      </c>
      <c r="H63" s="57">
        <f t="shared" si="8"/>
        <v>331222.25123748113</v>
      </c>
      <c r="I63" s="57"/>
      <c r="J63" s="99">
        <f t="shared" si="9"/>
        <v>29379.642126994131</v>
      </c>
      <c r="K63" s="57">
        <f t="shared" si="12"/>
        <v>11504.057172814286</v>
      </c>
    </row>
    <row r="64" spans="1:11">
      <c r="A64" s="55">
        <f t="shared" si="10"/>
        <v>50</v>
      </c>
      <c r="B64" s="57">
        <f t="shared" si="11"/>
        <v>331222.25123748113</v>
      </c>
      <c r="C64" s="93">
        <f t="shared" si="4"/>
        <v>1.8333333333333333E-2</v>
      </c>
      <c r="D64" s="94">
        <f t="shared" si="5"/>
        <v>29379.642126994131</v>
      </c>
      <c r="E64" s="56"/>
      <c r="F64" s="56">
        <f t="shared" si="6"/>
        <v>6072.4079393538204</v>
      </c>
      <c r="G64" s="94">
        <f t="shared" si="7"/>
        <v>23307.234187640312</v>
      </c>
      <c r="H64" s="57">
        <f t="shared" si="8"/>
        <v>307915.01704984083</v>
      </c>
      <c r="I64" s="57"/>
      <c r="J64" s="99">
        <f t="shared" si="9"/>
        <v>29379.642126994131</v>
      </c>
      <c r="K64" s="57">
        <f t="shared" si="12"/>
        <v>11286.022708308048</v>
      </c>
    </row>
    <row r="65" spans="1:11">
      <c r="A65" s="55">
        <f t="shared" si="10"/>
        <v>51</v>
      </c>
      <c r="B65" s="57">
        <f t="shared" si="11"/>
        <v>307915.01704984083</v>
      </c>
      <c r="C65" s="93">
        <f t="shared" si="4"/>
        <v>1.8333333333333333E-2</v>
      </c>
      <c r="D65" s="94">
        <f t="shared" si="5"/>
        <v>29379.642126994131</v>
      </c>
      <c r="E65" s="56"/>
      <c r="F65" s="56">
        <f t="shared" si="6"/>
        <v>5645.1086459137487</v>
      </c>
      <c r="G65" s="94">
        <f t="shared" si="7"/>
        <v>23734.533481080383</v>
      </c>
      <c r="H65" s="57">
        <f t="shared" si="8"/>
        <v>284180.48356876045</v>
      </c>
      <c r="I65" s="57"/>
      <c r="J65" s="99">
        <f t="shared" si="9"/>
        <v>29379.642126994131</v>
      </c>
      <c r="K65" s="57">
        <f t="shared" si="12"/>
        <v>11072.12061440797</v>
      </c>
    </row>
    <row r="66" spans="1:11">
      <c r="A66" s="55">
        <f t="shared" si="10"/>
        <v>52</v>
      </c>
      <c r="B66" s="57">
        <f t="shared" si="11"/>
        <v>284180.48356876045</v>
      </c>
      <c r="C66" s="93">
        <f t="shared" si="4"/>
        <v>1.8333333333333333E-2</v>
      </c>
      <c r="D66" s="94">
        <f t="shared" si="5"/>
        <v>29379.642126994131</v>
      </c>
      <c r="E66" s="56"/>
      <c r="F66" s="56">
        <f t="shared" si="6"/>
        <v>5209.9755320939412</v>
      </c>
      <c r="G66" s="94">
        <f t="shared" si="7"/>
        <v>24169.666594900191</v>
      </c>
      <c r="H66" s="57">
        <f t="shared" si="8"/>
        <v>260010.81697386026</v>
      </c>
      <c r="I66" s="57"/>
      <c r="J66" s="99">
        <f t="shared" si="9"/>
        <v>29379.642126994131</v>
      </c>
      <c r="K66" s="57">
        <f t="shared" si="12"/>
        <v>10862.272570987618</v>
      </c>
    </row>
    <row r="67" spans="1:11">
      <c r="A67" s="55">
        <f t="shared" si="10"/>
        <v>53</v>
      </c>
      <c r="B67" s="57">
        <f t="shared" si="11"/>
        <v>260010.81697386026</v>
      </c>
      <c r="C67" s="93">
        <f t="shared" si="4"/>
        <v>1.8333333333333333E-2</v>
      </c>
      <c r="D67" s="94">
        <f t="shared" si="5"/>
        <v>29379.642126994131</v>
      </c>
      <c r="E67" s="56"/>
      <c r="F67" s="56">
        <f t="shared" si="6"/>
        <v>4766.8649778541048</v>
      </c>
      <c r="G67" s="94">
        <f t="shared" si="7"/>
        <v>24612.777149140027</v>
      </c>
      <c r="H67" s="57">
        <f t="shared" si="8"/>
        <v>235398.03982472024</v>
      </c>
      <c r="I67" s="57"/>
      <c r="J67" s="99">
        <f t="shared" si="9"/>
        <v>29379.642126994131</v>
      </c>
      <c r="K67" s="57">
        <f t="shared" si="12"/>
        <v>10656.401742308775</v>
      </c>
    </row>
    <row r="68" spans="1:11">
      <c r="A68" s="55">
        <f t="shared" si="10"/>
        <v>54</v>
      </c>
      <c r="B68" s="57">
        <f t="shared" si="11"/>
        <v>235398.03982472024</v>
      </c>
      <c r="C68" s="93">
        <f t="shared" si="4"/>
        <v>1.8333333333333333E-2</v>
      </c>
      <c r="D68" s="94">
        <f t="shared" si="5"/>
        <v>29379.642126994131</v>
      </c>
      <c r="E68" s="56"/>
      <c r="F68" s="56">
        <f t="shared" si="6"/>
        <v>4315.6307301198713</v>
      </c>
      <c r="G68" s="94">
        <f t="shared" si="7"/>
        <v>25064.011396874259</v>
      </c>
      <c r="H68" s="57">
        <f t="shared" si="8"/>
        <v>210334.02842784597</v>
      </c>
      <c r="I68" s="57"/>
      <c r="J68" s="99">
        <f t="shared" si="9"/>
        <v>29379.642126994131</v>
      </c>
      <c r="K68" s="57">
        <f t="shared" si="12"/>
        <v>10454.432748888063</v>
      </c>
    </row>
    <row r="69" spans="1:11">
      <c r="A69" s="55">
        <f t="shared" si="10"/>
        <v>55</v>
      </c>
      <c r="B69" s="57">
        <f t="shared" si="11"/>
        <v>210334.02842784597</v>
      </c>
      <c r="C69" s="93">
        <f t="shared" si="4"/>
        <v>1.8333333333333333E-2</v>
      </c>
      <c r="D69" s="94">
        <f t="shared" si="5"/>
        <v>29379.642126994131</v>
      </c>
      <c r="E69" s="56"/>
      <c r="F69" s="56">
        <f t="shared" si="6"/>
        <v>3856.1238545105093</v>
      </c>
      <c r="G69" s="94">
        <f t="shared" si="7"/>
        <v>25523.518272483623</v>
      </c>
      <c r="H69" s="57">
        <f t="shared" si="8"/>
        <v>184810.51015536234</v>
      </c>
      <c r="I69" s="57"/>
      <c r="J69" s="99">
        <f t="shared" si="9"/>
        <v>29379.642126994131</v>
      </c>
      <c r="K69" s="57">
        <f t="shared" si="12"/>
        <v>10256.291639896799</v>
      </c>
    </row>
    <row r="70" spans="1:11">
      <c r="A70" s="55">
        <f t="shared" si="10"/>
        <v>56</v>
      </c>
      <c r="B70" s="57">
        <f t="shared" si="11"/>
        <v>184810.51015536234</v>
      </c>
      <c r="C70" s="93">
        <f t="shared" si="4"/>
        <v>1.8333333333333333E-2</v>
      </c>
      <c r="D70" s="94">
        <f t="shared" si="5"/>
        <v>29379.642126994131</v>
      </c>
      <c r="E70" s="56"/>
      <c r="F70" s="56">
        <f t="shared" si="6"/>
        <v>3388.1926861816428</v>
      </c>
      <c r="G70" s="94">
        <f t="shared" si="7"/>
        <v>25991.449440812488</v>
      </c>
      <c r="H70" s="57">
        <f t="shared" si="8"/>
        <v>158819.06071454985</v>
      </c>
      <c r="I70" s="57"/>
      <c r="J70" s="99">
        <f t="shared" si="9"/>
        <v>29379.642126994131</v>
      </c>
      <c r="K70" s="57">
        <f t="shared" si="12"/>
        <v>10061.905866083956</v>
      </c>
    </row>
    <row r="71" spans="1:11">
      <c r="A71" s="55">
        <f t="shared" si="10"/>
        <v>57</v>
      </c>
      <c r="B71" s="57">
        <f t="shared" si="11"/>
        <v>158819.06071454985</v>
      </c>
      <c r="C71" s="93">
        <f t="shared" si="4"/>
        <v>1.8333333333333333E-2</v>
      </c>
      <c r="D71" s="94">
        <f t="shared" si="5"/>
        <v>29379.642126994131</v>
      </c>
      <c r="E71" s="56"/>
      <c r="F71" s="56">
        <f t="shared" si="6"/>
        <v>2911.6827797667474</v>
      </c>
      <c r="G71" s="94">
        <f t="shared" si="7"/>
        <v>26467.959347227385</v>
      </c>
      <c r="H71" s="57">
        <f t="shared" si="8"/>
        <v>132351.10136732247</v>
      </c>
      <c r="I71" s="57"/>
      <c r="J71" s="99">
        <f t="shared" si="9"/>
        <v>29379.642126994131</v>
      </c>
      <c r="K71" s="57">
        <f t="shared" si="12"/>
        <v>9871.2042532122705</v>
      </c>
    </row>
    <row r="72" spans="1:11">
      <c r="A72" s="55">
        <f t="shared" si="10"/>
        <v>58</v>
      </c>
      <c r="B72" s="57">
        <f t="shared" si="11"/>
        <v>132351.10136732247</v>
      </c>
      <c r="C72" s="93">
        <f t="shared" si="4"/>
        <v>1.8333333333333333E-2</v>
      </c>
      <c r="D72" s="94">
        <f t="shared" si="5"/>
        <v>29379.642126994131</v>
      </c>
      <c r="E72" s="56"/>
      <c r="F72" s="56">
        <f t="shared" si="6"/>
        <v>2426.4368584009121</v>
      </c>
      <c r="G72" s="94">
        <f t="shared" si="7"/>
        <v>26953.205268593218</v>
      </c>
      <c r="H72" s="57">
        <f t="shared" si="8"/>
        <v>105397.89609872925</v>
      </c>
      <c r="I72" s="57"/>
      <c r="J72" s="99">
        <f t="shared" si="9"/>
        <v>29379.642126994131</v>
      </c>
      <c r="K72" s="57">
        <f t="shared" si="12"/>
        <v>9684.1169759978511</v>
      </c>
    </row>
    <row r="73" spans="1:11">
      <c r="A73" s="55">
        <f t="shared" si="10"/>
        <v>59</v>
      </c>
      <c r="B73" s="57">
        <f t="shared" si="11"/>
        <v>105397.89609872925</v>
      </c>
      <c r="C73" s="93">
        <f t="shared" si="4"/>
        <v>1.8333333333333333E-2</v>
      </c>
      <c r="D73" s="94">
        <f t="shared" si="5"/>
        <v>29379.642126994131</v>
      </c>
      <c r="E73" s="56"/>
      <c r="F73" s="56">
        <f t="shared" si="6"/>
        <v>1932.2947618100363</v>
      </c>
      <c r="G73" s="94">
        <f t="shared" si="7"/>
        <v>27447.347365184094</v>
      </c>
      <c r="H73" s="57">
        <f t="shared" si="8"/>
        <v>77950.548733545162</v>
      </c>
      <c r="I73" s="57"/>
      <c r="J73" s="99">
        <f t="shared" si="9"/>
        <v>29379.642126994131</v>
      </c>
      <c r="K73" s="57">
        <f t="shared" si="12"/>
        <v>9500.5755325436949</v>
      </c>
    </row>
    <row r="74" spans="1:11">
      <c r="A74" s="55">
        <f>+A73+1</f>
        <v>60</v>
      </c>
      <c r="B74" s="57">
        <f t="shared" si="11"/>
        <v>77950.548733545162</v>
      </c>
      <c r="C74" s="93">
        <f t="shared" si="4"/>
        <v>1.8333333333333333E-2</v>
      </c>
      <c r="D74" s="94">
        <f t="shared" si="5"/>
        <v>29379.642126994131</v>
      </c>
      <c r="E74" s="92">
        <f xml:space="preserve"> B8</f>
        <v>50000</v>
      </c>
      <c r="F74" s="56">
        <f t="shared" si="6"/>
        <v>1429.093393448328</v>
      </c>
      <c r="G74" s="94">
        <f t="shared" si="7"/>
        <v>77950.548733545802</v>
      </c>
      <c r="H74" s="97">
        <f xml:space="preserve"> B74-G74</f>
        <v>-6.4028427004814148E-10</v>
      </c>
      <c r="I74" s="57"/>
      <c r="J74" s="99">
        <f t="shared" si="9"/>
        <v>79379.642126994135</v>
      </c>
      <c r="K74" s="57">
        <f t="shared" si="12"/>
        <v>25182.708519617812</v>
      </c>
    </row>
  </sheetData>
  <mergeCells count="1">
    <mergeCell ref="B1:K1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04B0C-74F7-4AC5-929B-7A05A934BB31}">
  <sheetPr codeName="Sheet5"/>
  <dimension ref="A1:I68"/>
  <sheetViews>
    <sheetView showGridLines="0" topLeftCell="A59" zoomScale="88" zoomScaleNormal="146" workbookViewId="0">
      <selection activeCell="H67" sqref="H67:H68"/>
    </sheetView>
  </sheetViews>
  <sheetFormatPr baseColWidth="10" defaultColWidth="8.85546875" defaultRowHeight="15"/>
  <cols>
    <col min="1" max="1" width="17.85546875" customWidth="1"/>
    <col min="2" max="2" width="12.7109375" customWidth="1"/>
    <col min="3" max="3" width="16.7109375" customWidth="1"/>
    <col min="4" max="4" width="13.28515625" customWidth="1"/>
    <col min="7" max="7" width="11.28515625" customWidth="1"/>
    <col min="8" max="8" width="20.7109375" customWidth="1"/>
    <col min="9" max="9" width="10.85546875" bestFit="1" customWidth="1"/>
  </cols>
  <sheetData>
    <row r="1" spans="1:8">
      <c r="A1" s="72" t="s">
        <v>119</v>
      </c>
      <c r="B1" s="100">
        <f>+'1. Tabla de Amorticación'!I11</f>
        <v>0.23182777863355006</v>
      </c>
    </row>
    <row r="3" spans="1:8" ht="23.25">
      <c r="A3" s="44" t="s">
        <v>78</v>
      </c>
    </row>
    <row r="4" spans="1:8" ht="15.75" thickBot="1"/>
    <row r="5" spans="1:8" ht="38.450000000000003" customHeight="1" thickBot="1">
      <c r="A5" s="45" t="s">
        <v>79</v>
      </c>
      <c r="B5" s="45" t="s">
        <v>80</v>
      </c>
      <c r="C5" s="45" t="s">
        <v>81</v>
      </c>
      <c r="D5" s="45" t="s">
        <v>82</v>
      </c>
      <c r="E5" s="45" t="s">
        <v>63</v>
      </c>
      <c r="F5" s="45" t="s">
        <v>83</v>
      </c>
      <c r="G5" s="45" t="s">
        <v>35</v>
      </c>
      <c r="H5" s="45" t="s">
        <v>62</v>
      </c>
    </row>
    <row r="6" spans="1:8" ht="15.75" thickBot="1">
      <c r="A6" s="46">
        <v>1</v>
      </c>
      <c r="B6" s="47">
        <f xml:space="preserve"> $B$1 /12</f>
        <v>1.9318981552795839E-2</v>
      </c>
      <c r="C6" s="48">
        <f xml:space="preserve"> '1. Tabla de Amorticación'!B15</f>
        <v>1200000</v>
      </c>
      <c r="D6" s="49">
        <f>1/(1+B6)^A6</f>
        <v>0.98104716786165802</v>
      </c>
      <c r="E6" s="50">
        <v>0.25</v>
      </c>
      <c r="F6" s="50">
        <f xml:space="preserve"> 1 - E6</f>
        <v>0.75</v>
      </c>
      <c r="G6" s="50">
        <v>0.45</v>
      </c>
      <c r="H6" s="51">
        <f xml:space="preserve"> PRODUCT(C6:G6)</f>
        <v>99331.025745992869</v>
      </c>
    </row>
    <row r="7" spans="1:8" ht="15.75" thickBot="1">
      <c r="A7" s="52">
        <f>+A6+1</f>
        <v>2</v>
      </c>
      <c r="B7" s="47">
        <f t="shared" ref="B7:B65" si="0" xml:space="preserve"> $B$1 /12</f>
        <v>1.9318981552795839E-2</v>
      </c>
      <c r="C7" s="48">
        <f xml:space="preserve"> '1. Tabla de Amorticación'!B16</f>
        <v>1192620.3578730058</v>
      </c>
      <c r="D7" s="49">
        <f t="shared" ref="D7:D65" si="1">1/(1+B7)^A7</f>
        <v>0.96245354556938023</v>
      </c>
      <c r="E7" s="50">
        <v>0.25</v>
      </c>
      <c r="F7" s="53">
        <f xml:space="preserve"> F6 * (1 - E7)</f>
        <v>0.5625</v>
      </c>
      <c r="G7" s="50">
        <v>0.45</v>
      </c>
      <c r="H7" s="51">
        <f t="shared" ref="H7:H65" si="2" xml:space="preserve"> PRODUCT(C7:G7)</f>
        <v>72636.857068906946</v>
      </c>
    </row>
    <row r="8" spans="1:8" ht="15.75" thickBot="1">
      <c r="A8" s="52">
        <f t="shared" ref="A8:A65" si="3">+A7+1</f>
        <v>3</v>
      </c>
      <c r="B8" s="47">
        <f t="shared" si="0"/>
        <v>1.9318981552795839E-2</v>
      </c>
      <c r="C8" s="48">
        <f xml:space="preserve"> '1. Tabla de Amorticación'!B17</f>
        <v>1185105.4223070168</v>
      </c>
      <c r="D8" s="49">
        <f t="shared" si="1"/>
        <v>0.94421232507925168</v>
      </c>
      <c r="E8" s="50">
        <v>0.25</v>
      </c>
      <c r="F8" s="53">
        <f t="shared" ref="F8:F65" si="4" xml:space="preserve"> F7 * (1 - E8)</f>
        <v>0.421875</v>
      </c>
      <c r="G8" s="50">
        <v>0.45</v>
      </c>
      <c r="H8" s="51">
        <f t="shared" si="2"/>
        <v>53108.368855724693</v>
      </c>
    </row>
    <row r="9" spans="1:8" ht="15.75" thickBot="1">
      <c r="A9" s="52">
        <f t="shared" si="3"/>
        <v>4</v>
      </c>
      <c r="B9" s="47">
        <f t="shared" si="0"/>
        <v>1.9318981552795839E-2</v>
      </c>
      <c r="C9" s="48">
        <f xml:space="preserve"> '1. Tabla de Amorticación'!B18</f>
        <v>1177452.7129223179</v>
      </c>
      <c r="D9" s="49">
        <f t="shared" si="1"/>
        <v>0.92631682737907106</v>
      </c>
      <c r="E9" s="50">
        <v>0.25</v>
      </c>
      <c r="F9" s="53">
        <f t="shared" si="4"/>
        <v>0.31640625</v>
      </c>
      <c r="G9" s="50">
        <v>0.45</v>
      </c>
      <c r="H9" s="51">
        <f t="shared" si="2"/>
        <v>38824.02912975716</v>
      </c>
    </row>
    <row r="10" spans="1:8" ht="15.75" thickBot="1">
      <c r="A10" s="52">
        <f t="shared" si="3"/>
        <v>5</v>
      </c>
      <c r="B10" s="47">
        <f t="shared" si="0"/>
        <v>1.9318981552795839E-2</v>
      </c>
      <c r="C10" s="48">
        <f xml:space="preserve"> '1. Tabla de Amorticación'!B19</f>
        <v>1169659.7038655663</v>
      </c>
      <c r="D10" s="49">
        <f t="shared" si="1"/>
        <v>0.90876050004283404</v>
      </c>
      <c r="E10" s="50">
        <v>0.25</v>
      </c>
      <c r="F10" s="53">
        <f t="shared" si="4"/>
        <v>0.2373046875</v>
      </c>
      <c r="G10" s="50">
        <v>0.45</v>
      </c>
      <c r="H10" s="51">
        <f t="shared" si="2"/>
        <v>28377.086855674715</v>
      </c>
    </row>
    <row r="11" spans="1:8" ht="15.75" thickBot="1">
      <c r="A11" s="52">
        <f t="shared" si="3"/>
        <v>6</v>
      </c>
      <c r="B11" s="47">
        <f t="shared" si="0"/>
        <v>1.9318981552795839E-2</v>
      </c>
      <c r="C11" s="48">
        <f xml:space="preserve"> '1. Tabla de Amorticación'!B20</f>
        <v>1161723.8229761075</v>
      </c>
      <c r="D11" s="49">
        <f t="shared" si="1"/>
        <v>0.8915369148315665</v>
      </c>
      <c r="E11" s="50">
        <v>0.25</v>
      </c>
      <c r="F11" s="53">
        <f t="shared" si="4"/>
        <v>0.177978515625</v>
      </c>
      <c r="G11" s="50">
        <v>0.45</v>
      </c>
      <c r="H11" s="51">
        <f t="shared" si="2"/>
        <v>20737.783125916463</v>
      </c>
    </row>
    <row r="12" spans="1:8" ht="15.75" thickBot="1">
      <c r="A12" s="52">
        <f t="shared" si="3"/>
        <v>7</v>
      </c>
      <c r="B12" s="47">
        <f t="shared" si="0"/>
        <v>1.9318981552795839E-2</v>
      </c>
      <c r="C12" s="48">
        <f xml:space="preserve"> '1. Tabla de Amorticación'!B21</f>
        <v>1153642.4509370087</v>
      </c>
      <c r="D12" s="49">
        <f t="shared" si="1"/>
        <v>0.87463976533962839</v>
      </c>
      <c r="E12" s="50">
        <v>0.25</v>
      </c>
      <c r="F12" s="53">
        <f t="shared" si="4"/>
        <v>0.13348388671875</v>
      </c>
      <c r="G12" s="50">
        <v>0.45</v>
      </c>
      <c r="H12" s="51">
        <f t="shared" si="2"/>
        <v>15152.413494973618</v>
      </c>
    </row>
    <row r="13" spans="1:8" ht="15.75" thickBot="1">
      <c r="A13" s="52">
        <f t="shared" si="3"/>
        <v>8</v>
      </c>
      <c r="B13" s="47">
        <f t="shared" si="0"/>
        <v>1.9318981552795839E-2</v>
      </c>
      <c r="C13" s="48">
        <f xml:space="preserve"> '1. Tabla de Amorticación'!B22</f>
        <v>1145412.9204105265</v>
      </c>
      <c r="D13" s="49">
        <f t="shared" si="1"/>
        <v>0.85806286468562765</v>
      </c>
      <c r="E13" s="50">
        <v>0.25</v>
      </c>
      <c r="F13" s="53">
        <f t="shared" si="4"/>
        <v>0.1001129150390625</v>
      </c>
      <c r="G13" s="50">
        <v>0.45</v>
      </c>
      <c r="H13" s="51">
        <f t="shared" si="2"/>
        <v>11069.393194328857</v>
      </c>
    </row>
    <row r="14" spans="1:8" ht="15.75" thickBot="1">
      <c r="A14" s="52">
        <f t="shared" si="3"/>
        <v>9</v>
      </c>
      <c r="B14" s="47">
        <f t="shared" si="0"/>
        <v>1.9318981552795839E-2</v>
      </c>
      <c r="C14" s="48">
        <f xml:space="preserve"> '1. Tabla de Amorticación'!B23</f>
        <v>1137032.5151577252</v>
      </c>
      <c r="D14" s="49">
        <f t="shared" si="1"/>
        <v>0.84180014324709618</v>
      </c>
      <c r="E14" s="50">
        <v>0.25</v>
      </c>
      <c r="F14" s="53">
        <f t="shared" si="4"/>
        <v>7.5084686279296875E-2</v>
      </c>
      <c r="G14" s="50">
        <v>0.45</v>
      </c>
      <c r="H14" s="51">
        <f t="shared" si="2"/>
        <v>8085.1070117882318</v>
      </c>
    </row>
    <row r="15" spans="1:8" ht="15.75" thickBot="1">
      <c r="A15" s="52">
        <f t="shared" si="3"/>
        <v>10</v>
      </c>
      <c r="B15" s="47">
        <f t="shared" si="0"/>
        <v>1.9318981552795839E-2</v>
      </c>
      <c r="C15" s="48">
        <f xml:space="preserve"> '1. Tabla de Amorticación'!B24</f>
        <v>1128498.469141956</v>
      </c>
      <c r="D15" s="49">
        <f t="shared" si="1"/>
        <v>0.82584564643810177</v>
      </c>
      <c r="E15" s="50">
        <v>0.25</v>
      </c>
      <c r="F15" s="53">
        <f t="shared" si="4"/>
        <v>5.6313514709472656E-2</v>
      </c>
      <c r="G15" s="50">
        <v>0.45</v>
      </c>
      <c r="H15" s="51">
        <f t="shared" si="2"/>
        <v>5904.2537529870724</v>
      </c>
    </row>
    <row r="16" spans="1:8" ht="15.75" thickBot="1">
      <c r="A16" s="52">
        <f t="shared" si="3"/>
        <v>11</v>
      </c>
      <c r="B16" s="47">
        <f t="shared" si="0"/>
        <v>1.9318981552795839E-2</v>
      </c>
      <c r="C16" s="48">
        <f xml:space="preserve"> '1. Tabla de Amorticación'!B25</f>
        <v>1119807.9656158977</v>
      </c>
      <c r="D16" s="49">
        <f t="shared" si="1"/>
        <v>0.81019353252897985</v>
      </c>
      <c r="E16" s="50">
        <v>0.25</v>
      </c>
      <c r="F16" s="53">
        <f t="shared" si="4"/>
        <v>4.2235136032104492E-2</v>
      </c>
      <c r="G16" s="50">
        <v>0.45</v>
      </c>
      <c r="H16" s="51">
        <f t="shared" si="2"/>
        <v>4310.8086365347035</v>
      </c>
    </row>
    <row r="17" spans="1:9" ht="15.75" thickBot="1">
      <c r="A17" s="52">
        <f t="shared" si="3"/>
        <v>12</v>
      </c>
      <c r="B17" s="47">
        <f t="shared" si="0"/>
        <v>1.9318981552795839E-2</v>
      </c>
      <c r="C17" s="48">
        <f xml:space="preserve"> '1. Tabla de Amorticación'!B26</f>
        <v>1110958.1361918617</v>
      </c>
      <c r="D17" s="49">
        <f t="shared" si="1"/>
        <v>0.79483807050738775</v>
      </c>
      <c r="E17" s="50">
        <v>0.25</v>
      </c>
      <c r="F17" s="53">
        <f t="shared" si="4"/>
        <v>3.1676352024078369E-2</v>
      </c>
      <c r="G17" s="50">
        <v>0.45</v>
      </c>
      <c r="H17" s="51">
        <f t="shared" si="2"/>
        <v>3146.7630175494101</v>
      </c>
      <c r="I17" s="54"/>
    </row>
    <row r="18" spans="1:9" ht="15.75" thickBot="1">
      <c r="A18" s="52">
        <f t="shared" si="3"/>
        <v>13</v>
      </c>
      <c r="B18" s="47">
        <f t="shared" si="0"/>
        <v>1.9318981552795839E-2</v>
      </c>
      <c r="C18" s="48">
        <f xml:space="preserve"> '1. Tabla de Amorticación'!B27</f>
        <v>1051946.0598950516</v>
      </c>
      <c r="D18" s="49">
        <f t="shared" si="1"/>
        <v>0.77977363797989763</v>
      </c>
      <c r="E18" s="50">
        <v>0.25</v>
      </c>
      <c r="F18" s="53">
        <f t="shared" si="4"/>
        <v>2.3757264018058777E-2</v>
      </c>
      <c r="G18" s="50">
        <v>0.45</v>
      </c>
      <c r="H18" s="51">
        <f t="shared" si="2"/>
        <v>2192.3554412019939</v>
      </c>
    </row>
    <row r="19" spans="1:9" ht="15.75" thickBot="1">
      <c r="A19" s="52">
        <f t="shared" si="3"/>
        <v>14</v>
      </c>
      <c r="B19" s="47">
        <f t="shared" si="0"/>
        <v>1.9318981552795839E-2</v>
      </c>
      <c r="C19" s="48">
        <f xml:space="preserve"> '1. Tabla de Amorticación'!B28</f>
        <v>1041852.0955328001</v>
      </c>
      <c r="D19" s="49">
        <f t="shared" si="1"/>
        <v>0.76499471911336048</v>
      </c>
      <c r="E19" s="50">
        <v>0.25</v>
      </c>
      <c r="F19" s="53">
        <f t="shared" si="4"/>
        <v>1.7817948013544083E-2</v>
      </c>
      <c r="G19" s="50">
        <v>0.45</v>
      </c>
      <c r="H19" s="51">
        <f t="shared" si="2"/>
        <v>1597.6245174216588</v>
      </c>
    </row>
    <row r="20" spans="1:9" ht="15.75" thickBot="1">
      <c r="A20" s="52">
        <f t="shared" si="3"/>
        <v>15</v>
      </c>
      <c r="B20" s="47">
        <f t="shared" si="0"/>
        <v>1.9318981552795839E-2</v>
      </c>
      <c r="C20" s="48">
        <f xml:space="preserve"> '1. Tabla de Amorticación'!B29</f>
        <v>1031573.0751572406</v>
      </c>
      <c r="D20" s="49">
        <f t="shared" si="1"/>
        <v>0.75049590261528676</v>
      </c>
      <c r="E20" s="50">
        <v>0.25</v>
      </c>
      <c r="F20" s="53">
        <f t="shared" si="4"/>
        <v>1.3363461010158062E-2</v>
      </c>
      <c r="G20" s="50">
        <v>0.45</v>
      </c>
      <c r="H20" s="51">
        <f t="shared" si="2"/>
        <v>1163.9110652996378</v>
      </c>
    </row>
    <row r="21" spans="1:9" ht="15.75" thickBot="1">
      <c r="A21" s="52">
        <f t="shared" si="3"/>
        <v>16</v>
      </c>
      <c r="B21" s="47">
        <f t="shared" si="0"/>
        <v>1.9318981552795839E-2</v>
      </c>
      <c r="C21" s="48">
        <f xml:space="preserve"> '1. Tabla de Amorticación'!B30</f>
        <v>1021105.6060747959</v>
      </c>
      <c r="D21" s="49">
        <f t="shared" si="1"/>
        <v>0.73627187975250585</v>
      </c>
      <c r="E21" s="50">
        <v>0.25</v>
      </c>
      <c r="F21" s="53">
        <f t="shared" si="4"/>
        <v>1.0022595757618546E-2</v>
      </c>
      <c r="G21" s="50">
        <v>0.45</v>
      </c>
      <c r="H21" s="51">
        <f t="shared" si="2"/>
        <v>847.69888353854094</v>
      </c>
    </row>
    <row r="22" spans="1:9" ht="15.75" thickBot="1">
      <c r="A22" s="52">
        <f t="shared" si="3"/>
        <v>17</v>
      </c>
      <c r="B22" s="47">
        <f t="shared" si="0"/>
        <v>1.9318981552795839E-2</v>
      </c>
      <c r="C22" s="48">
        <f xml:space="preserve"> '1. Tabla de Amorticación'!B31</f>
        <v>1010446.2333925064</v>
      </c>
      <c r="D22" s="49">
        <f t="shared" si="1"/>
        <v>0.72231744240737505</v>
      </c>
      <c r="E22" s="50">
        <v>0.25</v>
      </c>
      <c r="F22" s="53">
        <f t="shared" si="4"/>
        <v>7.5169468182139099E-3</v>
      </c>
      <c r="G22" s="50">
        <v>0.45</v>
      </c>
      <c r="H22" s="51">
        <f t="shared" si="2"/>
        <v>617.21335091306378</v>
      </c>
    </row>
    <row r="23" spans="1:9" ht="15.75" thickBot="1">
      <c r="A23" s="52">
        <f t="shared" si="3"/>
        <v>18</v>
      </c>
      <c r="B23" s="47">
        <f t="shared" si="0"/>
        <v>1.9318981552795839E-2</v>
      </c>
      <c r="C23" s="48">
        <f xml:space="preserve"> '1. Tabla de Amorticación'!B32</f>
        <v>999591.43887770816</v>
      </c>
      <c r="D23" s="49">
        <f t="shared" si="1"/>
        <v>0.70862748117083163</v>
      </c>
      <c r="E23" s="50">
        <v>0.25</v>
      </c>
      <c r="F23" s="53">
        <f t="shared" si="4"/>
        <v>5.6377101136604324E-3</v>
      </c>
      <c r="G23" s="50">
        <v>0.45</v>
      </c>
      <c r="H23" s="51">
        <f t="shared" si="2"/>
        <v>449.25796135047102</v>
      </c>
    </row>
    <row r="24" spans="1:9" ht="15.75" thickBot="1">
      <c r="A24" s="52">
        <f t="shared" si="3"/>
        <v>19</v>
      </c>
      <c r="B24" s="47">
        <f t="shared" si="0"/>
        <v>1.9318981552795839E-2</v>
      </c>
      <c r="C24" s="48">
        <f xml:space="preserve"> '1. Tabla de Amorticación'!B33</f>
        <v>988537.63979680534</v>
      </c>
      <c r="D24" s="49">
        <f t="shared" si="1"/>
        <v>0.69519698347158476</v>
      </c>
      <c r="E24" s="50">
        <v>0.25</v>
      </c>
      <c r="F24" s="53">
        <f t="shared" si="4"/>
        <v>4.2282825852453243E-3</v>
      </c>
      <c r="G24" s="50">
        <v>0.45</v>
      </c>
      <c r="H24" s="51">
        <f t="shared" si="2"/>
        <v>326.90202900466721</v>
      </c>
    </row>
    <row r="25" spans="1:9" ht="15.75" thickBot="1">
      <c r="A25" s="52">
        <f t="shared" si="3"/>
        <v>20</v>
      </c>
      <c r="B25" s="47">
        <f t="shared" si="0"/>
        <v>1.9318981552795839E-2</v>
      </c>
      <c r="C25" s="48">
        <f xml:space="preserve"> '1. Tabla de Amorticación'!B34</f>
        <v>977281.18773275265</v>
      </c>
      <c r="D25" s="49">
        <f t="shared" si="1"/>
        <v>0.68202103174076611</v>
      </c>
      <c r="E25" s="50">
        <v>0.25</v>
      </c>
      <c r="F25" s="53">
        <f t="shared" si="4"/>
        <v>3.1712119389339932E-3</v>
      </c>
      <c r="G25" s="50">
        <v>0.45</v>
      </c>
      <c r="H25" s="51">
        <f t="shared" si="2"/>
        <v>237.790826566926</v>
      </c>
    </row>
    <row r="26" spans="1:9" ht="15.75" thickBot="1">
      <c r="A26" s="52">
        <f t="shared" si="3"/>
        <v>21</v>
      </c>
      <c r="B26" s="47">
        <f t="shared" si="0"/>
        <v>1.9318981552795839E-2</v>
      </c>
      <c r="C26" s="48">
        <f xml:space="preserve"> '1. Tabla de Amorticación'!B35</f>
        <v>965818.36738085898</v>
      </c>
      <c r="D26" s="49">
        <f t="shared" si="1"/>
        <v>0.66909480161136459</v>
      </c>
      <c r="E26" s="50">
        <v>0.25</v>
      </c>
      <c r="F26" s="53">
        <f t="shared" si="4"/>
        <v>2.3784089542004949E-3</v>
      </c>
      <c r="G26" s="50">
        <v>0.45</v>
      </c>
      <c r="H26" s="51">
        <f t="shared" si="2"/>
        <v>172.91081974048501</v>
      </c>
    </row>
    <row r="27" spans="1:9" ht="15.75" thickBot="1">
      <c r="A27" s="52">
        <f t="shared" si="3"/>
        <v>22</v>
      </c>
      <c r="B27" s="47">
        <f t="shared" si="0"/>
        <v>1.9318981552795839E-2</v>
      </c>
      <c r="C27" s="48">
        <f xml:space="preserve"> '1. Tabla de Amorticación'!B36</f>
        <v>954145.39532251388</v>
      </c>
      <c r="D27" s="49">
        <f t="shared" si="1"/>
        <v>0.6564135601517872</v>
      </c>
      <c r="E27" s="50">
        <v>0.25</v>
      </c>
      <c r="F27" s="53">
        <f t="shared" si="4"/>
        <v>1.7838067156503712E-3</v>
      </c>
      <c r="G27" s="50">
        <v>0.45</v>
      </c>
      <c r="H27" s="51">
        <f t="shared" si="2"/>
        <v>125.68759607474234</v>
      </c>
    </row>
    <row r="28" spans="1:9" ht="15.75" thickBot="1">
      <c r="A28" s="52">
        <f t="shared" si="3"/>
        <v>23</v>
      </c>
      <c r="B28" s="47">
        <f t="shared" si="0"/>
        <v>1.9318981552795839E-2</v>
      </c>
      <c r="C28" s="48">
        <f xml:space="preserve"> '1. Tabla de Amorticación'!B37</f>
        <v>942258.41877643252</v>
      </c>
      <c r="D28" s="49">
        <f t="shared" si="1"/>
        <v>0.64397266413289878</v>
      </c>
      <c r="E28" s="50">
        <v>0.25</v>
      </c>
      <c r="F28" s="53">
        <f t="shared" si="4"/>
        <v>1.3378550367377784E-3</v>
      </c>
      <c r="G28" s="50">
        <v>0.45</v>
      </c>
      <c r="H28" s="51">
        <f t="shared" si="2"/>
        <v>91.326967952665512</v>
      </c>
    </row>
    <row r="29" spans="1:9" ht="15.75" thickBot="1">
      <c r="A29" s="52">
        <f t="shared" si="3"/>
        <v>24</v>
      </c>
      <c r="B29" s="47">
        <f t="shared" si="0"/>
        <v>1.9318981552795839E-2</v>
      </c>
      <c r="C29" s="48">
        <f xml:space="preserve"> '1. Tabla de Amorticación'!B38</f>
        <v>930153.5143270063</v>
      </c>
      <c r="D29" s="49">
        <f t="shared" si="1"/>
        <v>0.63176755832790721</v>
      </c>
      <c r="E29" s="50">
        <v>0.25</v>
      </c>
      <c r="F29" s="53">
        <f t="shared" si="4"/>
        <v>1.0033912775533338E-3</v>
      </c>
      <c r="G29" s="50">
        <v>0.45</v>
      </c>
      <c r="H29" s="51">
        <f t="shared" si="2"/>
        <v>66.333787618559242</v>
      </c>
    </row>
    <row r="30" spans="1:9" ht="15.75" thickBot="1">
      <c r="A30" s="52">
        <f t="shared" si="3"/>
        <v>25</v>
      </c>
      <c r="B30" s="47">
        <f t="shared" si="0"/>
        <v>1.9318981552795839E-2</v>
      </c>
      <c r="C30" s="48">
        <f xml:space="preserve"> '1. Tabla de Amorticación'!B39</f>
        <v>867826.68662934063</v>
      </c>
      <c r="D30" s="49">
        <f t="shared" si="1"/>
        <v>0.61979377384446821</v>
      </c>
      <c r="E30" s="50">
        <v>0.25</v>
      </c>
      <c r="F30" s="53">
        <f t="shared" si="4"/>
        <v>7.5254345816500035E-4</v>
      </c>
      <c r="G30" s="50">
        <v>0.45</v>
      </c>
      <c r="H30" s="51">
        <f t="shared" si="2"/>
        <v>45.536989702864751</v>
      </c>
    </row>
    <row r="31" spans="1:9" ht="15.75" thickBot="1">
      <c r="A31" s="52">
        <f t="shared" si="3"/>
        <v>26</v>
      </c>
      <c r="B31" s="47">
        <f t="shared" si="0"/>
        <v>1.9318981552795839E-2</v>
      </c>
      <c r="C31" s="48">
        <f xml:space="preserve"> '1. Tabla de Amorticación'!B40</f>
        <v>854357.20042388444</v>
      </c>
      <c r="D31" s="49">
        <f t="shared" si="1"/>
        <v>0.60804692648840453</v>
      </c>
      <c r="E31" s="50">
        <v>0.25</v>
      </c>
      <c r="F31" s="53">
        <f t="shared" si="4"/>
        <v>5.6440759362375026E-4</v>
      </c>
      <c r="G31" s="50">
        <v>0.45</v>
      </c>
      <c r="H31" s="51">
        <f t="shared" si="2"/>
        <v>32.985414979234541</v>
      </c>
    </row>
    <row r="32" spans="1:9" ht="15.75" thickBot="1">
      <c r="A32" s="52">
        <f t="shared" si="3"/>
        <v>27</v>
      </c>
      <c r="B32" s="47">
        <f t="shared" si="0"/>
        <v>1.9318981552795839E-2</v>
      </c>
      <c r="C32" s="48">
        <f xml:space="preserve"> '1. Tabla de Amorticación'!B41</f>
        <v>840640.77363799489</v>
      </c>
      <c r="D32" s="49">
        <f t="shared" si="1"/>
        <v>0.59652271515843502</v>
      </c>
      <c r="E32" s="50">
        <v>0.25</v>
      </c>
      <c r="F32" s="53">
        <f t="shared" si="4"/>
        <v>4.2330569521781269E-4</v>
      </c>
      <c r="G32" s="50">
        <v>0.45</v>
      </c>
      <c r="H32" s="51">
        <f t="shared" si="2"/>
        <v>23.880536023205366</v>
      </c>
    </row>
    <row r="33" spans="1:8" ht="15.75" thickBot="1">
      <c r="A33" s="52">
        <f t="shared" si="3"/>
        <v>28</v>
      </c>
      <c r="B33" s="47">
        <f t="shared" si="0"/>
        <v>1.9318981552795839E-2</v>
      </c>
      <c r="C33" s="48">
        <f xml:space="preserve"> '1. Tabla de Amorticación'!B42</f>
        <v>826672.87902769737</v>
      </c>
      <c r="D33" s="49">
        <f t="shared" si="1"/>
        <v>0.58521692027132921</v>
      </c>
      <c r="E33" s="50">
        <v>0.25</v>
      </c>
      <c r="F33" s="53">
        <f t="shared" si="4"/>
        <v>3.1747927141335952E-4</v>
      </c>
      <c r="G33" s="50">
        <v>0.45</v>
      </c>
      <c r="H33" s="51">
        <f t="shared" si="2"/>
        <v>17.278994306237447</v>
      </c>
    </row>
    <row r="34" spans="1:8" ht="15.75" thickBot="1">
      <c r="A34" s="52">
        <f t="shared" si="3"/>
        <v>29</v>
      </c>
      <c r="B34" s="47">
        <f t="shared" si="0"/>
        <v>1.9318981552795839E-2</v>
      </c>
      <c r="C34" s="48">
        <f xml:space="preserve"> '1. Tabla de Amorticación'!B43</f>
        <v>812448.90634954441</v>
      </c>
      <c r="D34" s="49">
        <f t="shared" si="1"/>
        <v>0.57412540221690922</v>
      </c>
      <c r="E34" s="50">
        <v>0.25</v>
      </c>
      <c r="F34" s="53">
        <f t="shared" si="4"/>
        <v>2.3810945356001964E-4</v>
      </c>
      <c r="G34" s="50">
        <v>0.45</v>
      </c>
      <c r="H34" s="51">
        <f t="shared" si="2"/>
        <v>12.494876902702199</v>
      </c>
    </row>
    <row r="35" spans="1:8" ht="15.75" thickBot="1">
      <c r="A35" s="52">
        <f t="shared" si="3"/>
        <v>30</v>
      </c>
      <c r="B35" s="47">
        <f t="shared" si="0"/>
        <v>1.9318981552795839E-2</v>
      </c>
      <c r="C35" s="48">
        <f xml:space="preserve"> '1. Tabla de Amorticación'!B44</f>
        <v>797964.16083895857</v>
      </c>
      <c r="D35" s="49">
        <f t="shared" si="1"/>
        <v>0.56324409984233403</v>
      </c>
      <c r="E35" s="50">
        <v>0.25</v>
      </c>
      <c r="F35" s="53">
        <f t="shared" si="4"/>
        <v>1.7858209017001473E-4</v>
      </c>
      <c r="G35" s="50">
        <v>0.45</v>
      </c>
      <c r="H35" s="51">
        <f t="shared" si="2"/>
        <v>9.0296405314078729</v>
      </c>
    </row>
    <row r="36" spans="1:8" ht="15.75" thickBot="1">
      <c r="A36" s="52">
        <f t="shared" si="3"/>
        <v>31</v>
      </c>
      <c r="B36" s="47">
        <f t="shared" si="0"/>
        <v>1.9318981552795839E-2</v>
      </c>
      <c r="C36" s="48">
        <f xml:space="preserve"> '1. Tabla de Amorticación'!B45</f>
        <v>783213.86166067864</v>
      </c>
      <c r="D36" s="49">
        <f t="shared" si="1"/>
        <v>0.55256902896511073</v>
      </c>
      <c r="E36" s="50">
        <v>0.25</v>
      </c>
      <c r="F36" s="53">
        <f t="shared" si="4"/>
        <v>1.3393656762751105E-4</v>
      </c>
      <c r="G36" s="50">
        <v>0.45</v>
      </c>
      <c r="H36" s="51">
        <f t="shared" si="2"/>
        <v>6.5210659468565675</v>
      </c>
    </row>
    <row r="37" spans="1:8" ht="15.75" thickBot="1">
      <c r="A37" s="52">
        <f t="shared" si="3"/>
        <v>32</v>
      </c>
      <c r="B37" s="47">
        <f t="shared" si="0"/>
        <v>1.9318981552795839E-2</v>
      </c>
      <c r="C37" s="48">
        <f xml:space="preserve"> '1. Tabla de Amorticación'!B46</f>
        <v>768193.14033079694</v>
      </c>
      <c r="D37" s="49">
        <f t="shared" si="1"/>
        <v>0.54209628091428841</v>
      </c>
      <c r="E37" s="50">
        <v>0.25</v>
      </c>
      <c r="F37" s="53">
        <f t="shared" si="4"/>
        <v>1.0045242572063329E-4</v>
      </c>
      <c r="G37" s="50">
        <v>0.45</v>
      </c>
      <c r="H37" s="51">
        <f t="shared" si="2"/>
        <v>4.70608539567833</v>
      </c>
    </row>
    <row r="38" spans="1:8" ht="15.75" thickBot="1">
      <c r="A38" s="52">
        <f t="shared" si="3"/>
        <v>33</v>
      </c>
      <c r="B38" s="47">
        <f t="shared" si="0"/>
        <v>1.9318981552795839E-2</v>
      </c>
      <c r="C38" s="48">
        <f xml:space="preserve"> '1. Tabla de Amorticación'!B47</f>
        <v>752897.03910986742</v>
      </c>
      <c r="D38" s="49">
        <f t="shared" si="1"/>
        <v>0.53182202109930032</v>
      </c>
      <c r="E38" s="50">
        <v>0.25</v>
      </c>
      <c r="F38" s="53">
        <f t="shared" si="4"/>
        <v>7.5339319290474964E-5</v>
      </c>
      <c r="G38" s="50">
        <v>0.45</v>
      </c>
      <c r="H38" s="51">
        <f t="shared" si="2"/>
        <v>3.3937208743416947</v>
      </c>
    </row>
    <row r="39" spans="1:8" ht="15.75" thickBot="1">
      <c r="A39" s="52">
        <f t="shared" si="3"/>
        <v>34</v>
      </c>
      <c r="B39" s="47">
        <f t="shared" si="0"/>
        <v>1.9318981552795839E-2</v>
      </c>
      <c r="C39" s="48">
        <f xml:space="preserve"> '1. Tabla de Amorticación'!B48</f>
        <v>737320.50936655421</v>
      </c>
      <c r="D39" s="49">
        <f t="shared" si="1"/>
        <v>0.52174248760593156</v>
      </c>
      <c r="E39" s="50">
        <v>0.25</v>
      </c>
      <c r="F39" s="53">
        <f t="shared" si="4"/>
        <v>5.650448946785622E-5</v>
      </c>
      <c r="G39" s="50">
        <v>0.45</v>
      </c>
      <c r="H39" s="51">
        <f t="shared" si="2"/>
        <v>2.4453892388820608</v>
      </c>
    </row>
    <row r="40" spans="1:8" ht="15.75" thickBot="1">
      <c r="A40" s="52">
        <f t="shared" si="3"/>
        <v>35</v>
      </c>
      <c r="B40" s="47">
        <f t="shared" si="0"/>
        <v>1.9318981552795839E-2</v>
      </c>
      <c r="C40" s="48">
        <f xml:space="preserve"> '1. Tabla de Amorticación'!B49</f>
        <v>721458.40991128027</v>
      </c>
      <c r="D40" s="49">
        <f t="shared" si="1"/>
        <v>0.51185398981889541</v>
      </c>
      <c r="E40" s="50">
        <v>0.25</v>
      </c>
      <c r="F40" s="53">
        <f t="shared" si="4"/>
        <v>4.2378367100892165E-5</v>
      </c>
      <c r="G40" s="50">
        <v>0.45</v>
      </c>
      <c r="H40" s="51">
        <f t="shared" si="2"/>
        <v>1.7605733934350813</v>
      </c>
    </row>
    <row r="41" spans="1:8" ht="15.75" thickBot="1">
      <c r="A41" s="52">
        <f t="shared" si="3"/>
        <v>36</v>
      </c>
      <c r="B41" s="47">
        <f t="shared" si="0"/>
        <v>1.9318981552795839E-2</v>
      </c>
      <c r="C41" s="48">
        <f xml:space="preserve"> '1. Tabla de Amorticación'!B50</f>
        <v>705305.50529932627</v>
      </c>
      <c r="D41" s="49">
        <f t="shared" si="1"/>
        <v>0.5021529070705173</v>
      </c>
      <c r="E41" s="50">
        <v>0.25</v>
      </c>
      <c r="F41" s="53">
        <f t="shared" si="4"/>
        <v>3.1783775325669122E-5</v>
      </c>
      <c r="G41" s="50">
        <v>0.45</v>
      </c>
      <c r="H41" s="51">
        <f t="shared" si="2"/>
        <v>1.2664010431097534</v>
      </c>
    </row>
    <row r="42" spans="1:8" ht="15.75" thickBot="1">
      <c r="A42" s="52">
        <f t="shared" si="3"/>
        <v>37</v>
      </c>
      <c r="B42" s="47">
        <f t="shared" si="0"/>
        <v>1.9318981552795839E-2</v>
      </c>
      <c r="C42" s="48">
        <f xml:space="preserve"> '1. Tabla de Amorticación'!B51</f>
        <v>638856.46410281979</v>
      </c>
      <c r="D42" s="49">
        <f t="shared" si="1"/>
        <v>0.49263568731502932</v>
      </c>
      <c r="E42" s="50">
        <v>0.25</v>
      </c>
      <c r="F42" s="53">
        <f t="shared" si="4"/>
        <v>2.3837831494251841E-5</v>
      </c>
      <c r="G42" s="50">
        <v>0.45</v>
      </c>
      <c r="H42" s="51">
        <f t="shared" si="2"/>
        <v>0.84401163003421109</v>
      </c>
    </row>
    <row r="43" spans="1:8" ht="15.75" thickBot="1">
      <c r="A43" s="52">
        <f t="shared" si="3"/>
        <v>38</v>
      </c>
      <c r="B43" s="47">
        <f t="shared" si="0"/>
        <v>1.9318981552795839E-2</v>
      </c>
      <c r="C43" s="48">
        <f xml:space="preserve"> '1. Tabla de Amorticación'!B52</f>
        <v>621189.19048437732</v>
      </c>
      <c r="D43" s="49">
        <f t="shared" si="1"/>
        <v>0.48329884582799088</v>
      </c>
      <c r="E43" s="50">
        <v>0.25</v>
      </c>
      <c r="F43" s="53">
        <f t="shared" si="4"/>
        <v>1.7878373620688882E-5</v>
      </c>
      <c r="G43" s="50">
        <v>0.45</v>
      </c>
      <c r="H43" s="51">
        <f t="shared" si="2"/>
        <v>0.60383763726199091</v>
      </c>
    </row>
    <row r="44" spans="1:8" ht="15.75" thickBot="1">
      <c r="A44" s="52">
        <f t="shared" si="3"/>
        <v>39</v>
      </c>
      <c r="B44" s="47">
        <f t="shared" si="0"/>
        <v>1.9318981552795839E-2</v>
      </c>
      <c r="C44" s="48">
        <f xml:space="preserve"> '1. Tabla de Amorticación'!B53</f>
        <v>603198.01684959675</v>
      </c>
      <c r="D44" s="49">
        <f t="shared" si="1"/>
        <v>0.47413896393035848</v>
      </c>
      <c r="E44" s="50">
        <v>0.25</v>
      </c>
      <c r="F44" s="53">
        <f t="shared" si="4"/>
        <v>1.3408780215516662E-5</v>
      </c>
      <c r="G44" s="50">
        <v>0.45</v>
      </c>
      <c r="H44" s="51">
        <f t="shared" si="2"/>
        <v>0.43142702487240758</v>
      </c>
    </row>
    <row r="45" spans="1:8" ht="15.75" thickBot="1">
      <c r="A45" s="52">
        <f t="shared" si="3"/>
        <v>40</v>
      </c>
      <c r="B45" s="47">
        <f t="shared" si="0"/>
        <v>1.9318981552795839E-2</v>
      </c>
      <c r="C45" s="48">
        <f xml:space="preserve"> '1. Tabla de Amorticación'!B54</f>
        <v>584877.00503151189</v>
      </c>
      <c r="D45" s="49">
        <f t="shared" si="1"/>
        <v>0.46515268773673901</v>
      </c>
      <c r="E45" s="50">
        <v>0.25</v>
      </c>
      <c r="F45" s="53">
        <f t="shared" si="4"/>
        <v>1.0056585161637497E-5</v>
      </c>
      <c r="G45" s="50">
        <v>0.45</v>
      </c>
      <c r="H45" s="51">
        <f t="shared" si="2"/>
        <v>0.30779611925088651</v>
      </c>
    </row>
    <row r="46" spans="1:8" ht="15.75" thickBot="1">
      <c r="A46" s="52">
        <f t="shared" si="3"/>
        <v>41</v>
      </c>
      <c r="B46" s="47">
        <f t="shared" si="0"/>
        <v>1.9318981552795839E-2</v>
      </c>
      <c r="C46" s="48">
        <f xml:space="preserve"> '1. Tabla de Amorticación'!B55</f>
        <v>566220.10799676215</v>
      </c>
      <c r="D46" s="49">
        <f t="shared" si="1"/>
        <v>0.45633672692736599</v>
      </c>
      <c r="E46" s="50">
        <v>0.25</v>
      </c>
      <c r="F46" s="53">
        <f t="shared" si="4"/>
        <v>7.542438871228123E-6</v>
      </c>
      <c r="G46" s="50">
        <v>0.45</v>
      </c>
      <c r="H46" s="51">
        <f t="shared" si="2"/>
        <v>0.21924769330744442</v>
      </c>
    </row>
    <row r="47" spans="1:8" ht="15.75" thickBot="1">
      <c r="A47" s="52">
        <f t="shared" si="3"/>
        <v>42</v>
      </c>
      <c r="B47" s="47">
        <f t="shared" si="0"/>
        <v>1.9318981552795839E-2</v>
      </c>
      <c r="C47" s="48">
        <f xml:space="preserve"> '1. Tabla de Amorticación'!B56</f>
        <v>547221.1678497087</v>
      </c>
      <c r="D47" s="49">
        <f t="shared" si="1"/>
        <v>0.44768785354335133</v>
      </c>
      <c r="E47" s="50">
        <v>0.25</v>
      </c>
      <c r="F47" s="53">
        <f t="shared" si="4"/>
        <v>5.6568291534210922E-6</v>
      </c>
      <c r="G47" s="50">
        <v>0.45</v>
      </c>
      <c r="H47" s="51">
        <f t="shared" si="2"/>
        <v>0.1559063431055028</v>
      </c>
    </row>
    <row r="48" spans="1:8" ht="15.75" thickBot="1">
      <c r="A48" s="52">
        <f t="shared" si="3"/>
        <v>43</v>
      </c>
      <c r="B48" s="47">
        <f t="shared" si="0"/>
        <v>1.9318981552795839E-2</v>
      </c>
      <c r="C48" s="48">
        <f xml:space="preserve"> '1. Tabla de Amorticación'!B57</f>
        <v>527873.91379995923</v>
      </c>
      <c r="D48" s="49">
        <f t="shared" si="1"/>
        <v>0.43920290080476948</v>
      </c>
      <c r="E48" s="50">
        <v>0.25</v>
      </c>
      <c r="F48" s="53">
        <f t="shared" si="4"/>
        <v>4.2426218650658194E-6</v>
      </c>
      <c r="G48" s="50">
        <v>0.45</v>
      </c>
      <c r="H48" s="51">
        <f t="shared" si="2"/>
        <v>0.11065785534543685</v>
      </c>
    </row>
    <row r="49" spans="1:8" ht="15.75" thickBot="1">
      <c r="A49" s="52">
        <f t="shared" si="3"/>
        <v>44</v>
      </c>
      <c r="B49" s="47">
        <f t="shared" si="0"/>
        <v>1.9318981552795839E-2</v>
      </c>
      <c r="C49" s="48">
        <f xml:space="preserve"> '1. Tabla de Amorticación'!B58</f>
        <v>508171.96009263105</v>
      </c>
      <c r="D49" s="49">
        <f t="shared" si="1"/>
        <v>0.43087876195114383</v>
      </c>
      <c r="E49" s="50">
        <v>0.25</v>
      </c>
      <c r="F49" s="53">
        <f t="shared" si="4"/>
        <v>3.1819663987993645E-6</v>
      </c>
      <c r="G49" s="50">
        <v>0.45</v>
      </c>
      <c r="H49" s="51">
        <f t="shared" si="2"/>
        <v>7.8381559085323738E-2</v>
      </c>
    </row>
    <row r="50" spans="1:8" ht="15.75" thickBot="1">
      <c r="A50" s="52">
        <f t="shared" si="3"/>
        <v>45</v>
      </c>
      <c r="B50" s="47">
        <f t="shared" si="0"/>
        <v>1.9318981552795839E-2</v>
      </c>
      <c r="C50" s="48">
        <f xml:space="preserve"> '1. Tabla de Amorticación'!B59</f>
        <v>488108.80390066851</v>
      </c>
      <c r="D50" s="49">
        <f t="shared" si="1"/>
        <v>0.42271238910390718</v>
      </c>
      <c r="E50" s="50">
        <v>0.25</v>
      </c>
      <c r="F50" s="53">
        <f t="shared" si="4"/>
        <v>2.3864747990995235E-6</v>
      </c>
      <c r="G50" s="50">
        <v>0.45</v>
      </c>
      <c r="H50" s="51">
        <f t="shared" si="2"/>
        <v>5.539505432855435E-2</v>
      </c>
    </row>
    <row r="51" spans="1:8" ht="15.75" thickBot="1">
      <c r="A51" s="52">
        <f t="shared" si="3"/>
        <v>46</v>
      </c>
      <c r="B51" s="47">
        <f t="shared" si="0"/>
        <v>1.9318981552795839E-2</v>
      </c>
      <c r="C51" s="48">
        <f xml:space="preserve"> '1. Tabla de Amorticación'!B60</f>
        <v>467677.82317851996</v>
      </c>
      <c r="D51" s="49">
        <f t="shared" si="1"/>
        <v>0.41470079215042333</v>
      </c>
      <c r="E51" s="50">
        <v>0.25</v>
      </c>
      <c r="F51" s="53">
        <f t="shared" si="4"/>
        <v>1.7898560993246426E-6</v>
      </c>
      <c r="G51" s="50">
        <v>0.45</v>
      </c>
      <c r="H51" s="51">
        <f t="shared" si="2"/>
        <v>3.9052809234878978E-2</v>
      </c>
    </row>
    <row r="52" spans="1:8" ht="15.75" thickBot="1">
      <c r="A52" s="52">
        <f t="shared" si="3"/>
        <v>47</v>
      </c>
      <c r="B52" s="47">
        <f t="shared" si="0"/>
        <v>1.9318981552795839E-2</v>
      </c>
      <c r="C52" s="48">
        <f xml:space="preserve"> '1. Tabla de Amorticación'!B61</f>
        <v>446872.27447646536</v>
      </c>
      <c r="D52" s="49">
        <f t="shared" si="1"/>
        <v>0.40684103764915885</v>
      </c>
      <c r="E52" s="50">
        <v>0.25</v>
      </c>
      <c r="F52" s="53">
        <f t="shared" si="4"/>
        <v>1.3423920744934819E-6</v>
      </c>
      <c r="G52" s="50">
        <v>0.45</v>
      </c>
      <c r="H52" s="51">
        <f t="shared" si="2"/>
        <v>2.7456176974384468E-2</v>
      </c>
    </row>
    <row r="53" spans="1:8" ht="15.75" thickBot="1">
      <c r="A53" s="52">
        <f t="shared" si="3"/>
        <v>48</v>
      </c>
      <c r="B53" s="47">
        <f t="shared" si="0"/>
        <v>1.9318981552795839E-2</v>
      </c>
      <c r="C53" s="48">
        <f xml:space="preserve"> '1. Tabla de Amorticación'!B62</f>
        <v>425685.29071487312</v>
      </c>
      <c r="D53" s="49">
        <f t="shared" si="1"/>
        <v>0.39913024775560552</v>
      </c>
      <c r="E53" s="50">
        <v>0.25</v>
      </c>
      <c r="F53" s="53">
        <f t="shared" si="4"/>
        <v>1.0067940558701114E-6</v>
      </c>
      <c r="G53" s="50">
        <v>0.45</v>
      </c>
      <c r="H53" s="51">
        <f t="shared" si="2"/>
        <v>1.9244048846846877E-2</v>
      </c>
    </row>
    <row r="54" spans="1:8" ht="15.75" thickBot="1">
      <c r="A54" s="52">
        <f t="shared" si="3"/>
        <v>49</v>
      </c>
      <c r="B54" s="47">
        <f t="shared" si="0"/>
        <v>1.9318981552795839E-2</v>
      </c>
      <c r="C54" s="48">
        <f xml:space="preserve"> '1. Tabla de Amorticación'!B63</f>
        <v>354109.87891765166</v>
      </c>
      <c r="D54" s="49">
        <f t="shared" si="1"/>
        <v>0.39156559916855871</v>
      </c>
      <c r="E54" s="50">
        <v>0.25</v>
      </c>
      <c r="F54" s="53">
        <f t="shared" si="4"/>
        <v>7.5509554190258349E-7</v>
      </c>
      <c r="G54" s="50">
        <v>0.45</v>
      </c>
      <c r="H54" s="51">
        <f t="shared" si="2"/>
        <v>1.1778690261841682E-2</v>
      </c>
    </row>
    <row r="55" spans="1:8" ht="15.75" thickBot="1">
      <c r="A55" s="52">
        <f t="shared" si="3"/>
        <v>50</v>
      </c>
      <c r="B55" s="47">
        <f t="shared" si="0"/>
        <v>1.9318981552795839E-2</v>
      </c>
      <c r="C55" s="48">
        <f xml:space="preserve"> '1. Tabla de Amorticación'!B64</f>
        <v>331222.25123748113</v>
      </c>
      <c r="D55" s="49">
        <f t="shared" si="1"/>
        <v>0.38414432209636773</v>
      </c>
      <c r="E55" s="50">
        <v>0.25</v>
      </c>
      <c r="F55" s="53">
        <f t="shared" si="4"/>
        <v>5.6632165642693762E-7</v>
      </c>
      <c r="G55" s="50">
        <v>0.45</v>
      </c>
      <c r="H55" s="51">
        <f t="shared" si="2"/>
        <v>8.1064295934118544E-3</v>
      </c>
    </row>
    <row r="56" spans="1:8" ht="15.75" thickBot="1">
      <c r="A56" s="52">
        <f t="shared" si="3"/>
        <v>51</v>
      </c>
      <c r="B56" s="47">
        <f t="shared" si="0"/>
        <v>1.9318981552795839E-2</v>
      </c>
      <c r="C56" s="48">
        <f xml:space="preserve"> '1. Tabla de Amorticación'!B65</f>
        <v>307915.01704984083</v>
      </c>
      <c r="D56" s="49">
        <f t="shared" si="1"/>
        <v>0.37686369924277807</v>
      </c>
      <c r="E56" s="50">
        <v>0.25</v>
      </c>
      <c r="F56" s="53">
        <f t="shared" si="4"/>
        <v>4.2474124232020321E-7</v>
      </c>
      <c r="G56" s="50">
        <v>0.45</v>
      </c>
      <c r="H56" s="51">
        <f t="shared" si="2"/>
        <v>5.5448797504343526E-3</v>
      </c>
    </row>
    <row r="57" spans="1:8" ht="15.75" thickBot="1">
      <c r="A57" s="52">
        <f t="shared" si="3"/>
        <v>52</v>
      </c>
      <c r="B57" s="47">
        <f t="shared" si="0"/>
        <v>1.9318981552795839E-2</v>
      </c>
      <c r="C57" s="48">
        <f xml:space="preserve"> '1. Tabla de Amorticación'!B66</f>
        <v>284180.48356876045</v>
      </c>
      <c r="D57" s="49">
        <f t="shared" si="1"/>
        <v>0.36972106481199507</v>
      </c>
      <c r="E57" s="50">
        <v>0.25</v>
      </c>
      <c r="F57" s="53">
        <f t="shared" si="4"/>
        <v>3.185559317401524E-7</v>
      </c>
      <c r="G57" s="50">
        <v>0.45</v>
      </c>
      <c r="H57" s="51">
        <f t="shared" si="2"/>
        <v>3.7653613714206664E-3</v>
      </c>
    </row>
    <row r="58" spans="1:8" ht="15.75" thickBot="1">
      <c r="A58" s="52">
        <f t="shared" si="3"/>
        <v>53</v>
      </c>
      <c r="B58" s="47">
        <f t="shared" si="0"/>
        <v>1.9318981552795839E-2</v>
      </c>
      <c r="C58" s="48">
        <f xml:space="preserve"> '1. Tabla de Amorticación'!B67</f>
        <v>260010.81697386026</v>
      </c>
      <c r="D58" s="49">
        <f t="shared" si="1"/>
        <v>0.36271380353260435</v>
      </c>
      <c r="E58" s="50">
        <v>0.25</v>
      </c>
      <c r="F58" s="53">
        <f t="shared" si="4"/>
        <v>2.3891694880511431E-7</v>
      </c>
      <c r="G58" s="50">
        <v>0.45</v>
      </c>
      <c r="H58" s="51">
        <f t="shared" si="2"/>
        <v>2.5348658559899945E-3</v>
      </c>
    </row>
    <row r="59" spans="1:8" ht="15.75" thickBot="1">
      <c r="A59" s="52">
        <f t="shared" si="3"/>
        <v>54</v>
      </c>
      <c r="B59" s="47">
        <f t="shared" si="0"/>
        <v>1.9318981552795839E-2</v>
      </c>
      <c r="C59" s="48">
        <f xml:space="preserve"> '1. Tabla de Amorticación'!B68</f>
        <v>235398.03982472024</v>
      </c>
      <c r="D59" s="49">
        <f t="shared" si="1"/>
        <v>0.35583934969999131</v>
      </c>
      <c r="E59" s="50">
        <v>0.25</v>
      </c>
      <c r="F59" s="53">
        <f t="shared" si="4"/>
        <v>1.7918771160383572E-7</v>
      </c>
      <c r="G59" s="50">
        <v>0.45</v>
      </c>
      <c r="H59" s="51">
        <f t="shared" si="2"/>
        <v>1.6885641309751008E-3</v>
      </c>
    </row>
    <row r="60" spans="1:8" ht="15.75" thickBot="1">
      <c r="A60" s="52">
        <f t="shared" si="3"/>
        <v>55</v>
      </c>
      <c r="B60" s="47">
        <f t="shared" si="0"/>
        <v>1.9318981552795839E-2</v>
      </c>
      <c r="C60" s="48">
        <f xml:space="preserve"> '1. Tabla de Amorticación'!B69</f>
        <v>210334.02842784597</v>
      </c>
      <c r="D60" s="49">
        <f t="shared" si="1"/>
        <v>0.34909518623691055</v>
      </c>
      <c r="E60" s="50">
        <v>0.25</v>
      </c>
      <c r="F60" s="53">
        <f t="shared" si="4"/>
        <v>1.3439078370287679E-7</v>
      </c>
      <c r="G60" s="50">
        <v>0.45</v>
      </c>
      <c r="H60" s="51">
        <f t="shared" si="2"/>
        <v>1.1101340128588223E-3</v>
      </c>
    </row>
    <row r="61" spans="1:8" ht="15.75" thickBot="1">
      <c r="A61" s="52">
        <f t="shared" si="3"/>
        <v>56</v>
      </c>
      <c r="B61" s="47">
        <f t="shared" si="0"/>
        <v>1.9318981552795839E-2</v>
      </c>
      <c r="C61" s="48">
        <f xml:space="preserve"> '1. Tabla de Amorticación'!B70</f>
        <v>184810.51015536234</v>
      </c>
      <c r="D61" s="49">
        <f t="shared" si="1"/>
        <v>0.34247884377185922</v>
      </c>
      <c r="E61" s="50">
        <v>0.25</v>
      </c>
      <c r="F61" s="53">
        <f t="shared" si="4"/>
        <v>1.0079308777715759E-7</v>
      </c>
      <c r="G61" s="50">
        <v>0.45</v>
      </c>
      <c r="H61" s="51">
        <f t="shared" si="2"/>
        <v>7.177012239677461E-4</v>
      </c>
    </row>
    <row r="62" spans="1:8" ht="15.75" thickBot="1">
      <c r="A62" s="52">
        <f t="shared" si="3"/>
        <v>57</v>
      </c>
      <c r="B62" s="47">
        <f t="shared" si="0"/>
        <v>1.9318981552795839E-2</v>
      </c>
      <c r="C62" s="48">
        <f xml:space="preserve"> '1. Tabla de Amorticación'!B71</f>
        <v>158819.06071454985</v>
      </c>
      <c r="D62" s="49">
        <f t="shared" si="1"/>
        <v>0.33598789973491772</v>
      </c>
      <c r="E62" s="50">
        <v>0.25</v>
      </c>
      <c r="F62" s="53">
        <f t="shared" si="4"/>
        <v>7.5594815832868201E-8</v>
      </c>
      <c r="G62" s="50">
        <v>0.45</v>
      </c>
      <c r="H62" s="51">
        <f t="shared" si="2"/>
        <v>4.5380658761238937E-4</v>
      </c>
    </row>
    <row r="63" spans="1:8" ht="15.75" thickBot="1">
      <c r="A63" s="52">
        <f t="shared" si="3"/>
        <v>58</v>
      </c>
      <c r="B63" s="47">
        <f t="shared" si="0"/>
        <v>1.9318981552795839E-2</v>
      </c>
      <c r="C63" s="48">
        <f xml:space="preserve"> '1. Tabla de Amorticación'!B72</f>
        <v>132351.10136732247</v>
      </c>
      <c r="D63" s="49">
        <f t="shared" si="1"/>
        <v>0.3296199774707278</v>
      </c>
      <c r="E63" s="50">
        <v>0.25</v>
      </c>
      <c r="F63" s="53">
        <f t="shared" si="4"/>
        <v>5.6696111874651151E-8</v>
      </c>
      <c r="G63" s="50">
        <v>0.45</v>
      </c>
      <c r="H63" s="51">
        <f t="shared" si="2"/>
        <v>2.7825750338784938E-4</v>
      </c>
    </row>
    <row r="64" spans="1:8" ht="15.75" thickBot="1">
      <c r="A64" s="52">
        <f t="shared" si="3"/>
        <v>59</v>
      </c>
      <c r="B64" s="47">
        <f t="shared" si="0"/>
        <v>1.9318981552795839E-2</v>
      </c>
      <c r="C64" s="48">
        <f xml:space="preserve"> '1. Tabla de Amorticación'!B73</f>
        <v>105397.89609872925</v>
      </c>
      <c r="D64" s="49">
        <f t="shared" si="1"/>
        <v>0.32337274536828098</v>
      </c>
      <c r="E64" s="50">
        <v>0.25</v>
      </c>
      <c r="F64" s="53">
        <f t="shared" si="4"/>
        <v>4.2522083905988365E-8</v>
      </c>
      <c r="G64" s="50">
        <v>0.45</v>
      </c>
      <c r="H64" s="51">
        <f t="shared" si="2"/>
        <v>1.6304309772178355E-4</v>
      </c>
    </row>
    <row r="65" spans="1:8" ht="15.75" thickBot="1">
      <c r="A65" s="52">
        <f t="shared" si="3"/>
        <v>60</v>
      </c>
      <c r="B65" s="47">
        <f t="shared" si="0"/>
        <v>1.9318981552795839E-2</v>
      </c>
      <c r="C65" s="48">
        <f xml:space="preserve"> '1. Tabla de Amorticación'!B74</f>
        <v>77950.548733545162</v>
      </c>
      <c r="D65" s="49">
        <f t="shared" si="1"/>
        <v>0.31724391600720114</v>
      </c>
      <c r="E65" s="50">
        <v>0.25</v>
      </c>
      <c r="F65" s="53">
        <f t="shared" si="4"/>
        <v>3.1891562929491272E-8</v>
      </c>
      <c r="G65" s="50">
        <v>0.45</v>
      </c>
      <c r="H65" s="51">
        <f t="shared" si="2"/>
        <v>8.8723937005676619E-5</v>
      </c>
    </row>
    <row r="66" spans="1:8" ht="15.75" thickBot="1"/>
    <row r="67" spans="1:8" ht="14.45" customHeight="1">
      <c r="G67" s="114" t="s">
        <v>84</v>
      </c>
      <c r="H67" s="115">
        <f>+SUM(H6:H65)</f>
        <v>368737.13146956533</v>
      </c>
    </row>
    <row r="68" spans="1:8" ht="15.75" thickBot="1">
      <c r="G68" s="114"/>
      <c r="H68" s="116"/>
    </row>
  </sheetData>
  <mergeCells count="2">
    <mergeCell ref="G67:G68"/>
    <mergeCell ref="H67:H6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0E316-D71D-4811-89D0-172B4F30040C}">
  <sheetPr codeName="Hoja2">
    <tabColor theme="9"/>
  </sheetPr>
  <dimension ref="A1:A19"/>
  <sheetViews>
    <sheetView showGridLines="0" workbookViewId="0">
      <selection activeCell="L6" sqref="L6"/>
    </sheetView>
  </sheetViews>
  <sheetFormatPr baseColWidth="10" defaultRowHeight="15"/>
  <sheetData>
    <row r="1" spans="1:1" ht="26.25">
      <c r="A1" s="40" t="s">
        <v>99</v>
      </c>
    </row>
    <row r="3" spans="1:1" ht="15.75">
      <c r="A3" s="58" t="s">
        <v>113</v>
      </c>
    </row>
    <row r="5" spans="1:1" ht="15.75">
      <c r="A5" s="58" t="s">
        <v>114</v>
      </c>
    </row>
    <row r="6" spans="1:1" ht="15.75">
      <c r="A6" s="58"/>
    </row>
    <row r="7" spans="1:1" ht="15.75">
      <c r="A7" s="59" t="s">
        <v>100</v>
      </c>
    </row>
    <row r="8" spans="1:1" ht="15.75">
      <c r="A8" s="59" t="s">
        <v>110</v>
      </c>
    </row>
    <row r="9" spans="1:1" ht="15.75">
      <c r="A9" s="59" t="s">
        <v>104</v>
      </c>
    </row>
    <row r="10" spans="1:1" ht="15.75">
      <c r="A10" s="59" t="s">
        <v>111</v>
      </c>
    </row>
    <row r="11" spans="1:1" ht="15.75">
      <c r="A11" s="59" t="s">
        <v>102</v>
      </c>
    </row>
    <row r="12" spans="1:1" ht="15.75">
      <c r="A12" s="59" t="s">
        <v>103</v>
      </c>
    </row>
    <row r="13" spans="1:1" ht="15.75">
      <c r="A13" s="59" t="s">
        <v>105</v>
      </c>
    </row>
    <row r="14" spans="1:1" ht="15.75">
      <c r="A14" s="59" t="s">
        <v>106</v>
      </c>
    </row>
    <row r="15" spans="1:1" ht="15.75">
      <c r="A15" s="59"/>
    </row>
    <row r="16" spans="1:1" ht="15.75">
      <c r="A16" s="59"/>
    </row>
    <row r="17" spans="1:1" ht="15.75">
      <c r="A17" s="60" t="s">
        <v>107</v>
      </c>
    </row>
    <row r="18" spans="1:1" ht="15.75">
      <c r="A18" s="61" t="s">
        <v>101</v>
      </c>
    </row>
    <row r="19" spans="1:1" ht="15.75">
      <c r="A19" s="61" t="s">
        <v>108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8DC59-D8D2-4CB3-BD23-0D665C277DE3}">
  <sheetPr codeName="Sheet8"/>
  <dimension ref="A1:F17"/>
  <sheetViews>
    <sheetView workbookViewId="0">
      <selection activeCell="H6" sqref="H6"/>
    </sheetView>
  </sheetViews>
  <sheetFormatPr baseColWidth="10" defaultColWidth="8.85546875" defaultRowHeight="15"/>
  <cols>
    <col min="2" max="6" width="20.85546875" customWidth="1"/>
  </cols>
  <sheetData>
    <row r="1" spans="1:6" ht="27" thickBot="1">
      <c r="A1" s="117" t="s">
        <v>68</v>
      </c>
      <c r="B1" s="117"/>
      <c r="C1" s="117"/>
      <c r="D1" s="117"/>
      <c r="E1" s="117"/>
      <c r="F1" s="117"/>
    </row>
    <row r="2" spans="1:6" ht="15.75" thickTop="1"/>
    <row r="3" spans="1:6" ht="56.45" customHeight="1">
      <c r="A3" s="38" t="s">
        <v>20</v>
      </c>
      <c r="B3" s="38" t="s">
        <v>14</v>
      </c>
      <c r="C3" s="39" t="s">
        <v>15</v>
      </c>
      <c r="D3" s="39" t="s">
        <v>16</v>
      </c>
      <c r="E3" s="39" t="s">
        <v>17</v>
      </c>
      <c r="F3" s="39" t="s">
        <v>18</v>
      </c>
    </row>
    <row r="4" spans="1:6">
      <c r="A4" s="5" t="s">
        <v>21</v>
      </c>
      <c r="B4" s="37">
        <v>0.8</v>
      </c>
      <c r="C4" s="7">
        <v>0.7</v>
      </c>
      <c r="D4" s="7">
        <v>0</v>
      </c>
      <c r="E4" s="8">
        <v>0</v>
      </c>
      <c r="F4" s="8">
        <v>0</v>
      </c>
    </row>
    <row r="5" spans="1:6">
      <c r="A5" s="5" t="s">
        <v>22</v>
      </c>
      <c r="B5" s="37">
        <v>1</v>
      </c>
      <c r="C5" s="7">
        <v>1</v>
      </c>
      <c r="D5" s="7">
        <v>1</v>
      </c>
      <c r="E5" s="14">
        <v>0</v>
      </c>
      <c r="F5" s="14">
        <v>0</v>
      </c>
    </row>
    <row r="6" spans="1:6">
      <c r="A6" s="5" t="s">
        <v>23</v>
      </c>
      <c r="B6" s="37">
        <v>0.73</v>
      </c>
      <c r="C6" s="7">
        <v>0.56999999999999995</v>
      </c>
      <c r="D6" s="7">
        <v>0</v>
      </c>
      <c r="E6" s="14">
        <v>0</v>
      </c>
      <c r="F6" s="14">
        <v>0</v>
      </c>
    </row>
    <row r="7" spans="1:6">
      <c r="A7" s="5" t="s">
        <v>24</v>
      </c>
      <c r="B7" s="37">
        <v>0.31</v>
      </c>
      <c r="C7" s="7">
        <v>0.3</v>
      </c>
      <c r="D7" s="7">
        <v>0</v>
      </c>
      <c r="E7" s="14">
        <v>0</v>
      </c>
      <c r="F7" s="14">
        <v>0</v>
      </c>
    </row>
    <row r="8" spans="1:6">
      <c r="A8" s="5" t="s">
        <v>25</v>
      </c>
      <c r="B8" s="37">
        <v>1</v>
      </c>
      <c r="C8" s="7">
        <v>1</v>
      </c>
      <c r="D8" s="7">
        <v>1</v>
      </c>
      <c r="E8" s="14">
        <v>0</v>
      </c>
      <c r="F8" s="14">
        <v>0</v>
      </c>
    </row>
    <row r="9" spans="1:6">
      <c r="A9" s="5" t="s">
        <v>26</v>
      </c>
      <c r="B9" s="37">
        <v>0.93</v>
      </c>
      <c r="C9" s="7">
        <v>0.9</v>
      </c>
      <c r="D9" s="7">
        <v>1</v>
      </c>
      <c r="E9" s="14">
        <v>0</v>
      </c>
      <c r="F9" s="14">
        <v>0</v>
      </c>
    </row>
    <row r="10" spans="1:6">
      <c r="A10" s="5" t="s">
        <v>27</v>
      </c>
      <c r="B10" s="37">
        <v>0</v>
      </c>
      <c r="C10" s="7">
        <v>0</v>
      </c>
      <c r="D10" s="7">
        <v>1</v>
      </c>
      <c r="E10" s="14">
        <v>0</v>
      </c>
      <c r="F10" s="14">
        <v>10</v>
      </c>
    </row>
    <row r="11" spans="1:6">
      <c r="A11" s="5" t="s">
        <v>28</v>
      </c>
      <c r="B11" s="37" t="s">
        <v>13</v>
      </c>
      <c r="C11" s="7" t="s">
        <v>13</v>
      </c>
      <c r="D11" s="7" t="s">
        <v>13</v>
      </c>
      <c r="E11" s="14">
        <v>4</v>
      </c>
      <c r="F11" s="14">
        <v>77</v>
      </c>
    </row>
    <row r="12" spans="1:6">
      <c r="A12" s="5" t="s">
        <v>29</v>
      </c>
      <c r="B12" s="37">
        <v>0.8</v>
      </c>
      <c r="C12" s="7">
        <v>0.5</v>
      </c>
      <c r="D12" s="7">
        <v>0</v>
      </c>
      <c r="E12" s="14">
        <v>2</v>
      </c>
      <c r="F12" s="14">
        <v>48</v>
      </c>
    </row>
    <row r="13" spans="1:6">
      <c r="A13" s="5" t="s">
        <v>30</v>
      </c>
      <c r="B13" s="37">
        <v>0.7</v>
      </c>
      <c r="C13" s="7">
        <v>0.55000000000000004</v>
      </c>
      <c r="D13" s="7">
        <v>1</v>
      </c>
      <c r="E13" s="14">
        <v>2</v>
      </c>
      <c r="F13" s="14">
        <v>60</v>
      </c>
    </row>
    <row r="14" spans="1:6">
      <c r="A14" s="5" t="s">
        <v>31</v>
      </c>
      <c r="B14" s="37">
        <v>0.9</v>
      </c>
      <c r="C14" s="7">
        <v>0.9</v>
      </c>
      <c r="D14" s="7" t="s">
        <v>13</v>
      </c>
      <c r="E14" s="14">
        <v>4</v>
      </c>
      <c r="F14" s="14">
        <v>40</v>
      </c>
    </row>
    <row r="15" spans="1:6">
      <c r="A15" s="5" t="s">
        <v>32</v>
      </c>
      <c r="B15" s="37">
        <v>0.7</v>
      </c>
      <c r="C15" s="7">
        <v>0.4</v>
      </c>
      <c r="D15" s="7">
        <v>0</v>
      </c>
      <c r="E15" s="14">
        <v>4</v>
      </c>
      <c r="F15" s="14">
        <v>40</v>
      </c>
    </row>
    <row r="16" spans="1:6">
      <c r="A16" s="5" t="s">
        <v>33</v>
      </c>
      <c r="B16" s="37">
        <v>0</v>
      </c>
      <c r="C16" s="7">
        <v>0</v>
      </c>
      <c r="D16" s="7">
        <v>0</v>
      </c>
      <c r="E16" s="14">
        <v>4</v>
      </c>
      <c r="F16" s="14">
        <v>40</v>
      </c>
    </row>
    <row r="17" spans="1:6">
      <c r="A17" s="5" t="s">
        <v>34</v>
      </c>
      <c r="B17" s="37" t="s">
        <v>13</v>
      </c>
      <c r="C17" s="7" t="s">
        <v>13</v>
      </c>
      <c r="D17" s="7">
        <v>0</v>
      </c>
      <c r="E17" s="14">
        <v>4</v>
      </c>
      <c r="F17" s="14">
        <v>30</v>
      </c>
    </row>
  </sheetData>
  <mergeCells count="1">
    <mergeCell ref="A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3F19-B3DA-4C63-80B7-6AE1A3B7714A}">
  <sheetPr codeName="Sheet2"/>
  <dimension ref="B1:DT22"/>
  <sheetViews>
    <sheetView topLeftCell="K6" zoomScale="105" zoomScaleNormal="146" workbookViewId="0">
      <selection activeCell="Q22" sqref="Q22"/>
    </sheetView>
  </sheetViews>
  <sheetFormatPr baseColWidth="10" defaultColWidth="8.85546875" defaultRowHeight="15"/>
  <cols>
    <col min="3" max="3" width="10.7109375" customWidth="1"/>
    <col min="5" max="5" width="14.7109375" customWidth="1"/>
    <col min="6" max="6" width="13.28515625" customWidth="1"/>
    <col min="7" max="7" width="15.85546875" customWidth="1"/>
    <col min="8" max="8" width="13.28515625" customWidth="1"/>
    <col min="9" max="9" width="14.28515625" customWidth="1"/>
    <col min="10" max="16" width="13.28515625" customWidth="1"/>
  </cols>
  <sheetData>
    <row r="1" spans="2:124">
      <c r="J1" s="41"/>
    </row>
    <row r="2" spans="2:124" ht="24" thickBot="1">
      <c r="G2" s="118" t="s">
        <v>69</v>
      </c>
      <c r="H2" s="119"/>
      <c r="I2" s="119"/>
      <c r="J2" s="119"/>
      <c r="K2" s="119"/>
      <c r="L2" s="119"/>
      <c r="M2" s="120"/>
    </row>
    <row r="3" spans="2:124" ht="15.75" thickTop="1"/>
    <row r="4" spans="2:124">
      <c r="E4" s="132">
        <v>2</v>
      </c>
      <c r="F4" s="133"/>
      <c r="G4" s="132">
        <v>3</v>
      </c>
      <c r="H4" s="133"/>
      <c r="I4" s="132">
        <v>4</v>
      </c>
      <c r="J4" s="133"/>
      <c r="K4" s="132">
        <v>5</v>
      </c>
      <c r="L4" s="133"/>
      <c r="M4" s="132">
        <v>6</v>
      </c>
      <c r="N4" s="133"/>
    </row>
    <row r="5" spans="2:124" ht="69.599999999999994" customHeight="1" thickBot="1">
      <c r="E5" s="131" t="s">
        <v>14</v>
      </c>
      <c r="F5" s="121"/>
      <c r="G5" s="121" t="s">
        <v>15</v>
      </c>
      <c r="H5" s="121"/>
      <c r="I5" s="121" t="s">
        <v>16</v>
      </c>
      <c r="J5" s="121"/>
      <c r="K5" s="121" t="s">
        <v>17</v>
      </c>
      <c r="L5" s="121"/>
      <c r="M5" s="121" t="s">
        <v>18</v>
      </c>
      <c r="N5" s="121"/>
      <c r="O5" s="121" t="s">
        <v>19</v>
      </c>
      <c r="P5" s="122"/>
    </row>
    <row r="6" spans="2:124" s="1" customFormat="1" ht="13.15" customHeight="1">
      <c r="B6" s="126" t="s">
        <v>0</v>
      </c>
      <c r="C6" s="129" t="s">
        <v>1</v>
      </c>
      <c r="D6" s="123" t="s">
        <v>2</v>
      </c>
      <c r="E6" s="125" t="s">
        <v>3</v>
      </c>
      <c r="F6" s="124" t="s">
        <v>4</v>
      </c>
      <c r="G6" s="125" t="s">
        <v>3</v>
      </c>
      <c r="H6" s="124" t="s">
        <v>4</v>
      </c>
      <c r="I6" s="125" t="s">
        <v>3</v>
      </c>
      <c r="J6" s="124" t="s">
        <v>4</v>
      </c>
      <c r="K6" s="125" t="s">
        <v>3</v>
      </c>
      <c r="L6" s="124" t="s">
        <v>4</v>
      </c>
      <c r="M6" s="125" t="s">
        <v>3</v>
      </c>
      <c r="N6" s="124" t="s">
        <v>4</v>
      </c>
      <c r="O6" s="125" t="s">
        <v>5</v>
      </c>
      <c r="P6" s="124" t="s">
        <v>6</v>
      </c>
      <c r="Q6" s="129" t="s">
        <v>7</v>
      </c>
      <c r="DP6" s="2"/>
      <c r="DT6" s="3">
        <v>43</v>
      </c>
    </row>
    <row r="7" spans="2:124" s="1" customFormat="1" ht="13.15" customHeight="1">
      <c r="B7" s="127"/>
      <c r="C7" s="130"/>
      <c r="D7" s="124"/>
      <c r="E7" s="125"/>
      <c r="F7" s="124"/>
      <c r="G7" s="125"/>
      <c r="H7" s="124"/>
      <c r="I7" s="125"/>
      <c r="J7" s="124"/>
      <c r="K7" s="125"/>
      <c r="L7" s="124"/>
      <c r="M7" s="125"/>
      <c r="N7" s="124"/>
      <c r="O7" s="125"/>
      <c r="P7" s="124"/>
      <c r="Q7" s="130"/>
      <c r="DT7" s="3">
        <v>46</v>
      </c>
    </row>
    <row r="8" spans="2:124" s="1" customFormat="1" ht="13.15" customHeight="1">
      <c r="B8" s="128"/>
      <c r="C8" s="130"/>
      <c r="D8" s="124"/>
      <c r="E8" s="125"/>
      <c r="F8" s="124"/>
      <c r="G8" s="125"/>
      <c r="H8" s="124"/>
      <c r="I8" s="125"/>
      <c r="J8" s="124"/>
      <c r="K8" s="125"/>
      <c r="L8" s="124"/>
      <c r="M8" s="125"/>
      <c r="N8" s="124"/>
      <c r="O8" s="125"/>
      <c r="P8" s="124"/>
      <c r="Q8" s="130"/>
      <c r="DT8" s="3">
        <v>48</v>
      </c>
    </row>
    <row r="9" spans="2:124" s="1" customFormat="1" ht="12" customHeight="1">
      <c r="B9" s="4" t="s">
        <v>112</v>
      </c>
      <c r="C9" s="5" t="s">
        <v>21</v>
      </c>
      <c r="D9" s="6" t="s">
        <v>8</v>
      </c>
      <c r="E9" s="102">
        <f xml:space="preserve"> VLOOKUP($C9, 'Información PI'!$A$4:$F$17, E$4,0)</f>
        <v>0.8</v>
      </c>
      <c r="F9" s="6">
        <f t="shared" ref="F9:F22" si="0">IF(AND(D9="E",E9="Sin información"),140,
IF(AND(D9="E",E9&gt;=0,E9&lt;=0.67),73,
IF(AND(D9="E",E9&gt;0.67,E9&lt;=0.85),90,
IF(AND(D9="E",E9&gt;0.85,E9&lt;=0.92),106,
IF(AND(D9="E",E9&gt;0.92,E9&lt;=0.97),125,
IF(AND(D9="E",E9&gt;=0.98),162,
IF(AND(D9="A",E9="Sin información"),133,
IF(AND(D9="A",E9&gt;=0,E9&lt;=0.73),65,
IF(AND(D9="A",E9&gt;=0.74,E9&lt;=0.89),94,
IF(AND(D9="A",E9&gt;=0.9,E9&lt;=0.95),119,
IF(AND(D9="A",E9&gt;=0.96,E9&lt;=0.99),142,
IF(AND(D9="A",E9=1),168,
IF(AND(D9="C",E9="Sin información"),145,
IF(AND(D9="C",E9&gt;=0,E9&lt;=0.74),64,
IF(AND(D9="C",E9&gt;=0.75,E9&lt;=0.88),87,
IF(AND(D9="C",E9&gt;=0.89,E9&lt;=0.94),103,
IF(AND(D9="C",E9&gt;=0.95,E9&lt;=0.97),124,
IF(AND(D9="C",E9&gt;=0.98),160,
IF(AND(D9="S",E9="Sin información"),138,
IF(AND(D9="S",E9&gt;=0,E9&lt;=0.64),77,
IF(AND(D9="S",E9&gt;=0.65,E9&lt;=0.82),94,
IF(AND(D9="S",E9&gt;=0.83,E9&lt;=0.9),108,
IF(AND(D9="S",E9&gt;=0.91,E9&lt;=0.94),120,
IF(AND(D9="S",E9&gt;=0.95,E9&lt;=0.97),133,
IF(AND(D9="S",E9&gt;=0.98),157,
IF(AND(D9="M",E9="Sin información"),150,
IF(AND(D9="M",E9&gt;=0,E9&lt;=0.68),57,
IF(AND(D9="M",E9&gt;=0.69,E9&lt;=0.84),82,
IF(AND(D9="M",E9&gt;=0.85,E9&lt;=0.91),100,
IF(AND(D9="M",E9&gt;=0.92,E9&lt;=0.95),118,
IF(AND(D9="M",E9&gt;=0.96,E9&lt;=0.98),140,
IF(AND(D9="M",E9&gt;=0.99),170,
IF(E9="Sin información",140,
IF(AND(E9&gt;=0,E9&lt;=0.67),73,
IF(AND(E9&gt;0.67,E9&lt;=0.85),90,
IF(AND(E9&gt;0.85,E9&lt;=0.92),106,
IF(AND(E9&gt;0.92,E9&lt;=0.97),125,
IF(AND(E9&gt;=0.98),162
))))))))))))))))))))))))))))))))))))))</f>
        <v>94</v>
      </c>
      <c r="G9" s="102">
        <f xml:space="preserve"> VLOOKUP($C9, 'Información PI'!$A$4:$F$17, G$4,0)</f>
        <v>0.7</v>
      </c>
      <c r="H9" s="6">
        <f t="shared" ref="H9:H22" si="1">IF(AND(D9="E",G9="Sin información"),127,
IF(AND(D9="E",G9&gt;=0,G9&lt;=0.5),99,
IF(AND(D9="E",G9&gt;=0.51,G9&lt;=0.86),106,
IF(AND(D9="E",G9&gt;=0.87,G9&lt;=0.99),126,
IF(AND(D9="E",G9=1),150,
IF(AND(D9="A",G9="Sin información"),133,
IF(AND(D9="A",G9&gt;=0,G9&lt;=0.57),100,
IF(AND(D9="A",G9&gt;=0.58,G9&lt;=0.91),108,
IF(AND(D9="A",G9&gt;=0.92),146,
IF(AND(D9="M",G9="Sin información"),129,
IF(AND(D9="M",G9&gt;=0,G9&lt;=0.75),102,
IF(AND(D9="M",G9&gt;=0.76,G9&lt;=0.98),126,
IF(AND(D9="M",G9&gt;=0.99),156,
IF(AND(D9="C",G9="Sin información"),129,
IF(AND(D9="C",G9&gt;=0,G9&lt;=0.39),100,
IF(AND(D9="C",G9&gt;=0.4,G9&lt;=0.86),106,
IF(AND(D9="C",G9&gt;=0.87,G9&lt;=0.99),132,
IF(AND(D9="C",G9=1),158,
IF(AND(D9="S",G9="Sin información"),128,
IF(AND(D9="S",G9&gt;=0,G9&lt;=0.4),106,
IF(AND(D9="S",G9&gt;=0.41,G9&lt;=0.83),112,
IF(AND(D9="S",G9&gt;=0.84,G9&lt;=0.96),132,
IF(AND(D9="S",G9&gt;=0.97),152)))))))))))))))))))))))</f>
        <v>108</v>
      </c>
      <c r="I9" s="103">
        <f xml:space="preserve"> VLOOKUP($C9, 'Información PI'!$A$4:$F$17, I$4,0)</f>
        <v>0</v>
      </c>
      <c r="J9" s="6">
        <f t="shared" ref="J9:J22" si="2">IF(AND(D9="E",I9="Sin información"),123,
IF(AND(D9="E",I9=0),127,
IF(AND(D9="E",I9=1),119,
IF(AND(D9="A",I9="Sin información"),120,
IF(AND(D9="A",I9=0),133,
IF(AND(D9="A",I9=1),113,
IF(AND(D9="M",I9="Sin información"),126,
IF(AND(D9="M",I9=0),131,
IF(AND(D9="M",I9=1),124,
IF(AND(D9="C",I9="Sin información"),127,
IF(AND(D9="C",I9=0),131,
IF(AND(D9="C",I9=1),123,
IF(AND(D9="S",I9="Sin información"),125,
IF(AND(D9="S",I9=0),130,
IF(AND(D9="S",I9=1),119)))))))))))))))</f>
        <v>133</v>
      </c>
      <c r="K9" s="8">
        <f xml:space="preserve"> VLOOKUP($C9, 'Información PI'!$A$4:$F$17, K$4,0)</f>
        <v>0</v>
      </c>
      <c r="L9" s="6">
        <f t="shared" ref="L9:L22" si="3">IF(AND(D9="E",K9="Sin información"),127,
IF(AND(D9="E",K9=0),157,
IF(AND(D9="E",K9=1),96,
IF(AND(D9="E",K9&gt;=2),64,
IF(AND(D9="A",K9="Sin información"),128,
IF(AND(D9="A",K9=0),153,
IF(AND(D9="A",K9=1),103,
IF(AND(D9="A",K9&gt;=2),66,
IF(AND(D9="M",K9="Sin información"),125,
IF(AND(D9="M",K9=0),154,
IF(AND(D9="M",K9=1),95,
IF(AND(D9="M",K9=2),77,
IF(AND(D9="M",K9&gt;=3),50,
IF(AND(D9="C",K9="Sin información"),119,
IF(AND(D9="C",K9=0),152,
IF(AND(D9="C",K9&gt;=1,K9&lt;=2),86,
IF(AND(D9="C",K9&gt;=3),49,
IF(AND(D9="S",K9="Sin información"),128,
IF(AND(D9="S",K9=0),159,
IF(AND(D9="S",K9=1),97,
IF(AND(D9="S",K9=2),69,
IF(AND(D9="S",K9&gt;=3),41))))))))))))))))))))))</f>
        <v>153</v>
      </c>
      <c r="M9" s="8">
        <f xml:space="preserve"> VLOOKUP($C9, 'Información PI'!$A$4:$F$17, M$4,0)</f>
        <v>0</v>
      </c>
      <c r="N9" s="6">
        <f t="shared" ref="N9:N22" si="4">IF(AND(D9="E",M9="Sin información"),121,
IF(AND(D9="E",M9=0),148,
IF(AND(D9="E",M9&gt;0,M9&lt;=7),93,
IF(AND(D9="E",M9&gt;7,M9&lt;=27),80,
IF(AND(D9="E",M9&gt;27,M9&lt;=38),73,
IF(AND(D9="E",M9&gt;38),41,
IF(AND(D9="A",M9="Sin información"),125,
IF(AND(D9="A",M9=0),145,
IF(AND(D9="A",M9&gt;0,M9&lt;=6),105,
IF(AND(D9="A",M9&gt;6,M9&lt;=30),82,
IF(AND(D9="A",M9&gt;30),56,
IF(AND(D9="M",M9="Sin información"),119,
IF(AND(D9="M",M9=0),149,
IF(AND(D9="M",M9&gt;0,M9&lt;=15),89,
IF(AND(D9="M",M9&gt;15,M9&lt;=30),75,
IF(AND(D9="M",M9&gt;30),43,
IF(AND(D9="C",M9="Sin información"),119,
IF(AND(D9="C",M9=0),148,
IF(AND(D9="C",M9&gt;0,M9&lt;=13),90,
IF(AND(D9="C",M9&gt;13,M9&lt;=30),70,
IF(AND(D9="C",M9&gt;30),32,
IF(AND(D9="S",M9="Sin información"),125,
IF(AND(D9="S",M9=0),148,
IF(AND(D9="S",M9&gt;0,M9&lt;=6),101,
IF(AND(D9="S",M9&gt;6,M9&lt;=24),90,
IF(AND(D9="S",M9&gt;24,M9&lt;=35),78,
IF(AND(D9="S",M9&gt;35),53)))))))))))))))))))))))))))</f>
        <v>145</v>
      </c>
      <c r="O9" s="9">
        <v>1</v>
      </c>
      <c r="P9" s="10">
        <f xml:space="preserve"> F9 + H9 + J9 + L9 + N9</f>
        <v>633</v>
      </c>
      <c r="Q9" s="11">
        <f>1 / (1 + EXP( -(500 - P9) * LN(2)/40))</f>
        <v>9.0733270378117195E-2</v>
      </c>
      <c r="DS9" s="12">
        <v>71</v>
      </c>
    </row>
    <row r="10" spans="2:124" s="1" customFormat="1" ht="12" customHeight="1">
      <c r="B10" s="4" t="s">
        <v>112</v>
      </c>
      <c r="C10" s="5" t="s">
        <v>22</v>
      </c>
      <c r="D10" s="13" t="s">
        <v>9</v>
      </c>
      <c r="E10" s="102">
        <f xml:space="preserve"> VLOOKUP($C10, 'Información PI'!$A$4:$F$17, E$4,0)</f>
        <v>1</v>
      </c>
      <c r="F10" s="6">
        <f t="shared" si="0"/>
        <v>162</v>
      </c>
      <c r="G10" s="102">
        <f xml:space="preserve"> VLOOKUP($C10, 'Información PI'!$A$4:$F$17, G$4,0)</f>
        <v>1</v>
      </c>
      <c r="H10" s="13">
        <f t="shared" si="1"/>
        <v>150</v>
      </c>
      <c r="I10" s="103">
        <f xml:space="preserve"> VLOOKUP($C10, 'Información PI'!$A$4:$F$17, I$4,0)</f>
        <v>1</v>
      </c>
      <c r="J10" s="13">
        <f t="shared" si="2"/>
        <v>119</v>
      </c>
      <c r="K10" s="8">
        <f xml:space="preserve"> VLOOKUP($C10, 'Información PI'!$A$4:$F$17, K$4,0)</f>
        <v>0</v>
      </c>
      <c r="L10" s="13">
        <f t="shared" si="3"/>
        <v>157</v>
      </c>
      <c r="M10" s="8">
        <f xml:space="preserve"> VLOOKUP($C10, 'Información PI'!$A$4:$F$17, M$4,0)</f>
        <v>0</v>
      </c>
      <c r="N10" s="13">
        <f t="shared" si="4"/>
        <v>148</v>
      </c>
      <c r="O10" s="15">
        <v>1</v>
      </c>
      <c r="P10" s="10">
        <f t="shared" ref="P10:P22" si="5" xml:space="preserve"> F10 + H10 + J10 + L10 + N10</f>
        <v>736</v>
      </c>
      <c r="Q10" s="11">
        <f t="shared" ref="Q10:Q22" si="6">1 / (1 + EXP( -(500 - P10) * LN(2)/40))</f>
        <v>1.6470635507626737E-2</v>
      </c>
      <c r="DS10" s="12">
        <v>81</v>
      </c>
    </row>
    <row r="11" spans="2:124" s="1" customFormat="1" ht="12" customHeight="1">
      <c r="B11" s="4" t="s">
        <v>112</v>
      </c>
      <c r="C11" s="5" t="s">
        <v>23</v>
      </c>
      <c r="D11" s="13" t="s">
        <v>10</v>
      </c>
      <c r="E11" s="102">
        <f xml:space="preserve"> VLOOKUP($C11, 'Información PI'!$A$4:$F$17, E$4,0)</f>
        <v>0.73</v>
      </c>
      <c r="F11" s="6">
        <f t="shared" si="0"/>
        <v>82</v>
      </c>
      <c r="G11" s="102">
        <f xml:space="preserve"> VLOOKUP($C11, 'Información PI'!$A$4:$F$17, G$4,0)</f>
        <v>0.56999999999999995</v>
      </c>
      <c r="H11" s="13">
        <f t="shared" si="1"/>
        <v>102</v>
      </c>
      <c r="I11" s="103">
        <f xml:space="preserve"> VLOOKUP($C11, 'Información PI'!$A$4:$F$17, I$4,0)</f>
        <v>0</v>
      </c>
      <c r="J11" s="13">
        <f t="shared" si="2"/>
        <v>131</v>
      </c>
      <c r="K11" s="8">
        <f xml:space="preserve"> VLOOKUP($C11, 'Información PI'!$A$4:$F$17, K$4,0)</f>
        <v>0</v>
      </c>
      <c r="L11" s="13">
        <f t="shared" si="3"/>
        <v>154</v>
      </c>
      <c r="M11" s="8">
        <f xml:space="preserve"> VLOOKUP($C11, 'Información PI'!$A$4:$F$17, M$4,0)</f>
        <v>0</v>
      </c>
      <c r="N11" s="13">
        <f t="shared" si="4"/>
        <v>149</v>
      </c>
      <c r="O11" s="15">
        <v>1</v>
      </c>
      <c r="P11" s="10">
        <f t="shared" si="5"/>
        <v>618</v>
      </c>
      <c r="Q11" s="11">
        <f t="shared" si="6"/>
        <v>0.1145804724673453</v>
      </c>
      <c r="DS11" s="16"/>
    </row>
    <row r="12" spans="2:124" s="1" customFormat="1" ht="12" customHeight="1">
      <c r="B12" s="4" t="s">
        <v>112</v>
      </c>
      <c r="C12" s="5" t="s">
        <v>24</v>
      </c>
      <c r="D12" s="13" t="s">
        <v>11</v>
      </c>
      <c r="E12" s="102">
        <f xml:space="preserve"> VLOOKUP($C12, 'Información PI'!$A$4:$F$17, E$4,0)</f>
        <v>0.31</v>
      </c>
      <c r="F12" s="6">
        <f t="shared" si="0"/>
        <v>64</v>
      </c>
      <c r="G12" s="102">
        <f xml:space="preserve"> VLOOKUP($C12, 'Información PI'!$A$4:$F$17, G$4,0)</f>
        <v>0.3</v>
      </c>
      <c r="H12" s="13">
        <f t="shared" si="1"/>
        <v>100</v>
      </c>
      <c r="I12" s="103">
        <f xml:space="preserve"> VLOOKUP($C12, 'Información PI'!$A$4:$F$17, I$4,0)</f>
        <v>0</v>
      </c>
      <c r="J12" s="13">
        <f t="shared" si="2"/>
        <v>131</v>
      </c>
      <c r="K12" s="8">
        <f xml:space="preserve"> VLOOKUP($C12, 'Información PI'!$A$4:$F$17, K$4,0)</f>
        <v>0</v>
      </c>
      <c r="L12" s="13">
        <f t="shared" si="3"/>
        <v>152</v>
      </c>
      <c r="M12" s="8">
        <f xml:space="preserve"> VLOOKUP($C12, 'Información PI'!$A$4:$F$17, M$4,0)</f>
        <v>0</v>
      </c>
      <c r="N12" s="13">
        <f t="shared" si="4"/>
        <v>148</v>
      </c>
      <c r="O12" s="15">
        <v>1</v>
      </c>
      <c r="P12" s="10">
        <f t="shared" si="5"/>
        <v>595</v>
      </c>
      <c r="Q12" s="11">
        <f t="shared" si="6"/>
        <v>0.16161986500041617</v>
      </c>
    </row>
    <row r="13" spans="2:124" s="1" customFormat="1" ht="12" customHeight="1">
      <c r="B13" s="4" t="s">
        <v>112</v>
      </c>
      <c r="C13" s="5" t="s">
        <v>25</v>
      </c>
      <c r="D13" s="13" t="s">
        <v>12</v>
      </c>
      <c r="E13" s="102">
        <f xml:space="preserve"> VLOOKUP($C13, 'Información PI'!$A$4:$F$17, E$4,0)</f>
        <v>1</v>
      </c>
      <c r="F13" s="6">
        <f t="shared" si="0"/>
        <v>157</v>
      </c>
      <c r="G13" s="102">
        <f xml:space="preserve"> VLOOKUP($C13, 'Información PI'!$A$4:$F$17, G$4,0)</f>
        <v>1</v>
      </c>
      <c r="H13" s="13">
        <f t="shared" si="1"/>
        <v>152</v>
      </c>
      <c r="I13" s="103">
        <f xml:space="preserve"> VLOOKUP($C13, 'Información PI'!$A$4:$F$17, I$4,0)</f>
        <v>1</v>
      </c>
      <c r="J13" s="13">
        <f t="shared" si="2"/>
        <v>119</v>
      </c>
      <c r="K13" s="8">
        <f xml:space="preserve"> VLOOKUP($C13, 'Información PI'!$A$4:$F$17, K$4,0)</f>
        <v>0</v>
      </c>
      <c r="L13" s="13">
        <f t="shared" si="3"/>
        <v>159</v>
      </c>
      <c r="M13" s="8">
        <f xml:space="preserve"> VLOOKUP($C13, 'Información PI'!$A$4:$F$17, M$4,0)</f>
        <v>0</v>
      </c>
      <c r="N13" s="13">
        <f t="shared" si="4"/>
        <v>148</v>
      </c>
      <c r="O13" s="15">
        <v>1</v>
      </c>
      <c r="P13" s="10">
        <f t="shared" si="5"/>
        <v>735</v>
      </c>
      <c r="Q13" s="11">
        <f t="shared" si="6"/>
        <v>1.6753713723421979E-2</v>
      </c>
    </row>
    <row r="14" spans="2:124" s="1" customFormat="1" ht="12" customHeight="1">
      <c r="B14" s="4" t="s">
        <v>112</v>
      </c>
      <c r="C14" s="5" t="s">
        <v>26</v>
      </c>
      <c r="D14" s="13" t="s">
        <v>12</v>
      </c>
      <c r="E14" s="102">
        <f xml:space="preserve"> VLOOKUP($C14, 'Información PI'!$A$4:$F$17, E$4,0)</f>
        <v>0.93</v>
      </c>
      <c r="F14" s="6">
        <f t="shared" si="0"/>
        <v>120</v>
      </c>
      <c r="G14" s="102">
        <f xml:space="preserve"> VLOOKUP($C14, 'Información PI'!$A$4:$F$17, G$4,0)</f>
        <v>0.9</v>
      </c>
      <c r="H14" s="13">
        <f t="shared" si="1"/>
        <v>132</v>
      </c>
      <c r="I14" s="103">
        <f xml:space="preserve"> VLOOKUP($C14, 'Información PI'!$A$4:$F$17, I$4,0)</f>
        <v>1</v>
      </c>
      <c r="J14" s="13">
        <f t="shared" si="2"/>
        <v>119</v>
      </c>
      <c r="K14" s="8">
        <f xml:space="preserve"> VLOOKUP($C14, 'Información PI'!$A$4:$F$17, K$4,0)</f>
        <v>0</v>
      </c>
      <c r="L14" s="13">
        <f t="shared" si="3"/>
        <v>159</v>
      </c>
      <c r="M14" s="8">
        <f xml:space="preserve"> VLOOKUP($C14, 'Información PI'!$A$4:$F$17, M$4,0)</f>
        <v>0</v>
      </c>
      <c r="N14" s="13">
        <f t="shared" si="4"/>
        <v>148</v>
      </c>
      <c r="O14" s="15">
        <v>1</v>
      </c>
      <c r="P14" s="10">
        <f t="shared" si="5"/>
        <v>678</v>
      </c>
      <c r="Q14" s="11">
        <f t="shared" si="6"/>
        <v>4.3750954657727534E-2</v>
      </c>
    </row>
    <row r="15" spans="2:124" s="1" customFormat="1" ht="12" customHeight="1">
      <c r="B15" s="4" t="s">
        <v>112</v>
      </c>
      <c r="C15" s="5" t="s">
        <v>27</v>
      </c>
      <c r="D15" s="13" t="s">
        <v>8</v>
      </c>
      <c r="E15" s="102">
        <f xml:space="preserve"> VLOOKUP($C15, 'Información PI'!$A$4:$F$17, E$4,0)</f>
        <v>0</v>
      </c>
      <c r="F15" s="6">
        <f t="shared" si="0"/>
        <v>65</v>
      </c>
      <c r="G15" s="102">
        <f xml:space="preserve"> VLOOKUP($C15, 'Información PI'!$A$4:$F$17, G$4,0)</f>
        <v>0</v>
      </c>
      <c r="H15" s="13">
        <f t="shared" si="1"/>
        <v>100</v>
      </c>
      <c r="I15" s="103">
        <f xml:space="preserve"> VLOOKUP($C15, 'Información PI'!$A$4:$F$17, I$4,0)</f>
        <v>1</v>
      </c>
      <c r="J15" s="13">
        <f t="shared" si="2"/>
        <v>113</v>
      </c>
      <c r="K15" s="8">
        <f xml:space="preserve"> VLOOKUP($C15, 'Información PI'!$A$4:$F$17, K$4,0)</f>
        <v>0</v>
      </c>
      <c r="L15" s="13">
        <f t="shared" si="3"/>
        <v>153</v>
      </c>
      <c r="M15" s="8">
        <f xml:space="preserve"> VLOOKUP($C15, 'Información PI'!$A$4:$F$17, M$4,0)</f>
        <v>10</v>
      </c>
      <c r="N15" s="13">
        <f t="shared" si="4"/>
        <v>82</v>
      </c>
      <c r="O15" s="15">
        <v>1</v>
      </c>
      <c r="P15" s="10">
        <f t="shared" si="5"/>
        <v>513</v>
      </c>
      <c r="Q15" s="11">
        <f t="shared" si="6"/>
        <v>0.44391875809553571</v>
      </c>
    </row>
    <row r="16" spans="2:124" s="1" customFormat="1" ht="12" customHeight="1">
      <c r="B16" s="4" t="s">
        <v>112</v>
      </c>
      <c r="C16" s="5" t="s">
        <v>28</v>
      </c>
      <c r="D16" s="13" t="s">
        <v>8</v>
      </c>
      <c r="E16" s="102" t="str">
        <f xml:space="preserve"> VLOOKUP($C16, 'Información PI'!$A$4:$F$17, E$4,0)</f>
        <v>Sin información</v>
      </c>
      <c r="F16" s="6">
        <f t="shared" si="0"/>
        <v>133</v>
      </c>
      <c r="G16" s="102" t="str">
        <f xml:space="preserve"> VLOOKUP($C16, 'Información PI'!$A$4:$F$17, G$4,0)</f>
        <v>Sin información</v>
      </c>
      <c r="H16" s="13">
        <f t="shared" si="1"/>
        <v>133</v>
      </c>
      <c r="I16" s="103" t="str">
        <f xml:space="preserve"> VLOOKUP($C16, 'Información PI'!$A$4:$F$17, I$4,0)</f>
        <v>Sin información</v>
      </c>
      <c r="J16" s="13">
        <f t="shared" si="2"/>
        <v>120</v>
      </c>
      <c r="K16" s="8">
        <f xml:space="preserve"> VLOOKUP($C16, 'Información PI'!$A$4:$F$17, K$4,0)</f>
        <v>4</v>
      </c>
      <c r="L16" s="13">
        <f t="shared" si="3"/>
        <v>66</v>
      </c>
      <c r="M16" s="8">
        <f xml:space="preserve"> VLOOKUP($C16, 'Información PI'!$A$4:$F$17, M$4,0)</f>
        <v>77</v>
      </c>
      <c r="N16" s="13">
        <f t="shared" si="4"/>
        <v>56</v>
      </c>
      <c r="O16" s="15">
        <v>1</v>
      </c>
      <c r="P16" s="10">
        <f t="shared" si="5"/>
        <v>508</v>
      </c>
      <c r="Q16" s="11">
        <f t="shared" si="6"/>
        <v>0.46539803861923651</v>
      </c>
    </row>
    <row r="17" spans="2:17" s="1" customFormat="1" ht="12" customHeight="1">
      <c r="B17" s="4" t="s">
        <v>112</v>
      </c>
      <c r="C17" s="5" t="s">
        <v>29</v>
      </c>
      <c r="D17" s="13" t="s">
        <v>9</v>
      </c>
      <c r="E17" s="102">
        <f xml:space="preserve"> VLOOKUP($C17, 'Información PI'!$A$4:$F$17, E$4,0)</f>
        <v>0.8</v>
      </c>
      <c r="F17" s="6">
        <f t="shared" si="0"/>
        <v>90</v>
      </c>
      <c r="G17" s="102">
        <f xml:space="preserve"> VLOOKUP($C17, 'Información PI'!$A$4:$F$17, G$4,0)</f>
        <v>0.5</v>
      </c>
      <c r="H17" s="13">
        <f t="shared" si="1"/>
        <v>99</v>
      </c>
      <c r="I17" s="103">
        <f xml:space="preserve"> VLOOKUP($C17, 'Información PI'!$A$4:$F$17, I$4,0)</f>
        <v>0</v>
      </c>
      <c r="J17" s="13">
        <f t="shared" si="2"/>
        <v>127</v>
      </c>
      <c r="K17" s="8">
        <f xml:space="preserve"> VLOOKUP($C17, 'Información PI'!$A$4:$F$17, K$4,0)</f>
        <v>2</v>
      </c>
      <c r="L17" s="13">
        <f t="shared" si="3"/>
        <v>64</v>
      </c>
      <c r="M17" s="8">
        <f xml:space="preserve"> VLOOKUP($C17, 'Información PI'!$A$4:$F$17, M$4,0)</f>
        <v>48</v>
      </c>
      <c r="N17" s="13">
        <f t="shared" si="4"/>
        <v>41</v>
      </c>
      <c r="O17" s="15">
        <v>1</v>
      </c>
      <c r="P17" s="10">
        <f t="shared" si="5"/>
        <v>421</v>
      </c>
      <c r="Q17" s="11">
        <f t="shared" si="6"/>
        <v>0.79721299247027178</v>
      </c>
    </row>
    <row r="18" spans="2:17" s="1" customFormat="1" ht="12" customHeight="1">
      <c r="B18" s="4" t="s">
        <v>112</v>
      </c>
      <c r="C18" s="5" t="s">
        <v>30</v>
      </c>
      <c r="D18" s="13" t="s">
        <v>10</v>
      </c>
      <c r="E18" s="102">
        <f xml:space="preserve"> VLOOKUP($C18, 'Información PI'!$A$4:$F$17, E$4,0)</f>
        <v>0.7</v>
      </c>
      <c r="F18" s="6">
        <f t="shared" si="0"/>
        <v>82</v>
      </c>
      <c r="G18" s="102">
        <f xml:space="preserve"> VLOOKUP($C18, 'Información PI'!$A$4:$F$17, G$4,0)</f>
        <v>0.55000000000000004</v>
      </c>
      <c r="H18" s="13">
        <f t="shared" si="1"/>
        <v>102</v>
      </c>
      <c r="I18" s="103">
        <f xml:space="preserve"> VLOOKUP($C18, 'Información PI'!$A$4:$F$17, I$4,0)</f>
        <v>1</v>
      </c>
      <c r="J18" s="13">
        <f t="shared" si="2"/>
        <v>124</v>
      </c>
      <c r="K18" s="8">
        <f xml:space="preserve"> VLOOKUP($C18, 'Información PI'!$A$4:$F$17, K$4,0)</f>
        <v>2</v>
      </c>
      <c r="L18" s="13">
        <f t="shared" si="3"/>
        <v>77</v>
      </c>
      <c r="M18" s="8">
        <f xml:space="preserve"> VLOOKUP($C18, 'Información PI'!$A$4:$F$17, M$4,0)</f>
        <v>60</v>
      </c>
      <c r="N18" s="13">
        <f t="shared" si="4"/>
        <v>43</v>
      </c>
      <c r="O18" s="15">
        <v>1</v>
      </c>
      <c r="P18" s="10">
        <f t="shared" si="5"/>
        <v>428</v>
      </c>
      <c r="Q18" s="11">
        <f t="shared" si="6"/>
        <v>0.77689538679573777</v>
      </c>
    </row>
    <row r="19" spans="2:17" s="1" customFormat="1" ht="12" customHeight="1">
      <c r="B19" s="4" t="s">
        <v>112</v>
      </c>
      <c r="C19" s="5" t="s">
        <v>31</v>
      </c>
      <c r="D19" s="13" t="s">
        <v>11</v>
      </c>
      <c r="E19" s="102">
        <f xml:space="preserve"> VLOOKUP($C19, 'Información PI'!$A$4:$F$17, E$4,0)</f>
        <v>0.9</v>
      </c>
      <c r="F19" s="6">
        <f t="shared" si="0"/>
        <v>103</v>
      </c>
      <c r="G19" s="102">
        <f xml:space="preserve"> VLOOKUP($C19, 'Información PI'!$A$4:$F$17, G$4,0)</f>
        <v>0.9</v>
      </c>
      <c r="H19" s="13">
        <f t="shared" si="1"/>
        <v>132</v>
      </c>
      <c r="I19" s="103" t="str">
        <f xml:space="preserve"> VLOOKUP($C19, 'Información PI'!$A$4:$F$17, I$4,0)</f>
        <v>Sin información</v>
      </c>
      <c r="J19" s="13">
        <f t="shared" si="2"/>
        <v>127</v>
      </c>
      <c r="K19" s="8">
        <f xml:space="preserve"> VLOOKUP($C19, 'Información PI'!$A$4:$F$17, K$4,0)</f>
        <v>4</v>
      </c>
      <c r="L19" s="13">
        <f t="shared" si="3"/>
        <v>49</v>
      </c>
      <c r="M19" s="8">
        <f xml:space="preserve"> VLOOKUP($C19, 'Información PI'!$A$4:$F$17, M$4,0)</f>
        <v>40</v>
      </c>
      <c r="N19" s="13">
        <f t="shared" si="4"/>
        <v>32</v>
      </c>
      <c r="O19" s="15">
        <v>1</v>
      </c>
      <c r="P19" s="10">
        <f t="shared" si="5"/>
        <v>443</v>
      </c>
      <c r="Q19" s="11">
        <f t="shared" si="6"/>
        <v>0.72864025744140415</v>
      </c>
    </row>
    <row r="20" spans="2:17" s="1" customFormat="1" ht="12" customHeight="1">
      <c r="B20" s="4" t="s">
        <v>112</v>
      </c>
      <c r="C20" s="5" t="s">
        <v>32</v>
      </c>
      <c r="D20" s="13" t="s">
        <v>12</v>
      </c>
      <c r="E20" s="102">
        <f xml:space="preserve"> VLOOKUP($C20, 'Información PI'!$A$4:$F$17, E$4,0)</f>
        <v>0.7</v>
      </c>
      <c r="F20" s="6">
        <f t="shared" si="0"/>
        <v>94</v>
      </c>
      <c r="G20" s="102">
        <f xml:space="preserve"> VLOOKUP($C20, 'Información PI'!$A$4:$F$17, G$4,0)</f>
        <v>0.4</v>
      </c>
      <c r="H20" s="13">
        <f t="shared" si="1"/>
        <v>106</v>
      </c>
      <c r="I20" s="103">
        <f xml:space="preserve"> VLOOKUP($C20, 'Información PI'!$A$4:$F$17, I$4,0)</f>
        <v>0</v>
      </c>
      <c r="J20" s="13">
        <f t="shared" si="2"/>
        <v>130</v>
      </c>
      <c r="K20" s="8">
        <f xml:space="preserve"> VLOOKUP($C20, 'Información PI'!$A$4:$F$17, K$4,0)</f>
        <v>4</v>
      </c>
      <c r="L20" s="13">
        <f t="shared" si="3"/>
        <v>41</v>
      </c>
      <c r="M20" s="8">
        <f xml:space="preserve"> VLOOKUP($C20, 'Información PI'!$A$4:$F$17, M$4,0)</f>
        <v>40</v>
      </c>
      <c r="N20" s="13">
        <f t="shared" si="4"/>
        <v>53</v>
      </c>
      <c r="O20" s="15">
        <v>1</v>
      </c>
      <c r="P20" s="10">
        <f t="shared" si="5"/>
        <v>424</v>
      </c>
      <c r="Q20" s="11">
        <f t="shared" si="6"/>
        <v>0.78867875892857398</v>
      </c>
    </row>
    <row r="21" spans="2:17" s="1" customFormat="1" ht="12" customHeight="1">
      <c r="B21" s="4" t="s">
        <v>112</v>
      </c>
      <c r="C21" s="5" t="s">
        <v>33</v>
      </c>
      <c r="D21" s="13" t="s">
        <v>12</v>
      </c>
      <c r="E21" s="102">
        <f xml:space="preserve"> VLOOKUP($C21, 'Información PI'!$A$4:$F$17, E$4,0)</f>
        <v>0</v>
      </c>
      <c r="F21" s="6">
        <f t="shared" si="0"/>
        <v>77</v>
      </c>
      <c r="G21" s="102">
        <f xml:space="preserve"> VLOOKUP($C21, 'Información PI'!$A$4:$F$17, G$4,0)</f>
        <v>0</v>
      </c>
      <c r="H21" s="13">
        <f t="shared" si="1"/>
        <v>106</v>
      </c>
      <c r="I21" s="103">
        <f xml:space="preserve"> VLOOKUP($C21, 'Información PI'!$A$4:$F$17, I$4,0)</f>
        <v>0</v>
      </c>
      <c r="J21" s="13">
        <f t="shared" si="2"/>
        <v>130</v>
      </c>
      <c r="K21" s="8">
        <f xml:space="preserve"> VLOOKUP($C21, 'Información PI'!$A$4:$F$17, K$4,0)</f>
        <v>4</v>
      </c>
      <c r="L21" s="13">
        <f t="shared" si="3"/>
        <v>41</v>
      </c>
      <c r="M21" s="8">
        <f xml:space="preserve"> VLOOKUP($C21, 'Información PI'!$A$4:$F$17, M$4,0)</f>
        <v>40</v>
      </c>
      <c r="N21" s="13">
        <f t="shared" si="4"/>
        <v>53</v>
      </c>
      <c r="O21" s="15">
        <v>1</v>
      </c>
      <c r="P21" s="10">
        <f t="shared" si="5"/>
        <v>407</v>
      </c>
      <c r="Q21" s="11">
        <f t="shared" si="6"/>
        <v>0.8336288571326641</v>
      </c>
    </row>
    <row r="22" spans="2:17" s="1" customFormat="1" ht="12" customHeight="1">
      <c r="B22" s="4" t="s">
        <v>112</v>
      </c>
      <c r="C22" s="5" t="s">
        <v>34</v>
      </c>
      <c r="D22" s="13" t="s">
        <v>12</v>
      </c>
      <c r="E22" s="102" t="str">
        <f xml:space="preserve"> VLOOKUP($C22, 'Información PI'!$A$4:$F$17, E$4,0)</f>
        <v>Sin información</v>
      </c>
      <c r="F22" s="6">
        <f t="shared" si="0"/>
        <v>138</v>
      </c>
      <c r="G22" s="102" t="str">
        <f xml:space="preserve"> VLOOKUP($C22, 'Información PI'!$A$4:$F$17, G$4,0)</f>
        <v>Sin información</v>
      </c>
      <c r="H22" s="13">
        <f t="shared" si="1"/>
        <v>128</v>
      </c>
      <c r="I22" s="103">
        <f xml:space="preserve"> VLOOKUP($C22, 'Información PI'!$A$4:$F$17, I$4,0)</f>
        <v>0</v>
      </c>
      <c r="J22" s="13">
        <f t="shared" si="2"/>
        <v>130</v>
      </c>
      <c r="K22" s="8">
        <f xml:space="preserve"> VLOOKUP($C22, 'Información PI'!$A$4:$F$17, K$4,0)</f>
        <v>4</v>
      </c>
      <c r="L22" s="13">
        <f t="shared" si="3"/>
        <v>41</v>
      </c>
      <c r="M22" s="8">
        <f xml:space="preserve"> VLOOKUP($C22, 'Información PI'!$A$4:$F$17, M$4,0)</f>
        <v>30</v>
      </c>
      <c r="N22" s="13">
        <f t="shared" si="4"/>
        <v>78</v>
      </c>
      <c r="O22" s="15">
        <v>1</v>
      </c>
      <c r="P22" s="10">
        <f t="shared" si="5"/>
        <v>515</v>
      </c>
      <c r="Q22" s="11">
        <f t="shared" si="6"/>
        <v>0.43538086845249563</v>
      </c>
    </row>
  </sheetData>
  <mergeCells count="28">
    <mergeCell ref="E4:F4"/>
    <mergeCell ref="G4:H4"/>
    <mergeCell ref="I4:J4"/>
    <mergeCell ref="K4:L4"/>
    <mergeCell ref="M4:N4"/>
    <mergeCell ref="Q6:Q8"/>
    <mergeCell ref="F6:F8"/>
    <mergeCell ref="G6:G8"/>
    <mergeCell ref="H6:H8"/>
    <mergeCell ref="I6:I8"/>
    <mergeCell ref="J6:J8"/>
    <mergeCell ref="K6:K8"/>
    <mergeCell ref="L6:L8"/>
    <mergeCell ref="M6:M8"/>
    <mergeCell ref="N6:N8"/>
    <mergeCell ref="O6:O8"/>
    <mergeCell ref="P6:P8"/>
    <mergeCell ref="O5:P5"/>
    <mergeCell ref="D6:D8"/>
    <mergeCell ref="E6:E8"/>
    <mergeCell ref="B6:B8"/>
    <mergeCell ref="C6:C8"/>
    <mergeCell ref="E5:F5"/>
    <mergeCell ref="G2:M2"/>
    <mergeCell ref="G5:H5"/>
    <mergeCell ref="I5:J5"/>
    <mergeCell ref="K5:L5"/>
    <mergeCell ref="M5:N5"/>
  </mergeCells>
  <phoneticPr fontId="11" type="noConversion"/>
  <dataValidations count="1">
    <dataValidation type="decimal" allowBlank="1" showInputMessage="1" showErrorMessage="1" error="Debe ser decimal_x000a_" sqref="Q9:Q22" xr:uid="{855CB061-EB1C-435E-8E87-0FCE60C05D20}">
      <formula1>0</formula1>
      <formula2>1000000000</formula2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A6A9B-841C-49B1-91B0-FF4D39821D8B}">
  <sheetPr codeName="Sheet3"/>
  <dimension ref="A2:B40"/>
  <sheetViews>
    <sheetView topLeftCell="A12" workbookViewId="0">
      <selection activeCell="B5" sqref="B5"/>
    </sheetView>
  </sheetViews>
  <sheetFormatPr baseColWidth="10" defaultColWidth="8.85546875" defaultRowHeight="15"/>
  <cols>
    <col min="1" max="1" width="9.42578125" bestFit="1" customWidth="1"/>
  </cols>
  <sheetData>
    <row r="2" spans="1:2" ht="45">
      <c r="A2" s="22" t="s">
        <v>59</v>
      </c>
      <c r="B2" s="19" t="s">
        <v>35</v>
      </c>
    </row>
    <row r="3" spans="1:2">
      <c r="A3" s="17">
        <v>0</v>
      </c>
      <c r="B3" s="17">
        <v>0.45</v>
      </c>
    </row>
    <row r="4" spans="1:2">
      <c r="A4" s="17">
        <f>+A3+1</f>
        <v>1</v>
      </c>
      <c r="B4" s="17">
        <v>0.45</v>
      </c>
    </row>
    <row r="5" spans="1:2">
      <c r="A5" s="17">
        <f t="shared" ref="A5:A40" si="0">+A4+1</f>
        <v>2</v>
      </c>
      <c r="B5" s="17">
        <v>0.45</v>
      </c>
    </row>
    <row r="6" spans="1:2">
      <c r="A6" s="17">
        <f t="shared" si="0"/>
        <v>3</v>
      </c>
      <c r="B6" s="17">
        <v>0.45</v>
      </c>
    </row>
    <row r="7" spans="1:2">
      <c r="A7" s="17">
        <f t="shared" si="0"/>
        <v>4</v>
      </c>
      <c r="B7" s="17">
        <v>0.55000000000000004</v>
      </c>
    </row>
    <row r="8" spans="1:2">
      <c r="A8" s="17">
        <f t="shared" si="0"/>
        <v>5</v>
      </c>
      <c r="B8" s="17">
        <v>0.55000000000000004</v>
      </c>
    </row>
    <row r="9" spans="1:2">
      <c r="A9" s="17">
        <f t="shared" si="0"/>
        <v>6</v>
      </c>
      <c r="B9" s="17">
        <v>0.55000000000000004</v>
      </c>
    </row>
    <row r="10" spans="1:2">
      <c r="A10" s="17">
        <f t="shared" si="0"/>
        <v>7</v>
      </c>
      <c r="B10" s="17">
        <v>0.62</v>
      </c>
    </row>
    <row r="11" spans="1:2">
      <c r="A11" s="17">
        <f t="shared" si="0"/>
        <v>8</v>
      </c>
      <c r="B11" s="17">
        <v>0.62</v>
      </c>
    </row>
    <row r="12" spans="1:2">
      <c r="A12" s="17">
        <f t="shared" si="0"/>
        <v>9</v>
      </c>
      <c r="B12" s="17">
        <v>0.62</v>
      </c>
    </row>
    <row r="13" spans="1:2">
      <c r="A13" s="17">
        <f t="shared" si="0"/>
        <v>10</v>
      </c>
      <c r="B13" s="17">
        <v>0.66</v>
      </c>
    </row>
    <row r="14" spans="1:2">
      <c r="A14" s="17">
        <f t="shared" si="0"/>
        <v>11</v>
      </c>
      <c r="B14" s="17">
        <v>0.66</v>
      </c>
    </row>
    <row r="15" spans="1:2">
      <c r="A15" s="17">
        <f t="shared" si="0"/>
        <v>12</v>
      </c>
      <c r="B15" s="17">
        <v>0.66</v>
      </c>
    </row>
    <row r="16" spans="1:2">
      <c r="A16" s="17">
        <f t="shared" si="0"/>
        <v>13</v>
      </c>
      <c r="B16" s="17">
        <v>0.72</v>
      </c>
    </row>
    <row r="17" spans="1:2">
      <c r="A17" s="17">
        <f t="shared" si="0"/>
        <v>14</v>
      </c>
      <c r="B17" s="17">
        <v>0.72</v>
      </c>
    </row>
    <row r="18" spans="1:2">
      <c r="A18" s="17">
        <f t="shared" si="0"/>
        <v>15</v>
      </c>
      <c r="B18" s="17">
        <v>0.72</v>
      </c>
    </row>
    <row r="19" spans="1:2">
      <c r="A19" s="17">
        <f t="shared" si="0"/>
        <v>16</v>
      </c>
      <c r="B19" s="17">
        <v>0.75</v>
      </c>
    </row>
    <row r="20" spans="1:2">
      <c r="A20" s="17">
        <f t="shared" si="0"/>
        <v>17</v>
      </c>
      <c r="B20" s="17">
        <v>0.75</v>
      </c>
    </row>
    <row r="21" spans="1:2">
      <c r="A21" s="17">
        <f t="shared" si="0"/>
        <v>18</v>
      </c>
      <c r="B21" s="17">
        <v>0.75</v>
      </c>
    </row>
    <row r="22" spans="1:2">
      <c r="A22" s="17">
        <f t="shared" si="0"/>
        <v>19</v>
      </c>
      <c r="B22" s="17">
        <v>0.78</v>
      </c>
    </row>
    <row r="23" spans="1:2">
      <c r="A23" s="17">
        <f t="shared" si="0"/>
        <v>20</v>
      </c>
      <c r="B23" s="17">
        <v>0.78</v>
      </c>
    </row>
    <row r="24" spans="1:2">
      <c r="A24" s="17">
        <f t="shared" si="0"/>
        <v>21</v>
      </c>
      <c r="B24" s="17">
        <v>0.78</v>
      </c>
    </row>
    <row r="25" spans="1:2">
      <c r="A25" s="17">
        <f t="shared" si="0"/>
        <v>22</v>
      </c>
      <c r="B25" s="17">
        <v>0.81</v>
      </c>
    </row>
    <row r="26" spans="1:2">
      <c r="A26" s="17">
        <f t="shared" si="0"/>
        <v>23</v>
      </c>
      <c r="B26" s="17">
        <v>0.81</v>
      </c>
    </row>
    <row r="27" spans="1:2">
      <c r="A27" s="17">
        <f t="shared" si="0"/>
        <v>24</v>
      </c>
      <c r="B27" s="17">
        <v>0.81</v>
      </c>
    </row>
    <row r="28" spans="1:2">
      <c r="A28" s="17">
        <f t="shared" si="0"/>
        <v>25</v>
      </c>
      <c r="B28" s="17">
        <v>0.88</v>
      </c>
    </row>
    <row r="29" spans="1:2">
      <c r="A29" s="17">
        <f t="shared" si="0"/>
        <v>26</v>
      </c>
      <c r="B29" s="17">
        <v>0.88</v>
      </c>
    </row>
    <row r="30" spans="1:2">
      <c r="A30" s="17">
        <f t="shared" si="0"/>
        <v>27</v>
      </c>
      <c r="B30" s="17">
        <v>0.88</v>
      </c>
    </row>
    <row r="31" spans="1:2">
      <c r="A31" s="17">
        <f t="shared" si="0"/>
        <v>28</v>
      </c>
      <c r="B31" s="17">
        <v>0.91</v>
      </c>
    </row>
    <row r="32" spans="1:2">
      <c r="A32" s="17">
        <f t="shared" si="0"/>
        <v>29</v>
      </c>
      <c r="B32" s="17">
        <v>0.91</v>
      </c>
    </row>
    <row r="33" spans="1:2">
      <c r="A33" s="17">
        <f t="shared" si="0"/>
        <v>30</v>
      </c>
      <c r="B33" s="17">
        <v>0.91</v>
      </c>
    </row>
    <row r="34" spans="1:2">
      <c r="A34" s="17">
        <f t="shared" si="0"/>
        <v>31</v>
      </c>
      <c r="B34" s="17">
        <v>0.94</v>
      </c>
    </row>
    <row r="35" spans="1:2">
      <c r="A35" s="17">
        <f t="shared" si="0"/>
        <v>32</v>
      </c>
      <c r="B35" s="17">
        <v>0.94</v>
      </c>
    </row>
    <row r="36" spans="1:2">
      <c r="A36" s="17">
        <f t="shared" si="0"/>
        <v>33</v>
      </c>
      <c r="B36" s="17">
        <v>0.94</v>
      </c>
    </row>
    <row r="37" spans="1:2">
      <c r="A37" s="17">
        <f t="shared" si="0"/>
        <v>34</v>
      </c>
      <c r="B37" s="17">
        <v>0.96</v>
      </c>
    </row>
    <row r="38" spans="1:2">
      <c r="A38" s="17">
        <f>+A37+1</f>
        <v>35</v>
      </c>
      <c r="B38" s="17">
        <v>0.96</v>
      </c>
    </row>
    <row r="39" spans="1:2">
      <c r="A39" s="17">
        <f t="shared" si="0"/>
        <v>36</v>
      </c>
      <c r="B39" s="17">
        <v>0.96</v>
      </c>
    </row>
    <row r="40" spans="1:2">
      <c r="A40" s="17">
        <f t="shared" si="0"/>
        <v>37</v>
      </c>
      <c r="B40" s="18">
        <v>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D77D-1F71-4299-8F1C-B88177462BF4}">
  <sheetPr codeName="Sheet7"/>
  <dimension ref="B2:X27"/>
  <sheetViews>
    <sheetView topLeftCell="K1" zoomScale="95" zoomScaleNormal="110" workbookViewId="0">
      <selection activeCell="N24" sqref="N24:S24"/>
    </sheetView>
  </sheetViews>
  <sheetFormatPr baseColWidth="10" defaultColWidth="8.85546875" defaultRowHeight="15"/>
  <cols>
    <col min="2" max="2" width="15.28515625" customWidth="1"/>
    <col min="3" max="3" width="16.42578125" customWidth="1"/>
    <col min="4" max="4" width="12.7109375" bestFit="1" customWidth="1"/>
    <col min="5" max="5" width="12.7109375" customWidth="1"/>
    <col min="9" max="9" width="10.5703125" customWidth="1"/>
    <col min="10" max="10" width="13.7109375" customWidth="1"/>
    <col min="11" max="11" width="17.85546875" bestFit="1" customWidth="1"/>
    <col min="12" max="13" width="18.28515625" customWidth="1"/>
    <col min="14" max="14" width="16.140625" customWidth="1"/>
    <col min="15" max="16" width="16" bestFit="1" customWidth="1"/>
    <col min="17" max="17" width="13.5703125" customWidth="1"/>
    <col min="18" max="18" width="18.140625" bestFit="1" customWidth="1"/>
    <col min="19" max="19" width="16.7109375" bestFit="1" customWidth="1"/>
    <col min="20" max="21" width="18.42578125" bestFit="1" customWidth="1"/>
    <col min="22" max="22" width="15.140625" customWidth="1"/>
    <col min="23" max="23" width="13.7109375" bestFit="1" customWidth="1"/>
    <col min="24" max="24" width="12.28515625" customWidth="1"/>
    <col min="25" max="25" width="9.42578125" bestFit="1" customWidth="1"/>
  </cols>
  <sheetData>
    <row r="2" spans="2:24" ht="27" thickBot="1">
      <c r="G2" s="134" t="s">
        <v>70</v>
      </c>
      <c r="H2" s="135"/>
      <c r="I2" s="135"/>
      <c r="J2" s="135"/>
      <c r="K2" s="135"/>
      <c r="L2" s="135"/>
      <c r="M2" s="135"/>
      <c r="N2" s="135"/>
      <c r="O2" s="135"/>
      <c r="P2" s="136"/>
    </row>
    <row r="3" spans="2:24" ht="16.5" thickTop="1" thickBot="1"/>
    <row r="4" spans="2:24" ht="45.75" thickBot="1">
      <c r="B4" s="20" t="s">
        <v>53</v>
      </c>
      <c r="C4" s="20" t="s">
        <v>54</v>
      </c>
      <c r="D4" s="21" t="s">
        <v>55</v>
      </c>
      <c r="E4" s="21" t="s">
        <v>64</v>
      </c>
      <c r="F4" s="21" t="s">
        <v>56</v>
      </c>
      <c r="G4" s="21" t="s">
        <v>60</v>
      </c>
      <c r="H4" s="21" t="s">
        <v>57</v>
      </c>
      <c r="I4" s="21" t="s">
        <v>71</v>
      </c>
      <c r="J4" s="21" t="s">
        <v>72</v>
      </c>
      <c r="K4" s="21" t="s">
        <v>58</v>
      </c>
      <c r="L4" s="43" t="s">
        <v>75</v>
      </c>
      <c r="M4" s="107" t="s">
        <v>146</v>
      </c>
      <c r="N4" s="43" t="s">
        <v>109</v>
      </c>
      <c r="O4" s="104" t="s">
        <v>145</v>
      </c>
      <c r="P4" s="21" t="s">
        <v>66</v>
      </c>
      <c r="Q4" s="21" t="s">
        <v>61</v>
      </c>
      <c r="R4" s="21" t="s">
        <v>65</v>
      </c>
      <c r="S4" s="21" t="s">
        <v>67</v>
      </c>
      <c r="T4" s="21" t="s">
        <v>63</v>
      </c>
      <c r="U4" s="21" t="s">
        <v>35</v>
      </c>
      <c r="V4" s="21" t="s">
        <v>62</v>
      </c>
      <c r="W4" s="21" t="s">
        <v>73</v>
      </c>
      <c r="X4" s="21" t="s">
        <v>147</v>
      </c>
    </row>
    <row r="5" spans="2:24">
      <c r="B5" s="24" t="s">
        <v>21</v>
      </c>
      <c r="C5" s="24" t="s">
        <v>36</v>
      </c>
      <c r="D5" s="26">
        <v>0</v>
      </c>
      <c r="E5" s="26">
        <f>+D5/30.4</f>
        <v>0</v>
      </c>
      <c r="F5" s="36">
        <f xml:space="preserve"> IF( D5 &lt;= 30, 1, IF( AND( D5 &gt; 30, D5 &lt; 90 ),  2,  3) )</f>
        <v>1</v>
      </c>
      <c r="G5" s="27">
        <v>0.16</v>
      </c>
      <c r="H5" s="27">
        <v>0.1799</v>
      </c>
      <c r="I5" s="28">
        <v>60</v>
      </c>
      <c r="J5" s="28">
        <v>45</v>
      </c>
      <c r="K5" s="25">
        <v>1300000</v>
      </c>
      <c r="L5" s="28" t="s">
        <v>74</v>
      </c>
      <c r="M5" s="108">
        <f>ROUNDDOWN((I5-J5)/12,0)</f>
        <v>1</v>
      </c>
      <c r="N5" s="25">
        <v>30000</v>
      </c>
      <c r="O5" s="109" cm="1">
        <f t="array" ref="O5" xml:space="preserve"> Nueva_Linea_Credito(K5,I5,L5,N5,G5)</f>
        <v>1204518.4520841413</v>
      </c>
      <c r="P5" s="29">
        <v>0</v>
      </c>
      <c r="Q5" s="32">
        <f t="shared" ref="Q5:Q21" si="0" xml:space="preserve"> - PMT(G5/12,I5,O5,0,0)</f>
        <v>29291.548515490638</v>
      </c>
      <c r="R5" s="33" cm="1">
        <f t="array" ref="R5" xml:space="preserve"> Saldo_Insoluto(G5,I5,J5,K5,Q5,N5,M5)</f>
        <v>1071662.0613390473</v>
      </c>
      <c r="S5" s="33">
        <f xml:space="preserve"> P5 * Q5</f>
        <v>0</v>
      </c>
      <c r="T5" s="34">
        <f xml:space="preserve"> VLOOKUP(B5, PI!$C$9:$Q$22, 15, 0)</f>
        <v>9.0733270378117195E-2</v>
      </c>
      <c r="U5" s="34">
        <f t="shared" ref="U5:U21" si="1" xml:space="preserve"> IF( D5 &gt;= 180, 1, 0.55 + D5 * 0.45 / 180)</f>
        <v>0.55000000000000004</v>
      </c>
      <c r="V5" s="35" cm="1">
        <f t="array" ref="V5" xml:space="preserve"> Reservas(G5,H5,I5,J5,R5,Q5,F5,T5,U5,N5,L5,M5)</f>
        <v>314971.57207019726</v>
      </c>
      <c r="W5" s="42">
        <f xml:space="preserve"> V5 + S5</f>
        <v>314971.57207019726</v>
      </c>
      <c r="X5" s="112">
        <f>W5/R5</f>
        <v>0.29390941737420345</v>
      </c>
    </row>
    <row r="6" spans="2:24">
      <c r="B6" s="24" t="s">
        <v>22</v>
      </c>
      <c r="C6" s="24" t="s">
        <v>37</v>
      </c>
      <c r="D6" s="30">
        <v>0</v>
      </c>
      <c r="E6" s="26">
        <f t="shared" ref="E6:E21" si="2">+D6/30.4</f>
        <v>0</v>
      </c>
      <c r="F6" s="36">
        <f t="shared" ref="F6:F21" si="3" xml:space="preserve"> IF( D6 &lt;= 30, 1, IF( AND( D6 &gt; 30, D6 &lt; 90 ),  2,  3) )</f>
        <v>1</v>
      </c>
      <c r="G6" s="27">
        <v>0.12</v>
      </c>
      <c r="H6" s="27">
        <v>0.13053999999999999</v>
      </c>
      <c r="I6" s="28">
        <v>60</v>
      </c>
      <c r="J6" s="28">
        <v>50</v>
      </c>
      <c r="K6" s="25">
        <v>1800000</v>
      </c>
      <c r="L6" s="28" t="s">
        <v>74</v>
      </c>
      <c r="M6" s="105">
        <f t="shared" ref="M6:M21" si="4">ROUNDDOWN((I6-J6)/12,0)</f>
        <v>0</v>
      </c>
      <c r="N6" s="25">
        <v>50000</v>
      </c>
      <c r="O6" s="110" cm="1">
        <f t="array" ref="O6" xml:space="preserve"> Nueva_Linea_Credito(K6,I6,L6,N6,G6)</f>
        <v>1622767.4838340455</v>
      </c>
      <c r="P6" s="29">
        <v>0</v>
      </c>
      <c r="Q6" s="32">
        <f t="shared" si="0"/>
        <v>36097.566398906107</v>
      </c>
      <c r="R6" s="33" cm="1">
        <f t="array" ref="R6" xml:space="preserve"> Saldo_Insoluto(G6,I6,J6,K6,Q6,N6,M6)</f>
        <v>1610659.4138461601</v>
      </c>
      <c r="S6" s="33">
        <f t="shared" ref="S6:S21" si="5" xml:space="preserve"> P6 * Q6</f>
        <v>0</v>
      </c>
      <c r="T6" s="34">
        <f xml:space="preserve"> VLOOKUP(B6, PI!$C$9:$Q$22, 15, 0)</f>
        <v>1.6470635507626737E-2</v>
      </c>
      <c r="U6" s="34">
        <f t="shared" si="1"/>
        <v>0.55000000000000004</v>
      </c>
      <c r="V6" s="35" cm="1">
        <f t="array" ref="V6" xml:space="preserve"> Reservas(G6,H6,I6,J6,R6,Q6,F6,T6,U6,N6,L6,M6)</f>
        <v>133533.02704980693</v>
      </c>
      <c r="W6" s="42">
        <f t="shared" ref="W6:W21" si="6" xml:space="preserve"> V6 + S6</f>
        <v>133533.02704980693</v>
      </c>
      <c r="X6" s="112">
        <f t="shared" ref="X6:X21" si="7">W6/R6</f>
        <v>8.2905812303879875E-2</v>
      </c>
    </row>
    <row r="7" spans="2:24">
      <c r="B7" s="24" t="s">
        <v>23</v>
      </c>
      <c r="C7" s="24" t="s">
        <v>38</v>
      </c>
      <c r="D7" s="30">
        <v>0</v>
      </c>
      <c r="E7" s="26">
        <f t="shared" si="2"/>
        <v>0</v>
      </c>
      <c r="F7" s="36">
        <f t="shared" si="3"/>
        <v>1</v>
      </c>
      <c r="G7" s="27">
        <v>0.14000000000000001</v>
      </c>
      <c r="H7" s="27">
        <v>0.1555</v>
      </c>
      <c r="I7" s="28">
        <v>48</v>
      </c>
      <c r="J7" s="28">
        <v>38</v>
      </c>
      <c r="K7" s="25">
        <v>2100000</v>
      </c>
      <c r="L7" s="28" t="s">
        <v>76</v>
      </c>
      <c r="M7" s="105">
        <f t="shared" si="4"/>
        <v>0</v>
      </c>
      <c r="N7" s="25">
        <v>70000</v>
      </c>
      <c r="O7" s="110" cm="1">
        <f t="array" ref="O7" xml:space="preserve"> Nueva_Linea_Credito(K7,I7,L7,N7,G7)</f>
        <v>1899885.2297286312</v>
      </c>
      <c r="P7" s="29">
        <v>0</v>
      </c>
      <c r="Q7" s="32">
        <f t="shared" si="0"/>
        <v>51917.169073466241</v>
      </c>
      <c r="R7" s="33" cm="1">
        <f t="array" ref="R7" xml:space="preserve"> Saldo_Insoluto(G7,I7,J7,K7,Q7,N7,M7)</f>
        <v>1810977.2093433484</v>
      </c>
      <c r="S7" s="33">
        <f t="shared" si="5"/>
        <v>0</v>
      </c>
      <c r="T7" s="34">
        <f xml:space="preserve"> VLOOKUP(B7, PI!$C$9:$Q$22, 15, 0)</f>
        <v>0.1145804724673453</v>
      </c>
      <c r="U7" s="34">
        <f t="shared" si="1"/>
        <v>0.55000000000000004</v>
      </c>
      <c r="V7" s="35" cm="1">
        <f t="array" ref="V7" xml:space="preserve"> Reservas(G7,H7,I7,J7,R7,Q7,F7,T7,U7,N7,L7,M7)</f>
        <v>572488.1866987996</v>
      </c>
      <c r="W7" s="42">
        <f t="shared" si="6"/>
        <v>572488.1866987996</v>
      </c>
      <c r="X7" s="112">
        <f t="shared" si="7"/>
        <v>0.31612114373674588</v>
      </c>
    </row>
    <row r="8" spans="2:24">
      <c r="B8" s="24" t="s">
        <v>24</v>
      </c>
      <c r="C8" s="24" t="s">
        <v>39</v>
      </c>
      <c r="D8" s="30">
        <v>0</v>
      </c>
      <c r="E8" s="26">
        <f t="shared" si="2"/>
        <v>0</v>
      </c>
      <c r="F8" s="36">
        <f t="shared" si="3"/>
        <v>1</v>
      </c>
      <c r="G8" s="27">
        <v>0.1</v>
      </c>
      <c r="H8" s="27">
        <v>0.1065</v>
      </c>
      <c r="I8" s="28">
        <v>60</v>
      </c>
      <c r="J8" s="28">
        <v>52</v>
      </c>
      <c r="K8" s="25">
        <v>1800000</v>
      </c>
      <c r="L8" s="28" t="s">
        <v>74</v>
      </c>
      <c r="M8" s="105">
        <f t="shared" si="4"/>
        <v>0</v>
      </c>
      <c r="N8" s="25">
        <v>50000</v>
      </c>
      <c r="O8" s="110" cm="1">
        <f t="array" ref="O8" xml:space="preserve"> Nueva_Linea_Credito(K8,I8,L8,N8,G8)</f>
        <v>1612720.8866500147</v>
      </c>
      <c r="P8" s="29">
        <v>0</v>
      </c>
      <c r="Q8" s="32">
        <f t="shared" si="0"/>
        <v>34265.552785449079</v>
      </c>
      <c r="R8" s="33" cm="1">
        <f t="array" ref="R8" xml:space="preserve"> Saldo_Insoluto(G8,I8,J8,K8,Q8,N8,M8)</f>
        <v>1641304.5746945527</v>
      </c>
      <c r="S8" s="33">
        <f t="shared" si="5"/>
        <v>0</v>
      </c>
      <c r="T8" s="34">
        <f xml:space="preserve"> VLOOKUP(B8, PI!$C$9:$Q$22, 15, 0)</f>
        <v>0.16161986500041617</v>
      </c>
      <c r="U8" s="34">
        <f t="shared" si="1"/>
        <v>0.55000000000000004</v>
      </c>
      <c r="V8" s="35" cm="1">
        <f t="array" ref="V8" xml:space="preserve"> Reservas(G8,H8,I8,J8,R8,Q8,F8,T8,U8,N8,L8,M8)</f>
        <v>603040.39036262129</v>
      </c>
      <c r="W8" s="42">
        <f t="shared" si="6"/>
        <v>603040.39036262129</v>
      </c>
      <c r="X8" s="112">
        <f t="shared" si="7"/>
        <v>0.36741528638878457</v>
      </c>
    </row>
    <row r="9" spans="2:24">
      <c r="B9" s="24" t="s">
        <v>25</v>
      </c>
      <c r="C9" s="24" t="s">
        <v>40</v>
      </c>
      <c r="D9" s="30">
        <v>0</v>
      </c>
      <c r="E9" s="26">
        <f t="shared" si="2"/>
        <v>0</v>
      </c>
      <c r="F9" s="36">
        <f t="shared" si="3"/>
        <v>1</v>
      </c>
      <c r="G9" s="27">
        <v>0.14000000000000001</v>
      </c>
      <c r="H9" s="27">
        <v>0.16760999999999998</v>
      </c>
      <c r="I9" s="28">
        <v>60</v>
      </c>
      <c r="J9" s="28">
        <v>50</v>
      </c>
      <c r="K9" s="25">
        <v>1000000</v>
      </c>
      <c r="L9" s="28" t="s">
        <v>74</v>
      </c>
      <c r="M9" s="105">
        <f t="shared" si="4"/>
        <v>0</v>
      </c>
      <c r="N9" s="25">
        <v>30000</v>
      </c>
      <c r="O9" s="110" cm="1">
        <f t="array" ref="O9" xml:space="preserve"> Nueva_Linea_Credito(K9,I9,L9,N9,G9)</f>
        <v>899278.48279132356</v>
      </c>
      <c r="P9" s="29">
        <v>0</v>
      </c>
      <c r="Q9" s="32">
        <f t="shared" si="0"/>
        <v>20924.637321045295</v>
      </c>
      <c r="R9" s="33" cm="1">
        <f t="array" ref="R9" xml:space="preserve"> Saldo_Insoluto(G9,I9,J9,K9,Q9,N9,M9)</f>
        <v>902405.51464289101</v>
      </c>
      <c r="S9" s="33">
        <f t="shared" si="5"/>
        <v>0</v>
      </c>
      <c r="T9" s="34">
        <f xml:space="preserve"> VLOOKUP(B9, PI!$C$9:$Q$22, 15, 0)</f>
        <v>1.6753713723421979E-2</v>
      </c>
      <c r="U9" s="34">
        <f t="shared" si="1"/>
        <v>0.55000000000000004</v>
      </c>
      <c r="V9" s="35" cm="1">
        <f t="array" ref="V9" xml:space="preserve"> Reservas(G9,H9,I9,J9,R9,Q9,F9,T9,U9,N9,L9,M9)</f>
        <v>74795.531712409313</v>
      </c>
      <c r="W9" s="42">
        <f t="shared" si="6"/>
        <v>74795.531712409313</v>
      </c>
      <c r="X9" s="112">
        <f t="shared" si="7"/>
        <v>8.2884612847260966E-2</v>
      </c>
    </row>
    <row r="10" spans="2:24">
      <c r="B10" s="24" t="s">
        <v>26</v>
      </c>
      <c r="C10" s="24" t="s">
        <v>41</v>
      </c>
      <c r="D10" s="30">
        <v>0</v>
      </c>
      <c r="E10" s="26">
        <f t="shared" si="2"/>
        <v>0</v>
      </c>
      <c r="F10" s="36">
        <f t="shared" si="3"/>
        <v>1</v>
      </c>
      <c r="G10" s="27">
        <v>0.14000000000000001</v>
      </c>
      <c r="H10" s="27">
        <v>0.159</v>
      </c>
      <c r="I10" s="28">
        <v>48</v>
      </c>
      <c r="J10" s="28">
        <v>44</v>
      </c>
      <c r="K10" s="25">
        <v>900000</v>
      </c>
      <c r="L10" s="28" t="s">
        <v>76</v>
      </c>
      <c r="M10" s="105">
        <f t="shared" si="4"/>
        <v>0</v>
      </c>
      <c r="N10" s="25">
        <v>40000</v>
      </c>
      <c r="O10" s="110" cm="1">
        <f t="array" ref="O10" xml:space="preserve"> Nueva_Linea_Credito(K10,I10,L10,N10,G10)</f>
        <v>785648.70270207489</v>
      </c>
      <c r="P10" s="29">
        <v>0</v>
      </c>
      <c r="Q10" s="32">
        <f t="shared" si="0"/>
        <v>21469.010807752351</v>
      </c>
      <c r="R10" s="33" cm="1">
        <f t="array" ref="R10" xml:space="preserve"> Saldo_Insoluto(G10,I10,J10,K10,Q10,N10,M10)</f>
        <v>855350.13660862599</v>
      </c>
      <c r="S10" s="33">
        <f t="shared" si="5"/>
        <v>0</v>
      </c>
      <c r="T10" s="34">
        <f xml:space="preserve"> VLOOKUP(B10, PI!$C$9:$Q$22, 15, 0)</f>
        <v>4.3750954657727534E-2</v>
      </c>
      <c r="U10" s="34">
        <f t="shared" si="1"/>
        <v>0.55000000000000004</v>
      </c>
      <c r="V10" s="35" cm="1">
        <f t="array" ref="V10" xml:space="preserve"> Reservas(G10,H10,I10,J10,R10,Q10,F10,T10,U10,N10,L10,M10)</f>
        <v>159190.19093395592</v>
      </c>
      <c r="W10" s="42">
        <f t="shared" si="6"/>
        <v>159190.19093395592</v>
      </c>
      <c r="X10" s="112">
        <f t="shared" si="7"/>
        <v>0.18611114223366867</v>
      </c>
    </row>
    <row r="11" spans="2:24">
      <c r="B11" s="24" t="s">
        <v>27</v>
      </c>
      <c r="C11" s="24" t="s">
        <v>42</v>
      </c>
      <c r="D11" s="30">
        <v>10</v>
      </c>
      <c r="E11" s="62">
        <f t="shared" si="2"/>
        <v>0.32894736842105265</v>
      </c>
      <c r="F11" s="36">
        <f t="shared" si="3"/>
        <v>1</v>
      </c>
      <c r="G11" s="27">
        <v>0.1</v>
      </c>
      <c r="H11" s="27">
        <v>0.10658999999999999</v>
      </c>
      <c r="I11" s="28">
        <v>60</v>
      </c>
      <c r="J11" s="28">
        <v>55</v>
      </c>
      <c r="K11" s="25">
        <v>800000</v>
      </c>
      <c r="L11" s="28" t="s">
        <v>74</v>
      </c>
      <c r="M11" s="105">
        <f t="shared" si="4"/>
        <v>0</v>
      </c>
      <c r="N11" s="25">
        <v>20000</v>
      </c>
      <c r="O11" s="110" cm="1">
        <f t="array" ref="O11" xml:space="preserve"> Nueva_Linea_Credito(K11,I11,L11,N11,G11)</f>
        <v>725088.35466000589</v>
      </c>
      <c r="P11" s="29">
        <v>0</v>
      </c>
      <c r="Q11" s="32">
        <f t="shared" si="0"/>
        <v>15405.984691081096</v>
      </c>
      <c r="R11" s="33" cm="1">
        <f t="array" ref="R11" xml:space="preserve"> Saldo_Insoluto(G11,I11,J11,K11,Q11,N11,M11)</f>
        <v>755569.03903017484</v>
      </c>
      <c r="S11" s="33">
        <f t="shared" si="5"/>
        <v>0</v>
      </c>
      <c r="T11" s="34">
        <f xml:space="preserve"> VLOOKUP(B11, PI!$C$9:$Q$22, 15, 0)</f>
        <v>0.44391875809553571</v>
      </c>
      <c r="U11" s="34">
        <f t="shared" si="1"/>
        <v>0.57500000000000007</v>
      </c>
      <c r="V11" s="35" cm="1">
        <f t="array" ref="V11" xml:space="preserve"> Reservas(G11,H11,I11,J11,R11,Q11,F11,T11,U11,N11,L11,M11)</f>
        <v>233060.61890332834</v>
      </c>
      <c r="W11" s="42">
        <f t="shared" si="6"/>
        <v>233060.61890332834</v>
      </c>
      <c r="X11" s="112">
        <f t="shared" si="7"/>
        <v>0.30845707918693677</v>
      </c>
    </row>
    <row r="12" spans="2:24">
      <c r="B12" s="24" t="s">
        <v>28</v>
      </c>
      <c r="C12" s="24" t="s">
        <v>43</v>
      </c>
      <c r="D12" s="30">
        <v>60</v>
      </c>
      <c r="E12" s="31">
        <f t="shared" si="2"/>
        <v>1.9736842105263159</v>
      </c>
      <c r="F12" s="36">
        <f t="shared" si="3"/>
        <v>2</v>
      </c>
      <c r="G12" s="27">
        <v>0.16</v>
      </c>
      <c r="H12" s="27">
        <v>0.19377</v>
      </c>
      <c r="I12" s="28">
        <v>48</v>
      </c>
      <c r="J12" s="28">
        <v>33</v>
      </c>
      <c r="K12" s="25">
        <v>1300000</v>
      </c>
      <c r="L12" s="28" t="s">
        <v>76</v>
      </c>
      <c r="M12" s="105">
        <f t="shared" si="4"/>
        <v>1</v>
      </c>
      <c r="N12" s="25">
        <v>50000</v>
      </c>
      <c r="O12" s="110" cm="1">
        <f t="array" ref="O12" xml:space="preserve"> Nueva_Linea_Credito(K12,I12,L12,N12,G12)</f>
        <v>1163449.6160094719</v>
      </c>
      <c r="P12" s="29">
        <v>2</v>
      </c>
      <c r="Q12" s="32">
        <f t="shared" si="0"/>
        <v>32972.488819935708</v>
      </c>
      <c r="R12" s="33" cm="1">
        <f t="array" ref="R12" xml:space="preserve"> Saldo_Insoluto(G12,I12,J12,K12,Q12,N12,M12)</f>
        <v>990173.91203215823</v>
      </c>
      <c r="S12" s="33">
        <f t="shared" si="5"/>
        <v>65944.977639871417</v>
      </c>
      <c r="T12" s="34">
        <f xml:space="preserve"> VLOOKUP(B12, PI!$C$9:$Q$22, 15, 0)</f>
        <v>0.46539803861923651</v>
      </c>
      <c r="U12" s="34">
        <f t="shared" si="1"/>
        <v>0.70000000000000007</v>
      </c>
      <c r="V12" s="35" cm="1">
        <f t="array" ref="V12" xml:space="preserve"> Reservas(G12,H12,I12,J12,R12,Q12,F12,T12,U12,N12,L12,M12)</f>
        <v>350004.78371078183</v>
      </c>
      <c r="W12" s="42">
        <f t="shared" si="6"/>
        <v>415949.76135065325</v>
      </c>
      <c r="X12" s="112">
        <f t="shared" si="7"/>
        <v>0.42007747961869579</v>
      </c>
    </row>
    <row r="13" spans="2:24">
      <c r="B13" s="24" t="s">
        <v>28</v>
      </c>
      <c r="C13" s="24" t="s">
        <v>44</v>
      </c>
      <c r="D13" s="30">
        <v>70</v>
      </c>
      <c r="E13" s="31">
        <f t="shared" si="2"/>
        <v>2.3026315789473686</v>
      </c>
      <c r="F13" s="36">
        <f t="shared" si="3"/>
        <v>2</v>
      </c>
      <c r="G13" s="27">
        <v>0.15</v>
      </c>
      <c r="H13" s="27">
        <v>0.17150000000000001</v>
      </c>
      <c r="I13" s="28">
        <v>36</v>
      </c>
      <c r="J13" s="28">
        <v>28</v>
      </c>
      <c r="K13" s="25">
        <v>1800000</v>
      </c>
      <c r="L13" s="28" t="s">
        <v>77</v>
      </c>
      <c r="M13" s="105">
        <f t="shared" si="4"/>
        <v>0</v>
      </c>
      <c r="N13" s="25">
        <v>80000</v>
      </c>
      <c r="O13" s="110" cm="1">
        <f t="array" ref="O13" xml:space="preserve"> Nueva_Linea_Credito(K13,I13,L13,N13,G13)</f>
        <v>1620550.8138525235</v>
      </c>
      <c r="P13" s="29">
        <v>2</v>
      </c>
      <c r="Q13" s="32">
        <f t="shared" si="0"/>
        <v>56176.92631993688</v>
      </c>
      <c r="R13" s="33" cm="1">
        <f t="array" ref="R13" xml:space="preserve"> Saldo_Insoluto(G13,I13,J13,K13,Q13,N13,M13)</f>
        <v>1518498.3416911387</v>
      </c>
      <c r="S13" s="33">
        <f t="shared" si="5"/>
        <v>112353.85263987376</v>
      </c>
      <c r="T13" s="34">
        <f xml:space="preserve"> VLOOKUP(B13, PI!$C$9:$Q$22, 15, 0)</f>
        <v>0.46539803861923651</v>
      </c>
      <c r="U13" s="34">
        <f t="shared" si="1"/>
        <v>0.72500000000000009</v>
      </c>
      <c r="V13" s="35" cm="1">
        <f t="array" ref="V13" xml:space="preserve"> Reservas(G13,H13,I13,J13,R13,Q13,F13,T13,U13,N13,L13,M13)</f>
        <v>552850.43060409906</v>
      </c>
      <c r="W13" s="42">
        <f t="shared" si="6"/>
        <v>665204.28324397281</v>
      </c>
      <c r="X13" s="112">
        <f t="shared" si="7"/>
        <v>0.43806717793523597</v>
      </c>
    </row>
    <row r="14" spans="2:24">
      <c r="B14" s="24" t="s">
        <v>28</v>
      </c>
      <c r="C14" s="24" t="s">
        <v>45</v>
      </c>
      <c r="D14" s="30">
        <v>100</v>
      </c>
      <c r="E14" s="31">
        <f t="shared" si="2"/>
        <v>3.2894736842105265</v>
      </c>
      <c r="F14" s="36">
        <f t="shared" si="3"/>
        <v>3</v>
      </c>
      <c r="G14" s="27">
        <v>0.15</v>
      </c>
      <c r="H14" s="27">
        <v>0.17150000000000001</v>
      </c>
      <c r="I14" s="28">
        <v>60</v>
      </c>
      <c r="J14" s="28">
        <v>55</v>
      </c>
      <c r="K14" s="25">
        <v>1500000</v>
      </c>
      <c r="L14" s="28" t="s">
        <v>74</v>
      </c>
      <c r="M14" s="105">
        <f t="shared" si="4"/>
        <v>0</v>
      </c>
      <c r="N14" s="25">
        <v>50000</v>
      </c>
      <c r="O14" s="110" cm="1">
        <f t="array" ref="O14" xml:space="preserve"> Nueva_Linea_Credito(K14,I14,L14,N14,G14)</f>
        <v>1336573.0540970694</v>
      </c>
      <c r="P14" s="29">
        <v>3</v>
      </c>
      <c r="Q14" s="32">
        <f t="shared" si="0"/>
        <v>31796.979512280253</v>
      </c>
      <c r="R14" s="33" cm="1">
        <f t="array" ref="R14" xml:space="preserve"> Saldo_Insoluto(G14,I14,J14,K14,Q14,N14,M14)</f>
        <v>1433113.7164265926</v>
      </c>
      <c r="S14" s="33">
        <f t="shared" si="5"/>
        <v>95390.938536840753</v>
      </c>
      <c r="T14" s="34">
        <f xml:space="preserve"> VLOOKUP(B14, PI!$C$9:$Q$22, 15, 0)</f>
        <v>0.46539803861923651</v>
      </c>
      <c r="U14" s="34">
        <f t="shared" si="1"/>
        <v>0.8</v>
      </c>
      <c r="V14" s="35" cm="1">
        <f t="array" ref="V14" xml:space="preserve"> Reservas(G14,H14,I14,J14,R14,Q14,F14,T14,U14,N14,L14,M14)</f>
        <v>587906.7263422719</v>
      </c>
      <c r="W14" s="42">
        <f t="shared" si="6"/>
        <v>683297.66487911262</v>
      </c>
      <c r="X14" s="112">
        <f t="shared" si="7"/>
        <v>0.47679235572658252</v>
      </c>
    </row>
    <row r="15" spans="2:24">
      <c r="B15" s="24" t="s">
        <v>29</v>
      </c>
      <c r="C15" s="24" t="s">
        <v>46</v>
      </c>
      <c r="D15" s="30">
        <v>55</v>
      </c>
      <c r="E15" s="31">
        <f t="shared" si="2"/>
        <v>1.8092105263157896</v>
      </c>
      <c r="F15" s="36">
        <f t="shared" si="3"/>
        <v>2</v>
      </c>
      <c r="G15" s="27">
        <v>0.14000000000000001</v>
      </c>
      <c r="H15" s="27">
        <v>0.16760999999999998</v>
      </c>
      <c r="I15" s="28">
        <v>48</v>
      </c>
      <c r="J15" s="28">
        <v>39</v>
      </c>
      <c r="K15" s="25">
        <v>900000</v>
      </c>
      <c r="L15" s="28" t="s">
        <v>76</v>
      </c>
      <c r="M15" s="105">
        <f t="shared" si="4"/>
        <v>0</v>
      </c>
      <c r="N15" s="25">
        <v>35000</v>
      </c>
      <c r="O15" s="110" cm="1">
        <f t="array" ref="O15" xml:space="preserve"> Nueva_Linea_Credito(K15,I15,L15,N15,G15)</f>
        <v>799942.6148643156</v>
      </c>
      <c r="P15" s="29">
        <v>1</v>
      </c>
      <c r="Q15" s="32">
        <f t="shared" si="0"/>
        <v>21859.613062476084</v>
      </c>
      <c r="R15" s="33" cm="1">
        <f t="array" ref="R15" xml:space="preserve"> Saldo_Insoluto(G15,I15,J15,K15,Q15,N15,M15)</f>
        <v>792860.26676155161</v>
      </c>
      <c r="S15" s="33">
        <f t="shared" si="5"/>
        <v>21859.613062476084</v>
      </c>
      <c r="T15" s="34">
        <f xml:space="preserve"> VLOOKUP(B15, PI!$C$9:$Q$22, 15, 0)</f>
        <v>0.79721299247027178</v>
      </c>
      <c r="U15" s="34">
        <f t="shared" si="1"/>
        <v>0.6875</v>
      </c>
      <c r="V15" s="35" cm="1">
        <f t="array" ref="V15" xml:space="preserve"> Reservas(G15,H15,I15,J15,R15,Q15,F15,T15,U15,N15,L15,M15)</f>
        <v>108162.49982599435</v>
      </c>
      <c r="W15" s="42">
        <f t="shared" si="6"/>
        <v>130022.11288847044</v>
      </c>
      <c r="X15" s="112">
        <f t="shared" si="7"/>
        <v>0.1639912079584307</v>
      </c>
    </row>
    <row r="16" spans="2:24">
      <c r="B16" s="24" t="s">
        <v>30</v>
      </c>
      <c r="C16" s="24" t="s">
        <v>47</v>
      </c>
      <c r="D16" s="30">
        <v>60</v>
      </c>
      <c r="E16" s="31">
        <f t="shared" si="2"/>
        <v>1.9736842105263159</v>
      </c>
      <c r="F16" s="36">
        <f t="shared" si="3"/>
        <v>2</v>
      </c>
      <c r="G16" s="27">
        <v>0.13500000000000001</v>
      </c>
      <c r="H16" s="27">
        <v>0.15781000000000001</v>
      </c>
      <c r="I16" s="28">
        <v>48</v>
      </c>
      <c r="J16" s="28">
        <v>42</v>
      </c>
      <c r="K16" s="25">
        <v>1800000</v>
      </c>
      <c r="L16" s="28" t="s">
        <v>76</v>
      </c>
      <c r="M16" s="105">
        <f t="shared" si="4"/>
        <v>0</v>
      </c>
      <c r="N16" s="25">
        <v>70000</v>
      </c>
      <c r="O16" s="110" cm="1">
        <f t="array" ref="O16" xml:space="preserve"> Nueva_Linea_Credito(K16,I16,L16,N16,G16)</f>
        <v>1597566.9765245032</v>
      </c>
      <c r="P16" s="29">
        <v>2</v>
      </c>
      <c r="Q16" s="32">
        <f t="shared" si="0"/>
        <v>43256.239396304125</v>
      </c>
      <c r="R16" s="33" cm="1">
        <f t="array" ref="R16" xml:space="preserve"> Saldo_Insoluto(G16,I16,J16,K16,Q16,N16,M16)</f>
        <v>1658021.5325885694</v>
      </c>
      <c r="S16" s="33">
        <f t="shared" si="5"/>
        <v>86512.47879260825</v>
      </c>
      <c r="T16" s="34">
        <f xml:space="preserve"> VLOOKUP(B16, PI!$C$9:$Q$22, 15, 0)</f>
        <v>0.77689538679573777</v>
      </c>
      <c r="U16" s="34">
        <f t="shared" si="1"/>
        <v>0.70000000000000007</v>
      </c>
      <c r="V16" s="35" cm="1">
        <f t="array" ref="V16" xml:space="preserve"> Reservas(G16,H16,I16,J16,R16,Q16,F16,T16,U16,N16,L16,M16)</f>
        <v>253556.73292964121</v>
      </c>
      <c r="W16" s="42">
        <f t="shared" si="6"/>
        <v>340069.21172224946</v>
      </c>
      <c r="X16" s="112">
        <f t="shared" si="7"/>
        <v>0.20510542537485615</v>
      </c>
    </row>
    <row r="17" spans="2:24">
      <c r="B17" s="24" t="s">
        <v>31</v>
      </c>
      <c r="C17" s="24" t="s">
        <v>48</v>
      </c>
      <c r="D17" s="30">
        <v>40</v>
      </c>
      <c r="E17" s="31">
        <f t="shared" si="2"/>
        <v>1.3157894736842106</v>
      </c>
      <c r="F17" s="36">
        <f t="shared" si="3"/>
        <v>2</v>
      </c>
      <c r="G17" s="27">
        <v>0.12</v>
      </c>
      <c r="H17" s="27">
        <v>0.13550000000000001</v>
      </c>
      <c r="I17" s="28">
        <v>60</v>
      </c>
      <c r="J17" s="28">
        <v>44</v>
      </c>
      <c r="K17" s="25">
        <v>900000</v>
      </c>
      <c r="L17" s="28" t="s">
        <v>74</v>
      </c>
      <c r="M17" s="105">
        <f t="shared" si="4"/>
        <v>1</v>
      </c>
      <c r="N17" s="25">
        <v>30000</v>
      </c>
      <c r="O17" s="110" cm="1">
        <f t="array" ref="O17" xml:space="preserve"> Nueva_Linea_Credito(K17,I17,L17,N17,G17)</f>
        <v>793660.49030042731</v>
      </c>
      <c r="P17" s="29">
        <v>1</v>
      </c>
      <c r="Q17" s="32">
        <f t="shared" si="0"/>
        <v>17654.539256061347</v>
      </c>
      <c r="R17" s="33" cm="1">
        <f t="array" ref="R17" xml:space="preserve"> Saldo_Insoluto(G17,I17,J17,K17,Q17,N17,M17)</f>
        <v>719423.01321671077</v>
      </c>
      <c r="S17" s="33">
        <f t="shared" si="5"/>
        <v>17654.539256061347</v>
      </c>
      <c r="T17" s="34">
        <f xml:space="preserve"> VLOOKUP(B17, PI!$C$9:$Q$22, 15, 0)</f>
        <v>0.72864025744140415</v>
      </c>
      <c r="U17" s="34">
        <f t="shared" si="1"/>
        <v>0.65</v>
      </c>
      <c r="V17" s="35" cm="1">
        <f t="array" ref="V17" xml:space="preserve"> Reservas(G17,H17,I17,J17,R17,Q17,F17,T17,U17,N17,L17,M17)</f>
        <v>124289.21831002076</v>
      </c>
      <c r="W17" s="42">
        <f t="shared" si="6"/>
        <v>141943.75756608212</v>
      </c>
      <c r="X17" s="112">
        <f t="shared" si="7"/>
        <v>0.19730221991567651</v>
      </c>
    </row>
    <row r="18" spans="2:24">
      <c r="B18" s="24" t="s">
        <v>32</v>
      </c>
      <c r="C18" s="24" t="s">
        <v>49</v>
      </c>
      <c r="D18" s="30">
        <v>40</v>
      </c>
      <c r="E18" s="31">
        <f t="shared" si="2"/>
        <v>1.3157894736842106</v>
      </c>
      <c r="F18" s="36">
        <f t="shared" si="3"/>
        <v>2</v>
      </c>
      <c r="G18" s="27">
        <v>0.13</v>
      </c>
      <c r="H18" s="27">
        <v>0.14591999999999999</v>
      </c>
      <c r="I18" s="28">
        <v>48</v>
      </c>
      <c r="J18" s="28">
        <v>40</v>
      </c>
      <c r="K18" s="25">
        <v>1200000</v>
      </c>
      <c r="L18" s="28" t="s">
        <v>76</v>
      </c>
      <c r="M18" s="105">
        <f t="shared" si="4"/>
        <v>0</v>
      </c>
      <c r="N18" s="25">
        <v>40000</v>
      </c>
      <c r="O18" s="110" cm="1">
        <f t="array" ref="O18" xml:space="preserve"> Nueva_Linea_Credito(K18,I18,L18,N18,G18)</f>
        <v>1082979.8462156781</v>
      </c>
      <c r="P18" s="29">
        <v>1</v>
      </c>
      <c r="Q18" s="32">
        <f t="shared" si="0"/>
        <v>29053.637377381245</v>
      </c>
      <c r="R18" s="33" cm="1">
        <f t="array" ref="R18" xml:space="preserve"> Saldo_Insoluto(G18,I18,J18,K18,Q18,N18,M18)</f>
        <v>1066594.3481778929</v>
      </c>
      <c r="S18" s="33">
        <f t="shared" si="5"/>
        <v>29053.637377381245</v>
      </c>
      <c r="T18" s="34">
        <f xml:space="preserve"> VLOOKUP(B18, PI!$C$9:$Q$22, 15, 0)</f>
        <v>0.78867875892857398</v>
      </c>
      <c r="U18" s="34">
        <f t="shared" si="1"/>
        <v>0.65</v>
      </c>
      <c r="V18" s="35" cm="1">
        <f t="array" ref="V18" xml:space="preserve"> Reservas(G18,H18,I18,J18,R18,Q18,F18,T18,U18,N18,L18,M18)</f>
        <v>143644.8394085193</v>
      </c>
      <c r="W18" s="42">
        <f t="shared" si="6"/>
        <v>172698.47678590054</v>
      </c>
      <c r="X18" s="112">
        <f t="shared" si="7"/>
        <v>0.16191579964859976</v>
      </c>
    </row>
    <row r="19" spans="2:24">
      <c r="B19" s="24" t="s">
        <v>33</v>
      </c>
      <c r="C19" s="24" t="s">
        <v>50</v>
      </c>
      <c r="D19" s="30">
        <v>40</v>
      </c>
      <c r="E19" s="31">
        <f t="shared" si="2"/>
        <v>1.3157894736842106</v>
      </c>
      <c r="F19" s="36">
        <f t="shared" si="3"/>
        <v>2</v>
      </c>
      <c r="G19" s="27">
        <v>0.11</v>
      </c>
      <c r="H19" s="27">
        <v>0.12</v>
      </c>
      <c r="I19" s="28">
        <v>60</v>
      </c>
      <c r="J19" s="28">
        <v>58</v>
      </c>
      <c r="K19" s="25">
        <v>900000</v>
      </c>
      <c r="L19" s="28" t="s">
        <v>74</v>
      </c>
      <c r="M19" s="105">
        <f t="shared" si="4"/>
        <v>0</v>
      </c>
      <c r="N19" s="25">
        <v>20000</v>
      </c>
      <c r="O19" s="110" cm="1">
        <f t="array" ref="O19" xml:space="preserve"> Nueva_Linea_Credito(K19,I19,L19,N19,G19)</f>
        <v>827133.24399008055</v>
      </c>
      <c r="P19" s="29">
        <v>1</v>
      </c>
      <c r="Q19" s="32">
        <f t="shared" si="0"/>
        <v>17983.880928280236</v>
      </c>
      <c r="R19" s="33" cm="1">
        <f t="array" ref="R19" xml:space="preserve"> Saldo_Insoluto(G19,I19,J19,K19,Q19,N19,M19)</f>
        <v>880443.01095841662</v>
      </c>
      <c r="S19" s="33">
        <f t="shared" si="5"/>
        <v>17983.880928280236</v>
      </c>
      <c r="T19" s="34">
        <f xml:space="preserve"> VLOOKUP(B19, PI!$C$9:$Q$22, 15, 0)</f>
        <v>0.8336288571326641</v>
      </c>
      <c r="U19" s="34">
        <f t="shared" si="1"/>
        <v>0.65</v>
      </c>
      <c r="V19" s="35" cm="1">
        <f t="array" ref="V19" xml:space="preserve"> Reservas(G19,H19,I19,J19,R19,Q19,F19,T19,U19,N19,L19,M19)</f>
        <v>93874.314094725894</v>
      </c>
      <c r="W19" s="42">
        <f t="shared" si="6"/>
        <v>111858.19502300613</v>
      </c>
      <c r="X19" s="112">
        <f t="shared" si="7"/>
        <v>0.12704762674104436</v>
      </c>
    </row>
    <row r="20" spans="2:24">
      <c r="B20" s="24" t="s">
        <v>34</v>
      </c>
      <c r="C20" s="24" t="s">
        <v>51</v>
      </c>
      <c r="D20" s="30">
        <v>0</v>
      </c>
      <c r="E20" s="31">
        <f t="shared" si="2"/>
        <v>0</v>
      </c>
      <c r="F20" s="36">
        <f t="shared" si="3"/>
        <v>1</v>
      </c>
      <c r="G20" s="27">
        <v>0.15</v>
      </c>
      <c r="H20" s="27">
        <v>0.17400000000000002</v>
      </c>
      <c r="I20" s="28">
        <v>36</v>
      </c>
      <c r="J20" s="28">
        <v>32</v>
      </c>
      <c r="K20" s="25">
        <v>700000</v>
      </c>
      <c r="L20" s="28" t="s">
        <v>77</v>
      </c>
      <c r="M20" s="105">
        <f t="shared" si="4"/>
        <v>0</v>
      </c>
      <c r="N20" s="25">
        <v>20000</v>
      </c>
      <c r="O20" s="110" cm="1">
        <f t="array" ref="O20" xml:space="preserve"> Nueva_Linea_Credito(K20,I20,L20,N20,G20)</f>
        <v>655137.70346313086</v>
      </c>
      <c r="P20" s="29">
        <v>0</v>
      </c>
      <c r="Q20" s="32">
        <f t="shared" si="0"/>
        <v>22710.563706032754</v>
      </c>
      <c r="R20" s="33" cm="1">
        <f t="array" ref="R20" xml:space="preserve"> Saldo_Insoluto(G20,I20,J20,K20,Q20,N20,M20)</f>
        <v>643101.95030346152</v>
      </c>
      <c r="S20" s="33">
        <f t="shared" si="5"/>
        <v>0</v>
      </c>
      <c r="T20" s="34">
        <f xml:space="preserve"> VLOOKUP(B20, PI!$C$9:$Q$22, 15, 0)</f>
        <v>0.43538086845249563</v>
      </c>
      <c r="U20" s="34">
        <f t="shared" si="1"/>
        <v>0.55000000000000004</v>
      </c>
      <c r="V20" s="35" cm="1">
        <f t="array" ref="V20" xml:space="preserve"> Reservas(G20,H20,I20,J20,R20,Q20,F20,T20,U20,N20,L20,M20)</f>
        <v>187484.947764346</v>
      </c>
      <c r="W20" s="42">
        <f t="shared" si="6"/>
        <v>187484.947764346</v>
      </c>
      <c r="X20" s="112">
        <f t="shared" si="7"/>
        <v>0.29153223322659366</v>
      </c>
    </row>
    <row r="21" spans="2:24" ht="15.75" thickBot="1">
      <c r="B21" s="24" t="s">
        <v>34</v>
      </c>
      <c r="C21" s="24" t="s">
        <v>52</v>
      </c>
      <c r="D21" s="30">
        <v>60</v>
      </c>
      <c r="E21" s="31">
        <f t="shared" si="2"/>
        <v>1.9736842105263159</v>
      </c>
      <c r="F21" s="36">
        <f t="shared" si="3"/>
        <v>2</v>
      </c>
      <c r="G21" s="27">
        <v>0.16</v>
      </c>
      <c r="H21" s="27">
        <v>0.193</v>
      </c>
      <c r="I21" s="28">
        <v>48</v>
      </c>
      <c r="J21" s="28">
        <v>38</v>
      </c>
      <c r="K21" s="25">
        <v>900000</v>
      </c>
      <c r="L21" s="28" t="s">
        <v>76</v>
      </c>
      <c r="M21" s="106">
        <f t="shared" si="4"/>
        <v>0</v>
      </c>
      <c r="N21" s="25">
        <v>40000</v>
      </c>
      <c r="O21" s="111" cm="1">
        <f t="array" ref="O21" xml:space="preserve"> Nueva_Linea_Credito(K21,I21,L21,N21,G21)</f>
        <v>790759.69280757755</v>
      </c>
      <c r="P21" s="29">
        <v>2</v>
      </c>
      <c r="Q21" s="32">
        <f t="shared" si="0"/>
        <v>22410.351743277704</v>
      </c>
      <c r="R21" s="33" cm="1">
        <f t="array" ref="R21" xml:space="preserve"> Saldo_Insoluto(G21,I21,J21,K21,Q21,N21,M21)</f>
        <v>789422.91859435767</v>
      </c>
      <c r="S21" s="33">
        <f t="shared" si="5"/>
        <v>44820.703486555409</v>
      </c>
      <c r="T21" s="34">
        <f xml:space="preserve"> VLOOKUP(B21, PI!$C$9:$Q$22, 15, 0)</f>
        <v>0.43538086845249563</v>
      </c>
      <c r="U21" s="34">
        <f t="shared" si="1"/>
        <v>0.70000000000000007</v>
      </c>
      <c r="V21" s="35" cm="1">
        <f t="array" ref="V21" xml:space="preserve"> Reservas(G21,H21,I21,J21,R21,Q21,F21,T21,U21,N21,L21,M21)</f>
        <v>290338.06269047293</v>
      </c>
      <c r="W21" s="42">
        <f t="shared" si="6"/>
        <v>335158.76617702836</v>
      </c>
      <c r="X21" s="112">
        <f t="shared" si="7"/>
        <v>0.42456173779931589</v>
      </c>
    </row>
    <row r="22" spans="2:24">
      <c r="O22" s="23"/>
    </row>
    <row r="24" spans="2:24">
      <c r="I24" s="17"/>
      <c r="J24" s="17"/>
      <c r="L24" s="17"/>
      <c r="M24" s="17"/>
      <c r="O24" s="101"/>
      <c r="P24" s="101"/>
      <c r="Q24" s="101"/>
      <c r="S24" s="101"/>
    </row>
    <row r="25" spans="2:24">
      <c r="T25" s="101"/>
      <c r="U25" s="101"/>
    </row>
    <row r="26" spans="2:24">
      <c r="Q26" s="98"/>
    </row>
    <row r="27" spans="2:24">
      <c r="N27" s="101"/>
      <c r="O27" s="101"/>
      <c r="P27" s="101"/>
      <c r="Q27" s="101"/>
      <c r="R27" s="101"/>
    </row>
  </sheetData>
  <autoFilter ref="B4:V21" xr:uid="{FF8BD77D-1F71-4299-8F1C-B88177462BF4}"/>
  <mergeCells count="1">
    <mergeCell ref="G2:P2"/>
  </mergeCells>
  <phoneticPr fontId="11" type="noConversion"/>
  <conditionalFormatting sqref="F5:F2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Integrantes</vt:lpstr>
      <vt:lpstr>Ejercicio 1</vt:lpstr>
      <vt:lpstr>1. Tabla de Amorticación</vt:lpstr>
      <vt:lpstr>1. Modelo de Supervivencia</vt:lpstr>
      <vt:lpstr>Ejercicio 2</vt:lpstr>
      <vt:lpstr>Información PI</vt:lpstr>
      <vt:lpstr>PI</vt:lpstr>
      <vt:lpstr>SP</vt:lpstr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</dc:creator>
  <cp:lastModifiedBy>DAVID MENDIETA LOPEZ</cp:lastModifiedBy>
  <dcterms:created xsi:type="dcterms:W3CDTF">2022-05-19T05:00:35Z</dcterms:created>
  <dcterms:modified xsi:type="dcterms:W3CDTF">2024-05-18T20:46:05Z</dcterms:modified>
</cp:coreProperties>
</file>