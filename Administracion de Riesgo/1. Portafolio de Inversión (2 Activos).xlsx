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Biblioteca\Descargas\Administracion de Riesgo\"/>
    </mc:Choice>
  </mc:AlternateContent>
  <xr:revisionPtr revIDLastSave="0" documentId="13_ncr:1_{0354F837-7D12-4F0F-8B22-99DA0FAB4AF9}" xr6:coauthVersionLast="47" xr6:coauthVersionMax="47" xr10:uidLastSave="{00000000-0000-0000-0000-000000000000}"/>
  <bookViews>
    <workbookView xWindow="-120" yWindow="-120" windowWidth="20730" windowHeight="11040" xr2:uid="{A8D73175-CE82-4268-B08D-09E5D1EF4DA9}"/>
  </bookViews>
  <sheets>
    <sheet name="Markowitz 2A" sheetId="5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'Markowitz 2A'!#REF!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2" i="5" l="1"/>
  <c r="M11" i="5" l="1"/>
  <c r="M10" i="5"/>
  <c r="J38" i="5"/>
  <c r="K38" i="5" s="1"/>
  <c r="K37" i="5"/>
  <c r="K36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F95" i="5"/>
  <c r="E95" i="5"/>
  <c r="F94" i="5"/>
  <c r="E94" i="5"/>
  <c r="F93" i="5"/>
  <c r="E93" i="5"/>
  <c r="F92" i="5"/>
  <c r="E92" i="5"/>
  <c r="F91" i="5"/>
  <c r="E91" i="5"/>
  <c r="F90" i="5"/>
  <c r="E90" i="5"/>
  <c r="F89" i="5"/>
  <c r="E89" i="5"/>
  <c r="F88" i="5"/>
  <c r="E88" i="5"/>
  <c r="F87" i="5"/>
  <c r="E87" i="5"/>
  <c r="F86" i="5"/>
  <c r="E86" i="5"/>
  <c r="F85" i="5"/>
  <c r="E85" i="5"/>
  <c r="F84" i="5"/>
  <c r="E84" i="5"/>
  <c r="F83" i="5"/>
  <c r="E83" i="5"/>
  <c r="F82" i="5"/>
  <c r="E82" i="5"/>
  <c r="F81" i="5"/>
  <c r="E81" i="5"/>
  <c r="F80" i="5"/>
  <c r="E80" i="5"/>
  <c r="F79" i="5"/>
  <c r="E79" i="5"/>
  <c r="F78" i="5"/>
  <c r="E78" i="5"/>
  <c r="F77" i="5"/>
  <c r="E77" i="5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F42" i="5"/>
  <c r="E42" i="5"/>
  <c r="F41" i="5"/>
  <c r="E41" i="5"/>
  <c r="F40" i="5"/>
  <c r="E40" i="5"/>
  <c r="F39" i="5"/>
  <c r="E39" i="5"/>
  <c r="F38" i="5"/>
  <c r="E38" i="5"/>
  <c r="F37" i="5"/>
  <c r="E37" i="5"/>
  <c r="F36" i="5"/>
  <c r="E36" i="5"/>
  <c r="F35" i="5"/>
  <c r="E35" i="5"/>
  <c r="F34" i="5"/>
  <c r="E34" i="5"/>
  <c r="F33" i="5"/>
  <c r="E33" i="5"/>
  <c r="F32" i="5"/>
  <c r="E32" i="5"/>
  <c r="F31" i="5"/>
  <c r="E31" i="5"/>
  <c r="F30" i="5"/>
  <c r="E30" i="5"/>
  <c r="F29" i="5"/>
  <c r="E29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J11" i="5"/>
  <c r="K11" i="5" s="1"/>
  <c r="F7" i="5"/>
  <c r="E7" i="5"/>
  <c r="J10" i="5"/>
  <c r="O10" i="5" s="1"/>
  <c r="J34" i="5" s="1"/>
  <c r="F6" i="5"/>
  <c r="E6" i="5"/>
  <c r="K17" i="5" l="1"/>
  <c r="L17" i="5"/>
  <c r="K18" i="5" s="1"/>
  <c r="P10" i="5"/>
  <c r="K23" i="5" s="1"/>
  <c r="P11" i="5"/>
  <c r="L24" i="5" s="1"/>
  <c r="K10" i="5"/>
  <c r="K12" i="5" s="1"/>
  <c r="L10" i="5" s="1"/>
  <c r="L18" i="5"/>
  <c r="O11" i="5"/>
  <c r="K34" i="5" s="1"/>
  <c r="M37" i="5" s="1"/>
  <c r="J39" i="5"/>
  <c r="L37" i="5" l="1" a="1"/>
  <c r="L37" i="5" s="1"/>
  <c r="M36" i="5"/>
  <c r="L38" i="5" a="1"/>
  <c r="L38" i="5" s="1"/>
  <c r="M38" i="5"/>
  <c r="L36" i="5" a="1"/>
  <c r="L36" i="5" s="1"/>
  <c r="L11" i="5"/>
  <c r="O16" i="5" s="1" a="1"/>
  <c r="O16" i="5" s="1"/>
  <c r="J40" i="5"/>
  <c r="K39" i="5"/>
  <c r="L39" i="5" s="1" a="1"/>
  <c r="L39" i="5" s="1"/>
  <c r="M39" i="5" l="1"/>
  <c r="L12" i="5"/>
  <c r="O15" i="5"/>
  <c r="J41" i="5"/>
  <c r="K40" i="5"/>
  <c r="L40" i="5" s="1" a="1"/>
  <c r="L40" i="5" s="1"/>
  <c r="M40" i="5" l="1"/>
  <c r="K41" i="5"/>
  <c r="L41" i="5" s="1" a="1"/>
  <c r="L41" i="5" s="1"/>
  <c r="J42" i="5"/>
  <c r="M41" i="5" l="1"/>
  <c r="J43" i="5"/>
  <c r="K42" i="5"/>
  <c r="L42" i="5" s="1" a="1"/>
  <c r="L42" i="5" s="1"/>
  <c r="M42" i="5" l="1"/>
  <c r="K43" i="5"/>
  <c r="L43" i="5" s="1" a="1"/>
  <c r="L43" i="5" s="1"/>
  <c r="J44" i="5"/>
  <c r="M43" i="5" l="1"/>
  <c r="K44" i="5"/>
  <c r="L44" i="5" s="1" a="1"/>
  <c r="L44" i="5" s="1"/>
  <c r="J45" i="5"/>
  <c r="M44" i="5" l="1"/>
  <c r="K45" i="5"/>
  <c r="L45" i="5" s="1" a="1"/>
  <c r="L45" i="5" s="1"/>
  <c r="J46" i="5"/>
  <c r="M45" i="5" l="1"/>
  <c r="J47" i="5"/>
  <c r="K46" i="5"/>
  <c r="L46" i="5" s="1" a="1"/>
  <c r="L46" i="5" s="1"/>
  <c r="M46" i="5" l="1"/>
  <c r="K47" i="5"/>
  <c r="L47" i="5" s="1" a="1"/>
  <c r="L47" i="5" s="1"/>
  <c r="J48" i="5"/>
  <c r="M47" i="5" l="1"/>
  <c r="K48" i="5"/>
  <c r="L48" i="5" s="1" a="1"/>
  <c r="L48" i="5" s="1"/>
  <c r="J49" i="5"/>
  <c r="M48" i="5" l="1"/>
  <c r="K49" i="5"/>
  <c r="L49" i="5" s="1" a="1"/>
  <c r="L49" i="5" s="1"/>
  <c r="J50" i="5"/>
  <c r="M49" i="5" l="1"/>
  <c r="J51" i="5"/>
  <c r="K50" i="5"/>
  <c r="L50" i="5" s="1" a="1"/>
  <c r="L50" i="5" s="1"/>
  <c r="M50" i="5" l="1"/>
  <c r="K51" i="5"/>
  <c r="L51" i="5" s="1" a="1"/>
  <c r="L51" i="5" s="1"/>
  <c r="J52" i="5"/>
  <c r="M51" i="5" l="1"/>
  <c r="K52" i="5"/>
  <c r="L52" i="5" s="1" a="1"/>
  <c r="L52" i="5" s="1"/>
  <c r="J53" i="5"/>
  <c r="M52" i="5" l="1"/>
  <c r="K53" i="5"/>
  <c r="L53" i="5" s="1" a="1"/>
  <c r="L53" i="5" s="1"/>
  <c r="J54" i="5"/>
  <c r="M53" i="5" l="1"/>
  <c r="J55" i="5"/>
  <c r="K54" i="5"/>
  <c r="L54" i="5" s="1" a="1"/>
  <c r="L54" i="5" s="1"/>
  <c r="M54" i="5" l="1"/>
  <c r="J56" i="5"/>
  <c r="K55" i="5"/>
  <c r="L55" i="5" s="1" a="1"/>
  <c r="L55" i="5" s="1"/>
  <c r="M55" i="5" l="1"/>
  <c r="K56" i="5"/>
  <c r="L56" i="5" s="1" a="1"/>
  <c r="L56" i="5" s="1"/>
  <c r="M56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tc={7D1F01DF-E2CF-4BA8-B300-2D6D40D8320D}</author>
    <author>tc={DFFC9D9F-A265-4CF2-9247-3017FA10743B}</author>
    <author>tc={00868ABB-62CD-483B-ABA1-ECA4185C3D9F}</author>
    <author>tc={616A262E-4B06-42E1-8073-3C9B5B274512}</author>
    <author>tc={289056E2-63E9-4E36-8406-F50F2372C4C5}</author>
    <author>tc={2AE0C537-0F0F-49EB-BF2B-CAE47E3E5909}</author>
    <author>tc={2BE5E1E6-E197-4D90-BA82-3725B23326AF}</author>
    <author>tc={B0714BF6-87BF-418E-9081-9102F6C7F795}</author>
    <author>tc={CD962DE0-BFB4-4E8B-8147-FF918F0618E2}</author>
    <author>tc={197FF04D-E9A1-4BD3-92F0-0D8210FB5405}</author>
  </authors>
  <commentList>
    <comment ref="K9" authorId="0" shapeId="0" xr:uid="{7D1F01DF-E2CF-4BA8-B300-2D6D40D8320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Hace referencia a la cantidad invertidad en este tipo de acciones.</t>
      </text>
    </comment>
    <comment ref="L9" authorId="1" shapeId="0" xr:uid="{DFFC9D9F-A265-4CF2-9247-3017FA10743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proporcion del total de inversion correspondente a este activo.</t>
      </text>
    </comment>
    <comment ref="M9" authorId="2" shapeId="0" xr:uid="{00868ABB-62CD-483B-ABA1-ECA4185C3D9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Rendimiento generado en todo este lapso de tiempo.</t>
      </text>
    </comment>
    <comment ref="N9" authorId="3" shapeId="0" xr:uid="{616A262E-4B06-42E1-8073-3C9B5B2745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"el precio objetivo"; es decir, el precio esperado de cada accion al final del periodo.</t>
      </text>
    </comment>
    <comment ref="O9" authorId="4" shapeId="0" xr:uid="{289056E2-63E9-4E36-8406-F50F2372C4C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lo dice su nombre es el rendimiento % que existe entre el precio final y el precio objetivo.</t>
      </text>
    </comment>
    <comment ref="M12" authorId="5" shapeId="0" xr:uid="{2AE0C537-0F0F-49EB-BF2B-CAE47E3E590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Calculamos el rendimiento del portafolio por definicion</t>
      </text>
    </comment>
    <comment ref="I15" authorId="6" shapeId="0" xr:uid="{2BE5E1E6-E197-4D90-BA82-3725B23326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Pues solo aplicas la funcion: coeficiente de correlacion.</t>
      </text>
    </comment>
    <comment ref="N15" authorId="7" shapeId="0" xr:uid="{B0714BF6-87BF-418E-9081-9102F6C7F7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Rendimiento del portafolio</t>
      </text>
    </comment>
    <comment ref="N16" authorId="8" shapeId="0" xr:uid="{CD962DE0-BFB4-4E8B-8147-FF918F0618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La volatibilidad del portafolio (desviacion estandar por asi decirlo)</t>
      </text>
    </comment>
    <comment ref="I21" authorId="9" shapeId="0" xr:uid="{197FF04D-E9A1-4BD3-92F0-0D8210FB54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Como es una matriz diagonalizada, solo es cuestion de ingresar la volatibilidad anual correspondiente.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<sst xmlns="http://schemas.openxmlformats.org/spreadsheetml/2006/main" count="35" uniqueCount="24">
  <si>
    <t>Date</t>
  </si>
  <si>
    <t>LACOMER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</si>
  <si>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LACOMER</t>
    </r>
  </si>
  <si>
    <t>Títulos</t>
  </si>
  <si>
    <t>TOTAL =</t>
  </si>
  <si>
    <r>
      <t>Pesos (W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</si>
  <si>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r>
      <t>Rendimiento 
Esperado (R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</t>
    </r>
  </si>
  <si>
    <t>Volatilidad
Anual</t>
  </si>
  <si>
    <t>Matriz de Correlaciones ( C )</t>
  </si>
  <si>
    <r>
      <t xml:space="preserve">Matriz de Volatilidades ( </t>
    </r>
    <r>
      <rPr>
        <b/>
        <u/>
        <sz val="11"/>
        <color theme="1"/>
        <rFont val="Calibri"/>
        <family val="2"/>
      </rPr>
      <t>σ</t>
    </r>
    <r>
      <rPr>
        <b/>
        <u/>
        <sz val="11"/>
        <color theme="1"/>
        <rFont val="Calibri"/>
        <family val="2"/>
        <scheme val="minor"/>
      </rPr>
      <t xml:space="preserve"> )</t>
    </r>
  </si>
  <si>
    <t>CEMEX</t>
  </si>
  <si>
    <r>
      <t>R</t>
    </r>
    <r>
      <rPr>
        <b/>
        <vertAlign val="subscript"/>
        <sz val="11"/>
        <color theme="1"/>
        <rFont val="Calibri"/>
        <family val="2"/>
        <scheme val="minor"/>
      </rPr>
      <t>CEMEX</t>
    </r>
  </si>
  <si>
    <t>Target Price 12M</t>
  </si>
  <si>
    <r>
      <t>Rendimiento 
Observado (R</t>
    </r>
    <r>
      <rPr>
        <b/>
        <vertAlign val="subscript"/>
        <sz val="11"/>
        <color theme="1"/>
        <rFont val="Calibri"/>
        <family val="2"/>
        <scheme val="minor"/>
      </rPr>
      <t>i</t>
    </r>
    <r>
      <rPr>
        <b/>
        <sz val="11"/>
        <color theme="1"/>
        <rFont val="Calibri"/>
        <family val="2"/>
        <scheme val="minor"/>
      </rPr>
      <t>) Ult. 12M</t>
    </r>
  </si>
  <si>
    <r>
      <rPr>
        <b/>
        <sz val="11"/>
        <color rgb="FFFF0000"/>
        <rFont val="Calibri"/>
        <family val="2"/>
      </rPr>
      <t>σ</t>
    </r>
    <r>
      <rPr>
        <b/>
        <vertAlign val="subscript"/>
        <sz val="11"/>
        <color rgb="FFFF0000"/>
        <rFont val="Calibri"/>
        <family val="2"/>
        <scheme val="minor"/>
      </rPr>
      <t>p</t>
    </r>
  </si>
  <si>
    <r>
      <t>E (R</t>
    </r>
    <r>
      <rPr>
        <b/>
        <vertAlign val="subscript"/>
        <sz val="11"/>
        <color theme="9"/>
        <rFont val="Calibri"/>
        <family val="2"/>
        <scheme val="minor"/>
      </rPr>
      <t>p</t>
    </r>
    <r>
      <rPr>
        <b/>
        <sz val="11"/>
        <color theme="9"/>
        <rFont val="Calibri"/>
        <family val="2"/>
        <scheme val="minor"/>
      </rPr>
      <t>)</t>
    </r>
  </si>
  <si>
    <r>
      <t>W</t>
    </r>
    <r>
      <rPr>
        <sz val="8"/>
        <color theme="1"/>
        <rFont val="Calibri"/>
        <family val="2"/>
        <scheme val="minor"/>
      </rPr>
      <t xml:space="preserve">CEMEX </t>
    </r>
    <r>
      <rPr>
        <b/>
        <sz val="11"/>
        <color theme="1"/>
        <rFont val="Calibri"/>
        <family val="2"/>
        <scheme val="minor"/>
      </rPr>
      <t>]</t>
    </r>
  </si>
  <si>
    <r>
      <t>[ W</t>
    </r>
    <r>
      <rPr>
        <sz val="8"/>
        <color theme="1"/>
        <rFont val="Calibri"/>
        <family val="2"/>
        <scheme val="minor"/>
      </rPr>
      <t>LACOMER</t>
    </r>
    <r>
      <rPr>
        <b/>
        <sz val="11"/>
        <color theme="1"/>
        <rFont val="Calibri"/>
        <family val="2"/>
        <scheme val="minor"/>
      </rPr>
      <t xml:space="preserve"> ,</t>
    </r>
  </si>
  <si>
    <t>Precio
31 - Ene</t>
  </si>
  <si>
    <t>Valuación
31 - Ene</t>
  </si>
  <si>
    <t>Registros historicos de las acciones</t>
  </si>
  <si>
    <r>
      <t>E[R</t>
    </r>
    <r>
      <rPr>
        <vertAlign val="subscript"/>
        <sz val="14"/>
        <color theme="1"/>
        <rFont val="ADLaM Display"/>
      </rPr>
      <t>p</t>
    </r>
    <r>
      <rPr>
        <sz val="14"/>
        <color theme="1"/>
        <rFont val="ADLaM Display"/>
      </rPr>
      <t>]</t>
    </r>
  </si>
  <si>
    <t>Creacion de la Frontera eficiente</t>
  </si>
  <si>
    <r>
      <t>Desvia(R</t>
    </r>
    <r>
      <rPr>
        <vertAlign val="subscript"/>
        <sz val="14"/>
        <color theme="1"/>
        <rFont val="ADLaM Display"/>
      </rPr>
      <t>p</t>
    </r>
    <r>
      <rPr>
        <sz val="14"/>
        <color theme="1"/>
        <rFont val="ADLaM Display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</si>
</sst>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0.0%"/>
    <numFmt numFmtId="165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b/>
      <sz val="11"/>
      <color rgb="FFFF0000"/>
      <name val="Calibri"/>
      <family val="2"/>
    </font>
    <font>
      <b/>
      <vertAlign val="subscript"/>
      <sz val="11"/>
      <color rgb="FFFF0000"/>
      <name val="Calibri"/>
      <family val="2"/>
      <scheme val="minor"/>
    </font>
    <font>
      <b/>
      <vertAlign val="subscript"/>
      <sz val="11"/>
      <color theme="9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0"/>
      <name val="Arial Black"/>
      <family val="2"/>
    </font>
    <font>
      <sz val="11"/>
      <name val="Calibri"/>
      <family val="2"/>
      <scheme val="minor"/>
    </font>
    <font>
      <sz val="14"/>
      <color theme="1"/>
      <name val="ADLaM Display"/>
    </font>
    <font>
      <vertAlign val="subscript"/>
      <sz val="14"/>
      <color theme="1"/>
      <name val="ADLaM Display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165" fontId="2" fillId="0" borderId="1" xfId="0" applyNumberFormat="1" applyFont="1" applyBorder="1"/>
    <xf numFmtId="0" fontId="2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164" fontId="0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4" fontId="3" fillId="0" borderId="2" xfId="0" applyNumberFormat="1" applyFont="1" applyBorder="1"/>
    <xf numFmtId="14" fontId="0" fillId="0" borderId="2" xfId="0" applyNumberFormat="1" applyBorder="1"/>
    <xf numFmtId="4" fontId="3" fillId="0" borderId="3" xfId="0" applyNumberFormat="1" applyFont="1" applyBorder="1"/>
    <xf numFmtId="4" fontId="3" fillId="0" borderId="4" xfId="0" applyNumberFormat="1" applyFont="1" applyBorder="1"/>
    <xf numFmtId="164" fontId="0" fillId="0" borderId="4" xfId="2" applyNumberFormat="1" applyFont="1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4" fontId="0" fillId="0" borderId="6" xfId="0" applyNumberFormat="1" applyBorder="1"/>
    <xf numFmtId="4" fontId="0" fillId="0" borderId="0" xfId="0" applyNumberFormat="1"/>
    <xf numFmtId="164" fontId="0" fillId="0" borderId="0" xfId="2" applyNumberFormat="1" applyFont="1" applyBorder="1" applyAlignment="1">
      <alignment horizontal="center"/>
    </xf>
    <xf numFmtId="164" fontId="0" fillId="0" borderId="7" xfId="2" applyNumberFormat="1" applyFont="1" applyBorder="1" applyAlignment="1">
      <alignment horizontal="center"/>
    </xf>
    <xf numFmtId="4" fontId="0" fillId="0" borderId="8" xfId="0" applyNumberFormat="1" applyBorder="1"/>
    <xf numFmtId="4" fontId="0" fillId="0" borderId="9" xfId="0" applyNumberFormat="1" applyBorder="1"/>
    <xf numFmtId="164" fontId="0" fillId="0" borderId="9" xfId="2" applyNumberFormat="1" applyFont="1" applyBorder="1" applyAlignment="1">
      <alignment horizontal="center"/>
    </xf>
    <xf numFmtId="164" fontId="0" fillId="0" borderId="10" xfId="2" applyNumberFormat="1" applyFont="1" applyBorder="1" applyAlignment="1">
      <alignment horizontal="center"/>
    </xf>
    <xf numFmtId="0" fontId="2" fillId="0" borderId="2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44" fontId="0" fillId="0" borderId="4" xfId="1" applyFont="1" applyBorder="1"/>
    <xf numFmtId="165" fontId="0" fillId="0" borderId="4" xfId="1" applyNumberFormat="1" applyFont="1" applyBorder="1"/>
    <xf numFmtId="164" fontId="3" fillId="0" borderId="5" xfId="2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44" fontId="0" fillId="0" borderId="9" xfId="1" applyFont="1" applyBorder="1"/>
    <xf numFmtId="165" fontId="0" fillId="0" borderId="9" xfId="1" applyNumberFormat="1" applyFont="1" applyBorder="1"/>
    <xf numFmtId="164" fontId="3" fillId="0" borderId="10" xfId="2" applyNumberFormat="1" applyFont="1" applyBorder="1" applyAlignment="1">
      <alignment horizontal="center"/>
    </xf>
    <xf numFmtId="164" fontId="0" fillId="5" borderId="11" xfId="2" applyNumberFormat="1" applyFont="1" applyFill="1" applyBorder="1" applyAlignment="1">
      <alignment horizontal="center"/>
    </xf>
    <xf numFmtId="164" fontId="0" fillId="5" borderId="12" xfId="2" applyNumberFormat="1" applyFont="1" applyFill="1" applyBorder="1" applyAlignment="1">
      <alignment horizontal="center"/>
    </xf>
    <xf numFmtId="164" fontId="2" fillId="5" borderId="13" xfId="2" applyNumberFormat="1" applyFont="1" applyFill="1" applyBorder="1" applyAlignment="1">
      <alignment horizontal="center"/>
    </xf>
    <xf numFmtId="164" fontId="13" fillId="0" borderId="4" xfId="2" applyNumberFormat="1" applyFont="1" applyBorder="1" applyAlignment="1">
      <alignment horizontal="center"/>
    </xf>
    <xf numFmtId="164" fontId="13" fillId="0" borderId="9" xfId="2" applyNumberFormat="1" applyFont="1" applyBorder="1" applyAlignment="1">
      <alignment horizontal="center"/>
    </xf>
    <xf numFmtId="44" fontId="1" fillId="0" borderId="4" xfId="1" applyFont="1" applyBorder="1"/>
    <xf numFmtId="44" fontId="1" fillId="0" borderId="9" xfId="1" applyFont="1" applyBorder="1"/>
    <xf numFmtId="0" fontId="2" fillId="0" borderId="16" xfId="0" applyFont="1" applyBorder="1" applyAlignment="1">
      <alignment horizontal="right"/>
    </xf>
    <xf numFmtId="164" fontId="2" fillId="0" borderId="17" xfId="2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9" xfId="0" applyNumberFormat="1" applyFon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10" xfId="0" applyNumberFormat="1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left" vertical="center" indent="1"/>
    </xf>
    <xf numFmtId="0" fontId="2" fillId="0" borderId="12" xfId="0" applyFont="1" applyBorder="1" applyAlignment="1">
      <alignment horizontal="left" vertical="center" indent="1"/>
    </xf>
    <xf numFmtId="164" fontId="0" fillId="3" borderId="3" xfId="2" applyNumberFormat="1" applyFont="1" applyFill="1" applyBorder="1" applyAlignment="1">
      <alignment horizontal="center"/>
    </xf>
    <xf numFmtId="164" fontId="0" fillId="3" borderId="5" xfId="2" applyNumberFormat="1" applyFont="1" applyFill="1" applyBorder="1" applyAlignment="1">
      <alignment horizontal="center"/>
    </xf>
    <xf numFmtId="164" fontId="0" fillId="3" borderId="8" xfId="2" applyNumberFormat="1" applyFont="1" applyFill="1" applyBorder="1" applyAlignment="1">
      <alignment horizontal="center"/>
    </xf>
    <xf numFmtId="164" fontId="0" fillId="3" borderId="10" xfId="2" applyNumberFormat="1" applyFont="1" applyFill="1" applyBorder="1" applyAlignment="1">
      <alignment horizontal="center"/>
    </xf>
    <xf numFmtId="0" fontId="14" fillId="7" borderId="3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0" fontId="3" fillId="0" borderId="11" xfId="0" applyNumberFormat="1" applyFont="1" applyBorder="1" applyAlignment="1">
      <alignment horizontal="center" vertical="center"/>
    </xf>
    <xf numFmtId="10" fontId="3" fillId="0" borderId="12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9" fontId="0" fillId="8" borderId="18" xfId="2" applyFont="1" applyFill="1" applyBorder="1" applyAlignment="1">
      <alignment horizontal="center"/>
    </xf>
    <xf numFmtId="10" fontId="0" fillId="8" borderId="18" xfId="0" applyNumberFormat="1" applyFill="1" applyBorder="1" applyAlignment="1">
      <alignment horizontal="center"/>
    </xf>
    <xf numFmtId="9" fontId="0" fillId="8" borderId="12" xfId="2" applyFont="1" applyFill="1" applyBorder="1" applyAlignment="1">
      <alignment horizontal="center"/>
    </xf>
    <xf numFmtId="10" fontId="0" fillId="8" borderId="12" xfId="0" applyNumberFormat="1" applyFill="1" applyBorder="1" applyAlignment="1">
      <alignment horizontal="center"/>
    </xf>
    <xf numFmtId="9" fontId="0" fillId="9" borderId="11" xfId="2" applyFont="1" applyFill="1" applyBorder="1" applyAlignment="1">
      <alignment horizontal="center"/>
    </xf>
    <xf numFmtId="10" fontId="0" fillId="9" borderId="11" xfId="0" applyNumberFormat="1" applyFill="1" applyBorder="1" applyAlignment="1">
      <alignment horizontal="center"/>
    </xf>
    <xf numFmtId="9" fontId="0" fillId="9" borderId="18" xfId="2" applyFont="1" applyFill="1" applyBorder="1" applyAlignment="1">
      <alignment horizontal="center"/>
    </xf>
    <xf numFmtId="10" fontId="0" fillId="9" borderId="18" xfId="0" applyNumberFormat="1" applyFill="1" applyBorder="1" applyAlignment="1">
      <alignment horizontal="center"/>
    </xf>
    <xf numFmtId="9" fontId="0" fillId="10" borderId="18" xfId="2" applyFont="1" applyFill="1" applyBorder="1" applyAlignment="1">
      <alignment horizontal="center"/>
    </xf>
    <xf numFmtId="10" fontId="0" fillId="10" borderId="18" xfId="0" applyNumberForma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Riesgo - Rendimiento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'Markowitz 2A'!$L$36:$L$56</c:f>
              <c:numCache>
                <c:formatCode>0.00%</c:formatCode>
                <c:ptCount val="21"/>
                <c:pt idx="0">
                  <c:v>0.30864769377591078</c:v>
                </c:pt>
                <c:pt idx="1">
                  <c:v>0.29651069342359221</c:v>
                </c:pt>
                <c:pt idx="2">
                  <c:v>0.28499569704411287</c:v>
                </c:pt>
                <c:pt idx="3">
                  <c:v>0.27418108419537102</c:v>
                </c:pt>
                <c:pt idx="4">
                  <c:v>0.26415289153292953</c:v>
                </c:pt>
                <c:pt idx="5">
                  <c:v>0.25500391537706879</c:v>
                </c:pt>
                <c:pt idx="6">
                  <c:v>0.24683194118231938</c:v>
                </c:pt>
                <c:pt idx="7">
                  <c:v>0.23973689973760362</c:v>
                </c:pt>
                <c:pt idx="8">
                  <c:v>0.23381684836968611</c:v>
                </c:pt>
                <c:pt idx="9">
                  <c:v>0.22916286707282416</c:v>
                </c:pt>
                <c:pt idx="10">
                  <c:v>0.22585323616523642</c:v>
                </c:pt>
                <c:pt idx="11">
                  <c:v>0.22394756641980368</c:v>
                </c:pt>
                <c:pt idx="12">
                  <c:v>0.22348177621936832</c:v>
                </c:pt>
                <c:pt idx="13">
                  <c:v>0.22446482948725927</c:v>
                </c:pt>
                <c:pt idx="14">
                  <c:v>0.22687789365448113</c:v>
                </c:pt>
                <c:pt idx="15">
                  <c:v>0.23067609576896528</c:v>
                </c:pt>
                <c:pt idx="16">
                  <c:v>0.23579250892914463</c:v>
                </c:pt>
                <c:pt idx="17">
                  <c:v>0.24214358746982706</c:v>
                </c:pt>
                <c:pt idx="18">
                  <c:v>0.24963511414899936</c:v>
                </c:pt>
                <c:pt idx="19">
                  <c:v>0.25816782730886362</c:v>
                </c:pt>
                <c:pt idx="20">
                  <c:v>0.26764216311400485</c:v>
                </c:pt>
              </c:numCache>
            </c:numRef>
          </c:xVal>
          <c:yVal>
            <c:numRef>
              <c:f>'Markowitz 2A'!$M$36:$M$56</c:f>
              <c:numCache>
                <c:formatCode>0.00%</c:formatCode>
                <c:ptCount val="21"/>
                <c:pt idx="0">
                  <c:v>0.23286713286713279</c:v>
                </c:pt>
                <c:pt idx="1">
                  <c:v>0.22870954707257596</c:v>
                </c:pt>
                <c:pt idx="2">
                  <c:v>0.22455196127801913</c:v>
                </c:pt>
                <c:pt idx="3">
                  <c:v>0.2203943754834623</c:v>
                </c:pt>
                <c:pt idx="4">
                  <c:v>0.21623678968890547</c:v>
                </c:pt>
                <c:pt idx="5">
                  <c:v>0.21207920389434864</c:v>
                </c:pt>
                <c:pt idx="6">
                  <c:v>0.20792161809979182</c:v>
                </c:pt>
                <c:pt idx="7">
                  <c:v>0.20376403230523499</c:v>
                </c:pt>
                <c:pt idx="8">
                  <c:v>0.19960644651067819</c:v>
                </c:pt>
                <c:pt idx="9">
                  <c:v>0.19544886071612133</c:v>
                </c:pt>
                <c:pt idx="10">
                  <c:v>0.1912912749215645</c:v>
                </c:pt>
                <c:pt idx="11">
                  <c:v>0.18713368912700767</c:v>
                </c:pt>
                <c:pt idx="12">
                  <c:v>0.18297610333245085</c:v>
                </c:pt>
                <c:pt idx="13">
                  <c:v>0.17881851753789402</c:v>
                </c:pt>
                <c:pt idx="14">
                  <c:v>0.17466093174333719</c:v>
                </c:pt>
                <c:pt idx="15">
                  <c:v>0.17050334594878036</c:v>
                </c:pt>
                <c:pt idx="16">
                  <c:v>0.16634576015422353</c:v>
                </c:pt>
                <c:pt idx="17">
                  <c:v>0.16218817435966668</c:v>
                </c:pt>
                <c:pt idx="18">
                  <c:v>0.15803058856510985</c:v>
                </c:pt>
                <c:pt idx="19">
                  <c:v>0.15387300277055305</c:v>
                </c:pt>
                <c:pt idx="20">
                  <c:v>0.14971541697599625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F3-4868-8821-802B5A97A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357560"/>
        <c:axId val="764361720"/>
      </c:scatterChart>
      <c:valAx>
        <c:axId val="764357560"/>
        <c:scaling>
          <c:orientation val="minMax"/>
          <c:min val="0.19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>
                    <a:solidFill>
                      <a:srgbClr val="FF0000"/>
                    </a:solidFill>
                  </a:rPr>
                  <a:t>Riesgo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4361720"/>
        <c:crosses val="autoZero"/>
        <c:crossBetween val="midCat"/>
      </c:valAx>
      <c:valAx>
        <c:axId val="764361720"/>
        <c:scaling>
          <c:orientation val="minMax"/>
          <c:min val="0.1400000000000000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 b="1">
                    <a:solidFill>
                      <a:srgbClr val="00B050"/>
                    </a:solidFill>
                  </a:rPr>
                  <a:t>Rendimiento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4357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373871</xdr:colOff>
      <xdr:row>33</xdr:row>
      <xdr:rowOff>62869</xdr:rowOff>
    </xdr:from>
    <xdr:to>
      <xdr:col>21</xdr:col>
      <xdr:colOff>825235</xdr:colOff>
      <xdr:row>56</xdr:row>
      <xdr:rowOff>58376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C1C8CCB-55BA-4B68-92AD-A4F27E352F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296759</xdr:colOff>
      <xdr:row>1</xdr:row>
      <xdr:rowOff>7801</xdr:rowOff>
    </xdr:from>
    <xdr:to>
      <xdr:col>12</xdr:col>
      <xdr:colOff>1265129</xdr:colOff>
      <xdr:row>6</xdr:row>
      <xdr:rowOff>134915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4296AA9-8262-18B8-AAA6-54D24D223DA9}"/>
            </a:ext>
          </a:extLst>
        </xdr:cNvPr>
        <xdr:cNvSpPr txBox="1"/>
      </xdr:nvSpPr>
      <xdr:spPr>
        <a:xfrm>
          <a:off x="6513075" y="195794"/>
          <a:ext cx="4966363" cy="1104680"/>
        </a:xfrm>
        <a:prstGeom prst="rect">
          <a:avLst/>
        </a:prstGeom>
        <a:solidFill>
          <a:schemeClr val="lt1"/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" panose="020B0604020104020204" pitchFamily="34" charset="0"/>
            </a:rPr>
            <a:t>Para poder calcular</a:t>
          </a:r>
          <a:r>
            <a:rPr lang="es-MX" sz="1400" baseline="0">
              <a:latin typeface="Abadi" panose="020B0604020104020204" pitchFamily="34" charset="0"/>
            </a:rPr>
            <a:t> lo que es la volatibilidad de este portafolio es necesario tener un registro historico de los activos implicitamente </a:t>
          </a:r>
          <a:r>
            <a:rPr lang="es-MX" sz="1400" i="1" baseline="0">
              <a:latin typeface="Abadi" panose="020B0604020104020204" pitchFamily="34" charset="0"/>
            </a:rPr>
            <a:t>(tanto de sus precios como sus rendimientos diarios)</a:t>
          </a:r>
          <a:r>
            <a:rPr lang="es-MX" sz="1400" baseline="0">
              <a:latin typeface="Abadi" panose="020B0604020104020204" pitchFamily="34" charset="0"/>
            </a:rPr>
            <a:t> de un lapso de tiempo para cierto periodo en concreto.</a:t>
          </a:r>
          <a:endParaRPr lang="es-MX" sz="1400">
            <a:latin typeface="Abadi" panose="020B0604020104020204" pitchFamily="34" charset="0"/>
          </a:endParaRPr>
        </a:p>
      </xdr:txBody>
    </xdr:sp>
    <xdr:clientData/>
  </xdr:twoCellAnchor>
  <xdr:twoCellAnchor editAs="oneCell">
    <xdr:from>
      <xdr:col>15</xdr:col>
      <xdr:colOff>737908</xdr:colOff>
      <xdr:row>18</xdr:row>
      <xdr:rowOff>39376</xdr:rowOff>
    </xdr:from>
    <xdr:to>
      <xdr:col>18</xdr:col>
      <xdr:colOff>696445</xdr:colOff>
      <xdr:row>26</xdr:row>
      <xdr:rowOff>148809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547C2C2-4716-1D1F-B554-11FEAAD63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40355" y="4092567"/>
          <a:ext cx="2593111" cy="156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367393</xdr:colOff>
      <xdr:row>0</xdr:row>
      <xdr:rowOff>176892</xdr:rowOff>
    </xdr:from>
    <xdr:to>
      <xdr:col>20</xdr:col>
      <xdr:colOff>585107</xdr:colOff>
      <xdr:row>6</xdr:row>
      <xdr:rowOff>113506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BB484451-F655-4352-AB86-634118F26225}"/>
            </a:ext>
          </a:extLst>
        </xdr:cNvPr>
        <xdr:cNvSpPr txBox="1"/>
      </xdr:nvSpPr>
      <xdr:spPr>
        <a:xfrm>
          <a:off x="12777107" y="176892"/>
          <a:ext cx="5606143" cy="1120435"/>
        </a:xfrm>
        <a:prstGeom prst="rect">
          <a:avLst/>
        </a:prstGeom>
        <a:solidFill>
          <a:schemeClr val="lt1"/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" panose="020B0604020104020204" pitchFamily="34" charset="0"/>
            </a:rPr>
            <a:t>-</a:t>
          </a:r>
          <a:r>
            <a:rPr lang="es-MX" sz="1400" baseline="0">
              <a:latin typeface="Abadi" panose="020B0604020104020204" pitchFamily="34" charset="0"/>
            </a:rPr>
            <a:t> Se calcula "la desviacion estandar de los rendimientos de la accion".</a:t>
          </a:r>
        </a:p>
        <a:p>
          <a:pPr algn="ctr"/>
          <a:r>
            <a:rPr lang="es-MX" sz="1400" baseline="0">
              <a:latin typeface="Abadi" panose="020B0604020104020204" pitchFamily="34" charset="0"/>
            </a:rPr>
            <a:t>- Como es anual se multiplica por la raiz cuadrada de los dias habiles del ano que tiene la bolsa de valores (252 dias).</a:t>
          </a:r>
          <a:endParaRPr lang="es-MX" sz="1400">
            <a:latin typeface="Abadi" panose="020B0604020104020204" pitchFamily="34" charset="0"/>
          </a:endParaRPr>
        </a:p>
      </xdr:txBody>
    </xdr:sp>
    <xdr:clientData/>
  </xdr:twoCellAnchor>
  <xdr:twoCellAnchor>
    <xdr:from>
      <xdr:col>15</xdr:col>
      <xdr:colOff>938899</xdr:colOff>
      <xdr:row>6</xdr:row>
      <xdr:rowOff>113506</xdr:rowOff>
    </xdr:from>
    <xdr:to>
      <xdr:col>16</xdr:col>
      <xdr:colOff>721180</xdr:colOff>
      <xdr:row>8</xdr:row>
      <xdr:rowOff>149677</xdr:rowOff>
    </xdr:to>
    <xdr:cxnSp macro="">
      <xdr:nvCxnSpPr>
        <xdr:cNvPr id="9" name="Conector: angular 8">
          <a:extLst>
            <a:ext uri="{FF2B5EF4-FFF2-40B4-BE49-F238E27FC236}">
              <a16:creationId xmlns:a16="http://schemas.microsoft.com/office/drawing/2014/main" id="{E094A4F5-5567-499F-8872-B76146CBAF99}"/>
            </a:ext>
          </a:extLst>
        </xdr:cNvPr>
        <xdr:cNvCxnSpPr>
          <a:stCxn id="8" idx="2"/>
        </xdr:cNvCxnSpPr>
      </xdr:nvCxnSpPr>
      <xdr:spPr>
        <a:xfrm rot="5400000">
          <a:off x="14868132" y="1016058"/>
          <a:ext cx="430779" cy="993317"/>
        </a:xfrm>
        <a:prstGeom prst="bentConnector2">
          <a:avLst/>
        </a:prstGeom>
        <a:ln w="19050"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474655</xdr:colOff>
      <xdr:row>14</xdr:row>
      <xdr:rowOff>81122</xdr:rowOff>
    </xdr:from>
    <xdr:to>
      <xdr:col>19</xdr:col>
      <xdr:colOff>190500</xdr:colOff>
      <xdr:row>16</xdr:row>
      <xdr:rowOff>121227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BF417092-F686-48CF-B4D1-82EDB3E36EF2}"/>
            </a:ext>
          </a:extLst>
        </xdr:cNvPr>
        <xdr:cNvSpPr txBox="1"/>
      </xdr:nvSpPr>
      <xdr:spPr>
        <a:xfrm>
          <a:off x="14329200" y="3336940"/>
          <a:ext cx="3092891" cy="559651"/>
        </a:xfrm>
        <a:prstGeom prst="rect">
          <a:avLst/>
        </a:prstGeom>
        <a:solidFill>
          <a:schemeClr val="lt1"/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 baseline="0">
              <a:latin typeface="Abadi" panose="020B0604020104020204" pitchFamily="34" charset="0"/>
            </a:rPr>
            <a:t>Tan solo es aplicar la formula de las siguientes images.</a:t>
          </a:r>
        </a:p>
      </xdr:txBody>
    </xdr:sp>
    <xdr:clientData/>
  </xdr:twoCellAnchor>
  <xdr:twoCellAnchor editAs="oneCell">
    <xdr:from>
      <xdr:col>13</xdr:col>
      <xdr:colOff>28710</xdr:colOff>
      <xdr:row>18</xdr:row>
      <xdr:rowOff>0</xdr:rowOff>
    </xdr:from>
    <xdr:to>
      <xdr:col>15</xdr:col>
      <xdr:colOff>46029</xdr:colOff>
      <xdr:row>23</xdr:row>
      <xdr:rowOff>150396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4936DB8-7851-2703-991F-9F2EA0555D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7570" b="19907"/>
        <a:stretch/>
      </xdr:blipFill>
      <xdr:spPr>
        <a:xfrm>
          <a:off x="11458710" y="4236118"/>
          <a:ext cx="2348437" cy="11530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14</xdr:col>
      <xdr:colOff>791362</xdr:colOff>
      <xdr:row>29</xdr:row>
      <xdr:rowOff>55701</xdr:rowOff>
    </xdr:from>
    <xdr:to>
      <xdr:col>21</xdr:col>
      <xdr:colOff>551446</xdr:colOff>
      <xdr:row>32</xdr:row>
      <xdr:rowOff>367392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0BB94DE-6C33-48D0-A225-A9B020D92D55}"/>
            </a:ext>
          </a:extLst>
        </xdr:cNvPr>
        <xdr:cNvSpPr txBox="1"/>
      </xdr:nvSpPr>
      <xdr:spPr>
        <a:xfrm>
          <a:off x="13405183" y="6301380"/>
          <a:ext cx="5910513" cy="883191"/>
        </a:xfrm>
        <a:prstGeom prst="rect">
          <a:avLst/>
        </a:prstGeom>
        <a:solidFill>
          <a:schemeClr val="lt1"/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" panose="020B0604020104020204" pitchFamily="34" charset="0"/>
            </a:rPr>
            <a:t>La</a:t>
          </a:r>
          <a:r>
            <a:rPr lang="es-MX" sz="1400" baseline="0">
              <a:latin typeface="Abadi" panose="020B0604020104020204" pitchFamily="34" charset="0"/>
            </a:rPr>
            <a:t> frontera eficiente es el conjunto de cartera que ofrece los activos seleccionados, las cuales ofrece la mayor rentabilidad aompanada de una mayor riesgo.</a:t>
          </a:r>
          <a:endParaRPr lang="es-MX" sz="1400">
            <a:latin typeface="Abadi" panose="020B0604020104020204" pitchFamily="34" charset="0"/>
          </a:endParaRPr>
        </a:p>
      </xdr:txBody>
    </xdr:sp>
    <xdr:clientData/>
  </xdr:twoCellAnchor>
  <xdr:twoCellAnchor>
    <xdr:from>
      <xdr:col>13</xdr:col>
      <xdr:colOff>1052764</xdr:colOff>
      <xdr:row>28</xdr:row>
      <xdr:rowOff>75201</xdr:rowOff>
    </xdr:from>
    <xdr:to>
      <xdr:col>14</xdr:col>
      <xdr:colOff>791362</xdr:colOff>
      <xdr:row>31</xdr:row>
      <xdr:rowOff>116298</xdr:rowOff>
    </xdr:to>
    <xdr:cxnSp macro="">
      <xdr:nvCxnSpPr>
        <xdr:cNvPr id="5" name="Conector: angular 4">
          <a:extLst>
            <a:ext uri="{FF2B5EF4-FFF2-40B4-BE49-F238E27FC236}">
              <a16:creationId xmlns:a16="http://schemas.microsoft.com/office/drawing/2014/main" id="{EB55FF6C-FB52-43AA-994A-C02B1CA34284}"/>
            </a:ext>
          </a:extLst>
        </xdr:cNvPr>
        <xdr:cNvCxnSpPr>
          <a:stCxn id="3" idx="1"/>
        </xdr:cNvCxnSpPr>
      </xdr:nvCxnSpPr>
      <xdr:spPr>
        <a:xfrm rot="10800000">
          <a:off x="12564407" y="6130380"/>
          <a:ext cx="840776" cy="612597"/>
        </a:xfrm>
        <a:prstGeom prst="bentConnector3">
          <a:avLst>
            <a:gd name="adj1" fmla="val 50000"/>
          </a:avLst>
        </a:prstGeom>
        <a:ln w="19050"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369703</xdr:colOff>
      <xdr:row>58</xdr:row>
      <xdr:rowOff>145485</xdr:rowOff>
    </xdr:from>
    <xdr:to>
      <xdr:col>13</xdr:col>
      <xdr:colOff>659160</xdr:colOff>
      <xdr:row>64</xdr:row>
      <xdr:rowOff>112337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25F9324-53E8-430D-809B-0E08B8EA7EB8}"/>
            </a:ext>
          </a:extLst>
        </xdr:cNvPr>
        <xdr:cNvSpPr txBox="1"/>
      </xdr:nvSpPr>
      <xdr:spPr>
        <a:xfrm>
          <a:off x="6578925" y="12069707"/>
          <a:ext cx="5591108" cy="1099069"/>
        </a:xfrm>
        <a:prstGeom prst="rect">
          <a:avLst/>
        </a:prstGeom>
        <a:solidFill>
          <a:schemeClr val="lt1"/>
        </a:solidFill>
        <a:ln w="28575" cmpd="sng"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400">
              <a:latin typeface="Abadi" panose="020B0604020104020204" pitchFamily="34" charset="0"/>
            </a:rPr>
            <a:t>Para</a:t>
          </a:r>
          <a:r>
            <a:rPr lang="es-MX" sz="1400" baseline="0">
              <a:latin typeface="Abadi" panose="020B0604020104020204" pitchFamily="34" charset="0"/>
            </a:rPr>
            <a:t> crear lo que es la "bala" </a:t>
          </a:r>
          <a:r>
            <a:rPr lang="es-MX" sz="1400" i="1" baseline="0">
              <a:latin typeface="Abadi" panose="020B0604020104020204" pitchFamily="34" charset="0"/>
            </a:rPr>
            <a:t>(o el contorno)</a:t>
          </a:r>
          <a:r>
            <a:rPr lang="es-MX" sz="1400" baseline="0">
              <a:latin typeface="Abadi" panose="020B0604020104020204" pitchFamily="34" charset="0"/>
            </a:rPr>
            <a:t> vamos a recrear pocos  escenarios de los pesos de cada activo </a:t>
          </a:r>
          <a:r>
            <a:rPr lang="es-MX" sz="1400" i="1" baseline="0">
              <a:latin typeface="Abadi" panose="020B0604020104020204" pitchFamily="34" charset="0"/>
            </a:rPr>
            <a:t>(de manera proporcional) </a:t>
          </a:r>
          <a:r>
            <a:rPr lang="es-MX" sz="1400" baseline="0">
              <a:latin typeface="Abadi" panose="020B0604020104020204" pitchFamily="34" charset="0"/>
            </a:rPr>
            <a:t>y por ende "los rendimientos del portafolio" y "volatibilidad del portafolio" cambiaran...</a:t>
          </a:r>
          <a:endParaRPr lang="es-MX" sz="1400">
            <a:latin typeface="Abadi" panose="020B0604020104020204" pitchFamily="34" charset="0"/>
          </a:endParaRPr>
        </a:p>
      </xdr:txBody>
    </xdr:sp>
    <xdr:clientData/>
  </xdr:twoCellAnchor>
  <xdr:twoCellAnchor>
    <xdr:from>
      <xdr:col>11</xdr:col>
      <xdr:colOff>83296</xdr:colOff>
      <xdr:row>55</xdr:row>
      <xdr:rowOff>152760</xdr:rowOff>
    </xdr:from>
    <xdr:to>
      <xdr:col>11</xdr:col>
      <xdr:colOff>601794</xdr:colOff>
      <xdr:row>58</xdr:row>
      <xdr:rowOff>145485</xdr:rowOff>
    </xdr:to>
    <xdr:cxnSp macro="">
      <xdr:nvCxnSpPr>
        <xdr:cNvPr id="12" name="Conector: angular 11">
          <a:extLst>
            <a:ext uri="{FF2B5EF4-FFF2-40B4-BE49-F238E27FC236}">
              <a16:creationId xmlns:a16="http://schemas.microsoft.com/office/drawing/2014/main" id="{83DC0DF4-5120-4119-A12C-C804203A75EF}"/>
            </a:ext>
          </a:extLst>
        </xdr:cNvPr>
        <xdr:cNvCxnSpPr>
          <a:stCxn id="11" idx="0"/>
        </xdr:cNvCxnSpPr>
      </xdr:nvCxnSpPr>
      <xdr:spPr>
        <a:xfrm rot="16200000" flipV="1">
          <a:off x="8842303" y="11531041"/>
          <a:ext cx="558834" cy="518498"/>
        </a:xfrm>
        <a:prstGeom prst="bentConnector3">
          <a:avLst>
            <a:gd name="adj1" fmla="val 50000"/>
          </a:avLst>
        </a:prstGeom>
        <a:ln w="19050"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312964</xdr:colOff>
      <xdr:row>43</xdr:row>
      <xdr:rowOff>163285</xdr:rowOff>
    </xdr:from>
    <xdr:to>
      <xdr:col>14</xdr:col>
      <xdr:colOff>1183821</xdr:colOff>
      <xdr:row>47</xdr:row>
      <xdr:rowOff>176892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835DE3D4-0552-D453-36C8-3C79D1302B9D}"/>
            </a:ext>
          </a:extLst>
        </xdr:cNvPr>
        <xdr:cNvSpPr txBox="1"/>
      </xdr:nvSpPr>
      <xdr:spPr>
        <a:xfrm>
          <a:off x="12926785" y="9348106"/>
          <a:ext cx="870857" cy="775607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/>
            <a:t>Este es el </a:t>
          </a:r>
          <a:r>
            <a:rPr lang="es-MX" sz="1100" b="0"/>
            <a:t>portafolio de</a:t>
          </a:r>
          <a:r>
            <a:rPr lang="es-MX" sz="1100" b="0" baseline="0"/>
            <a:t> menos </a:t>
          </a:r>
          <a:r>
            <a:rPr lang="es-MX" sz="1100" baseline="0"/>
            <a:t>riesgo</a:t>
          </a:r>
          <a:endParaRPr lang="es-MX" sz="1100"/>
        </a:p>
      </xdr:txBody>
    </xdr:sp>
    <xdr:clientData/>
  </xdr:twoCellAnchor>
  <xdr:twoCellAnchor>
    <xdr:from>
      <xdr:col>19</xdr:col>
      <xdr:colOff>0</xdr:colOff>
      <xdr:row>38</xdr:row>
      <xdr:rowOff>68035</xdr:rowOff>
    </xdr:from>
    <xdr:to>
      <xdr:col>21</xdr:col>
      <xdr:colOff>1034143</xdr:colOff>
      <xdr:row>41</xdr:row>
      <xdr:rowOff>122464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B4DCD0D5-8858-4CA3-A11A-C4F20DBB2C6E}"/>
            </a:ext>
          </a:extLst>
        </xdr:cNvPr>
        <xdr:cNvSpPr txBox="1"/>
      </xdr:nvSpPr>
      <xdr:spPr>
        <a:xfrm>
          <a:off x="17240250" y="8300356"/>
          <a:ext cx="2558143" cy="62592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Frontera</a:t>
          </a:r>
          <a:r>
            <a:rPr lang="es-MX" sz="1100" b="1" baseline="0"/>
            <a:t> eficiente </a:t>
          </a:r>
          <a:r>
            <a:rPr lang="es-MX" sz="1100" i="1" baseline="0"/>
            <a:t>(es el curva que empieza desdeel portafolio de menor riesgos hasta adelante)</a:t>
          </a:r>
          <a:endParaRPr lang="es-MX" sz="1100" i="1"/>
        </a:p>
      </xdr:txBody>
    </xdr:sp>
    <xdr:clientData/>
  </xdr:twoCellAnchor>
  <xdr:twoCellAnchor>
    <xdr:from>
      <xdr:col>17</xdr:col>
      <xdr:colOff>517072</xdr:colOff>
      <xdr:row>38</xdr:row>
      <xdr:rowOff>176893</xdr:rowOff>
    </xdr:from>
    <xdr:to>
      <xdr:col>18</xdr:col>
      <xdr:colOff>666749</xdr:colOff>
      <xdr:row>40</xdr:row>
      <xdr:rowOff>136070</xdr:rowOff>
    </xdr:to>
    <xdr:sp macro="" textlink="">
      <xdr:nvSpPr>
        <xdr:cNvPr id="23" name="Flecha: a la derecha 22">
          <a:extLst>
            <a:ext uri="{FF2B5EF4-FFF2-40B4-BE49-F238E27FC236}">
              <a16:creationId xmlns:a16="http://schemas.microsoft.com/office/drawing/2014/main" id="{5BC5D6CF-0EB1-955E-B160-F7D1E5A8F0E8}"/>
            </a:ext>
          </a:extLst>
        </xdr:cNvPr>
        <xdr:cNvSpPr/>
      </xdr:nvSpPr>
      <xdr:spPr>
        <a:xfrm rot="10800000">
          <a:off x="16342179" y="8409214"/>
          <a:ext cx="802820" cy="34017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s-MX"/>
        </a:p>
      </xdr:txBody>
    </xdr:sp>
    <xdr:clientData/>
  </xdr:twoCellAnchor>
  <xdr:twoCellAnchor>
    <xdr:from>
      <xdr:col>15</xdr:col>
      <xdr:colOff>1034144</xdr:colOff>
      <xdr:row>45</xdr:row>
      <xdr:rowOff>95250</xdr:rowOff>
    </xdr:from>
    <xdr:to>
      <xdr:col>21</xdr:col>
      <xdr:colOff>489857</xdr:colOff>
      <xdr:row>48</xdr:row>
      <xdr:rowOff>149679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31F03728-DEEE-43C3-8D34-CCE77F374837}"/>
            </a:ext>
          </a:extLst>
        </xdr:cNvPr>
        <xdr:cNvSpPr txBox="1"/>
      </xdr:nvSpPr>
      <xdr:spPr>
        <a:xfrm>
          <a:off x="14886215" y="9661071"/>
          <a:ext cx="4367892" cy="625929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i="0"/>
            <a:t>El</a:t>
          </a:r>
          <a:r>
            <a:rPr lang="es-MX" sz="1100" i="0" baseline="0"/>
            <a:t> resto de los portafolios no son aceptables y para no revolvernos sera aquellos portafolios que estan debajo de la frontera eficiente</a:t>
          </a:r>
          <a:endParaRPr lang="es-MX" sz="1100" i="0"/>
        </a:p>
      </xdr:txBody>
    </xdr:sp>
    <xdr:clientData/>
  </xdr:twoCellAnchor>
  <xdr:twoCellAnchor>
    <xdr:from>
      <xdr:col>22</xdr:col>
      <xdr:colOff>571501</xdr:colOff>
      <xdr:row>38</xdr:row>
      <xdr:rowOff>40822</xdr:rowOff>
    </xdr:from>
    <xdr:to>
      <xdr:col>25</xdr:col>
      <xdr:colOff>666751</xdr:colOff>
      <xdr:row>40</xdr:row>
      <xdr:rowOff>176893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BD8A94C6-281C-4FFE-9858-84088A500F54}"/>
            </a:ext>
          </a:extLst>
        </xdr:cNvPr>
        <xdr:cNvSpPr txBox="1"/>
      </xdr:nvSpPr>
      <xdr:spPr>
        <a:xfrm>
          <a:off x="20383501" y="8273143"/>
          <a:ext cx="2381250" cy="517071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i="0"/>
            <a:t>Tambien</a:t>
          </a:r>
          <a:r>
            <a:rPr lang="es-MX" sz="1100" i="0" baseline="0"/>
            <a:t> lo podemos ver como el apetito del inversionista</a:t>
          </a:r>
          <a:endParaRPr lang="es-MX" sz="1100" i="0"/>
        </a:p>
      </xdr:txBody>
    </xdr:sp>
    <xdr:clientData/>
  </xdr:twoCellAnchor>
  <xdr:twoCellAnchor>
    <xdr:from>
      <xdr:col>21</xdr:col>
      <xdr:colOff>1034143</xdr:colOff>
      <xdr:row>39</xdr:row>
      <xdr:rowOff>108858</xdr:rowOff>
    </xdr:from>
    <xdr:to>
      <xdr:col>22</xdr:col>
      <xdr:colOff>571501</xdr:colOff>
      <xdr:row>40</xdr:row>
      <xdr:rowOff>0</xdr:rowOff>
    </xdr:to>
    <xdr:cxnSp macro="">
      <xdr:nvCxnSpPr>
        <xdr:cNvPr id="27" name="Conector: angular 26">
          <a:extLst>
            <a:ext uri="{FF2B5EF4-FFF2-40B4-BE49-F238E27FC236}">
              <a16:creationId xmlns:a16="http://schemas.microsoft.com/office/drawing/2014/main" id="{1C39D81A-3910-4BED-BE67-85954AD4D367}"/>
            </a:ext>
          </a:extLst>
        </xdr:cNvPr>
        <xdr:cNvCxnSpPr>
          <a:stCxn id="26" idx="1"/>
          <a:endCxn id="22" idx="3"/>
        </xdr:cNvCxnSpPr>
      </xdr:nvCxnSpPr>
      <xdr:spPr>
        <a:xfrm rot="10800000" flipV="1">
          <a:off x="19798393" y="8531679"/>
          <a:ext cx="585108" cy="81642"/>
        </a:xfrm>
        <a:prstGeom prst="bentConnector3">
          <a:avLst>
            <a:gd name="adj1" fmla="val 50000"/>
          </a:avLst>
        </a:prstGeom>
        <a:ln w="19050">
          <a:prstDash val="lgDash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0.2535</cdr:x>
      <cdr:y>0.51246</cdr:y>
    </cdr:from>
    <cdr:to>
      <cdr:x>0.29942</cdr:x>
      <cdr:y>0.5833</cdr:y>
    </cdr:to>
    <cdr:sp macro="" textlink="">
      <cdr:nvSpPr>
        <cdr:cNvPr id="2" name="Flecha: a la derecha 1">
          <a:extLst xmlns:a="http://schemas.openxmlformats.org/drawingml/2006/main">
            <a:ext uri="{FF2B5EF4-FFF2-40B4-BE49-F238E27FC236}">
              <a16:creationId xmlns:a16="http://schemas.microsoft.com/office/drawing/2014/main" id="{8B57DC26-B369-544C-BAC7-341998D52EA4}"/>
            </a:ext>
          </a:extLst>
        </cdr:cNvPr>
        <cdr:cNvSpPr/>
      </cdr:nvSpPr>
      <cdr:spPr>
        <a:xfrm xmlns:a="http://schemas.openxmlformats.org/drawingml/2006/main">
          <a:off x="1952951" y="2263953"/>
          <a:ext cx="353785" cy="312964"/>
        </a:xfrm>
        <a:prstGeom xmlns:a="http://schemas.openxmlformats.org/drawingml/2006/main" prst="rightArrow">
          <a:avLst/>
        </a:prstGeom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MX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DAVID MENDIETA LOPEZ" id="{62256C8A-03C8-426A-812C-F374E58BF1EC}" userId="S::mendieta_lopez_david@comunidad.unam.mx::50135692-ec2c-489a-957d-9bedbfc7b984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9" dT="2024-02-08T05:55:48.93" personId="{62256C8A-03C8-426A-812C-F374E58BF1EC}" id="{7D1F01DF-E2CF-4BA8-B300-2D6D40D8320D}">
    <text>Hace referencia a la cantidad invertidad en este tipo de acciones.</text>
  </threadedComment>
  <threadedComment ref="L9" dT="2024-02-08T06:00:57.57" personId="{62256C8A-03C8-426A-812C-F374E58BF1EC}" id="{DFFC9D9F-A265-4CF2-9247-3017FA10743B}">
    <text>La proporcion del total de inversion correspondente a este activo.</text>
  </threadedComment>
  <threadedComment ref="M9" dT="2024-02-08T06:03:42.73" personId="{62256C8A-03C8-426A-812C-F374E58BF1EC}" id="{00868ABB-62CD-483B-ABA1-ECA4185C3D9F}">
    <text>Rendimiento generado en todo este lapso de tiempo.</text>
  </threadedComment>
  <threadedComment ref="N9" dT="2024-02-08T06:07:29.24" personId="{62256C8A-03C8-426A-812C-F374E58BF1EC}" id="{616A262E-4B06-42E1-8073-3C9B5B274512}">
    <text>Es "el precio objetivo"; es decir, el precio esperado de cada accion al final del periodo.</text>
  </threadedComment>
  <threadedComment ref="O9" dT="2024-02-08T06:16:26.37" personId="{62256C8A-03C8-426A-812C-F374E58BF1EC}" id="{289056E2-63E9-4E36-8406-F50F2372C4C5}">
    <text>Como lo dice su nombre es el rendimiento % que existe entre el precio final y el precio objetivo.</text>
  </threadedComment>
  <threadedComment ref="M12" dT="2024-02-08T01:29:23.64" personId="{62256C8A-03C8-426A-812C-F374E58BF1EC}" id="{2AE0C537-0F0F-49EB-BF2B-CAE47E3E5909}">
    <text>Calculamos el rendimiento del portafolio por definicion</text>
  </threadedComment>
  <threadedComment ref="I15" dT="2024-02-08T07:00:20.70" personId="{62256C8A-03C8-426A-812C-F374E58BF1EC}" id="{2BE5E1E6-E197-4D90-BA82-3725B23326AF}">
    <text>Pues solo aplicas la funcion: coeficiente de correlacion.</text>
  </threadedComment>
  <threadedComment ref="N15" dT="2024-02-14T16:01:21.75" personId="{62256C8A-03C8-426A-812C-F374E58BF1EC}" id="{B0714BF6-87BF-418E-9081-9102F6C7F795}">
    <text>Rendimiento del portafolio</text>
  </threadedComment>
  <threadedComment ref="N16" dT="2024-02-14T16:03:04.18" personId="{62256C8A-03C8-426A-812C-F374E58BF1EC}" id="{CD962DE0-BFB4-4E8B-8147-FF918F0618E2}">
    <text>La volatibilidad del portafolio (desviacion estandar por asi decirlo)</text>
  </threadedComment>
  <threadedComment ref="I21" dT="2024-02-08T06:58:19.97" personId="{62256C8A-03C8-426A-812C-F374E58BF1EC}" id="{197FF04D-E9A1-4BD3-92F0-0D8210FB5405}">
    <text>Como es una matriz diagonalizada, solo es cuestion de ingresar la volatibilidad anual correspondiente.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5F78-FC7D-40BD-8339-7BD82E92FF90}">
  <sheetPr codeName="Hoja2"/>
  <dimension ref="A1:W275"/>
  <sheetViews>
    <sheetView tabSelected="1" zoomScale="64" zoomScaleNormal="70" workbookViewId="0">
      <selection activeCell="J93" sqref="J93:J95"/>
    </sheetView>
  </sheetViews>
  <sheetFormatPr baseColWidth="10" defaultRowHeight="15" x14ac:dyDescent="0.25"/>
  <cols>
    <col min="1" max="1" width="13" customWidth="1"/>
    <col min="10" max="10" width="14.42578125" customWidth="1"/>
    <col min="11" max="11" width="12.7109375" bestFit="1" customWidth="1"/>
    <col min="12" max="12" width="21.28515625" customWidth="1"/>
    <col min="13" max="13" width="19.7109375" customWidth="1"/>
    <col min="14" max="14" width="16.42578125" customWidth="1"/>
    <col min="15" max="15" width="18.5703125" customWidth="1"/>
    <col min="16" max="16" width="18.140625" customWidth="1"/>
    <col min="17" max="17" width="11.42578125" customWidth="1"/>
    <col min="18" max="18" width="9.7109375" customWidth="1"/>
    <col min="22" max="22" width="15.7109375" customWidth="1"/>
  </cols>
  <sheetData>
    <row r="1" spans="1:23" x14ac:dyDescent="0.25">
      <c r="A1" s="68" t="s">
        <v>20</v>
      </c>
      <c r="B1" s="68"/>
      <c r="C1" s="68"/>
      <c r="D1" s="68"/>
      <c r="E1" s="68"/>
      <c r="F1" s="68"/>
      <c r="G1" s="68"/>
      <c r="R1" s="3"/>
      <c r="V1" s="3"/>
      <c r="W1" s="3"/>
    </row>
    <row r="2" spans="1:23" x14ac:dyDescent="0.25">
      <c r="A2" s="68"/>
      <c r="B2" s="68"/>
      <c r="C2" s="68"/>
      <c r="D2" s="68"/>
      <c r="E2" s="68"/>
      <c r="F2" s="68"/>
      <c r="G2" s="68"/>
      <c r="R2" s="5"/>
      <c r="U2" s="7"/>
      <c r="V2" s="5"/>
      <c r="W2" s="4"/>
    </row>
    <row r="3" spans="1:23" x14ac:dyDescent="0.25">
      <c r="A3" s="68"/>
      <c r="B3" s="68"/>
      <c r="C3" s="68"/>
      <c r="D3" s="68"/>
      <c r="E3" s="68"/>
      <c r="F3" s="68"/>
      <c r="G3" s="68"/>
      <c r="Q3" s="9"/>
      <c r="R3" s="5"/>
      <c r="U3" s="7"/>
      <c r="V3" s="5"/>
      <c r="W3" s="4"/>
    </row>
    <row r="4" spans="1:23" x14ac:dyDescent="0.25">
      <c r="Q4" s="10"/>
      <c r="R4" s="5"/>
      <c r="U4" s="7"/>
      <c r="V4" s="5"/>
      <c r="W4" s="4"/>
    </row>
    <row r="5" spans="1:23" ht="18" x14ac:dyDescent="0.25">
      <c r="B5" s="12" t="s">
        <v>0</v>
      </c>
      <c r="C5" s="13" t="s">
        <v>1</v>
      </c>
      <c r="D5" s="13" t="s">
        <v>10</v>
      </c>
      <c r="E5" s="14" t="s">
        <v>2</v>
      </c>
      <c r="F5" s="14" t="s">
        <v>11</v>
      </c>
      <c r="Q5" s="10"/>
      <c r="R5" s="5"/>
      <c r="U5" s="7"/>
      <c r="V5" s="5"/>
      <c r="W5" s="4"/>
    </row>
    <row r="6" spans="1:23" x14ac:dyDescent="0.25">
      <c r="B6" s="15">
        <v>45322</v>
      </c>
      <c r="C6" s="17">
        <v>40.409999999999997</v>
      </c>
      <c r="D6" s="18">
        <v>14.3</v>
      </c>
      <c r="E6" s="19">
        <f t="shared" ref="E6:E69" si="0">C6/C7-1</f>
        <v>-5.4147181885307871E-3</v>
      </c>
      <c r="F6" s="20">
        <f t="shared" ref="F6:F69" si="1">D6/D7-1</f>
        <v>-5.5632823365785455E-3</v>
      </c>
      <c r="R6" s="5"/>
      <c r="U6" s="7"/>
      <c r="V6" s="5"/>
      <c r="W6" s="4"/>
    </row>
    <row r="7" spans="1:23" ht="15.75" customHeight="1" x14ac:dyDescent="0.25">
      <c r="B7" s="16">
        <v>45321</v>
      </c>
      <c r="C7" s="21">
        <v>40.630000000000003</v>
      </c>
      <c r="D7" s="22">
        <v>14.38</v>
      </c>
      <c r="E7" s="23">
        <f t="shared" si="0"/>
        <v>-1.4745637748831975E-3</v>
      </c>
      <c r="F7" s="24">
        <f t="shared" si="1"/>
        <v>6.2981105668300508E-3</v>
      </c>
    </row>
    <row r="8" spans="1:23" x14ac:dyDescent="0.25">
      <c r="B8" s="16">
        <v>45320</v>
      </c>
      <c r="C8" s="21">
        <v>40.69</v>
      </c>
      <c r="D8" s="22">
        <v>14.29</v>
      </c>
      <c r="E8" s="23">
        <f t="shared" si="0"/>
        <v>1.969958138389627E-3</v>
      </c>
      <c r="F8" s="24">
        <f t="shared" si="1"/>
        <v>9.8939929328620835E-3</v>
      </c>
    </row>
    <row r="9" spans="1:23" ht="54.75" customHeight="1" x14ac:dyDescent="0.25">
      <c r="B9" s="16">
        <v>45317</v>
      </c>
      <c r="C9" s="21">
        <v>40.61</v>
      </c>
      <c r="D9" s="22">
        <v>14.15</v>
      </c>
      <c r="E9" s="23">
        <f t="shared" si="0"/>
        <v>-1.3602137478746723E-2</v>
      </c>
      <c r="F9" s="24">
        <f t="shared" si="1"/>
        <v>1.1436740528949274E-2</v>
      </c>
      <c r="I9" s="12" t="s">
        <v>3</v>
      </c>
      <c r="J9" s="30" t="s">
        <v>18</v>
      </c>
      <c r="K9" s="30" t="s">
        <v>19</v>
      </c>
      <c r="L9" s="31" t="s">
        <v>5</v>
      </c>
      <c r="M9" s="30" t="s">
        <v>13</v>
      </c>
      <c r="N9" s="30" t="s">
        <v>12</v>
      </c>
      <c r="O9" s="30" t="s">
        <v>6</v>
      </c>
      <c r="P9" s="30" t="s">
        <v>7</v>
      </c>
    </row>
    <row r="10" spans="1:23" x14ac:dyDescent="0.25">
      <c r="B10" s="16">
        <v>45316</v>
      </c>
      <c r="C10" s="21">
        <v>41.17</v>
      </c>
      <c r="D10" s="22">
        <v>13.99</v>
      </c>
      <c r="E10" s="23">
        <f t="shared" si="0"/>
        <v>3.0280280280280403E-2</v>
      </c>
      <c r="F10" s="24">
        <f t="shared" si="1"/>
        <v>4.872563718140932E-2</v>
      </c>
      <c r="H10" s="29" t="s">
        <v>1</v>
      </c>
      <c r="I10" s="32">
        <v>1000</v>
      </c>
      <c r="J10" s="33">
        <f>+C6</f>
        <v>40.409999999999997</v>
      </c>
      <c r="K10" s="34">
        <f xml:space="preserve"> I10 * J10</f>
        <v>40410</v>
      </c>
      <c r="L10" s="40">
        <f xml:space="preserve"> K10 / $K$12</f>
        <v>0.36109373603788758</v>
      </c>
      <c r="M10" s="43">
        <f xml:space="preserve"> C6/ C258 - 1</f>
        <v>1.481667503766948E-2</v>
      </c>
      <c r="N10" s="45">
        <v>46.46</v>
      </c>
      <c r="O10" s="49">
        <f xml:space="preserve"> N10/J10 - 1</f>
        <v>0.14971541697599622</v>
      </c>
      <c r="P10" s="35">
        <f>SQRT(252)*STDEV(E6:E257)</f>
        <v>0.26764216311400479</v>
      </c>
    </row>
    <row r="11" spans="1:23" x14ac:dyDescent="0.25">
      <c r="B11" s="16">
        <v>45315</v>
      </c>
      <c r="C11" s="21">
        <v>39.96</v>
      </c>
      <c r="D11" s="22">
        <v>13.34</v>
      </c>
      <c r="E11" s="23">
        <f t="shared" si="0"/>
        <v>3.7678975131876236E-3</v>
      </c>
      <c r="F11" s="24">
        <f t="shared" si="1"/>
        <v>2.1439509954058078E-2</v>
      </c>
      <c r="H11" s="29" t="s">
        <v>10</v>
      </c>
      <c r="I11" s="36">
        <v>5000</v>
      </c>
      <c r="J11" s="37">
        <f>+D6</f>
        <v>14.3</v>
      </c>
      <c r="K11" s="38">
        <f xml:space="preserve"> I11 * J11</f>
        <v>71500</v>
      </c>
      <c r="L11" s="41">
        <f xml:space="preserve"> K11 / $K$12</f>
        <v>0.63890626396211236</v>
      </c>
      <c r="M11" s="44">
        <f xml:space="preserve"> D6/ D258 - 1</f>
        <v>0.43863179074446701</v>
      </c>
      <c r="N11" s="46">
        <v>17.63</v>
      </c>
      <c r="O11" s="50">
        <f xml:space="preserve"> N11/J11 - 1</f>
        <v>0.23286713286713279</v>
      </c>
      <c r="P11" s="39">
        <f>SQRT(252)*STDEV(F6:F257)</f>
        <v>0.30864769377591073</v>
      </c>
    </row>
    <row r="12" spans="1:23" ht="15.75" thickBot="1" x14ac:dyDescent="0.3">
      <c r="B12" s="16">
        <v>45314</v>
      </c>
      <c r="C12" s="21">
        <v>39.81</v>
      </c>
      <c r="D12" s="22">
        <v>13.06</v>
      </c>
      <c r="E12" s="23">
        <f t="shared" si="0"/>
        <v>3.2762096774194838E-3</v>
      </c>
      <c r="F12" s="24">
        <f t="shared" si="1"/>
        <v>1.9516003122560521E-2</v>
      </c>
      <c r="J12" s="47" t="s">
        <v>4</v>
      </c>
      <c r="K12" s="2">
        <f xml:space="preserve"> SUM(K10:K11)</f>
        <v>111910</v>
      </c>
      <c r="L12" s="42">
        <f xml:space="preserve"> SUM(L10:L11)</f>
        <v>1</v>
      </c>
      <c r="M12" s="48">
        <f xml:space="preserve"> SUMPRODUCT(L10:L11,M10:M11)</f>
        <v>0.28559480722456987</v>
      </c>
    </row>
    <row r="13" spans="1:23" ht="15.75" thickTop="1" x14ac:dyDescent="0.25">
      <c r="B13" s="16">
        <v>45313</v>
      </c>
      <c r="C13" s="21">
        <v>39.68</v>
      </c>
      <c r="D13" s="22">
        <v>12.81</v>
      </c>
      <c r="E13" s="23">
        <f t="shared" si="0"/>
        <v>-9.4857713429855606E-3</v>
      </c>
      <c r="F13" s="24">
        <f t="shared" si="1"/>
        <v>-7.800312012480326E-4</v>
      </c>
    </row>
    <row r="14" spans="1:23" x14ac:dyDescent="0.25">
      <c r="B14" s="16">
        <v>45310</v>
      </c>
      <c r="C14" s="21">
        <v>40.06</v>
      </c>
      <c r="D14" s="22">
        <v>12.82</v>
      </c>
      <c r="E14" s="23">
        <f t="shared" si="0"/>
        <v>3.0045067601403019E-3</v>
      </c>
      <c r="F14" s="24">
        <f t="shared" si="1"/>
        <v>6.2794348508634634E-3</v>
      </c>
      <c r="M14" s="6"/>
    </row>
    <row r="15" spans="1:23" ht="20.25" x14ac:dyDescent="0.25">
      <c r="B15" s="16">
        <v>45309</v>
      </c>
      <c r="C15" s="21">
        <v>39.94</v>
      </c>
      <c r="D15" s="22">
        <v>12.74</v>
      </c>
      <c r="E15" s="23">
        <f t="shared" si="0"/>
        <v>7.8002699055330638E-2</v>
      </c>
      <c r="F15" s="24">
        <f t="shared" si="1"/>
        <v>-8.5603112840466622E-3</v>
      </c>
      <c r="I15" s="69" t="s">
        <v>8</v>
      </c>
      <c r="J15" s="70"/>
      <c r="N15" s="63" t="s">
        <v>21</v>
      </c>
      <c r="O15" s="66">
        <f xml:space="preserve"> SUMPRODUCT(L10:L11, O10:O11)</f>
        <v>0.2028415691180413</v>
      </c>
    </row>
    <row r="16" spans="1:23" ht="20.25" x14ac:dyDescent="0.25">
      <c r="B16" s="16">
        <v>45308</v>
      </c>
      <c r="C16" s="21">
        <v>37.049999999999997</v>
      </c>
      <c r="D16" s="22">
        <v>12.85</v>
      </c>
      <c r="E16" s="23">
        <f t="shared" si="0"/>
        <v>-6.3447927199191234E-2</v>
      </c>
      <c r="F16" s="24">
        <f t="shared" si="1"/>
        <v>3.90625E-3</v>
      </c>
      <c r="K16" s="55" t="s">
        <v>1</v>
      </c>
      <c r="L16" s="65" t="s">
        <v>10</v>
      </c>
      <c r="N16" s="64" t="s">
        <v>23</v>
      </c>
      <c r="O16" s="67" cm="1">
        <f t="array" ref="O16">SQRT(MMULT(MMULT(TRANSPOSE(L10:L11),MMULT(MMULT(K23:L24,K17:L18),K23:L24)),L10:L11))</f>
        <v>0.23831861091452763</v>
      </c>
    </row>
    <row r="17" spans="2:14" x14ac:dyDescent="0.25">
      <c r="B17" s="16">
        <v>45307</v>
      </c>
      <c r="C17" s="21">
        <v>39.56</v>
      </c>
      <c r="D17" s="22">
        <v>12.8</v>
      </c>
      <c r="E17" s="23">
        <f t="shared" si="0"/>
        <v>-2.8009828009827986E-2</v>
      </c>
      <c r="F17" s="24">
        <f t="shared" si="1"/>
        <v>-1.9908116385911168E-2</v>
      </c>
      <c r="J17" s="57" t="s">
        <v>1</v>
      </c>
      <c r="K17" s="51">
        <f>CORREL($E$6:$E$257, E6:E257)</f>
        <v>1.0000000000000002</v>
      </c>
      <c r="L17" s="52">
        <f>CORREL($E$6:$E$257, F6:F257)</f>
        <v>0.22481720353315021</v>
      </c>
    </row>
    <row r="18" spans="2:14" x14ac:dyDescent="0.25">
      <c r="B18" s="16">
        <v>45306</v>
      </c>
      <c r="C18" s="21">
        <v>40.700000000000003</v>
      </c>
      <c r="D18" s="22">
        <v>13.06</v>
      </c>
      <c r="E18" s="23">
        <f t="shared" si="0"/>
        <v>2.1329987452948673E-2</v>
      </c>
      <c r="F18" s="24">
        <f t="shared" si="1"/>
        <v>-1.2102874432677768E-2</v>
      </c>
      <c r="J18" s="58" t="s">
        <v>10</v>
      </c>
      <c r="K18" s="53">
        <f xml:space="preserve"> L17</f>
        <v>0.22481720353315021</v>
      </c>
      <c r="L18" s="54">
        <f xml:space="preserve"> CORREL(F6:F257, F6:F257)</f>
        <v>1.0000000000000002</v>
      </c>
    </row>
    <row r="19" spans="2:14" x14ac:dyDescent="0.25">
      <c r="B19" s="16">
        <v>45303</v>
      </c>
      <c r="C19" s="21">
        <v>39.85</v>
      </c>
      <c r="D19" s="22">
        <v>13.22</v>
      </c>
      <c r="E19" s="23">
        <f t="shared" si="0"/>
        <v>-3.6508704061895547E-2</v>
      </c>
      <c r="F19" s="24">
        <f t="shared" si="1"/>
        <v>0</v>
      </c>
    </row>
    <row r="20" spans="2:14" x14ac:dyDescent="0.25">
      <c r="B20" s="16">
        <v>45302</v>
      </c>
      <c r="C20" s="21">
        <v>41.36</v>
      </c>
      <c r="D20" s="22">
        <v>13.22</v>
      </c>
      <c r="E20" s="23">
        <f t="shared" si="0"/>
        <v>1.447142506745136E-2</v>
      </c>
      <c r="F20" s="24">
        <f t="shared" si="1"/>
        <v>-7.5075075075075048E-3</v>
      </c>
    </row>
    <row r="21" spans="2:14" x14ac:dyDescent="0.25">
      <c r="B21" s="16">
        <v>45301</v>
      </c>
      <c r="C21" s="21">
        <v>40.770000000000003</v>
      </c>
      <c r="D21" s="22">
        <v>13.32</v>
      </c>
      <c r="E21" s="23">
        <f t="shared" si="0"/>
        <v>-6.5789473684209065E-3</v>
      </c>
      <c r="F21" s="24">
        <f t="shared" si="1"/>
        <v>8.3270249810749597E-3</v>
      </c>
      <c r="I21" s="69" t="s">
        <v>9</v>
      </c>
      <c r="J21" s="70"/>
    </row>
    <row r="22" spans="2:14" x14ac:dyDescent="0.25">
      <c r="B22" s="16">
        <v>45300</v>
      </c>
      <c r="C22" s="21">
        <v>41.04</v>
      </c>
      <c r="D22" s="22">
        <v>13.21</v>
      </c>
      <c r="E22" s="23">
        <f t="shared" si="0"/>
        <v>-1.6299137104506256E-2</v>
      </c>
      <c r="F22" s="24">
        <f t="shared" si="1"/>
        <v>9.9388379204894406E-3</v>
      </c>
      <c r="K22" s="55" t="s">
        <v>1</v>
      </c>
      <c r="L22" s="56" t="s">
        <v>10</v>
      </c>
    </row>
    <row r="23" spans="2:14" x14ac:dyDescent="0.25">
      <c r="B23" s="16">
        <v>45299</v>
      </c>
      <c r="C23" s="21">
        <v>41.72</v>
      </c>
      <c r="D23" s="22">
        <v>13.08</v>
      </c>
      <c r="E23" s="23">
        <f t="shared" si="0"/>
        <v>-2.2950819672131195E-2</v>
      </c>
      <c r="F23" s="24">
        <f t="shared" si="1"/>
        <v>6.1538461538461764E-3</v>
      </c>
      <c r="J23" s="57" t="s">
        <v>1</v>
      </c>
      <c r="K23" s="59">
        <f xml:space="preserve"> P10</f>
        <v>0.26764216311400479</v>
      </c>
      <c r="L23" s="60">
        <v>0</v>
      </c>
    </row>
    <row r="24" spans="2:14" x14ac:dyDescent="0.25">
      <c r="B24" s="16">
        <v>45296</v>
      </c>
      <c r="C24" s="21">
        <v>42.7</v>
      </c>
      <c r="D24" s="22">
        <v>13</v>
      </c>
      <c r="E24" s="23">
        <f t="shared" si="0"/>
        <v>3.6659383345472252E-2</v>
      </c>
      <c r="F24" s="24">
        <f t="shared" si="1"/>
        <v>2.6045777426992878E-2</v>
      </c>
      <c r="J24" s="58" t="s">
        <v>10</v>
      </c>
      <c r="K24" s="61">
        <v>0</v>
      </c>
      <c r="L24" s="62">
        <f xml:space="preserve"> P11</f>
        <v>0.30864769377591073</v>
      </c>
    </row>
    <row r="25" spans="2:14" x14ac:dyDescent="0.25">
      <c r="B25" s="16">
        <v>45295</v>
      </c>
      <c r="C25" s="21">
        <v>41.19</v>
      </c>
      <c r="D25" s="22">
        <v>12.67</v>
      </c>
      <c r="E25" s="23">
        <f t="shared" si="0"/>
        <v>-1.1044417767106851E-2</v>
      </c>
      <c r="F25" s="24">
        <f t="shared" si="1"/>
        <v>-7.8864353312302349E-4</v>
      </c>
    </row>
    <row r="26" spans="2:14" x14ac:dyDescent="0.25">
      <c r="B26" s="16">
        <v>45294</v>
      </c>
      <c r="C26" s="21">
        <v>41.65</v>
      </c>
      <c r="D26" s="22">
        <v>12.68</v>
      </c>
      <c r="E26" s="23">
        <f t="shared" si="0"/>
        <v>-3.5656401944894611E-2</v>
      </c>
      <c r="F26" s="24">
        <f t="shared" si="1"/>
        <v>-2.4615384615384595E-2</v>
      </c>
    </row>
    <row r="27" spans="2:14" x14ac:dyDescent="0.25">
      <c r="B27" s="16">
        <v>45293</v>
      </c>
      <c r="C27" s="21">
        <v>43.19</v>
      </c>
      <c r="D27" s="22">
        <v>13</v>
      </c>
      <c r="E27" s="23">
        <f t="shared" si="0"/>
        <v>-1.1670480549199169E-2</v>
      </c>
      <c r="F27" s="24">
        <f t="shared" si="1"/>
        <v>-1.6641452344931973E-2</v>
      </c>
    </row>
    <row r="28" spans="2:14" x14ac:dyDescent="0.25">
      <c r="B28" s="16">
        <v>45289</v>
      </c>
      <c r="C28" s="21">
        <v>43.7</v>
      </c>
      <c r="D28" s="22">
        <v>13.22</v>
      </c>
      <c r="E28" s="23">
        <f t="shared" si="0"/>
        <v>5.9852670349909154E-3</v>
      </c>
      <c r="F28" s="24">
        <f t="shared" si="1"/>
        <v>-1.4903129657227954E-2</v>
      </c>
      <c r="I28" s="68" t="s">
        <v>22</v>
      </c>
      <c r="J28" s="68"/>
      <c r="K28" s="68"/>
      <c r="L28" s="68"/>
      <c r="M28" s="68"/>
      <c r="N28" s="68"/>
    </row>
    <row r="29" spans="2:14" x14ac:dyDescent="0.25">
      <c r="B29" s="16">
        <v>45288</v>
      </c>
      <c r="C29" s="21">
        <v>43.44</v>
      </c>
      <c r="D29" s="22">
        <v>13.42</v>
      </c>
      <c r="E29" s="23">
        <f t="shared" si="0"/>
        <v>1.1173184357541777E-2</v>
      </c>
      <c r="F29" s="24">
        <f t="shared" si="1"/>
        <v>-2.4709302325581439E-2</v>
      </c>
      <c r="I29" s="68"/>
      <c r="J29" s="68"/>
      <c r="K29" s="68"/>
      <c r="L29" s="68"/>
      <c r="M29" s="68"/>
      <c r="N29" s="68"/>
    </row>
    <row r="30" spans="2:14" ht="15" customHeight="1" x14ac:dyDescent="0.25">
      <c r="B30" s="16">
        <v>45287</v>
      </c>
      <c r="C30" s="21">
        <v>42.96</v>
      </c>
      <c r="D30" s="22">
        <v>13.76</v>
      </c>
      <c r="E30" s="23">
        <f t="shared" si="0"/>
        <v>-2.0905923344947119E-3</v>
      </c>
      <c r="F30" s="24">
        <f t="shared" si="1"/>
        <v>-2.17548948513413E-3</v>
      </c>
      <c r="I30" s="68"/>
      <c r="J30" s="68"/>
      <c r="K30" s="68"/>
      <c r="L30" s="68"/>
      <c r="M30" s="68"/>
      <c r="N30" s="68"/>
    </row>
    <row r="31" spans="2:14" ht="15" customHeight="1" x14ac:dyDescent="0.25">
      <c r="B31" s="16">
        <v>45286</v>
      </c>
      <c r="C31" s="21">
        <v>43.05</v>
      </c>
      <c r="D31" s="22">
        <v>13.79</v>
      </c>
      <c r="E31" s="23">
        <f t="shared" si="0"/>
        <v>8.4328882642303871E-3</v>
      </c>
      <c r="F31" s="24">
        <f t="shared" si="1"/>
        <v>-9.339080459770166E-3</v>
      </c>
    </row>
    <row r="32" spans="2:14" ht="15" customHeight="1" x14ac:dyDescent="0.25">
      <c r="B32" s="16">
        <v>45282</v>
      </c>
      <c r="C32" s="21">
        <v>42.69</v>
      </c>
      <c r="D32" s="22">
        <v>13.92</v>
      </c>
      <c r="E32" s="23">
        <f t="shared" si="0"/>
        <v>2.0559407124073559E-2</v>
      </c>
      <c r="F32" s="24">
        <f t="shared" si="1"/>
        <v>1.2363636363636354E-2</v>
      </c>
    </row>
    <row r="33" spans="2:16" ht="33" customHeight="1" x14ac:dyDescent="0.25">
      <c r="B33" s="16">
        <v>45281</v>
      </c>
      <c r="C33" s="21">
        <v>41.83</v>
      </c>
      <c r="D33" s="22">
        <v>13.75</v>
      </c>
      <c r="E33" s="23">
        <f t="shared" si="0"/>
        <v>-1.1344835736232683E-2</v>
      </c>
      <c r="F33" s="24">
        <f t="shared" si="1"/>
        <v>2.2304832713754719E-2</v>
      </c>
      <c r="J33" s="75" t="s">
        <v>6</v>
      </c>
      <c r="K33" s="75"/>
    </row>
    <row r="34" spans="2:16" x14ac:dyDescent="0.25">
      <c r="B34" s="16">
        <v>45280</v>
      </c>
      <c r="C34" s="21">
        <v>42.31</v>
      </c>
      <c r="D34" s="22">
        <v>13.45</v>
      </c>
      <c r="E34" s="23">
        <f t="shared" si="0"/>
        <v>3.4474327628361889E-2</v>
      </c>
      <c r="F34" s="24">
        <f t="shared" si="1"/>
        <v>-1.1029411764705954E-2</v>
      </c>
      <c r="J34" s="76">
        <f xml:space="preserve"> O10</f>
        <v>0.14971541697599622</v>
      </c>
      <c r="K34" s="77">
        <f xml:space="preserve"> O11</f>
        <v>0.23286713286713279</v>
      </c>
      <c r="P34" s="4"/>
    </row>
    <row r="35" spans="2:16" ht="18" x14ac:dyDescent="0.25">
      <c r="B35" s="16">
        <v>45279</v>
      </c>
      <c r="C35" s="21">
        <v>40.9</v>
      </c>
      <c r="D35" s="22">
        <v>13.6</v>
      </c>
      <c r="E35" s="23">
        <f t="shared" si="0"/>
        <v>5.2225366606637458E-2</v>
      </c>
      <c r="F35" s="24">
        <f t="shared" si="1"/>
        <v>7.3583517292119538E-4</v>
      </c>
      <c r="J35" s="71" t="s">
        <v>17</v>
      </c>
      <c r="K35" s="72" t="s">
        <v>16</v>
      </c>
      <c r="L35" s="73" t="s">
        <v>14</v>
      </c>
      <c r="M35" s="74" t="s">
        <v>15</v>
      </c>
    </row>
    <row r="36" spans="2:16" x14ac:dyDescent="0.25">
      <c r="B36" s="16">
        <v>45278</v>
      </c>
      <c r="C36" s="21">
        <v>38.869999999999997</v>
      </c>
      <c r="D36" s="22">
        <v>13.59</v>
      </c>
      <c r="E36" s="23">
        <f t="shared" si="0"/>
        <v>1.8872870249017071E-2</v>
      </c>
      <c r="F36" s="24">
        <f t="shared" si="1"/>
        <v>5.177514792899407E-3</v>
      </c>
      <c r="J36" s="82">
        <v>0</v>
      </c>
      <c r="K36" s="82">
        <f>1-J36</f>
        <v>1</v>
      </c>
      <c r="L36" s="83" cm="1">
        <f t="array" ref="L36">SQRT( MMULT( MMULT( J36:K36, MMULT( MMULT( $K$23:$L$24, $K$17:$L$18 ), $K$23:$L$24 ) ), TRANSPOSE( J36:K36 ) ) )</f>
        <v>0.30864769377591078</v>
      </c>
      <c r="M36" s="83">
        <f xml:space="preserve"> SUMPRODUCT($J$34:$K$34, J36:K36)</f>
        <v>0.23286713286713279</v>
      </c>
      <c r="N36" s="7"/>
    </row>
    <row r="37" spans="2:16" x14ac:dyDescent="0.25">
      <c r="B37" s="16">
        <v>45275</v>
      </c>
      <c r="C37" s="21">
        <v>38.15</v>
      </c>
      <c r="D37" s="22">
        <v>13.52</v>
      </c>
      <c r="E37" s="23">
        <f t="shared" si="0"/>
        <v>-1.4466546112115841E-2</v>
      </c>
      <c r="F37" s="24">
        <f t="shared" si="1"/>
        <v>-1.477104874446078E-3</v>
      </c>
      <c r="J37" s="84">
        <v>0.05</v>
      </c>
      <c r="K37" s="84">
        <f>1-J37</f>
        <v>0.95</v>
      </c>
      <c r="L37" s="85" cm="1">
        <f t="array" ref="L37">SQRT( MMULT( MMULT( J37:K37, MMULT( MMULT( $K$23:$L$24, $K$17:$L$18 ), $K$23:$L$24 ) ), TRANSPOSE( J37:K37 ) ) )</f>
        <v>0.29651069342359221</v>
      </c>
      <c r="M37" s="85">
        <f xml:space="preserve"> SUMPRODUCT($J$34:$K$34, J37:K37)</f>
        <v>0.22870954707257596</v>
      </c>
    </row>
    <row r="38" spans="2:16" x14ac:dyDescent="0.25">
      <c r="B38" s="16">
        <v>45274</v>
      </c>
      <c r="C38" s="21">
        <v>38.71</v>
      </c>
      <c r="D38" s="22">
        <v>13.54</v>
      </c>
      <c r="E38" s="23">
        <f t="shared" si="0"/>
        <v>3.7523452157598447E-2</v>
      </c>
      <c r="F38" s="24">
        <f t="shared" si="1"/>
        <v>5.0426687354538258E-2</v>
      </c>
      <c r="J38" s="84">
        <f>+J37+0.05</f>
        <v>0.1</v>
      </c>
      <c r="K38" s="84">
        <f t="shared" ref="K38:K56" si="2">1-J38</f>
        <v>0.9</v>
      </c>
      <c r="L38" s="85" cm="1">
        <f t="array" ref="L38">SQRT( MMULT( MMULT( J38:K38, MMULT( MMULT( $K$23:$L$24, $K$17:$L$18 ), $K$23:$L$24 ) ), TRANSPOSE( J38:K38 ) ) )</f>
        <v>0.28499569704411287</v>
      </c>
      <c r="M38" s="85">
        <f xml:space="preserve"> SUMPRODUCT($J$34:$K$34, J38:K38)</f>
        <v>0.22455196127801913</v>
      </c>
    </row>
    <row r="39" spans="2:16" x14ac:dyDescent="0.25">
      <c r="B39" s="16">
        <v>45273</v>
      </c>
      <c r="C39" s="21">
        <v>37.31</v>
      </c>
      <c r="D39" s="22">
        <v>12.89</v>
      </c>
      <c r="E39" s="23">
        <f t="shared" si="0"/>
        <v>-2.406417112299386E-3</v>
      </c>
      <c r="F39" s="24">
        <f t="shared" si="1"/>
        <v>3.6173633440514497E-2</v>
      </c>
      <c r="J39" s="84">
        <f t="shared" ref="J39:J56" si="3">+J38+0.05</f>
        <v>0.15000000000000002</v>
      </c>
      <c r="K39" s="84">
        <f t="shared" si="2"/>
        <v>0.85</v>
      </c>
      <c r="L39" s="85" cm="1">
        <f t="array" ref="L39">SQRT( MMULT( MMULT( J39:K39, MMULT( MMULT( $K$23:$L$24, $K$17:$L$18 ), $K$23:$L$24 ) ), TRANSPOSE( J39:K39 ) ) )</f>
        <v>0.27418108419537102</v>
      </c>
      <c r="M39" s="85">
        <f xml:space="preserve"> SUMPRODUCT($J$34:$K$34, J39:K39)</f>
        <v>0.2203943754834623</v>
      </c>
    </row>
    <row r="40" spans="2:16" x14ac:dyDescent="0.25">
      <c r="B40" s="16">
        <v>45271</v>
      </c>
      <c r="C40" s="21">
        <v>37.4</v>
      </c>
      <c r="D40" s="22">
        <v>12.44</v>
      </c>
      <c r="E40" s="23">
        <f t="shared" si="0"/>
        <v>-1.6017084890550537E-3</v>
      </c>
      <c r="F40" s="24">
        <f t="shared" si="1"/>
        <v>8.921330089213253E-3</v>
      </c>
      <c r="J40" s="84">
        <f t="shared" si="3"/>
        <v>0.2</v>
      </c>
      <c r="K40" s="84">
        <f t="shared" si="2"/>
        <v>0.8</v>
      </c>
      <c r="L40" s="85" cm="1">
        <f t="array" ref="L40">SQRT( MMULT( MMULT( J40:K40, MMULT( MMULT( $K$23:$L$24, $K$17:$L$18 ), $K$23:$L$24 ) ), TRANSPOSE( J40:K40 ) ) )</f>
        <v>0.26415289153292953</v>
      </c>
      <c r="M40" s="85">
        <f xml:space="preserve"> SUMPRODUCT($J$34:$K$34, J40:K40)</f>
        <v>0.21623678968890547</v>
      </c>
    </row>
    <row r="41" spans="2:16" x14ac:dyDescent="0.25">
      <c r="B41" s="16">
        <v>45268</v>
      </c>
      <c r="C41" s="21">
        <v>37.46</v>
      </c>
      <c r="D41" s="22">
        <v>12.33</v>
      </c>
      <c r="E41" s="23">
        <f t="shared" si="0"/>
        <v>-6.8928950159066193E-3</v>
      </c>
      <c r="F41" s="24">
        <f t="shared" si="1"/>
        <v>8.1766148814390593E-3</v>
      </c>
      <c r="J41" s="84">
        <f t="shared" si="3"/>
        <v>0.25</v>
      </c>
      <c r="K41" s="84">
        <f t="shared" si="2"/>
        <v>0.75</v>
      </c>
      <c r="L41" s="85" cm="1">
        <f t="array" ref="L41">SQRT( MMULT( MMULT( J41:K41, MMULT( MMULT( $K$23:$L$24, $K$17:$L$18 ), $K$23:$L$24 ) ), TRANSPOSE( J41:K41 ) ) )</f>
        <v>0.25500391537706879</v>
      </c>
      <c r="M41" s="85">
        <f xml:space="preserve"> SUMPRODUCT($J$34:$K$34, J41:K41)</f>
        <v>0.21207920389434864</v>
      </c>
    </row>
    <row r="42" spans="2:16" x14ac:dyDescent="0.25">
      <c r="B42" s="16">
        <v>45267</v>
      </c>
      <c r="C42" s="21">
        <v>37.72</v>
      </c>
      <c r="D42" s="22">
        <v>12.23</v>
      </c>
      <c r="E42" s="23">
        <f t="shared" si="0"/>
        <v>4.2598509052182987E-3</v>
      </c>
      <c r="F42" s="24">
        <f t="shared" si="1"/>
        <v>7.4135090609555032E-3</v>
      </c>
      <c r="J42" s="84">
        <f t="shared" si="3"/>
        <v>0.3</v>
      </c>
      <c r="K42" s="84">
        <f t="shared" si="2"/>
        <v>0.7</v>
      </c>
      <c r="L42" s="85" cm="1">
        <f t="array" ref="L42">SQRT( MMULT( MMULT( J42:K42, MMULT( MMULT( $K$23:$L$24, $K$17:$L$18 ), $K$23:$L$24 ) ), TRANSPOSE( J42:K42 ) ) )</f>
        <v>0.24683194118231938</v>
      </c>
      <c r="M42" s="85">
        <f xml:space="preserve"> SUMPRODUCT($J$34:$K$34, J42:K42)</f>
        <v>0.20792161809979182</v>
      </c>
    </row>
    <row r="43" spans="2:16" x14ac:dyDescent="0.25">
      <c r="B43" s="16">
        <v>45266</v>
      </c>
      <c r="C43" s="21">
        <v>37.56</v>
      </c>
      <c r="D43" s="22">
        <v>12.14</v>
      </c>
      <c r="E43" s="23">
        <f t="shared" si="0"/>
        <v>1.18534482758621E-2</v>
      </c>
      <c r="F43" s="24">
        <f t="shared" si="1"/>
        <v>0</v>
      </c>
      <c r="J43" s="84">
        <f t="shared" si="3"/>
        <v>0.35</v>
      </c>
      <c r="K43" s="84">
        <f t="shared" si="2"/>
        <v>0.65</v>
      </c>
      <c r="L43" s="85" cm="1">
        <f t="array" ref="L43">SQRT( MMULT( MMULT( J43:K43, MMULT( MMULT( $K$23:$L$24, $K$17:$L$18 ), $K$23:$L$24 ) ), TRANSPOSE( J43:K43 ) ) )</f>
        <v>0.23973689973760362</v>
      </c>
      <c r="M43" s="85">
        <f xml:space="preserve"> SUMPRODUCT($J$34:$K$34, J43:K43)</f>
        <v>0.20376403230523499</v>
      </c>
    </row>
    <row r="44" spans="2:16" x14ac:dyDescent="0.25">
      <c r="B44" s="16">
        <v>45265</v>
      </c>
      <c r="C44" s="21">
        <v>37.119999999999997</v>
      </c>
      <c r="D44" s="22">
        <v>12.14</v>
      </c>
      <c r="E44" s="23">
        <f t="shared" si="0"/>
        <v>1.8940433708481974E-2</v>
      </c>
      <c r="F44" s="24">
        <f t="shared" si="1"/>
        <v>-1.4610389610389629E-2</v>
      </c>
      <c r="J44" s="84">
        <f t="shared" si="3"/>
        <v>0.39999999999999997</v>
      </c>
      <c r="K44" s="84">
        <f t="shared" si="2"/>
        <v>0.60000000000000009</v>
      </c>
      <c r="L44" s="85" cm="1">
        <f t="array" ref="L44">SQRT( MMULT( MMULT( J44:K44, MMULT( MMULT( $K$23:$L$24, $K$17:$L$18 ), $K$23:$L$24 ) ), TRANSPOSE( J44:K44 ) ) )</f>
        <v>0.23381684836968611</v>
      </c>
      <c r="M44" s="85">
        <f xml:space="preserve"> SUMPRODUCT($J$34:$K$34, J44:K44)</f>
        <v>0.19960644651067819</v>
      </c>
    </row>
    <row r="45" spans="2:16" x14ac:dyDescent="0.25">
      <c r="B45" s="16">
        <v>45264</v>
      </c>
      <c r="C45" s="21">
        <v>36.43</v>
      </c>
      <c r="D45" s="22">
        <v>12.32</v>
      </c>
      <c r="E45" s="23">
        <f t="shared" si="0"/>
        <v>-1.4606437652150417E-2</v>
      </c>
      <c r="F45" s="24">
        <f t="shared" si="1"/>
        <v>-8.110300081103361E-4</v>
      </c>
      <c r="J45" s="84">
        <f t="shared" si="3"/>
        <v>0.44999999999999996</v>
      </c>
      <c r="K45" s="84">
        <f t="shared" si="2"/>
        <v>0.55000000000000004</v>
      </c>
      <c r="L45" s="85" cm="1">
        <f t="array" ref="L45">SQRT( MMULT( MMULT( J45:K45, MMULT( MMULT( $K$23:$L$24, $K$17:$L$18 ), $K$23:$L$24 ) ), TRANSPOSE( J45:K45 ) ) )</f>
        <v>0.22916286707282416</v>
      </c>
      <c r="M45" s="85">
        <f xml:space="preserve"> SUMPRODUCT($J$34:$K$34, J45:K45)</f>
        <v>0.19544886071612133</v>
      </c>
    </row>
    <row r="46" spans="2:16" x14ac:dyDescent="0.25">
      <c r="B46" s="16">
        <v>45261</v>
      </c>
      <c r="C46" s="21">
        <v>36.97</v>
      </c>
      <c r="D46" s="22">
        <v>12.33</v>
      </c>
      <c r="E46" s="23">
        <f t="shared" si="0"/>
        <v>-4.3091839482899408E-3</v>
      </c>
      <c r="F46" s="24">
        <f t="shared" si="1"/>
        <v>2.1541010770505409E-2</v>
      </c>
      <c r="J46" s="84">
        <f t="shared" si="3"/>
        <v>0.49999999999999994</v>
      </c>
      <c r="K46" s="84">
        <f t="shared" si="2"/>
        <v>0.5</v>
      </c>
      <c r="L46" s="85" cm="1">
        <f t="array" ref="L46">SQRT( MMULT( MMULT( J46:K46, MMULT( MMULT( $K$23:$L$24, $K$17:$L$18 ), $K$23:$L$24 ) ), TRANSPOSE( J46:K46 ) ) )</f>
        <v>0.22585323616523642</v>
      </c>
      <c r="M46" s="85">
        <f xml:space="preserve"> SUMPRODUCT($J$34:$K$34, J46:K46)</f>
        <v>0.1912912749215645</v>
      </c>
    </row>
    <row r="47" spans="2:16" x14ac:dyDescent="0.25">
      <c r="B47" s="16">
        <v>45260</v>
      </c>
      <c r="C47" s="21">
        <v>37.130000000000003</v>
      </c>
      <c r="D47" s="22">
        <v>12.07</v>
      </c>
      <c r="E47" s="23">
        <f t="shared" si="0"/>
        <v>1.0615133369624496E-2</v>
      </c>
      <c r="F47" s="24">
        <f t="shared" si="1"/>
        <v>2.491694352159568E-3</v>
      </c>
      <c r="J47" s="84">
        <f t="shared" si="3"/>
        <v>0.54999999999999993</v>
      </c>
      <c r="K47" s="84">
        <f t="shared" si="2"/>
        <v>0.45000000000000007</v>
      </c>
      <c r="L47" s="85" cm="1">
        <f t="array" ref="L47">SQRT( MMULT( MMULT( J47:K47, MMULT( MMULT( $K$23:$L$24, $K$17:$L$18 ), $K$23:$L$24 ) ), TRANSPOSE( J47:K47 ) ) )</f>
        <v>0.22394756641980368</v>
      </c>
      <c r="M47" s="85">
        <f xml:space="preserve"> SUMPRODUCT($J$34:$K$34, J47:K47)</f>
        <v>0.18713368912700767</v>
      </c>
    </row>
    <row r="48" spans="2:16" x14ac:dyDescent="0.25">
      <c r="B48" s="16">
        <v>45259</v>
      </c>
      <c r="C48" s="21">
        <v>36.74</v>
      </c>
      <c r="D48" s="22">
        <v>12.04</v>
      </c>
      <c r="E48" s="23">
        <f t="shared" si="0"/>
        <v>-9.970358393963874E-3</v>
      </c>
      <c r="F48" s="24">
        <f t="shared" si="1"/>
        <v>3.3476394849785374E-2</v>
      </c>
      <c r="J48" s="86">
        <f t="shared" si="3"/>
        <v>0.6</v>
      </c>
      <c r="K48" s="86">
        <f t="shared" si="2"/>
        <v>0.4</v>
      </c>
      <c r="L48" s="87" cm="1">
        <f t="array" ref="L48">SQRT( MMULT( MMULT( J48:K48, MMULT( MMULT( $K$23:$L$24, $K$17:$L$18 ), $K$23:$L$24 ) ), TRANSPOSE( J48:K48 ) ) )</f>
        <v>0.22348177621936832</v>
      </c>
      <c r="M48" s="87">
        <f xml:space="preserve"> SUMPRODUCT($J$34:$K$34, J48:K48)</f>
        <v>0.18297610333245085</v>
      </c>
    </row>
    <row r="49" spans="2:15" x14ac:dyDescent="0.25">
      <c r="B49" s="16">
        <v>45258</v>
      </c>
      <c r="C49" s="21">
        <v>37.11</v>
      </c>
      <c r="D49" s="22">
        <v>11.65</v>
      </c>
      <c r="E49" s="23">
        <f t="shared" si="0"/>
        <v>1.089621356578574E-2</v>
      </c>
      <c r="F49" s="24">
        <f t="shared" si="1"/>
        <v>1.0407632263660149E-2</v>
      </c>
      <c r="J49" s="78">
        <f t="shared" si="3"/>
        <v>0.65</v>
      </c>
      <c r="K49" s="78">
        <f t="shared" si="2"/>
        <v>0.35</v>
      </c>
      <c r="L49" s="79" cm="1">
        <f t="array" ref="L49">SQRT( MMULT( MMULT( J49:K49, MMULT( MMULT( $K$23:$L$24, $K$17:$L$18 ), $K$23:$L$24 ) ), TRANSPOSE( J49:K49 ) ) )</f>
        <v>0.22446482948725927</v>
      </c>
      <c r="M49" s="79">
        <f xml:space="preserve"> SUMPRODUCT($J$34:$K$34, J49:K49)</f>
        <v>0.17881851753789402</v>
      </c>
    </row>
    <row r="50" spans="2:15" x14ac:dyDescent="0.25">
      <c r="B50" s="16">
        <v>45257</v>
      </c>
      <c r="C50" s="21">
        <v>36.71</v>
      </c>
      <c r="D50" s="22">
        <v>11.53</v>
      </c>
      <c r="E50" s="23">
        <f t="shared" si="0"/>
        <v>-1.0884353741495989E-3</v>
      </c>
      <c r="F50" s="24">
        <f t="shared" si="1"/>
        <v>-3.1092436974790028E-2</v>
      </c>
      <c r="J50" s="78">
        <f t="shared" si="3"/>
        <v>0.70000000000000007</v>
      </c>
      <c r="K50" s="78">
        <f t="shared" si="2"/>
        <v>0.29999999999999993</v>
      </c>
      <c r="L50" s="79" cm="1">
        <f t="array" ref="L50">SQRT( MMULT( MMULT( J50:K50, MMULT( MMULT( $K$23:$L$24, $K$17:$L$18 ), $K$23:$L$24 ) ), TRANSPOSE( J50:K50 ) ) )</f>
        <v>0.22687789365448113</v>
      </c>
      <c r="M50" s="79">
        <f xml:space="preserve"> SUMPRODUCT($J$34:$K$34, J50:K50)</f>
        <v>0.17466093174333719</v>
      </c>
    </row>
    <row r="51" spans="2:15" ht="15" customHeight="1" x14ac:dyDescent="0.25">
      <c r="B51" s="16">
        <v>45254</v>
      </c>
      <c r="C51" s="21">
        <v>36.75</v>
      </c>
      <c r="D51" s="22">
        <v>11.9</v>
      </c>
      <c r="E51" s="23">
        <f t="shared" si="0"/>
        <v>-1.9011406844106071E-3</v>
      </c>
      <c r="F51" s="24">
        <f t="shared" si="1"/>
        <v>5.0675675675675436E-3</v>
      </c>
      <c r="J51" s="78">
        <f t="shared" si="3"/>
        <v>0.75000000000000011</v>
      </c>
      <c r="K51" s="78">
        <f t="shared" si="2"/>
        <v>0.24999999999999989</v>
      </c>
      <c r="L51" s="79" cm="1">
        <f t="array" ref="L51">SQRT( MMULT( MMULT( J51:K51, MMULT( MMULT( $K$23:$L$24, $K$17:$L$18 ), $K$23:$L$24 ) ), TRANSPOSE( J51:K51 ) ) )</f>
        <v>0.23067609576896528</v>
      </c>
      <c r="M51" s="79">
        <f xml:space="preserve"> SUMPRODUCT($J$34:$K$34, J51:K51)</f>
        <v>0.17050334594878036</v>
      </c>
    </row>
    <row r="52" spans="2:15" x14ac:dyDescent="0.25">
      <c r="B52" s="16">
        <v>45253</v>
      </c>
      <c r="C52" s="21">
        <v>36.82</v>
      </c>
      <c r="D52" s="22">
        <v>11.84</v>
      </c>
      <c r="E52" s="23">
        <f t="shared" si="0"/>
        <v>3.2697547683921968E-3</v>
      </c>
      <c r="F52" s="24">
        <f t="shared" si="1"/>
        <v>1.5437392795883298E-2</v>
      </c>
      <c r="J52" s="78">
        <f t="shared" si="3"/>
        <v>0.80000000000000016</v>
      </c>
      <c r="K52" s="78">
        <f t="shared" si="2"/>
        <v>0.19999999999999984</v>
      </c>
      <c r="L52" s="79" cm="1">
        <f t="array" ref="L52">SQRT( MMULT( MMULT( J52:K52, MMULT( MMULT( $K$23:$L$24, $K$17:$L$18 ), $K$23:$L$24 ) ), TRANSPOSE( J52:K52 ) ) )</f>
        <v>0.23579250892914463</v>
      </c>
      <c r="M52" s="79">
        <f xml:space="preserve"> SUMPRODUCT($J$34:$K$34, J52:K52)</f>
        <v>0.16634576015422353</v>
      </c>
    </row>
    <row r="53" spans="2:15" x14ac:dyDescent="0.25">
      <c r="B53" s="16">
        <v>45252</v>
      </c>
      <c r="C53" s="21">
        <v>36.700000000000003</v>
      </c>
      <c r="D53" s="22">
        <v>11.66</v>
      </c>
      <c r="E53" s="23">
        <f t="shared" si="0"/>
        <v>1.6375545851528006E-3</v>
      </c>
      <c r="F53" s="24">
        <f t="shared" si="1"/>
        <v>-1.1026293469041493E-2</v>
      </c>
      <c r="J53" s="78">
        <f t="shared" si="3"/>
        <v>0.8500000000000002</v>
      </c>
      <c r="K53" s="78">
        <f t="shared" si="2"/>
        <v>0.1499999999999998</v>
      </c>
      <c r="L53" s="79" cm="1">
        <f t="array" ref="L53">SQRT( MMULT( MMULT( J53:K53, MMULT( MMULT( $K$23:$L$24, $K$17:$L$18 ), $K$23:$L$24 ) ), TRANSPOSE( J53:K53 ) ) )</f>
        <v>0.24214358746982706</v>
      </c>
      <c r="M53" s="79">
        <f xml:space="preserve"> SUMPRODUCT($J$34:$K$34, J53:K53)</f>
        <v>0.16218817435966668</v>
      </c>
    </row>
    <row r="54" spans="2:15" x14ac:dyDescent="0.25">
      <c r="B54" s="16">
        <v>45251</v>
      </c>
      <c r="C54" s="21">
        <v>36.64</v>
      </c>
      <c r="D54" s="22">
        <v>11.79</v>
      </c>
      <c r="E54" s="23">
        <f t="shared" si="0"/>
        <v>-5.1588379038826071E-3</v>
      </c>
      <c r="F54" s="24">
        <f t="shared" si="1"/>
        <v>-2.2388059701492602E-2</v>
      </c>
      <c r="J54" s="78">
        <f t="shared" si="3"/>
        <v>0.90000000000000024</v>
      </c>
      <c r="K54" s="78">
        <f t="shared" si="2"/>
        <v>9.9999999999999756E-2</v>
      </c>
      <c r="L54" s="79" cm="1">
        <f t="array" ref="L54">SQRT( MMULT( MMULT( J54:K54, MMULT( MMULT( $K$23:$L$24, $K$17:$L$18 ), $K$23:$L$24 ) ), TRANSPOSE( J54:K54 ) ) )</f>
        <v>0.24963511414899936</v>
      </c>
      <c r="M54" s="79">
        <f xml:space="preserve"> SUMPRODUCT($J$34:$K$34, J54:K54)</f>
        <v>0.15803058856510985</v>
      </c>
      <c r="O54" s="5"/>
    </row>
    <row r="55" spans="2:15" x14ac:dyDescent="0.25">
      <c r="B55" s="16">
        <v>45247</v>
      </c>
      <c r="C55" s="21">
        <v>36.83</v>
      </c>
      <c r="D55" s="22">
        <v>12.06</v>
      </c>
      <c r="E55" s="23">
        <f t="shared" si="0"/>
        <v>8.1521739130430149E-4</v>
      </c>
      <c r="F55" s="24">
        <f t="shared" si="1"/>
        <v>1.3445378151260456E-2</v>
      </c>
      <c r="J55" s="78">
        <f t="shared" si="3"/>
        <v>0.95000000000000029</v>
      </c>
      <c r="K55" s="78">
        <f t="shared" si="2"/>
        <v>4.9999999999999711E-2</v>
      </c>
      <c r="L55" s="79" cm="1">
        <f t="array" ref="L55">SQRT( MMULT( MMULT( J55:K55, MMULT( MMULT( $K$23:$L$24, $K$17:$L$18 ), $K$23:$L$24 ) ), TRANSPOSE( J55:K55 ) ) )</f>
        <v>0.25816782730886362</v>
      </c>
      <c r="M55" s="79">
        <f xml:space="preserve"> SUMPRODUCT($J$34:$K$34, J55:K55)</f>
        <v>0.15387300277055305</v>
      </c>
    </row>
    <row r="56" spans="2:15" x14ac:dyDescent="0.25">
      <c r="B56" s="16">
        <v>45246</v>
      </c>
      <c r="C56" s="21">
        <v>36.799999999999997</v>
      </c>
      <c r="D56" s="22">
        <v>11.9</v>
      </c>
      <c r="E56" s="23">
        <f t="shared" si="0"/>
        <v>-2.9802221620156555E-3</v>
      </c>
      <c r="F56" s="24">
        <f t="shared" si="1"/>
        <v>-2.3789991796554499E-2</v>
      </c>
      <c r="J56" s="80">
        <f t="shared" si="3"/>
        <v>1.0000000000000002</v>
      </c>
      <c r="K56" s="80">
        <f t="shared" si="2"/>
        <v>0</v>
      </c>
      <c r="L56" s="81" cm="1">
        <f t="array" ref="L56">SQRT( MMULT( MMULT( J56:K56, MMULT( MMULT( $K$23:$L$24, $K$17:$L$18 ), $K$23:$L$24 ) ), TRANSPOSE( J56:K56 ) ) )</f>
        <v>0.26764216311400485</v>
      </c>
      <c r="M56" s="81">
        <f xml:space="preserve"> SUMPRODUCT($J$34:$K$34, J56:K56)</f>
        <v>0.14971541697599625</v>
      </c>
    </row>
    <row r="57" spans="2:15" x14ac:dyDescent="0.25">
      <c r="B57" s="16">
        <v>45245</v>
      </c>
      <c r="C57" s="21">
        <v>36.909999999999997</v>
      </c>
      <c r="D57" s="22">
        <v>12.19</v>
      </c>
      <c r="E57" s="23">
        <f t="shared" si="0"/>
        <v>-8.0623488309595759E-3</v>
      </c>
      <c r="F57" s="24">
        <f t="shared" si="1"/>
        <v>-1.2955465587044523E-2</v>
      </c>
    </row>
    <row r="58" spans="2:15" x14ac:dyDescent="0.25">
      <c r="B58" s="16">
        <v>45244</v>
      </c>
      <c r="C58" s="21">
        <v>37.21</v>
      </c>
      <c r="D58" s="22">
        <v>12.35</v>
      </c>
      <c r="E58" s="23">
        <f t="shared" si="0"/>
        <v>6.4917500676224815E-3</v>
      </c>
      <c r="F58" s="24">
        <f t="shared" si="1"/>
        <v>1.9818331957060398E-2</v>
      </c>
    </row>
    <row r="59" spans="2:15" x14ac:dyDescent="0.25">
      <c r="B59" s="16">
        <v>45243</v>
      </c>
      <c r="C59" s="21">
        <v>36.97</v>
      </c>
      <c r="D59" s="22">
        <v>12.11</v>
      </c>
      <c r="E59" s="23">
        <f t="shared" si="0"/>
        <v>5.4127198917441888E-4</v>
      </c>
      <c r="F59" s="24">
        <f t="shared" si="1"/>
        <v>-1.2234910277324706E-2</v>
      </c>
    </row>
    <row r="60" spans="2:15" x14ac:dyDescent="0.25">
      <c r="B60" s="16">
        <v>45240</v>
      </c>
      <c r="C60" s="21">
        <v>36.950000000000003</v>
      </c>
      <c r="D60" s="22">
        <v>12.26</v>
      </c>
      <c r="E60" s="23">
        <f t="shared" si="0"/>
        <v>2.7070925825678493E-4</v>
      </c>
      <c r="F60" s="24">
        <f t="shared" si="1"/>
        <v>-3.2520325203252431E-3</v>
      </c>
    </row>
    <row r="61" spans="2:15" x14ac:dyDescent="0.25">
      <c r="B61" s="16">
        <v>45239</v>
      </c>
      <c r="C61" s="21">
        <v>36.94</v>
      </c>
      <c r="D61" s="22">
        <v>12.3</v>
      </c>
      <c r="E61" s="23">
        <f t="shared" si="0"/>
        <v>-1.3517166801839675E-3</v>
      </c>
      <c r="F61" s="24">
        <f t="shared" si="1"/>
        <v>1.0682004930156141E-2</v>
      </c>
    </row>
    <row r="62" spans="2:15" x14ac:dyDescent="0.25">
      <c r="B62" s="16">
        <v>45238</v>
      </c>
      <c r="C62" s="21">
        <v>36.99</v>
      </c>
      <c r="D62" s="22">
        <v>12.17</v>
      </c>
      <c r="E62" s="23">
        <f t="shared" si="0"/>
        <v>8.7264794109627175E-3</v>
      </c>
      <c r="F62" s="24">
        <f t="shared" si="1"/>
        <v>1.6708437761069339E-2</v>
      </c>
    </row>
    <row r="63" spans="2:15" x14ac:dyDescent="0.25">
      <c r="B63" s="16">
        <v>45237</v>
      </c>
      <c r="C63" s="21">
        <v>36.67</v>
      </c>
      <c r="D63" s="22">
        <v>11.97</v>
      </c>
      <c r="E63" s="23">
        <f t="shared" si="0"/>
        <v>-1.1590296495956887E-2</v>
      </c>
      <c r="F63" s="24">
        <f t="shared" si="1"/>
        <v>1.0126582278481067E-2</v>
      </c>
    </row>
    <row r="64" spans="2:15" x14ac:dyDescent="0.25">
      <c r="B64" s="16">
        <v>45236</v>
      </c>
      <c r="C64" s="21">
        <v>37.1</v>
      </c>
      <c r="D64" s="22">
        <v>11.85</v>
      </c>
      <c r="E64" s="23">
        <f t="shared" si="0"/>
        <v>9.52380952380949E-3</v>
      </c>
      <c r="F64" s="24">
        <f t="shared" si="1"/>
        <v>1.2820512820512775E-2</v>
      </c>
    </row>
    <row r="65" spans="2:6" x14ac:dyDescent="0.25">
      <c r="B65" s="16">
        <v>45233</v>
      </c>
      <c r="C65" s="21">
        <v>36.75</v>
      </c>
      <c r="D65" s="22">
        <v>11.7</v>
      </c>
      <c r="E65" s="23">
        <f t="shared" si="0"/>
        <v>1.6597510373443924E-2</v>
      </c>
      <c r="F65" s="24">
        <f t="shared" si="1"/>
        <v>6.8493150684931559E-2</v>
      </c>
    </row>
    <row r="66" spans="2:6" x14ac:dyDescent="0.25">
      <c r="B66" s="16">
        <v>45231</v>
      </c>
      <c r="C66" s="21">
        <v>36.15</v>
      </c>
      <c r="D66" s="22">
        <v>10.95</v>
      </c>
      <c r="E66" s="23">
        <f t="shared" si="0"/>
        <v>5.5632823365785455E-3</v>
      </c>
      <c r="F66" s="24">
        <f t="shared" si="1"/>
        <v>1.1080332409972193E-2</v>
      </c>
    </row>
    <row r="67" spans="2:6" x14ac:dyDescent="0.25">
      <c r="B67" s="16">
        <v>45230</v>
      </c>
      <c r="C67" s="21">
        <v>35.950000000000003</v>
      </c>
      <c r="D67" s="22">
        <v>10.83</v>
      </c>
      <c r="E67" s="23">
        <f t="shared" si="0"/>
        <v>-1.1114198388441077E-3</v>
      </c>
      <c r="F67" s="24">
        <f t="shared" si="1"/>
        <v>7.4418604651163012E-3</v>
      </c>
    </row>
    <row r="68" spans="2:6" x14ac:dyDescent="0.25">
      <c r="B68" s="16">
        <v>45229</v>
      </c>
      <c r="C68" s="21">
        <v>35.99</v>
      </c>
      <c r="D68" s="22">
        <v>10.75</v>
      </c>
      <c r="E68" s="23">
        <f t="shared" si="0"/>
        <v>8.1232492997198591E-3</v>
      </c>
      <c r="F68" s="24">
        <f t="shared" si="1"/>
        <v>-2.7829313543599188E-3</v>
      </c>
    </row>
    <row r="69" spans="2:6" x14ac:dyDescent="0.25">
      <c r="B69" s="16">
        <v>45226</v>
      </c>
      <c r="C69" s="21">
        <v>35.700000000000003</v>
      </c>
      <c r="D69" s="22">
        <v>10.78</v>
      </c>
      <c r="E69" s="23">
        <f t="shared" si="0"/>
        <v>-1.6257922292642446E-2</v>
      </c>
      <c r="F69" s="24">
        <f t="shared" si="1"/>
        <v>-4.6861184792219346E-2</v>
      </c>
    </row>
    <row r="70" spans="2:6" x14ac:dyDescent="0.25">
      <c r="B70" s="16">
        <v>45225</v>
      </c>
      <c r="C70" s="21">
        <v>36.29</v>
      </c>
      <c r="D70" s="22">
        <v>11.31</v>
      </c>
      <c r="E70" s="23">
        <f t="shared" ref="E70:E133" si="4">C70/C71-1</f>
        <v>1.6811431773606111E-2</v>
      </c>
      <c r="F70" s="24">
        <f t="shared" ref="F70:F133" si="5">D70/D71-1</f>
        <v>2.0758122743682383E-2</v>
      </c>
    </row>
    <row r="71" spans="2:6" x14ac:dyDescent="0.25">
      <c r="B71" s="16">
        <v>45224</v>
      </c>
      <c r="C71" s="21">
        <v>35.69</v>
      </c>
      <c r="D71" s="22">
        <v>11.08</v>
      </c>
      <c r="E71" s="23">
        <f t="shared" si="4"/>
        <v>8.4769708957330714E-3</v>
      </c>
      <c r="F71" s="24">
        <f t="shared" si="5"/>
        <v>2.3084025854108958E-2</v>
      </c>
    </row>
    <row r="72" spans="2:6" x14ac:dyDescent="0.25">
      <c r="B72" s="16">
        <v>45223</v>
      </c>
      <c r="C72" s="21">
        <v>35.39</v>
      </c>
      <c r="D72" s="22">
        <v>10.83</v>
      </c>
      <c r="E72" s="23">
        <f t="shared" si="4"/>
        <v>2.8336639274582076E-3</v>
      </c>
      <c r="F72" s="24">
        <f t="shared" si="5"/>
        <v>0</v>
      </c>
    </row>
    <row r="73" spans="2:6" x14ac:dyDescent="0.25">
      <c r="B73" s="16">
        <v>45222</v>
      </c>
      <c r="C73" s="21">
        <v>35.29</v>
      </c>
      <c r="D73" s="22">
        <v>10.83</v>
      </c>
      <c r="E73" s="23">
        <f t="shared" si="4"/>
        <v>0</v>
      </c>
      <c r="F73" s="24">
        <f t="shared" si="5"/>
        <v>-1.0958904109588996E-2</v>
      </c>
    </row>
    <row r="74" spans="2:6" x14ac:dyDescent="0.25">
      <c r="B74" s="16">
        <v>45219</v>
      </c>
      <c r="C74" s="21">
        <v>35.29</v>
      </c>
      <c r="D74" s="22">
        <v>10.95</v>
      </c>
      <c r="E74" s="23">
        <f t="shared" si="4"/>
        <v>-3.6702428006776255E-3</v>
      </c>
      <c r="F74" s="24">
        <f t="shared" si="5"/>
        <v>-9.9457504520796824E-3</v>
      </c>
    </row>
    <row r="75" spans="2:6" x14ac:dyDescent="0.25">
      <c r="B75" s="16">
        <v>45218</v>
      </c>
      <c r="C75" s="21">
        <v>35.42</v>
      </c>
      <c r="D75" s="22">
        <v>11.06</v>
      </c>
      <c r="E75" s="23">
        <f t="shared" si="4"/>
        <v>-4.2170368287882676E-3</v>
      </c>
      <c r="F75" s="24">
        <f t="shared" si="5"/>
        <v>-9.8478066248880447E-3</v>
      </c>
    </row>
    <row r="76" spans="2:6" x14ac:dyDescent="0.25">
      <c r="B76" s="16">
        <v>45217</v>
      </c>
      <c r="C76" s="21">
        <v>35.57</v>
      </c>
      <c r="D76" s="22">
        <v>11.17</v>
      </c>
      <c r="E76" s="23">
        <f t="shared" si="4"/>
        <v>-2.3070585004119626E-2</v>
      </c>
      <c r="F76" s="24">
        <f t="shared" si="5"/>
        <v>-3.038194444444442E-2</v>
      </c>
    </row>
    <row r="77" spans="2:6" x14ac:dyDescent="0.25">
      <c r="B77" s="16">
        <v>45216</v>
      </c>
      <c r="C77" s="21">
        <v>36.409999999999997</v>
      </c>
      <c r="D77" s="22">
        <v>11.52</v>
      </c>
      <c r="E77" s="23">
        <f t="shared" si="4"/>
        <v>1.0998075336816626E-3</v>
      </c>
      <c r="F77" s="24">
        <f t="shared" si="5"/>
        <v>-5.1813471502590858E-3</v>
      </c>
    </row>
    <row r="78" spans="2:6" x14ac:dyDescent="0.25">
      <c r="B78" s="16">
        <v>45215</v>
      </c>
      <c r="C78" s="21">
        <v>36.369999999999997</v>
      </c>
      <c r="D78" s="22">
        <v>11.58</v>
      </c>
      <c r="E78" s="23">
        <f t="shared" si="4"/>
        <v>-8.2417582417582125E-4</v>
      </c>
      <c r="F78" s="24">
        <f t="shared" si="5"/>
        <v>3.8565022421524597E-2</v>
      </c>
    </row>
    <row r="79" spans="2:6" x14ac:dyDescent="0.25">
      <c r="B79" s="16">
        <v>45212</v>
      </c>
      <c r="C79" s="21">
        <v>36.4</v>
      </c>
      <c r="D79" s="22">
        <v>11.15</v>
      </c>
      <c r="E79" s="23">
        <f t="shared" si="4"/>
        <v>-8.7145969498910736E-3</v>
      </c>
      <c r="F79" s="24">
        <f t="shared" si="5"/>
        <v>8.9766606822250239E-4</v>
      </c>
    </row>
    <row r="80" spans="2:6" x14ac:dyDescent="0.25">
      <c r="B80" s="16">
        <v>45211</v>
      </c>
      <c r="C80" s="21">
        <v>36.72</v>
      </c>
      <c r="D80" s="22">
        <v>11.14</v>
      </c>
      <c r="E80" s="23">
        <f t="shared" si="4"/>
        <v>-2.0538810349426617E-2</v>
      </c>
      <c r="F80" s="24">
        <f t="shared" si="5"/>
        <v>-2.707423580786017E-2</v>
      </c>
    </row>
    <row r="81" spans="2:9" x14ac:dyDescent="0.25">
      <c r="B81" s="16">
        <v>45210</v>
      </c>
      <c r="C81" s="21">
        <v>37.49</v>
      </c>
      <c r="D81" s="22">
        <v>11.45</v>
      </c>
      <c r="E81" s="23">
        <f t="shared" si="4"/>
        <v>1.1057173678532983E-2</v>
      </c>
      <c r="F81" s="24">
        <f t="shared" si="5"/>
        <v>4.3755697356426593E-2</v>
      </c>
    </row>
    <row r="82" spans="2:9" x14ac:dyDescent="0.25">
      <c r="B82" s="16">
        <v>45209</v>
      </c>
      <c r="C82" s="21">
        <v>37.08</v>
      </c>
      <c r="D82" s="22">
        <v>10.97</v>
      </c>
      <c r="E82" s="23">
        <f t="shared" si="4"/>
        <v>8.9795918367345795E-3</v>
      </c>
      <c r="F82" s="24">
        <f t="shared" si="5"/>
        <v>2.0465116279069884E-2</v>
      </c>
    </row>
    <row r="83" spans="2:9" x14ac:dyDescent="0.25">
      <c r="B83" s="16">
        <v>45208</v>
      </c>
      <c r="C83" s="21">
        <v>36.75</v>
      </c>
      <c r="D83" s="22">
        <v>10.75</v>
      </c>
      <c r="E83" s="23">
        <f t="shared" si="4"/>
        <v>-2.9842647856754834E-3</v>
      </c>
      <c r="F83" s="24">
        <f t="shared" si="5"/>
        <v>7.4976569821931793E-3</v>
      </c>
    </row>
    <row r="84" spans="2:9" x14ac:dyDescent="0.25">
      <c r="B84" s="16">
        <v>45205</v>
      </c>
      <c r="C84" s="21">
        <v>36.86</v>
      </c>
      <c r="D84" s="22">
        <v>10.67</v>
      </c>
      <c r="E84" s="23">
        <f t="shared" si="4"/>
        <v>9.0336709553791028E-3</v>
      </c>
      <c r="F84" s="24">
        <f t="shared" si="5"/>
        <v>-4.6641791044776948E-3</v>
      </c>
    </row>
    <row r="85" spans="2:9" x14ac:dyDescent="0.25">
      <c r="B85" s="16">
        <v>45204</v>
      </c>
      <c r="C85" s="21">
        <v>36.53</v>
      </c>
      <c r="D85" s="22">
        <v>10.72</v>
      </c>
      <c r="E85" s="23">
        <f t="shared" si="4"/>
        <v>-5.445140212360311E-3</v>
      </c>
      <c r="F85" s="24">
        <f t="shared" si="5"/>
        <v>-4.6263345195729499E-2</v>
      </c>
      <c r="I85" s="1"/>
    </row>
    <row r="86" spans="2:9" x14ac:dyDescent="0.25">
      <c r="B86" s="16">
        <v>45203</v>
      </c>
      <c r="C86" s="21">
        <v>36.729999999999997</v>
      </c>
      <c r="D86" s="22">
        <v>11.24</v>
      </c>
      <c r="E86" s="23">
        <f t="shared" si="4"/>
        <v>3.8261820169442906E-3</v>
      </c>
      <c r="F86" s="24">
        <f t="shared" si="5"/>
        <v>1.7194570135746545E-2</v>
      </c>
    </row>
    <row r="87" spans="2:9" x14ac:dyDescent="0.25">
      <c r="B87" s="16">
        <v>45202</v>
      </c>
      <c r="C87" s="21">
        <v>36.590000000000003</v>
      </c>
      <c r="D87" s="22">
        <v>11.05</v>
      </c>
      <c r="E87" s="23">
        <f t="shared" si="4"/>
        <v>-7.0556309362278524E-3</v>
      </c>
      <c r="F87" s="24">
        <f t="shared" si="5"/>
        <v>-3.6617262423713992E-2</v>
      </c>
    </row>
    <row r="88" spans="2:9" x14ac:dyDescent="0.25">
      <c r="B88" s="16">
        <v>45201</v>
      </c>
      <c r="C88" s="21">
        <v>36.85</v>
      </c>
      <c r="D88" s="22">
        <v>11.47</v>
      </c>
      <c r="E88" s="23">
        <f t="shared" si="4"/>
        <v>7.1057666028968569E-3</v>
      </c>
      <c r="F88" s="24">
        <f t="shared" si="5"/>
        <v>8.7950747581355682E-3</v>
      </c>
    </row>
    <row r="89" spans="2:9" x14ac:dyDescent="0.25">
      <c r="B89" s="16">
        <v>45198</v>
      </c>
      <c r="C89" s="21">
        <v>36.590000000000003</v>
      </c>
      <c r="D89" s="22">
        <v>11.37</v>
      </c>
      <c r="E89" s="23">
        <f t="shared" si="4"/>
        <v>-2.2963951935914495E-2</v>
      </c>
      <c r="F89" s="24">
        <f t="shared" si="5"/>
        <v>-2.487135506003435E-2</v>
      </c>
    </row>
    <row r="90" spans="2:9" x14ac:dyDescent="0.25">
      <c r="B90" s="16">
        <v>45197</v>
      </c>
      <c r="C90" s="21">
        <v>37.450000000000003</v>
      </c>
      <c r="D90" s="22">
        <v>11.66</v>
      </c>
      <c r="E90" s="23">
        <f t="shared" si="4"/>
        <v>-1.0669511869831894E-3</v>
      </c>
      <c r="F90" s="24">
        <f t="shared" si="5"/>
        <v>4.3066322136089408E-3</v>
      </c>
    </row>
    <row r="91" spans="2:9" x14ac:dyDescent="0.25">
      <c r="B91" s="16">
        <v>45196</v>
      </c>
      <c r="C91" s="21">
        <v>37.49</v>
      </c>
      <c r="D91" s="22">
        <v>11.61</v>
      </c>
      <c r="E91" s="23">
        <f t="shared" si="4"/>
        <v>1.9581180310035418E-2</v>
      </c>
      <c r="F91" s="24">
        <f t="shared" si="5"/>
        <v>9.565217391304337E-3</v>
      </c>
    </row>
    <row r="92" spans="2:9" x14ac:dyDescent="0.25">
      <c r="B92" s="16">
        <v>45195</v>
      </c>
      <c r="C92" s="21">
        <v>36.770000000000003</v>
      </c>
      <c r="D92" s="22">
        <v>11.5</v>
      </c>
      <c r="E92" s="23">
        <f t="shared" si="4"/>
        <v>4.0961223375206579E-3</v>
      </c>
      <c r="F92" s="24">
        <f t="shared" si="5"/>
        <v>-8.6206896551723755E-3</v>
      </c>
    </row>
    <row r="93" spans="2:9" x14ac:dyDescent="0.25">
      <c r="B93" s="16">
        <v>45194</v>
      </c>
      <c r="C93" s="21">
        <v>36.619999999999997</v>
      </c>
      <c r="D93" s="22">
        <v>11.6</v>
      </c>
      <c r="E93" s="23">
        <f t="shared" si="4"/>
        <v>-2.1798365122617236E-3</v>
      </c>
      <c r="F93" s="24">
        <f t="shared" si="5"/>
        <v>6.9444444444444198E-3</v>
      </c>
    </row>
    <row r="94" spans="2:9" x14ac:dyDescent="0.25">
      <c r="B94" s="16">
        <v>45191</v>
      </c>
      <c r="C94" s="21">
        <v>36.700000000000003</v>
      </c>
      <c r="D94" s="22">
        <v>11.52</v>
      </c>
      <c r="E94" s="23">
        <f t="shared" si="4"/>
        <v>7.4114740598407725E-3</v>
      </c>
      <c r="F94" s="24">
        <f t="shared" si="5"/>
        <v>-2.0408163265306145E-2</v>
      </c>
    </row>
    <row r="95" spans="2:9" x14ac:dyDescent="0.25">
      <c r="B95" s="16">
        <v>45190</v>
      </c>
      <c r="C95" s="21">
        <v>36.43</v>
      </c>
      <c r="D95" s="22">
        <v>11.76</v>
      </c>
      <c r="E95" s="23">
        <f t="shared" si="4"/>
        <v>-1.9116855142703337E-2</v>
      </c>
      <c r="F95" s="24">
        <f t="shared" si="5"/>
        <v>-3.6855036855036993E-2</v>
      </c>
    </row>
    <row r="96" spans="2:9" x14ac:dyDescent="0.25">
      <c r="B96" s="16">
        <v>45189</v>
      </c>
      <c r="C96" s="21">
        <v>37.14</v>
      </c>
      <c r="D96" s="22">
        <v>12.21</v>
      </c>
      <c r="E96" s="23">
        <f t="shared" si="4"/>
        <v>4.0627626786214677E-2</v>
      </c>
      <c r="F96" s="24">
        <f t="shared" si="5"/>
        <v>-3.2653061224489077E-3</v>
      </c>
    </row>
    <row r="97" spans="2:8" x14ac:dyDescent="0.25">
      <c r="B97" s="16">
        <v>45188</v>
      </c>
      <c r="C97" s="21">
        <v>35.69</v>
      </c>
      <c r="D97" s="22">
        <v>12.25</v>
      </c>
      <c r="E97" s="23">
        <f t="shared" si="4"/>
        <v>-8.060033351862117E-3</v>
      </c>
      <c r="F97" s="24">
        <f t="shared" si="5"/>
        <v>2.7684563758389347E-2</v>
      </c>
      <c r="H97" s="11"/>
    </row>
    <row r="98" spans="2:8" x14ac:dyDescent="0.25">
      <c r="B98" s="16">
        <v>45187</v>
      </c>
      <c r="C98" s="21">
        <v>35.979999999999997</v>
      </c>
      <c r="D98" s="22">
        <v>11.92</v>
      </c>
      <c r="E98" s="23">
        <f t="shared" si="4"/>
        <v>5.3087454596254524E-3</v>
      </c>
      <c r="F98" s="24">
        <f t="shared" si="5"/>
        <v>1.8803418803418959E-2</v>
      </c>
    </row>
    <row r="99" spans="2:8" x14ac:dyDescent="0.25">
      <c r="B99" s="16">
        <v>45184</v>
      </c>
      <c r="C99" s="21">
        <v>35.79</v>
      </c>
      <c r="D99" s="22">
        <v>11.7</v>
      </c>
      <c r="E99" s="23">
        <f t="shared" si="4"/>
        <v>1.9596864501680855E-3</v>
      </c>
      <c r="F99" s="24">
        <f t="shared" si="5"/>
        <v>-3.4071550255537764E-3</v>
      </c>
    </row>
    <row r="100" spans="2:8" x14ac:dyDescent="0.25">
      <c r="B100" s="16">
        <v>45183</v>
      </c>
      <c r="C100" s="21">
        <v>35.72</v>
      </c>
      <c r="D100" s="22">
        <v>11.74</v>
      </c>
      <c r="E100" s="23">
        <f t="shared" si="4"/>
        <v>-1.3259668508287414E-2</v>
      </c>
      <c r="F100" s="24">
        <f t="shared" si="5"/>
        <v>-9.2827004219409037E-3</v>
      </c>
    </row>
    <row r="101" spans="2:8" x14ac:dyDescent="0.25">
      <c r="B101" s="16">
        <v>45182</v>
      </c>
      <c r="C101" s="21">
        <v>36.200000000000003</v>
      </c>
      <c r="D101" s="22">
        <v>11.85</v>
      </c>
      <c r="E101" s="23">
        <f t="shared" si="4"/>
        <v>-3.3039647577092213E-3</v>
      </c>
      <c r="F101" s="24">
        <f t="shared" si="5"/>
        <v>-9.1973244147157684E-3</v>
      </c>
    </row>
    <row r="102" spans="2:8" x14ac:dyDescent="0.25">
      <c r="B102" s="16">
        <v>45181</v>
      </c>
      <c r="C102" s="21">
        <v>36.32</v>
      </c>
      <c r="D102" s="22">
        <v>11.96</v>
      </c>
      <c r="E102" s="23">
        <f t="shared" si="4"/>
        <v>-8.1922446750408717E-3</v>
      </c>
      <c r="F102" s="24">
        <f t="shared" si="5"/>
        <v>-2.1276595744680882E-2</v>
      </c>
    </row>
    <row r="103" spans="2:8" x14ac:dyDescent="0.25">
      <c r="B103" s="16">
        <v>45180</v>
      </c>
      <c r="C103" s="21">
        <v>36.619999999999997</v>
      </c>
      <c r="D103" s="22">
        <v>12.22</v>
      </c>
      <c r="E103" s="23">
        <f t="shared" si="4"/>
        <v>-1.0002703433360516E-2</v>
      </c>
      <c r="F103" s="24">
        <f t="shared" si="5"/>
        <v>-3.9308176100628978E-2</v>
      </c>
    </row>
    <row r="104" spans="2:8" x14ac:dyDescent="0.25">
      <c r="B104" s="16">
        <v>45177</v>
      </c>
      <c r="C104" s="21">
        <v>36.99</v>
      </c>
      <c r="D104" s="22">
        <v>12.72</v>
      </c>
      <c r="E104" s="23">
        <f t="shared" si="4"/>
        <v>9.5524017467250033E-3</v>
      </c>
      <c r="F104" s="24">
        <f t="shared" si="5"/>
        <v>-2.304147465437778E-2</v>
      </c>
    </row>
    <row r="105" spans="2:8" x14ac:dyDescent="0.25">
      <c r="B105" s="16">
        <v>45176</v>
      </c>
      <c r="C105" s="21">
        <v>36.64</v>
      </c>
      <c r="D105" s="22">
        <v>13.02</v>
      </c>
      <c r="E105" s="23">
        <f t="shared" si="4"/>
        <v>-7.3150907613112048E-3</v>
      </c>
      <c r="F105" s="24">
        <f t="shared" si="5"/>
        <v>-2.1788129226145814E-2</v>
      </c>
    </row>
    <row r="106" spans="2:8" x14ac:dyDescent="0.25">
      <c r="B106" s="16">
        <v>45175</v>
      </c>
      <c r="C106" s="21">
        <v>36.909999999999997</v>
      </c>
      <c r="D106" s="22">
        <v>13.31</v>
      </c>
      <c r="E106" s="23">
        <f t="shared" si="4"/>
        <v>9.5733041575489786E-3</v>
      </c>
      <c r="F106" s="24">
        <f t="shared" si="5"/>
        <v>-1.2611275964391711E-2</v>
      </c>
    </row>
    <row r="107" spans="2:8" x14ac:dyDescent="0.25">
      <c r="B107" s="16">
        <v>45174</v>
      </c>
      <c r="C107" s="21">
        <v>36.56</v>
      </c>
      <c r="D107" s="22">
        <v>13.48</v>
      </c>
      <c r="E107" s="23">
        <f t="shared" si="4"/>
        <v>-2.0364415862808127E-2</v>
      </c>
      <c r="F107" s="24">
        <f t="shared" si="5"/>
        <v>-2.0348837209302251E-2</v>
      </c>
    </row>
    <row r="108" spans="2:8" x14ac:dyDescent="0.25">
      <c r="B108" s="16">
        <v>45173</v>
      </c>
      <c r="C108" s="21">
        <v>37.32</v>
      </c>
      <c r="D108" s="22">
        <v>13.76</v>
      </c>
      <c r="E108" s="23">
        <f t="shared" si="4"/>
        <v>1.0560519902518273E-2</v>
      </c>
      <c r="F108" s="24">
        <f t="shared" si="5"/>
        <v>0</v>
      </c>
    </row>
    <row r="109" spans="2:8" x14ac:dyDescent="0.25">
      <c r="B109" s="16">
        <v>45170</v>
      </c>
      <c r="C109" s="21">
        <v>36.93</v>
      </c>
      <c r="D109" s="22">
        <v>13.76</v>
      </c>
      <c r="E109" s="23">
        <f t="shared" si="4"/>
        <v>-1.8918918918918726E-3</v>
      </c>
      <c r="F109" s="24">
        <f t="shared" si="5"/>
        <v>2.3048327137546565E-2</v>
      </c>
    </row>
    <row r="110" spans="2:8" x14ac:dyDescent="0.25">
      <c r="B110" s="16">
        <v>45169</v>
      </c>
      <c r="C110" s="21">
        <v>37</v>
      </c>
      <c r="D110" s="22">
        <v>13.45</v>
      </c>
      <c r="E110" s="23">
        <f t="shared" si="4"/>
        <v>-2.8106120304701832E-2</v>
      </c>
      <c r="F110" s="24">
        <f t="shared" si="5"/>
        <v>-3.6532951289398374E-2</v>
      </c>
    </row>
    <row r="111" spans="2:8" x14ac:dyDescent="0.25">
      <c r="B111" s="16">
        <v>45168</v>
      </c>
      <c r="C111" s="21">
        <v>38.07</v>
      </c>
      <c r="D111" s="22">
        <v>13.96</v>
      </c>
      <c r="E111" s="23">
        <f t="shared" si="4"/>
        <v>-5.7456254896839365E-3</v>
      </c>
      <c r="F111" s="24">
        <f t="shared" si="5"/>
        <v>-3.5688793718771095E-3</v>
      </c>
    </row>
    <row r="112" spans="2:8" x14ac:dyDescent="0.25">
      <c r="B112" s="16">
        <v>45167</v>
      </c>
      <c r="C112" s="21">
        <v>38.29</v>
      </c>
      <c r="D112" s="22">
        <v>14.01</v>
      </c>
      <c r="E112" s="23">
        <f t="shared" si="4"/>
        <v>-1.2889920082495454E-2</v>
      </c>
      <c r="F112" s="24">
        <f t="shared" si="5"/>
        <v>1.2283236994219626E-2</v>
      </c>
    </row>
    <row r="113" spans="2:6" x14ac:dyDescent="0.25">
      <c r="B113" s="16">
        <v>45166</v>
      </c>
      <c r="C113" s="21">
        <v>38.79</v>
      </c>
      <c r="D113" s="22">
        <v>13.84</v>
      </c>
      <c r="E113" s="23">
        <f t="shared" si="4"/>
        <v>2.1058173203474473E-2</v>
      </c>
      <c r="F113" s="24">
        <f t="shared" si="5"/>
        <v>1.6899338721528379E-2</v>
      </c>
    </row>
    <row r="114" spans="2:6" x14ac:dyDescent="0.25">
      <c r="B114" s="16">
        <v>45163</v>
      </c>
      <c r="C114" s="21">
        <v>37.99</v>
      </c>
      <c r="D114" s="22">
        <v>13.61</v>
      </c>
      <c r="E114" s="23">
        <f t="shared" si="4"/>
        <v>-1.7330574236937291E-2</v>
      </c>
      <c r="F114" s="24">
        <f t="shared" si="5"/>
        <v>8.8954781319494636E-3</v>
      </c>
    </row>
    <row r="115" spans="2:6" x14ac:dyDescent="0.25">
      <c r="B115" s="16">
        <v>45162</v>
      </c>
      <c r="C115" s="21">
        <v>38.659999999999997</v>
      </c>
      <c r="D115" s="22">
        <v>13.49</v>
      </c>
      <c r="E115" s="23">
        <f t="shared" si="4"/>
        <v>1.3633980073413543E-2</v>
      </c>
      <c r="F115" s="24">
        <f t="shared" si="5"/>
        <v>-1.2445095168374776E-2</v>
      </c>
    </row>
    <row r="116" spans="2:6" x14ac:dyDescent="0.25">
      <c r="B116" s="16">
        <v>45161</v>
      </c>
      <c r="C116" s="21">
        <v>38.14</v>
      </c>
      <c r="D116" s="22">
        <v>13.66</v>
      </c>
      <c r="E116" s="23">
        <f t="shared" si="4"/>
        <v>1.1134676564156898E-2</v>
      </c>
      <c r="F116" s="24">
        <f t="shared" si="5"/>
        <v>2.2010271460013442E-3</v>
      </c>
    </row>
    <row r="117" spans="2:6" x14ac:dyDescent="0.25">
      <c r="B117" s="16">
        <v>45160</v>
      </c>
      <c r="C117" s="21">
        <v>37.72</v>
      </c>
      <c r="D117" s="22">
        <v>13.63</v>
      </c>
      <c r="E117" s="23">
        <f t="shared" si="4"/>
        <v>-4.3852978453739033E-2</v>
      </c>
      <c r="F117" s="24">
        <f t="shared" si="5"/>
        <v>8.8823094004442105E-3</v>
      </c>
    </row>
    <row r="118" spans="2:6" x14ac:dyDescent="0.25">
      <c r="B118" s="16">
        <v>45159</v>
      </c>
      <c r="C118" s="21">
        <v>39.450000000000003</v>
      </c>
      <c r="D118" s="22">
        <v>13.51</v>
      </c>
      <c r="E118" s="23">
        <f t="shared" si="4"/>
        <v>2.3877498053464841E-2</v>
      </c>
      <c r="F118" s="24">
        <f t="shared" si="5"/>
        <v>1.8853695324283493E-2</v>
      </c>
    </row>
    <row r="119" spans="2:6" x14ac:dyDescent="0.25">
      <c r="B119" s="16">
        <v>45156</v>
      </c>
      <c r="C119" s="21">
        <v>38.53</v>
      </c>
      <c r="D119" s="22">
        <v>13.26</v>
      </c>
      <c r="E119" s="23">
        <f t="shared" si="4"/>
        <v>-2.594706798131341E-4</v>
      </c>
      <c r="F119" s="24">
        <f t="shared" si="5"/>
        <v>3.0257186081694698E-3</v>
      </c>
    </row>
    <row r="120" spans="2:6" x14ac:dyDescent="0.25">
      <c r="B120" s="16">
        <v>45155</v>
      </c>
      <c r="C120" s="21">
        <v>38.54</v>
      </c>
      <c r="D120" s="22">
        <v>13.22</v>
      </c>
      <c r="E120" s="23">
        <f t="shared" si="4"/>
        <v>1.5011851461680381E-2</v>
      </c>
      <c r="F120" s="24">
        <f t="shared" si="5"/>
        <v>-4.202898550724643E-2</v>
      </c>
    </row>
    <row r="121" spans="2:6" x14ac:dyDescent="0.25">
      <c r="B121" s="16">
        <v>45154</v>
      </c>
      <c r="C121" s="21">
        <v>37.97</v>
      </c>
      <c r="D121" s="22">
        <v>13.8</v>
      </c>
      <c r="E121" s="23">
        <f t="shared" si="4"/>
        <v>-2.541067761806981E-2</v>
      </c>
      <c r="F121" s="24">
        <f t="shared" si="5"/>
        <v>8.0350620891163071E-3</v>
      </c>
    </row>
    <row r="122" spans="2:6" x14ac:dyDescent="0.25">
      <c r="B122" s="16">
        <v>45153</v>
      </c>
      <c r="C122" s="21">
        <v>38.96</v>
      </c>
      <c r="D122" s="22">
        <v>13.69</v>
      </c>
      <c r="E122" s="23">
        <f t="shared" si="4"/>
        <v>-2.2579026593075757E-2</v>
      </c>
      <c r="F122" s="24">
        <f t="shared" si="5"/>
        <v>7.3583517292126199E-3</v>
      </c>
    </row>
    <row r="123" spans="2:6" x14ac:dyDescent="0.25">
      <c r="B123" s="16">
        <v>45152</v>
      </c>
      <c r="C123" s="21">
        <v>39.86</v>
      </c>
      <c r="D123" s="22">
        <v>13.59</v>
      </c>
      <c r="E123" s="23">
        <f t="shared" si="4"/>
        <v>1.2559658377291338E-3</v>
      </c>
      <c r="F123" s="24">
        <f t="shared" si="5"/>
        <v>2.9545454545454541E-2</v>
      </c>
    </row>
    <row r="124" spans="2:6" x14ac:dyDescent="0.25">
      <c r="B124" s="16">
        <v>45149</v>
      </c>
      <c r="C124" s="21">
        <v>39.81</v>
      </c>
      <c r="D124" s="22">
        <v>13.2</v>
      </c>
      <c r="E124" s="23">
        <f t="shared" si="4"/>
        <v>6.8285280728377362E-3</v>
      </c>
      <c r="F124" s="24">
        <f t="shared" si="5"/>
        <v>-7.5187969924812581E-3</v>
      </c>
    </row>
    <row r="125" spans="2:6" x14ac:dyDescent="0.25">
      <c r="B125" s="16">
        <v>45148</v>
      </c>
      <c r="C125" s="21">
        <v>39.54</v>
      </c>
      <c r="D125" s="22">
        <v>13.3</v>
      </c>
      <c r="E125" s="23">
        <f t="shared" si="4"/>
        <v>-1.1994002998500841E-2</v>
      </c>
      <c r="F125" s="24">
        <f t="shared" si="5"/>
        <v>-1.8450184501844991E-2</v>
      </c>
    </row>
    <row r="126" spans="2:6" x14ac:dyDescent="0.25">
      <c r="B126" s="16">
        <v>45147</v>
      </c>
      <c r="C126" s="21">
        <v>40.020000000000003</v>
      </c>
      <c r="D126" s="22">
        <v>13.55</v>
      </c>
      <c r="E126" s="23">
        <f t="shared" si="4"/>
        <v>-3.4860557768923162E-3</v>
      </c>
      <c r="F126" s="24">
        <f t="shared" si="5"/>
        <v>2.9607698001481442E-3</v>
      </c>
    </row>
    <row r="127" spans="2:6" x14ac:dyDescent="0.25">
      <c r="B127" s="16">
        <v>45146</v>
      </c>
      <c r="C127" s="21">
        <v>40.159999999999997</v>
      </c>
      <c r="D127" s="22">
        <v>13.51</v>
      </c>
      <c r="E127" s="23">
        <f t="shared" si="4"/>
        <v>-1.5686274509803977E-2</v>
      </c>
      <c r="F127" s="24">
        <f t="shared" si="5"/>
        <v>1.0471204188481797E-2</v>
      </c>
    </row>
    <row r="128" spans="2:6" x14ac:dyDescent="0.25">
      <c r="B128" s="16">
        <v>45145</v>
      </c>
      <c r="C128" s="21">
        <v>40.799999999999997</v>
      </c>
      <c r="D128" s="22">
        <v>13.37</v>
      </c>
      <c r="E128" s="23">
        <f t="shared" si="4"/>
        <v>1.4925373134328179E-2</v>
      </c>
      <c r="F128" s="24">
        <f t="shared" si="5"/>
        <v>2.2171253822629966E-2</v>
      </c>
    </row>
    <row r="129" spans="2:6" x14ac:dyDescent="0.25">
      <c r="B129" s="16">
        <v>45142</v>
      </c>
      <c r="C129" s="21">
        <v>40.200000000000003</v>
      </c>
      <c r="D129" s="22">
        <v>13.08</v>
      </c>
      <c r="E129" s="23">
        <f t="shared" si="4"/>
        <v>3.5281998454803176E-2</v>
      </c>
      <c r="F129" s="24">
        <f t="shared" si="5"/>
        <v>7.7041602465330872E-3</v>
      </c>
    </row>
    <row r="130" spans="2:6" x14ac:dyDescent="0.25">
      <c r="B130" s="16">
        <v>45141</v>
      </c>
      <c r="C130" s="21">
        <v>38.83</v>
      </c>
      <c r="D130" s="22">
        <v>12.98</v>
      </c>
      <c r="E130" s="23">
        <f t="shared" si="4"/>
        <v>-1.7708069820389638E-2</v>
      </c>
      <c r="F130" s="24">
        <f t="shared" si="5"/>
        <v>7.763975155279379E-3</v>
      </c>
    </row>
    <row r="131" spans="2:6" x14ac:dyDescent="0.25">
      <c r="B131" s="16">
        <v>45140</v>
      </c>
      <c r="C131" s="21">
        <v>39.53</v>
      </c>
      <c r="D131" s="22">
        <v>12.88</v>
      </c>
      <c r="E131" s="23">
        <f t="shared" si="4"/>
        <v>-3.4912109375E-2</v>
      </c>
      <c r="F131" s="24">
        <f t="shared" si="5"/>
        <v>-1.5503875968991832E-3</v>
      </c>
    </row>
    <row r="132" spans="2:6" x14ac:dyDescent="0.25">
      <c r="B132" s="16">
        <v>45139</v>
      </c>
      <c r="C132" s="21">
        <v>40.96</v>
      </c>
      <c r="D132" s="22">
        <v>12.9</v>
      </c>
      <c r="E132" s="23">
        <f t="shared" si="4"/>
        <v>-1.6094162863319772E-2</v>
      </c>
      <c r="F132" s="24">
        <f t="shared" si="5"/>
        <v>1.4150943396226356E-2</v>
      </c>
    </row>
    <row r="133" spans="2:6" x14ac:dyDescent="0.25">
      <c r="B133" s="16">
        <v>45138</v>
      </c>
      <c r="C133" s="21">
        <v>41.63</v>
      </c>
      <c r="D133" s="22">
        <v>12.72</v>
      </c>
      <c r="E133" s="23">
        <f t="shared" si="4"/>
        <v>2.5622074402562145E-2</v>
      </c>
      <c r="F133" s="24">
        <f t="shared" si="5"/>
        <v>-7.0257611241217877E-3</v>
      </c>
    </row>
    <row r="134" spans="2:6" x14ac:dyDescent="0.25">
      <c r="B134" s="16">
        <v>45135</v>
      </c>
      <c r="C134" s="21">
        <v>40.590000000000003</v>
      </c>
      <c r="D134" s="22">
        <v>12.81</v>
      </c>
      <c r="E134" s="23">
        <f t="shared" ref="E134:E197" si="6">C134/C135-1</f>
        <v>-6.6079295154184425E-3</v>
      </c>
      <c r="F134" s="24">
        <f t="shared" ref="F134:F197" si="7">D134/D135-1</f>
        <v>2.3474178403757318E-3</v>
      </c>
    </row>
    <row r="135" spans="2:6" x14ac:dyDescent="0.25">
      <c r="B135" s="16">
        <v>45134</v>
      </c>
      <c r="C135" s="21">
        <v>40.86</v>
      </c>
      <c r="D135" s="22">
        <v>12.78</v>
      </c>
      <c r="E135" s="23">
        <f t="shared" si="6"/>
        <v>8.1421169504070079E-3</v>
      </c>
      <c r="F135" s="24">
        <f t="shared" si="7"/>
        <v>-3.1201248049922414E-3</v>
      </c>
    </row>
    <row r="136" spans="2:6" x14ac:dyDescent="0.25">
      <c r="B136" s="16">
        <v>45133</v>
      </c>
      <c r="C136" s="21">
        <v>40.53</v>
      </c>
      <c r="D136" s="22">
        <v>12.82</v>
      </c>
      <c r="E136" s="23">
        <f t="shared" si="6"/>
        <v>-8.3190604355272146E-3</v>
      </c>
      <c r="F136" s="24">
        <f t="shared" si="7"/>
        <v>1.3438735177865535E-2</v>
      </c>
    </row>
    <row r="137" spans="2:6" x14ac:dyDescent="0.25">
      <c r="B137" s="16">
        <v>45132</v>
      </c>
      <c r="C137" s="21">
        <v>40.869999999999997</v>
      </c>
      <c r="D137" s="22">
        <v>12.65</v>
      </c>
      <c r="E137" s="23">
        <f t="shared" si="6"/>
        <v>2.4054121773991577E-2</v>
      </c>
      <c r="F137" s="24">
        <f t="shared" si="7"/>
        <v>1.688102893890675E-2</v>
      </c>
    </row>
    <row r="138" spans="2:6" x14ac:dyDescent="0.25">
      <c r="B138" s="16">
        <v>45131</v>
      </c>
      <c r="C138" s="21">
        <v>39.909999999999997</v>
      </c>
      <c r="D138" s="22">
        <v>12.44</v>
      </c>
      <c r="E138" s="23">
        <f t="shared" si="6"/>
        <v>-1.7962598425196985E-2</v>
      </c>
      <c r="F138" s="24">
        <f t="shared" si="7"/>
        <v>-1.1128775834658211E-2</v>
      </c>
    </row>
    <row r="139" spans="2:6" x14ac:dyDescent="0.25">
      <c r="B139" s="16">
        <v>45128</v>
      </c>
      <c r="C139" s="21">
        <v>40.64</v>
      </c>
      <c r="D139" s="22">
        <v>12.58</v>
      </c>
      <c r="E139" s="23">
        <f t="shared" si="6"/>
        <v>2.7819929185634917E-2</v>
      </c>
      <c r="F139" s="24">
        <f t="shared" si="7"/>
        <v>-1.5873015873015817E-3</v>
      </c>
    </row>
    <row r="140" spans="2:6" x14ac:dyDescent="0.25">
      <c r="B140" s="16">
        <v>45127</v>
      </c>
      <c r="C140" s="21">
        <v>39.54</v>
      </c>
      <c r="D140" s="22">
        <v>12.6</v>
      </c>
      <c r="E140" s="23">
        <f t="shared" si="6"/>
        <v>-2.0559821649739907E-2</v>
      </c>
      <c r="F140" s="24">
        <f t="shared" si="7"/>
        <v>9.6153846153845812E-3</v>
      </c>
    </row>
    <row r="141" spans="2:6" x14ac:dyDescent="0.25">
      <c r="B141" s="16">
        <v>45126</v>
      </c>
      <c r="C141" s="21">
        <v>40.369999999999997</v>
      </c>
      <c r="D141" s="22">
        <v>12.48</v>
      </c>
      <c r="E141" s="23">
        <f t="shared" si="6"/>
        <v>-1.7309594460930278E-3</v>
      </c>
      <c r="F141" s="24">
        <f t="shared" si="7"/>
        <v>-3.1948881789136685E-3</v>
      </c>
    </row>
    <row r="142" spans="2:6" x14ac:dyDescent="0.25">
      <c r="B142" s="16">
        <v>45125</v>
      </c>
      <c r="C142" s="21">
        <v>40.44</v>
      </c>
      <c r="D142" s="22">
        <v>12.52</v>
      </c>
      <c r="E142" s="23">
        <f t="shared" si="6"/>
        <v>-1.1246943765281237E-2</v>
      </c>
      <c r="F142" s="24">
        <f t="shared" si="7"/>
        <v>1.3765182186234792E-2</v>
      </c>
    </row>
    <row r="143" spans="2:6" x14ac:dyDescent="0.25">
      <c r="B143" s="16">
        <v>45124</v>
      </c>
      <c r="C143" s="21">
        <v>40.9</v>
      </c>
      <c r="D143" s="22">
        <v>12.35</v>
      </c>
      <c r="E143" s="23">
        <f t="shared" si="6"/>
        <v>1.5140233308513329E-2</v>
      </c>
      <c r="F143" s="24">
        <f t="shared" si="7"/>
        <v>1.0638297872340274E-2</v>
      </c>
    </row>
    <row r="144" spans="2:6" x14ac:dyDescent="0.25">
      <c r="B144" s="16">
        <v>45121</v>
      </c>
      <c r="C144" s="21">
        <v>40.29</v>
      </c>
      <c r="D144" s="22">
        <v>12.22</v>
      </c>
      <c r="E144" s="23">
        <f t="shared" si="6"/>
        <v>1.7938352703385618E-2</v>
      </c>
      <c r="F144" s="24">
        <f t="shared" si="7"/>
        <v>-1.3720742534301889E-2</v>
      </c>
    </row>
    <row r="145" spans="2:6" x14ac:dyDescent="0.25">
      <c r="B145" s="16">
        <v>45120</v>
      </c>
      <c r="C145" s="21">
        <v>39.58</v>
      </c>
      <c r="D145" s="22">
        <v>12.39</v>
      </c>
      <c r="E145" s="23">
        <f t="shared" si="6"/>
        <v>1.0209290454313402E-2</v>
      </c>
      <c r="F145" s="24">
        <f t="shared" si="7"/>
        <v>4.2929292929292817E-2</v>
      </c>
    </row>
    <row r="146" spans="2:6" x14ac:dyDescent="0.25">
      <c r="B146" s="16">
        <v>45119</v>
      </c>
      <c r="C146" s="21">
        <v>39.18</v>
      </c>
      <c r="D146" s="22">
        <v>11.88</v>
      </c>
      <c r="E146" s="23">
        <f t="shared" si="6"/>
        <v>1.0575187000257946E-2</v>
      </c>
      <c r="F146" s="24">
        <f t="shared" si="7"/>
        <v>-1.6806722689075571E-3</v>
      </c>
    </row>
    <row r="147" spans="2:6" x14ac:dyDescent="0.25">
      <c r="B147" s="16">
        <v>45118</v>
      </c>
      <c r="C147" s="21">
        <v>38.770000000000003</v>
      </c>
      <c r="D147" s="22">
        <v>11.9</v>
      </c>
      <c r="E147" s="23">
        <f t="shared" si="6"/>
        <v>-7.6785257230610471E-3</v>
      </c>
      <c r="F147" s="24">
        <f t="shared" si="7"/>
        <v>1.7094017094017255E-2</v>
      </c>
    </row>
    <row r="148" spans="2:6" x14ac:dyDescent="0.25">
      <c r="B148" s="16">
        <v>45117</v>
      </c>
      <c r="C148" s="21">
        <v>39.07</v>
      </c>
      <c r="D148" s="22">
        <v>11.7</v>
      </c>
      <c r="E148" s="23">
        <f t="shared" si="6"/>
        <v>-5.0929462694169203E-3</v>
      </c>
      <c r="F148" s="24">
        <f t="shared" si="7"/>
        <v>1.3864818024263537E-2</v>
      </c>
    </row>
    <row r="149" spans="2:6" x14ac:dyDescent="0.25">
      <c r="B149" s="16">
        <v>45114</v>
      </c>
      <c r="C149" s="21">
        <v>39.270000000000003</v>
      </c>
      <c r="D149" s="22">
        <v>11.54</v>
      </c>
      <c r="E149" s="23">
        <f t="shared" si="6"/>
        <v>3.7790697674418672E-2</v>
      </c>
      <c r="F149" s="24">
        <f t="shared" si="7"/>
        <v>1.6740088105726914E-2</v>
      </c>
    </row>
    <row r="150" spans="2:6" x14ac:dyDescent="0.25">
      <c r="B150" s="16">
        <v>45113</v>
      </c>
      <c r="C150" s="21">
        <v>37.840000000000003</v>
      </c>
      <c r="D150" s="22">
        <v>11.35</v>
      </c>
      <c r="E150" s="23">
        <f t="shared" si="6"/>
        <v>-1.3041210224308819E-2</v>
      </c>
      <c r="F150" s="24">
        <f t="shared" si="7"/>
        <v>-4.6218487394958041E-2</v>
      </c>
    </row>
    <row r="151" spans="2:6" x14ac:dyDescent="0.25">
      <c r="B151" s="16">
        <v>45112</v>
      </c>
      <c r="C151" s="21">
        <v>38.340000000000003</v>
      </c>
      <c r="D151" s="22">
        <v>11.9</v>
      </c>
      <c r="E151" s="23">
        <f t="shared" si="6"/>
        <v>3.4022507197069007E-3</v>
      </c>
      <c r="F151" s="24">
        <f t="shared" si="7"/>
        <v>-1.7341040462427681E-2</v>
      </c>
    </row>
    <row r="152" spans="2:6" x14ac:dyDescent="0.25">
      <c r="B152" s="16">
        <v>45111</v>
      </c>
      <c r="C152" s="21">
        <v>38.21</v>
      </c>
      <c r="D152" s="22">
        <v>12.11</v>
      </c>
      <c r="E152" s="23">
        <f t="shared" si="6"/>
        <v>-5.2314935914188343E-4</v>
      </c>
      <c r="F152" s="24">
        <f t="shared" si="7"/>
        <v>-2.4711696869852418E-3</v>
      </c>
    </row>
    <row r="153" spans="2:6" x14ac:dyDescent="0.25">
      <c r="B153" s="16">
        <v>45110</v>
      </c>
      <c r="C153" s="21">
        <v>38.229999999999997</v>
      </c>
      <c r="D153" s="22">
        <v>12.14</v>
      </c>
      <c r="E153" s="23">
        <f t="shared" si="6"/>
        <v>1.5944724953494305E-2</v>
      </c>
      <c r="F153" s="24">
        <f t="shared" si="7"/>
        <v>3.3057851239670644E-3</v>
      </c>
    </row>
    <row r="154" spans="2:6" x14ac:dyDescent="0.25">
      <c r="B154" s="16">
        <v>45107</v>
      </c>
      <c r="C154" s="21">
        <v>37.630000000000003</v>
      </c>
      <c r="D154" s="22">
        <v>12.1</v>
      </c>
      <c r="E154" s="23">
        <f t="shared" si="6"/>
        <v>-3.5128205128205026E-2</v>
      </c>
      <c r="F154" s="24">
        <f t="shared" si="7"/>
        <v>1.0860484544694904E-2</v>
      </c>
    </row>
    <row r="155" spans="2:6" x14ac:dyDescent="0.25">
      <c r="B155" s="16">
        <v>45106</v>
      </c>
      <c r="C155" s="21">
        <v>39</v>
      </c>
      <c r="D155" s="22">
        <v>11.97</v>
      </c>
      <c r="E155" s="23">
        <f t="shared" si="6"/>
        <v>0</v>
      </c>
      <c r="F155" s="24">
        <f t="shared" si="7"/>
        <v>7.575757575757569E-3</v>
      </c>
    </row>
    <row r="156" spans="2:6" x14ac:dyDescent="0.25">
      <c r="B156" s="16">
        <v>45105</v>
      </c>
      <c r="C156" s="21">
        <v>39</v>
      </c>
      <c r="D156" s="22">
        <v>11.88</v>
      </c>
      <c r="E156" s="23">
        <f t="shared" si="6"/>
        <v>-8.1383519837232576E-3</v>
      </c>
      <c r="F156" s="24">
        <f t="shared" si="7"/>
        <v>-1.7369727047146344E-2</v>
      </c>
    </row>
    <row r="157" spans="2:6" x14ac:dyDescent="0.25">
      <c r="B157" s="16">
        <v>45104</v>
      </c>
      <c r="C157" s="21">
        <v>39.32</v>
      </c>
      <c r="D157" s="22">
        <v>12.09</v>
      </c>
      <c r="E157" s="23">
        <f t="shared" si="6"/>
        <v>2.4225058609012695E-2</v>
      </c>
      <c r="F157" s="24">
        <f t="shared" si="7"/>
        <v>2.1114864864864913E-2</v>
      </c>
    </row>
    <row r="158" spans="2:6" x14ac:dyDescent="0.25">
      <c r="B158" s="16">
        <v>45103</v>
      </c>
      <c r="C158" s="21">
        <v>38.39</v>
      </c>
      <c r="D158" s="22">
        <v>11.84</v>
      </c>
      <c r="E158" s="23">
        <f t="shared" si="6"/>
        <v>4.7108086888250078E-3</v>
      </c>
      <c r="F158" s="24">
        <f t="shared" si="7"/>
        <v>-4.205214465937801E-3</v>
      </c>
    </row>
    <row r="159" spans="2:6" x14ac:dyDescent="0.25">
      <c r="B159" s="16">
        <v>45100</v>
      </c>
      <c r="C159" s="21">
        <v>38.21</v>
      </c>
      <c r="D159" s="22">
        <v>11.89</v>
      </c>
      <c r="E159" s="23">
        <f t="shared" si="6"/>
        <v>-2.0256410256410229E-2</v>
      </c>
      <c r="F159" s="24">
        <f t="shared" si="7"/>
        <v>2.5295109612142319E-3</v>
      </c>
    </row>
    <row r="160" spans="2:6" x14ac:dyDescent="0.25">
      <c r="B160" s="16">
        <v>45099</v>
      </c>
      <c r="C160" s="21">
        <v>39</v>
      </c>
      <c r="D160" s="22">
        <v>11.86</v>
      </c>
      <c r="E160" s="23">
        <f t="shared" si="6"/>
        <v>-1.2658227848101222E-2</v>
      </c>
      <c r="F160" s="24">
        <f t="shared" si="7"/>
        <v>-1.6583747927031545E-2</v>
      </c>
    </row>
    <row r="161" spans="2:6" x14ac:dyDescent="0.25">
      <c r="B161" s="16">
        <v>45098</v>
      </c>
      <c r="C161" s="21">
        <v>39.5</v>
      </c>
      <c r="D161" s="22">
        <v>12.06</v>
      </c>
      <c r="E161" s="23">
        <f t="shared" si="6"/>
        <v>-7.0387129210658372E-3</v>
      </c>
      <c r="F161" s="24">
        <f t="shared" si="7"/>
        <v>-1.6556291390728006E-3</v>
      </c>
    </row>
    <row r="162" spans="2:6" x14ac:dyDescent="0.25">
      <c r="B162" s="16">
        <v>45097</v>
      </c>
      <c r="C162" s="21">
        <v>39.78</v>
      </c>
      <c r="D162" s="22">
        <v>12.08</v>
      </c>
      <c r="E162" s="23">
        <f t="shared" si="6"/>
        <v>2.01511335012583E-3</v>
      </c>
      <c r="F162" s="24">
        <f t="shared" si="7"/>
        <v>-2.1069692058346856E-2</v>
      </c>
    </row>
    <row r="163" spans="2:6" x14ac:dyDescent="0.25">
      <c r="B163" s="16">
        <v>45096</v>
      </c>
      <c r="C163" s="21">
        <v>39.700000000000003</v>
      </c>
      <c r="D163" s="22">
        <v>12.34</v>
      </c>
      <c r="E163" s="23">
        <f t="shared" si="6"/>
        <v>7.5623897151499975E-4</v>
      </c>
      <c r="F163" s="24">
        <f t="shared" si="7"/>
        <v>-4.8387096774193949E-3</v>
      </c>
    </row>
    <row r="164" spans="2:6" x14ac:dyDescent="0.25">
      <c r="B164" s="16">
        <v>45093</v>
      </c>
      <c r="C164" s="21">
        <v>39.67</v>
      </c>
      <c r="D164" s="22">
        <v>12.4</v>
      </c>
      <c r="E164" s="23">
        <f t="shared" si="6"/>
        <v>-1.0073029463610883E-3</v>
      </c>
      <c r="F164" s="24">
        <f t="shared" si="7"/>
        <v>-1.1164274322168932E-2</v>
      </c>
    </row>
    <row r="165" spans="2:6" x14ac:dyDescent="0.25">
      <c r="B165" s="16">
        <v>45092</v>
      </c>
      <c r="C165" s="21">
        <v>39.71</v>
      </c>
      <c r="D165" s="22">
        <v>12.54</v>
      </c>
      <c r="E165" s="23">
        <f t="shared" si="6"/>
        <v>-2.7624309392264568E-3</v>
      </c>
      <c r="F165" s="24">
        <f t="shared" si="7"/>
        <v>3.1999999999998696E-3</v>
      </c>
    </row>
    <row r="166" spans="2:6" x14ac:dyDescent="0.25">
      <c r="B166" s="16">
        <v>45091</v>
      </c>
      <c r="C166" s="21">
        <v>39.82</v>
      </c>
      <c r="D166" s="22">
        <v>12.5</v>
      </c>
      <c r="E166" s="23">
        <f t="shared" si="6"/>
        <v>1.0659898477157315E-2</v>
      </c>
      <c r="F166" s="24">
        <f t="shared" si="7"/>
        <v>1.5434606011372809E-2</v>
      </c>
    </row>
    <row r="167" spans="2:6" x14ac:dyDescent="0.25">
      <c r="B167" s="16">
        <v>45090</v>
      </c>
      <c r="C167" s="21">
        <v>39.4</v>
      </c>
      <c r="D167" s="22">
        <v>12.31</v>
      </c>
      <c r="E167" s="23">
        <f t="shared" si="6"/>
        <v>1.0162601626015899E-3</v>
      </c>
      <c r="F167" s="24">
        <f t="shared" si="7"/>
        <v>2.6688907422852459E-2</v>
      </c>
    </row>
    <row r="168" spans="2:6" x14ac:dyDescent="0.25">
      <c r="B168" s="16">
        <v>45089</v>
      </c>
      <c r="C168" s="21">
        <v>39.36</v>
      </c>
      <c r="D168" s="22">
        <v>11.99</v>
      </c>
      <c r="E168" s="23">
        <f t="shared" si="6"/>
        <v>-5.3070507960576441E-3</v>
      </c>
      <c r="F168" s="24">
        <f t="shared" si="7"/>
        <v>-5.8043117744610573E-3</v>
      </c>
    </row>
    <row r="169" spans="2:6" x14ac:dyDescent="0.25">
      <c r="B169" s="16">
        <v>45086</v>
      </c>
      <c r="C169" s="21">
        <v>39.57</v>
      </c>
      <c r="D169" s="22">
        <v>12.06</v>
      </c>
      <c r="E169" s="23">
        <f t="shared" si="6"/>
        <v>1.3575819672131173E-2</v>
      </c>
      <c r="F169" s="24">
        <f t="shared" si="7"/>
        <v>5.0000000000001155E-3</v>
      </c>
    </row>
    <row r="170" spans="2:6" x14ac:dyDescent="0.25">
      <c r="B170" s="16">
        <v>45085</v>
      </c>
      <c r="C170" s="21">
        <v>39.04</v>
      </c>
      <c r="D170" s="22">
        <v>12</v>
      </c>
      <c r="E170" s="23">
        <f t="shared" si="6"/>
        <v>1.2823800974608446E-3</v>
      </c>
      <c r="F170" s="24">
        <f t="shared" si="7"/>
        <v>7.5566750629723067E-3</v>
      </c>
    </row>
    <row r="171" spans="2:6" x14ac:dyDescent="0.25">
      <c r="B171" s="16">
        <v>45084</v>
      </c>
      <c r="C171" s="21">
        <v>38.99</v>
      </c>
      <c r="D171" s="22">
        <v>11.91</v>
      </c>
      <c r="E171" s="23">
        <f t="shared" si="6"/>
        <v>-6.3710499490315931E-3</v>
      </c>
      <c r="F171" s="24">
        <f t="shared" si="7"/>
        <v>2.1440823327615766E-2</v>
      </c>
    </row>
    <row r="172" spans="2:6" x14ac:dyDescent="0.25">
      <c r="B172" s="16">
        <v>45083</v>
      </c>
      <c r="C172" s="21">
        <v>39.24</v>
      </c>
      <c r="D172" s="22">
        <v>11.66</v>
      </c>
      <c r="E172" s="23">
        <f t="shared" si="6"/>
        <v>4.0941658137154668E-3</v>
      </c>
      <c r="F172" s="24">
        <f t="shared" si="7"/>
        <v>4.3867502238137845E-2</v>
      </c>
    </row>
    <row r="173" spans="2:6" x14ac:dyDescent="0.25">
      <c r="B173" s="16">
        <v>45082</v>
      </c>
      <c r="C173" s="21">
        <v>39.08</v>
      </c>
      <c r="D173" s="22">
        <v>11.17</v>
      </c>
      <c r="E173" s="23">
        <f t="shared" si="6"/>
        <v>-6.1037639877925542E-3</v>
      </c>
      <c r="F173" s="24">
        <f t="shared" si="7"/>
        <v>2.6929982046677292E-3</v>
      </c>
    </row>
    <row r="174" spans="2:6" x14ac:dyDescent="0.25">
      <c r="B174" s="16">
        <v>45079</v>
      </c>
      <c r="C174" s="21">
        <v>39.32</v>
      </c>
      <c r="D174" s="22">
        <v>11.14</v>
      </c>
      <c r="E174" s="23">
        <f t="shared" si="6"/>
        <v>2.1829521829521914E-2</v>
      </c>
      <c r="F174" s="24">
        <f t="shared" si="7"/>
        <v>4.7977422389463786E-2</v>
      </c>
    </row>
    <row r="175" spans="2:6" x14ac:dyDescent="0.25">
      <c r="B175" s="16">
        <v>45078</v>
      </c>
      <c r="C175" s="21">
        <v>38.479999999999997</v>
      </c>
      <c r="D175" s="22">
        <v>10.63</v>
      </c>
      <c r="E175" s="23">
        <f t="shared" si="6"/>
        <v>5.2246603970740324E-3</v>
      </c>
      <c r="F175" s="24">
        <f t="shared" si="7"/>
        <v>-9.3984962406012951E-4</v>
      </c>
    </row>
    <row r="176" spans="2:6" x14ac:dyDescent="0.25">
      <c r="B176" s="16">
        <v>45077</v>
      </c>
      <c r="C176" s="21">
        <v>38.28</v>
      </c>
      <c r="D176" s="22">
        <v>10.64</v>
      </c>
      <c r="E176" s="23">
        <f t="shared" si="6"/>
        <v>6.8385060494475791E-3</v>
      </c>
      <c r="F176" s="24">
        <f t="shared" si="7"/>
        <v>7.575757575757569E-3</v>
      </c>
    </row>
    <row r="177" spans="2:6" x14ac:dyDescent="0.25">
      <c r="B177" s="16">
        <v>45076</v>
      </c>
      <c r="C177" s="21">
        <v>38.020000000000003</v>
      </c>
      <c r="D177" s="22">
        <v>10.56</v>
      </c>
      <c r="E177" s="23">
        <f t="shared" si="6"/>
        <v>-2.2370789406016889E-2</v>
      </c>
      <c r="F177" s="24">
        <f t="shared" si="7"/>
        <v>-3.208065994500453E-2</v>
      </c>
    </row>
    <row r="178" spans="2:6" x14ac:dyDescent="0.25">
      <c r="B178" s="16">
        <v>45075</v>
      </c>
      <c r="C178" s="21">
        <v>38.89</v>
      </c>
      <c r="D178" s="22">
        <v>10.91</v>
      </c>
      <c r="E178" s="23">
        <f t="shared" si="6"/>
        <v>-4.0973111395645745E-3</v>
      </c>
      <c r="F178" s="24">
        <f t="shared" si="7"/>
        <v>-1.534296028880866E-2</v>
      </c>
    </row>
    <row r="179" spans="2:6" x14ac:dyDescent="0.25">
      <c r="B179" s="16">
        <v>45072</v>
      </c>
      <c r="C179" s="21">
        <v>39.049999999999997</v>
      </c>
      <c r="D179" s="22">
        <v>11.08</v>
      </c>
      <c r="E179" s="23">
        <f t="shared" si="6"/>
        <v>2.8248587570620654E-3</v>
      </c>
      <c r="F179" s="24">
        <f t="shared" si="7"/>
        <v>-1.8018018018017834E-3</v>
      </c>
    </row>
    <row r="180" spans="2:6" x14ac:dyDescent="0.25">
      <c r="B180" s="16">
        <v>45071</v>
      </c>
      <c r="C180" s="21">
        <v>38.94</v>
      </c>
      <c r="D180" s="22">
        <v>11.1</v>
      </c>
      <c r="E180" s="23">
        <f t="shared" si="6"/>
        <v>-1.6169782718544745E-2</v>
      </c>
      <c r="F180" s="24">
        <f t="shared" si="7"/>
        <v>1.0928961748633892E-2</v>
      </c>
    </row>
    <row r="181" spans="2:6" x14ac:dyDescent="0.25">
      <c r="B181" s="16">
        <v>45070</v>
      </c>
      <c r="C181" s="21">
        <v>39.58</v>
      </c>
      <c r="D181" s="22">
        <v>10.98</v>
      </c>
      <c r="E181" s="23">
        <f t="shared" si="6"/>
        <v>-6.0271220492215116E-3</v>
      </c>
      <c r="F181" s="24">
        <f t="shared" si="7"/>
        <v>-6.3348416289592535E-3</v>
      </c>
    </row>
    <row r="182" spans="2:6" x14ac:dyDescent="0.25">
      <c r="B182" s="16">
        <v>45069</v>
      </c>
      <c r="C182" s="21">
        <v>39.82</v>
      </c>
      <c r="D182" s="22">
        <v>11.05</v>
      </c>
      <c r="E182" s="23">
        <f t="shared" si="6"/>
        <v>-3.746676335508814E-2</v>
      </c>
      <c r="F182" s="24">
        <f t="shared" si="7"/>
        <v>-2.3851590106007015E-2</v>
      </c>
    </row>
    <row r="183" spans="2:6" x14ac:dyDescent="0.25">
      <c r="B183" s="16">
        <v>45068</v>
      </c>
      <c r="C183" s="21">
        <v>41.37</v>
      </c>
      <c r="D183" s="22">
        <v>11.32</v>
      </c>
      <c r="E183" s="23">
        <f t="shared" si="6"/>
        <v>3.8664323374340892E-2</v>
      </c>
      <c r="F183" s="24">
        <f t="shared" si="7"/>
        <v>-1.565217391304341E-2</v>
      </c>
    </row>
    <row r="184" spans="2:6" x14ac:dyDescent="0.25">
      <c r="B184" s="16">
        <v>45065</v>
      </c>
      <c r="C184" s="21">
        <v>39.83</v>
      </c>
      <c r="D184" s="22">
        <v>11.5</v>
      </c>
      <c r="E184" s="23">
        <f t="shared" si="6"/>
        <v>2.5113008538424353E-4</v>
      </c>
      <c r="F184" s="24">
        <f t="shared" si="7"/>
        <v>-1.2027491408934776E-2</v>
      </c>
    </row>
    <row r="185" spans="2:6" x14ac:dyDescent="0.25">
      <c r="B185" s="16">
        <v>45064</v>
      </c>
      <c r="C185" s="21">
        <v>39.82</v>
      </c>
      <c r="D185" s="22">
        <v>11.64</v>
      </c>
      <c r="E185" s="23">
        <f t="shared" si="6"/>
        <v>1.0055304172951196E-3</v>
      </c>
      <c r="F185" s="24">
        <f t="shared" si="7"/>
        <v>4.3140638481449223E-3</v>
      </c>
    </row>
    <row r="186" spans="2:6" x14ac:dyDescent="0.25">
      <c r="B186" s="16">
        <v>45063</v>
      </c>
      <c r="C186" s="21">
        <v>39.78</v>
      </c>
      <c r="D186" s="22">
        <v>11.59</v>
      </c>
      <c r="E186" s="23">
        <f t="shared" si="6"/>
        <v>7.5471698113216412E-4</v>
      </c>
      <c r="F186" s="24">
        <f t="shared" si="7"/>
        <v>5.2038161318299636E-3</v>
      </c>
    </row>
    <row r="187" spans="2:6" x14ac:dyDescent="0.25">
      <c r="B187" s="16">
        <v>45062</v>
      </c>
      <c r="C187" s="21">
        <v>39.75</v>
      </c>
      <c r="D187" s="22">
        <v>11.53</v>
      </c>
      <c r="E187" s="23">
        <f t="shared" si="6"/>
        <v>-7.4906367041197575E-3</v>
      </c>
      <c r="F187" s="24">
        <f t="shared" si="7"/>
        <v>8.7489063867016714E-3</v>
      </c>
    </row>
    <row r="188" spans="2:6" x14ac:dyDescent="0.25">
      <c r="B188" s="16">
        <v>45061</v>
      </c>
      <c r="C188" s="21">
        <v>40.049999999999997</v>
      </c>
      <c r="D188" s="22">
        <v>11.43</v>
      </c>
      <c r="E188" s="23">
        <f t="shared" si="6"/>
        <v>1.4694704839118167E-2</v>
      </c>
      <c r="F188" s="24">
        <f t="shared" si="7"/>
        <v>-1.380500431406384E-2</v>
      </c>
    </row>
    <row r="189" spans="2:6" x14ac:dyDescent="0.25">
      <c r="B189" s="16">
        <v>45058</v>
      </c>
      <c r="C189" s="21">
        <v>39.47</v>
      </c>
      <c r="D189" s="22">
        <v>11.59</v>
      </c>
      <c r="E189" s="23">
        <f t="shared" si="6"/>
        <v>-7.5949367088612441E-4</v>
      </c>
      <c r="F189" s="24">
        <f t="shared" si="7"/>
        <v>-4.2955326460482057E-3</v>
      </c>
    </row>
    <row r="190" spans="2:6" x14ac:dyDescent="0.25">
      <c r="B190" s="16">
        <v>45057</v>
      </c>
      <c r="C190" s="21">
        <v>39.5</v>
      </c>
      <c r="D190" s="22">
        <v>11.64</v>
      </c>
      <c r="E190" s="23">
        <f t="shared" si="6"/>
        <v>-5.0377833753149082E-3</v>
      </c>
      <c r="F190" s="24">
        <f t="shared" si="7"/>
        <v>6.9204152249136008E-3</v>
      </c>
    </row>
    <row r="191" spans="2:6" x14ac:dyDescent="0.25">
      <c r="B191" s="16">
        <v>45056</v>
      </c>
      <c r="C191" s="21">
        <v>39.700000000000003</v>
      </c>
      <c r="D191" s="22">
        <v>11.56</v>
      </c>
      <c r="E191" s="23">
        <f t="shared" si="6"/>
        <v>9.6642929806713962E-3</v>
      </c>
      <c r="F191" s="24">
        <f t="shared" si="7"/>
        <v>-3.2635983263598178E-2</v>
      </c>
    </row>
    <row r="192" spans="2:6" x14ac:dyDescent="0.25">
      <c r="B192" s="16">
        <v>45055</v>
      </c>
      <c r="C192" s="21">
        <v>39.32</v>
      </c>
      <c r="D192" s="22">
        <v>11.95</v>
      </c>
      <c r="E192" s="23">
        <f t="shared" si="6"/>
        <v>7.4301819113502532E-3</v>
      </c>
      <c r="F192" s="24">
        <f t="shared" si="7"/>
        <v>2.7515047291487349E-2</v>
      </c>
    </row>
    <row r="193" spans="2:6" x14ac:dyDescent="0.25">
      <c r="B193" s="16">
        <v>45054</v>
      </c>
      <c r="C193" s="21">
        <v>39.03</v>
      </c>
      <c r="D193" s="22">
        <v>11.63</v>
      </c>
      <c r="E193" s="23">
        <f t="shared" si="6"/>
        <v>-2.5555839509328049E-3</v>
      </c>
      <c r="F193" s="24">
        <f t="shared" si="7"/>
        <v>-3.4275921165380918E-3</v>
      </c>
    </row>
    <row r="194" spans="2:6" x14ac:dyDescent="0.25">
      <c r="B194" s="16">
        <v>45051</v>
      </c>
      <c r="C194" s="21">
        <v>39.130000000000003</v>
      </c>
      <c r="D194" s="22">
        <v>11.67</v>
      </c>
      <c r="E194" s="23">
        <f t="shared" si="6"/>
        <v>3.0761343245322426E-3</v>
      </c>
      <c r="F194" s="24">
        <f t="shared" si="7"/>
        <v>3.1830238726790361E-2</v>
      </c>
    </row>
    <row r="195" spans="2:6" x14ac:dyDescent="0.25">
      <c r="B195" s="16">
        <v>45050</v>
      </c>
      <c r="C195" s="21">
        <v>39.01</v>
      </c>
      <c r="D195" s="22">
        <v>11.31</v>
      </c>
      <c r="E195" s="23">
        <f t="shared" si="6"/>
        <v>-9.1440182880365706E-3</v>
      </c>
      <c r="F195" s="24">
        <f t="shared" si="7"/>
        <v>1.7714791851197731E-3</v>
      </c>
    </row>
    <row r="196" spans="2:6" x14ac:dyDescent="0.25">
      <c r="B196" s="16">
        <v>45049</v>
      </c>
      <c r="C196" s="21">
        <v>39.369999999999997</v>
      </c>
      <c r="D196" s="22">
        <v>11.29</v>
      </c>
      <c r="E196" s="23">
        <f t="shared" si="6"/>
        <v>4.8494129657987717E-3</v>
      </c>
      <c r="F196" s="24">
        <f t="shared" si="7"/>
        <v>-1.5693112467306092E-2</v>
      </c>
    </row>
    <row r="197" spans="2:6" x14ac:dyDescent="0.25">
      <c r="B197" s="16">
        <v>45048</v>
      </c>
      <c r="C197" s="21">
        <v>39.18</v>
      </c>
      <c r="D197" s="22">
        <v>11.47</v>
      </c>
      <c r="E197" s="23">
        <f t="shared" si="6"/>
        <v>0</v>
      </c>
      <c r="F197" s="24">
        <f t="shared" si="7"/>
        <v>6.2037037037037113E-2</v>
      </c>
    </row>
    <row r="198" spans="2:6" x14ac:dyDescent="0.25">
      <c r="B198" s="16">
        <v>45044</v>
      </c>
      <c r="C198" s="21">
        <v>39.18</v>
      </c>
      <c r="D198" s="22">
        <v>10.8</v>
      </c>
      <c r="E198" s="23">
        <f t="shared" ref="E198:E257" si="8">C198/C199-1</f>
        <v>-1.6072325464590698E-2</v>
      </c>
      <c r="F198" s="24">
        <f t="shared" ref="F198:F257" si="9">D198/D199-1</f>
        <v>1.6949152542373058E-2</v>
      </c>
    </row>
    <row r="199" spans="2:6" x14ac:dyDescent="0.25">
      <c r="B199" s="16">
        <v>45043</v>
      </c>
      <c r="C199" s="21">
        <v>39.82</v>
      </c>
      <c r="D199" s="22">
        <v>10.62</v>
      </c>
      <c r="E199" s="23">
        <f t="shared" si="8"/>
        <v>1.8153924827409851E-2</v>
      </c>
      <c r="F199" s="24">
        <f t="shared" si="9"/>
        <v>8.5470085470085166E-3</v>
      </c>
    </row>
    <row r="200" spans="2:6" x14ac:dyDescent="0.25">
      <c r="B200" s="16">
        <v>45042</v>
      </c>
      <c r="C200" s="21">
        <v>39.11</v>
      </c>
      <c r="D200" s="22">
        <v>10.53</v>
      </c>
      <c r="E200" s="23">
        <f t="shared" si="8"/>
        <v>-1.5853044791142468E-2</v>
      </c>
      <c r="F200" s="24">
        <f t="shared" si="9"/>
        <v>1.9029495718363432E-3</v>
      </c>
    </row>
    <row r="201" spans="2:6" x14ac:dyDescent="0.25">
      <c r="B201" s="16">
        <v>45041</v>
      </c>
      <c r="C201" s="21">
        <v>39.74</v>
      </c>
      <c r="D201" s="22">
        <v>10.51</v>
      </c>
      <c r="E201" s="23">
        <f t="shared" si="8"/>
        <v>-4.0100250626565748E-3</v>
      </c>
      <c r="F201" s="24">
        <f t="shared" si="9"/>
        <v>1.0576923076923039E-2</v>
      </c>
    </row>
    <row r="202" spans="2:6" x14ac:dyDescent="0.25">
      <c r="B202" s="16">
        <v>45040</v>
      </c>
      <c r="C202" s="21">
        <v>39.9</v>
      </c>
      <c r="D202" s="22">
        <v>10.4</v>
      </c>
      <c r="E202" s="23">
        <f t="shared" si="8"/>
        <v>7.575757575757569E-3</v>
      </c>
      <c r="F202" s="24">
        <f t="shared" si="9"/>
        <v>2.8929604628737948E-3</v>
      </c>
    </row>
    <row r="203" spans="2:6" x14ac:dyDescent="0.25">
      <c r="B203" s="16">
        <v>45037</v>
      </c>
      <c r="C203" s="21">
        <v>39.6</v>
      </c>
      <c r="D203" s="22">
        <v>10.37</v>
      </c>
      <c r="E203" s="23">
        <f t="shared" si="8"/>
        <v>-2.7700831024930483E-3</v>
      </c>
      <c r="F203" s="24">
        <f t="shared" si="9"/>
        <v>-9.551098376313405E-3</v>
      </c>
    </row>
    <row r="204" spans="2:6" x14ac:dyDescent="0.25">
      <c r="B204" s="16">
        <v>45036</v>
      </c>
      <c r="C204" s="21">
        <v>39.71</v>
      </c>
      <c r="D204" s="22">
        <v>10.47</v>
      </c>
      <c r="E204" s="23">
        <f t="shared" si="8"/>
        <v>2.5188916876572875E-4</v>
      </c>
      <c r="F204" s="24">
        <f t="shared" si="9"/>
        <v>-1.5051740357478804E-2</v>
      </c>
    </row>
    <row r="205" spans="2:6" x14ac:dyDescent="0.25">
      <c r="B205" s="16">
        <v>45035</v>
      </c>
      <c r="C205" s="21">
        <v>39.700000000000003</v>
      </c>
      <c r="D205" s="22">
        <v>10.63</v>
      </c>
      <c r="E205" s="23">
        <f t="shared" si="8"/>
        <v>5.040322580645018E-4</v>
      </c>
      <c r="F205" s="24">
        <f t="shared" si="9"/>
        <v>-1.87793427230043E-3</v>
      </c>
    </row>
    <row r="206" spans="2:6" x14ac:dyDescent="0.25">
      <c r="B206" s="16">
        <v>45034</v>
      </c>
      <c r="C206" s="21">
        <v>39.68</v>
      </c>
      <c r="D206" s="22">
        <v>10.65</v>
      </c>
      <c r="E206" s="23">
        <f t="shared" si="8"/>
        <v>-1.2689723811893483E-2</v>
      </c>
      <c r="F206" s="24">
        <f t="shared" si="9"/>
        <v>-1.7527675276752697E-2</v>
      </c>
    </row>
    <row r="207" spans="2:6" x14ac:dyDescent="0.25">
      <c r="B207" s="16">
        <v>45033</v>
      </c>
      <c r="C207" s="21">
        <v>40.19</v>
      </c>
      <c r="D207" s="22">
        <v>10.84</v>
      </c>
      <c r="E207" s="23">
        <f t="shared" si="8"/>
        <v>8.2789764174611147E-3</v>
      </c>
      <c r="F207" s="24">
        <f t="shared" si="9"/>
        <v>4.6339202965710591E-3</v>
      </c>
    </row>
    <row r="208" spans="2:6" x14ac:dyDescent="0.25">
      <c r="B208" s="16">
        <v>45030</v>
      </c>
      <c r="C208" s="21">
        <v>39.86</v>
      </c>
      <c r="D208" s="22">
        <v>10.79</v>
      </c>
      <c r="E208" s="23">
        <f t="shared" si="8"/>
        <v>-2.3996082272282226E-2</v>
      </c>
      <c r="F208" s="24">
        <f t="shared" si="9"/>
        <v>4.6554934823090921E-3</v>
      </c>
    </row>
    <row r="209" spans="2:6" x14ac:dyDescent="0.25">
      <c r="B209" s="16">
        <v>45029</v>
      </c>
      <c r="C209" s="21">
        <v>40.840000000000003</v>
      </c>
      <c r="D209" s="22">
        <v>10.74</v>
      </c>
      <c r="E209" s="23">
        <f t="shared" si="8"/>
        <v>4.9212598425196763E-3</v>
      </c>
      <c r="F209" s="24">
        <f t="shared" si="9"/>
        <v>5.3974484789008903E-2</v>
      </c>
    </row>
    <row r="210" spans="2:6" x14ac:dyDescent="0.25">
      <c r="B210" s="16">
        <v>45028</v>
      </c>
      <c r="C210" s="21">
        <v>40.64</v>
      </c>
      <c r="D210" s="22">
        <v>10.19</v>
      </c>
      <c r="E210" s="23">
        <f t="shared" si="8"/>
        <v>-8.2967301122497394E-3</v>
      </c>
      <c r="F210" s="24">
        <f t="shared" si="9"/>
        <v>1.4940239043824688E-2</v>
      </c>
    </row>
    <row r="211" spans="2:6" x14ac:dyDescent="0.25">
      <c r="B211" s="16">
        <v>45027</v>
      </c>
      <c r="C211" s="21">
        <v>40.98</v>
      </c>
      <c r="D211" s="22">
        <v>10.039999999999999</v>
      </c>
      <c r="E211" s="23">
        <f t="shared" si="8"/>
        <v>-4.8567265662944337E-3</v>
      </c>
      <c r="F211" s="24">
        <f t="shared" si="9"/>
        <v>2.2403258655804281E-2</v>
      </c>
    </row>
    <row r="212" spans="2:6" x14ac:dyDescent="0.25">
      <c r="B212" s="16">
        <v>45026</v>
      </c>
      <c r="C212" s="21">
        <v>41.18</v>
      </c>
      <c r="D212" s="22">
        <v>9.82</v>
      </c>
      <c r="E212" s="23">
        <f t="shared" si="8"/>
        <v>6.1079892499389388E-3</v>
      </c>
      <c r="F212" s="24">
        <f t="shared" si="9"/>
        <v>2.5052192066805867E-2</v>
      </c>
    </row>
    <row r="213" spans="2:6" x14ac:dyDescent="0.25">
      <c r="B213" s="16">
        <v>45021</v>
      </c>
      <c r="C213" s="21">
        <v>40.93</v>
      </c>
      <c r="D213" s="22">
        <v>9.58</v>
      </c>
      <c r="E213" s="23">
        <f t="shared" si="8"/>
        <v>-4.6206225680933688E-3</v>
      </c>
      <c r="F213" s="24">
        <f t="shared" si="9"/>
        <v>-1.9447287615148356E-2</v>
      </c>
    </row>
    <row r="214" spans="2:6" x14ac:dyDescent="0.25">
      <c r="B214" s="16">
        <v>45020</v>
      </c>
      <c r="C214" s="21">
        <v>41.12</v>
      </c>
      <c r="D214" s="22">
        <v>9.77</v>
      </c>
      <c r="E214" s="23">
        <f t="shared" si="8"/>
        <v>1.4612761811980679E-3</v>
      </c>
      <c r="F214" s="24">
        <f t="shared" si="9"/>
        <v>2.0512820512819108E-3</v>
      </c>
    </row>
    <row r="215" spans="2:6" x14ac:dyDescent="0.25">
      <c r="B215" s="16">
        <v>45019</v>
      </c>
      <c r="C215" s="21">
        <v>41.06</v>
      </c>
      <c r="D215" s="22">
        <v>9.75</v>
      </c>
      <c r="E215" s="23">
        <f t="shared" si="8"/>
        <v>-2.1682153919466152E-2</v>
      </c>
      <c r="F215" s="24">
        <f t="shared" si="9"/>
        <v>-1.4155712841253831E-2</v>
      </c>
    </row>
    <row r="216" spans="2:6" x14ac:dyDescent="0.25">
      <c r="B216" s="16">
        <v>45016</v>
      </c>
      <c r="C216" s="21">
        <v>41.97</v>
      </c>
      <c r="D216" s="22">
        <v>9.89</v>
      </c>
      <c r="E216" s="23">
        <f t="shared" si="8"/>
        <v>-2.6140684410645987E-3</v>
      </c>
      <c r="F216" s="24">
        <f t="shared" si="9"/>
        <v>1.0214504596527174E-2</v>
      </c>
    </row>
    <row r="217" spans="2:6" x14ac:dyDescent="0.25">
      <c r="B217" s="16">
        <v>45015</v>
      </c>
      <c r="C217" s="21">
        <v>42.08</v>
      </c>
      <c r="D217" s="22">
        <v>9.7899999999999991</v>
      </c>
      <c r="E217" s="23">
        <f t="shared" si="8"/>
        <v>3.3381020505485193E-3</v>
      </c>
      <c r="F217" s="24">
        <f t="shared" si="9"/>
        <v>9.2783505154638846E-3</v>
      </c>
    </row>
    <row r="218" spans="2:6" x14ac:dyDescent="0.25">
      <c r="B218" s="16">
        <v>45014</v>
      </c>
      <c r="C218" s="21">
        <v>41.94</v>
      </c>
      <c r="D218" s="22">
        <v>9.6999999999999993</v>
      </c>
      <c r="E218" s="23">
        <f t="shared" si="8"/>
        <v>-1.779859484777524E-2</v>
      </c>
      <c r="F218" s="24">
        <f t="shared" si="9"/>
        <v>3.7433155080213831E-2</v>
      </c>
    </row>
    <row r="219" spans="2:6" x14ac:dyDescent="0.25">
      <c r="B219" s="16">
        <v>45013</v>
      </c>
      <c r="C219" s="21">
        <v>42.7</v>
      </c>
      <c r="D219" s="22">
        <v>9.35</v>
      </c>
      <c r="E219" s="23">
        <f t="shared" si="8"/>
        <v>1.7635843660629202E-2</v>
      </c>
      <c r="F219" s="24">
        <f t="shared" si="9"/>
        <v>1.4099783080260275E-2</v>
      </c>
    </row>
    <row r="220" spans="2:6" x14ac:dyDescent="0.25">
      <c r="B220" s="16">
        <v>45012</v>
      </c>
      <c r="C220" s="21">
        <v>41.96</v>
      </c>
      <c r="D220" s="22">
        <v>9.2200000000000006</v>
      </c>
      <c r="E220" s="23">
        <f t="shared" si="8"/>
        <v>2.717258261933897E-2</v>
      </c>
      <c r="F220" s="24">
        <f t="shared" si="9"/>
        <v>-2.1645021645021467E-3</v>
      </c>
    </row>
    <row r="221" spans="2:6" x14ac:dyDescent="0.25">
      <c r="B221" s="16">
        <v>45009</v>
      </c>
      <c r="C221" s="21">
        <v>40.85</v>
      </c>
      <c r="D221" s="22">
        <v>9.24</v>
      </c>
      <c r="E221" s="23">
        <f t="shared" si="8"/>
        <v>-3.9014874420871815E-3</v>
      </c>
      <c r="F221" s="24">
        <f t="shared" si="9"/>
        <v>-2.0148462354188656E-2</v>
      </c>
    </row>
    <row r="222" spans="2:6" x14ac:dyDescent="0.25">
      <c r="B222" s="16">
        <v>45008</v>
      </c>
      <c r="C222" s="21">
        <v>41.01</v>
      </c>
      <c r="D222" s="22">
        <v>9.43</v>
      </c>
      <c r="E222" s="23">
        <f t="shared" si="8"/>
        <v>1.1843079200592133E-2</v>
      </c>
      <c r="F222" s="24">
        <f t="shared" si="9"/>
        <v>1.0718113612004254E-2</v>
      </c>
    </row>
    <row r="223" spans="2:6" x14ac:dyDescent="0.25">
      <c r="B223" s="16">
        <v>45007</v>
      </c>
      <c r="C223" s="21">
        <v>40.53</v>
      </c>
      <c r="D223" s="22">
        <v>9.33</v>
      </c>
      <c r="E223" s="23">
        <f t="shared" si="8"/>
        <v>2.8680203045685415E-2</v>
      </c>
      <c r="F223" s="24">
        <f t="shared" si="9"/>
        <v>1.0729613733906351E-3</v>
      </c>
    </row>
    <row r="224" spans="2:6" x14ac:dyDescent="0.25">
      <c r="B224" s="16">
        <v>45006</v>
      </c>
      <c r="C224" s="21">
        <v>39.4</v>
      </c>
      <c r="D224" s="22">
        <v>9.32</v>
      </c>
      <c r="E224" s="23">
        <f t="shared" si="8"/>
        <v>-1.228378039608935E-2</v>
      </c>
      <c r="F224" s="24">
        <f t="shared" si="9"/>
        <v>1.5250544662309462E-2</v>
      </c>
    </row>
    <row r="225" spans="2:6" x14ac:dyDescent="0.25">
      <c r="B225" s="16">
        <v>45002</v>
      </c>
      <c r="C225" s="21">
        <v>39.89</v>
      </c>
      <c r="D225" s="22">
        <v>9.18</v>
      </c>
      <c r="E225" s="23">
        <f t="shared" si="8"/>
        <v>-6.9703759024147827E-3</v>
      </c>
      <c r="F225" s="24">
        <f t="shared" si="9"/>
        <v>-1.2903225806451757E-2</v>
      </c>
    </row>
    <row r="226" spans="2:6" x14ac:dyDescent="0.25">
      <c r="B226" s="16">
        <v>45001</v>
      </c>
      <c r="C226" s="21">
        <v>40.17</v>
      </c>
      <c r="D226" s="22">
        <v>9.3000000000000007</v>
      </c>
      <c r="E226" s="23">
        <f t="shared" si="8"/>
        <v>1.1583983883152849E-2</v>
      </c>
      <c r="F226" s="24">
        <f t="shared" si="9"/>
        <v>1.0869565217391353E-2</v>
      </c>
    </row>
    <row r="227" spans="2:6" x14ac:dyDescent="0.25">
      <c r="B227" s="16">
        <v>45000</v>
      </c>
      <c r="C227" s="21">
        <v>39.71</v>
      </c>
      <c r="D227" s="22">
        <v>9.1999999999999993</v>
      </c>
      <c r="E227" s="23">
        <f t="shared" si="8"/>
        <v>-2.1680216802168029E-2</v>
      </c>
      <c r="F227" s="24">
        <f t="shared" si="9"/>
        <v>-1.8143009605122717E-2</v>
      </c>
    </row>
    <row r="228" spans="2:6" x14ac:dyDescent="0.25">
      <c r="B228" s="16">
        <v>44999</v>
      </c>
      <c r="C228" s="21">
        <v>40.590000000000003</v>
      </c>
      <c r="D228" s="22">
        <v>9.3699999999999992</v>
      </c>
      <c r="E228" s="23">
        <f t="shared" si="8"/>
        <v>-9.7584776774822801E-3</v>
      </c>
      <c r="F228" s="24">
        <f t="shared" si="9"/>
        <v>-7.4152542372881713E-3</v>
      </c>
    </row>
    <row r="229" spans="2:6" x14ac:dyDescent="0.25">
      <c r="B229" s="16">
        <v>44998</v>
      </c>
      <c r="C229" s="21">
        <v>40.99</v>
      </c>
      <c r="D229" s="22">
        <v>9.44</v>
      </c>
      <c r="E229" s="23">
        <f t="shared" si="8"/>
        <v>1.9555120997312159E-3</v>
      </c>
      <c r="F229" s="24">
        <f t="shared" si="9"/>
        <v>2.0540540540540553E-2</v>
      </c>
    </row>
    <row r="230" spans="2:6" x14ac:dyDescent="0.25">
      <c r="B230" s="16">
        <v>44995</v>
      </c>
      <c r="C230" s="21">
        <v>40.909999999999997</v>
      </c>
      <c r="D230" s="22">
        <v>9.25</v>
      </c>
      <c r="E230" s="23">
        <f t="shared" si="8"/>
        <v>-1.6350084154845068E-2</v>
      </c>
      <c r="F230" s="24">
        <f t="shared" si="9"/>
        <v>-3.5453597497393075E-2</v>
      </c>
    </row>
    <row r="231" spans="2:6" x14ac:dyDescent="0.25">
      <c r="B231" s="16">
        <v>44994</v>
      </c>
      <c r="C231" s="21">
        <v>41.59</v>
      </c>
      <c r="D231" s="22">
        <v>9.59</v>
      </c>
      <c r="E231" s="23">
        <f t="shared" si="8"/>
        <v>2.1867321867321987E-2</v>
      </c>
      <c r="F231" s="24">
        <f t="shared" si="9"/>
        <v>-7.2463768115942351E-3</v>
      </c>
    </row>
    <row r="232" spans="2:6" x14ac:dyDescent="0.25">
      <c r="B232" s="16">
        <v>44993</v>
      </c>
      <c r="C232" s="21">
        <v>40.700000000000003</v>
      </c>
      <c r="D232" s="22">
        <v>9.66</v>
      </c>
      <c r="E232" s="23">
        <f t="shared" si="8"/>
        <v>7.4257425742574323E-3</v>
      </c>
      <c r="F232" s="24">
        <f t="shared" si="9"/>
        <v>4.1580041580042693E-3</v>
      </c>
    </row>
    <row r="233" spans="2:6" x14ac:dyDescent="0.25">
      <c r="B233" s="16">
        <v>44992</v>
      </c>
      <c r="C233" s="21">
        <v>40.4</v>
      </c>
      <c r="D233" s="22">
        <v>9.6199999999999992</v>
      </c>
      <c r="E233" s="23">
        <f t="shared" si="8"/>
        <v>-1.5354618571776779E-2</v>
      </c>
      <c r="F233" s="24">
        <f t="shared" si="9"/>
        <v>-3.4136546184739158E-2</v>
      </c>
    </row>
    <row r="234" spans="2:6" x14ac:dyDescent="0.25">
      <c r="B234" s="16">
        <v>44991</v>
      </c>
      <c r="C234" s="21">
        <v>41.03</v>
      </c>
      <c r="D234" s="22">
        <v>9.9600000000000009</v>
      </c>
      <c r="E234" s="23">
        <f t="shared" si="8"/>
        <v>2.6881720430107503E-3</v>
      </c>
      <c r="F234" s="24">
        <f t="shared" si="9"/>
        <v>-1.6781836130306038E-2</v>
      </c>
    </row>
    <row r="235" spans="2:6" x14ac:dyDescent="0.25">
      <c r="B235" s="16">
        <v>44988</v>
      </c>
      <c r="C235" s="21">
        <v>40.92</v>
      </c>
      <c r="D235" s="22">
        <v>10.130000000000001</v>
      </c>
      <c r="E235" s="23">
        <f t="shared" si="8"/>
        <v>2.5563909774436233E-2</v>
      </c>
      <c r="F235" s="24">
        <f t="shared" si="9"/>
        <v>3.3673469387755173E-2</v>
      </c>
    </row>
    <row r="236" spans="2:6" x14ac:dyDescent="0.25">
      <c r="B236" s="16">
        <v>44987</v>
      </c>
      <c r="C236" s="21">
        <v>39.9</v>
      </c>
      <c r="D236" s="22">
        <v>9.8000000000000007</v>
      </c>
      <c r="E236" s="23">
        <f t="shared" si="8"/>
        <v>-6.721433905899965E-3</v>
      </c>
      <c r="F236" s="24">
        <f t="shared" si="9"/>
        <v>4.4776119402984982E-2</v>
      </c>
    </row>
    <row r="237" spans="2:6" x14ac:dyDescent="0.25">
      <c r="B237" s="16">
        <v>44986</v>
      </c>
      <c r="C237" s="21">
        <v>40.17</v>
      </c>
      <c r="D237" s="22">
        <v>9.3800000000000008</v>
      </c>
      <c r="E237" s="23">
        <f t="shared" si="8"/>
        <v>1.9955101022699484E-3</v>
      </c>
      <c r="F237" s="24">
        <f t="shared" si="9"/>
        <v>2.4017467248908408E-2</v>
      </c>
    </row>
    <row r="238" spans="2:6" x14ac:dyDescent="0.25">
      <c r="B238" s="16">
        <v>44985</v>
      </c>
      <c r="C238" s="21">
        <v>40.090000000000003</v>
      </c>
      <c r="D238" s="22">
        <v>9.16</v>
      </c>
      <c r="E238" s="23">
        <f t="shared" si="8"/>
        <v>3.7556334501753774E-3</v>
      </c>
      <c r="F238" s="24">
        <f t="shared" si="9"/>
        <v>2.1181716833890585E-2</v>
      </c>
    </row>
    <row r="239" spans="2:6" x14ac:dyDescent="0.25">
      <c r="B239" s="16">
        <v>44984</v>
      </c>
      <c r="C239" s="21">
        <v>39.94</v>
      </c>
      <c r="D239" s="22">
        <v>8.9700000000000006</v>
      </c>
      <c r="E239" s="23">
        <f t="shared" si="8"/>
        <v>1.3191273465245956E-2</v>
      </c>
      <c r="F239" s="24">
        <f t="shared" si="9"/>
        <v>8.9988751406073764E-3</v>
      </c>
    </row>
    <row r="240" spans="2:6" x14ac:dyDescent="0.25">
      <c r="B240" s="16">
        <v>44981</v>
      </c>
      <c r="C240" s="21">
        <v>39.42</v>
      </c>
      <c r="D240" s="22">
        <v>8.89</v>
      </c>
      <c r="E240" s="23">
        <f t="shared" si="8"/>
        <v>2.0186335403726829E-2</v>
      </c>
      <c r="F240" s="24">
        <f t="shared" si="9"/>
        <v>-2.2002200220021972E-2</v>
      </c>
    </row>
    <row r="241" spans="2:6" x14ac:dyDescent="0.25">
      <c r="B241" s="16">
        <v>44980</v>
      </c>
      <c r="C241" s="21">
        <v>38.64</v>
      </c>
      <c r="D241" s="22">
        <v>9.09</v>
      </c>
      <c r="E241" s="23">
        <f t="shared" si="8"/>
        <v>-1.5503875968992942E-3</v>
      </c>
      <c r="F241" s="24">
        <f t="shared" si="9"/>
        <v>4.4198895027622864E-3</v>
      </c>
    </row>
    <row r="242" spans="2:6" x14ac:dyDescent="0.25">
      <c r="B242" s="16">
        <v>44979</v>
      </c>
      <c r="C242" s="21">
        <v>38.700000000000003</v>
      </c>
      <c r="D242" s="22">
        <v>9.0500000000000007</v>
      </c>
      <c r="E242" s="23">
        <f t="shared" si="8"/>
        <v>-1.5479876160989781E-3</v>
      </c>
      <c r="F242" s="24">
        <f t="shared" si="9"/>
        <v>-1.0928961748633892E-2</v>
      </c>
    </row>
    <row r="243" spans="2:6" x14ac:dyDescent="0.25">
      <c r="B243" s="16">
        <v>44978</v>
      </c>
      <c r="C243" s="21">
        <v>38.76</v>
      </c>
      <c r="D243" s="22">
        <v>9.15</v>
      </c>
      <c r="E243" s="23">
        <f t="shared" si="8"/>
        <v>-1.8982536066818545E-2</v>
      </c>
      <c r="F243" s="24">
        <f t="shared" si="9"/>
        <v>-3.1746031746031633E-2</v>
      </c>
    </row>
    <row r="244" spans="2:6" x14ac:dyDescent="0.25">
      <c r="B244" s="16">
        <v>44977</v>
      </c>
      <c r="C244" s="21">
        <v>39.51</v>
      </c>
      <c r="D244" s="22">
        <v>9.4499999999999993</v>
      </c>
      <c r="E244" s="23">
        <f t="shared" si="8"/>
        <v>-1.2639029322548678E-3</v>
      </c>
      <c r="F244" s="24">
        <f t="shared" si="9"/>
        <v>3.1847133757960666E-3</v>
      </c>
    </row>
    <row r="245" spans="2:6" x14ac:dyDescent="0.25">
      <c r="B245" s="16">
        <v>44974</v>
      </c>
      <c r="C245" s="21">
        <v>39.56</v>
      </c>
      <c r="D245" s="22">
        <v>9.42</v>
      </c>
      <c r="E245" s="23">
        <f t="shared" si="8"/>
        <v>-1.9335647000495837E-2</v>
      </c>
      <c r="F245" s="24">
        <f t="shared" si="9"/>
        <v>-1.9771071800208095E-2</v>
      </c>
    </row>
    <row r="246" spans="2:6" x14ac:dyDescent="0.25">
      <c r="B246" s="16">
        <v>44973</v>
      </c>
      <c r="C246" s="21">
        <v>40.340000000000003</v>
      </c>
      <c r="D246" s="22">
        <v>9.61</v>
      </c>
      <c r="E246" s="23">
        <f t="shared" si="8"/>
        <v>9.7622027534418621E-3</v>
      </c>
      <c r="F246" s="24">
        <f t="shared" si="9"/>
        <v>-2.0387359836901209E-2</v>
      </c>
    </row>
    <row r="247" spans="2:6" x14ac:dyDescent="0.25">
      <c r="B247" s="16">
        <v>44972</v>
      </c>
      <c r="C247" s="21">
        <v>39.950000000000003</v>
      </c>
      <c r="D247" s="22">
        <v>9.81</v>
      </c>
      <c r="E247" s="23">
        <f t="shared" si="8"/>
        <v>-2.9947591714498678E-3</v>
      </c>
      <c r="F247" s="24">
        <f t="shared" si="9"/>
        <v>1.6580310880829119E-2</v>
      </c>
    </row>
    <row r="248" spans="2:6" x14ac:dyDescent="0.25">
      <c r="B248" s="16">
        <v>44971</v>
      </c>
      <c r="C248" s="21">
        <v>40.07</v>
      </c>
      <c r="D248" s="22">
        <v>9.65</v>
      </c>
      <c r="E248" s="23">
        <f t="shared" si="8"/>
        <v>-2.2410358565736477E-3</v>
      </c>
      <c r="F248" s="24">
        <f t="shared" si="9"/>
        <v>-1.1270491803278659E-2</v>
      </c>
    </row>
    <row r="249" spans="2:6" x14ac:dyDescent="0.25">
      <c r="B249" s="16">
        <v>44970</v>
      </c>
      <c r="C249" s="21">
        <v>40.159999999999997</v>
      </c>
      <c r="D249" s="22">
        <v>9.76</v>
      </c>
      <c r="E249" s="23">
        <f t="shared" si="8"/>
        <v>7.0210631895686326E-3</v>
      </c>
      <c r="F249" s="24">
        <f t="shared" si="9"/>
        <v>9.3071354705274167E-3</v>
      </c>
    </row>
    <row r="250" spans="2:6" x14ac:dyDescent="0.25">
      <c r="B250" s="16">
        <v>44967</v>
      </c>
      <c r="C250" s="21">
        <v>39.880000000000003</v>
      </c>
      <c r="D250" s="22">
        <v>9.67</v>
      </c>
      <c r="E250" s="23">
        <f t="shared" si="8"/>
        <v>3.5575175279148441E-2</v>
      </c>
      <c r="F250" s="24">
        <f t="shared" si="9"/>
        <v>-1.8274111675126825E-2</v>
      </c>
    </row>
    <row r="251" spans="2:6" x14ac:dyDescent="0.25">
      <c r="B251" s="16">
        <v>44966</v>
      </c>
      <c r="C251" s="21">
        <v>38.51</v>
      </c>
      <c r="D251" s="22">
        <v>9.85</v>
      </c>
      <c r="E251" s="23">
        <f t="shared" si="8"/>
        <v>-2.1844043688087345E-2</v>
      </c>
      <c r="F251" s="24">
        <f t="shared" si="9"/>
        <v>-1.005025125628134E-2</v>
      </c>
    </row>
    <row r="252" spans="2:6" x14ac:dyDescent="0.25">
      <c r="B252" s="16">
        <v>44965</v>
      </c>
      <c r="C252" s="21">
        <v>39.369999999999997</v>
      </c>
      <c r="D252" s="22">
        <v>9.9499999999999993</v>
      </c>
      <c r="E252" s="23">
        <f t="shared" si="8"/>
        <v>-1.5216839969567353E-3</v>
      </c>
      <c r="F252" s="24">
        <f t="shared" si="9"/>
        <v>3.0241935483870108E-3</v>
      </c>
    </row>
    <row r="253" spans="2:6" x14ac:dyDescent="0.25">
      <c r="B253" s="16">
        <v>44964</v>
      </c>
      <c r="C253" s="21">
        <v>39.43</v>
      </c>
      <c r="D253" s="22">
        <v>9.92</v>
      </c>
      <c r="E253" s="23">
        <f t="shared" si="8"/>
        <v>-3.9230019493177393E-2</v>
      </c>
      <c r="F253" s="24">
        <f t="shared" si="9"/>
        <v>-3.5019455252918275E-2</v>
      </c>
    </row>
    <row r="254" spans="2:6" x14ac:dyDescent="0.25">
      <c r="B254" s="16">
        <v>44960</v>
      </c>
      <c r="C254" s="21">
        <v>41.04</v>
      </c>
      <c r="D254" s="22">
        <v>10.28</v>
      </c>
      <c r="E254" s="23">
        <f t="shared" si="8"/>
        <v>-7.2568940493469292E-3</v>
      </c>
      <c r="F254" s="24">
        <f t="shared" si="9"/>
        <v>1.9493177387914784E-3</v>
      </c>
    </row>
    <row r="255" spans="2:6" x14ac:dyDescent="0.25">
      <c r="B255" s="16">
        <v>44959</v>
      </c>
      <c r="C255" s="21">
        <v>41.34</v>
      </c>
      <c r="D255" s="22">
        <v>10.26</v>
      </c>
      <c r="E255" s="23">
        <f t="shared" si="8"/>
        <v>3.6416605972324767E-3</v>
      </c>
      <c r="F255" s="24">
        <f t="shared" si="9"/>
        <v>9.7560975609756184E-4</v>
      </c>
    </row>
    <row r="256" spans="2:6" x14ac:dyDescent="0.25">
      <c r="B256" s="16">
        <v>44958</v>
      </c>
      <c r="C256" s="21">
        <v>41.19</v>
      </c>
      <c r="D256" s="22">
        <v>10.25</v>
      </c>
      <c r="E256" s="23">
        <f t="shared" si="8"/>
        <v>-1.7179670722977769E-2</v>
      </c>
      <c r="F256" s="24">
        <f t="shared" si="9"/>
        <v>2.0916334661354563E-2</v>
      </c>
    </row>
    <row r="257" spans="2:6" x14ac:dyDescent="0.25">
      <c r="B257" s="16">
        <v>44957</v>
      </c>
      <c r="C257" s="21">
        <v>41.91</v>
      </c>
      <c r="D257" s="22">
        <v>10.039999999999999</v>
      </c>
      <c r="E257" s="23">
        <f t="shared" si="8"/>
        <v>5.2486187845303789E-2</v>
      </c>
      <c r="F257" s="24">
        <f t="shared" si="9"/>
        <v>1.0060362173038184E-2</v>
      </c>
    </row>
    <row r="258" spans="2:6" x14ac:dyDescent="0.25">
      <c r="B258" s="16">
        <v>44956</v>
      </c>
      <c r="C258" s="25">
        <v>39.82</v>
      </c>
      <c r="D258" s="26">
        <v>9.94</v>
      </c>
      <c r="E258" s="27"/>
      <c r="F258" s="28"/>
    </row>
    <row r="261" spans="2:6" x14ac:dyDescent="0.25">
      <c r="E261" s="8">
        <v>-7.1319018404907952E-2</v>
      </c>
    </row>
    <row r="262" spans="2:6" x14ac:dyDescent="0.25">
      <c r="E262" s="8">
        <v>-5.9763798939892449E-2</v>
      </c>
    </row>
    <row r="263" spans="2:6" x14ac:dyDescent="0.25">
      <c r="E263" s="8">
        <v>-4.8208579474876945E-2</v>
      </c>
    </row>
    <row r="264" spans="2:6" x14ac:dyDescent="0.25">
      <c r="E264" s="8">
        <v>-3.6653360009861434E-2</v>
      </c>
    </row>
    <row r="265" spans="2:6" x14ac:dyDescent="0.25">
      <c r="E265" s="8">
        <v>-2.509814054484593E-2</v>
      </c>
    </row>
    <row r="266" spans="2:6" x14ac:dyDescent="0.25">
      <c r="E266" s="8">
        <v>-1.3542921079830426E-2</v>
      </c>
    </row>
    <row r="267" spans="2:6" x14ac:dyDescent="0.25">
      <c r="E267" s="8">
        <v>-1.9877016148149157E-3</v>
      </c>
    </row>
    <row r="268" spans="2:6" x14ac:dyDescent="0.25">
      <c r="E268" s="8">
        <v>9.5675178502005881E-3</v>
      </c>
    </row>
    <row r="269" spans="2:6" x14ac:dyDescent="0.25">
      <c r="E269" s="8">
        <v>2.1122737315216092E-2</v>
      </c>
    </row>
    <row r="270" spans="2:6" x14ac:dyDescent="0.25">
      <c r="E270" s="8">
        <v>3.2677956780231596E-2</v>
      </c>
    </row>
    <row r="271" spans="2:6" x14ac:dyDescent="0.25">
      <c r="E271" s="8">
        <v>4.4233176245247099E-2</v>
      </c>
    </row>
    <row r="272" spans="2:6" x14ac:dyDescent="0.25">
      <c r="E272" s="8">
        <v>5.5788395710262617E-2</v>
      </c>
    </row>
    <row r="273" spans="5:5" x14ac:dyDescent="0.25">
      <c r="E273" s="8">
        <v>6.7343615175278121E-2</v>
      </c>
    </row>
    <row r="274" spans="5:5" x14ac:dyDescent="0.25">
      <c r="E274" s="8">
        <v>7.8898834640293625E-2</v>
      </c>
    </row>
    <row r="275" spans="5:5" x14ac:dyDescent="0.25">
      <c r="E275" s="8">
        <v>9.0454054105309128E-2</v>
      </c>
    </row>
  </sheetData>
  <mergeCells count="5">
    <mergeCell ref="J33:K33"/>
    <mergeCell ref="A1:G3"/>
    <mergeCell ref="I21:J21"/>
    <mergeCell ref="I15:J15"/>
    <mergeCell ref="I28:N30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Markowitz 2A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 MENDIETA LOPEZ</cp:lastModifiedBy>
  <dcterms:created xsi:type="dcterms:W3CDTF">2022-05-19T13:01:09Z</dcterms:created>
  <dcterms:modified xsi:type="dcterms:W3CDTF">2024-02-14T17:03:57Z</dcterms:modified>
</cp:coreProperties>
</file>