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425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Biblioteca\Descargas\Administracion de Riesgo\"/>
    </mc:Choice>
  </mc:AlternateContent>
  <xr:revisionPtr revIDLastSave="0" documentId="13_ncr:1_{41D6AD79-3D0D-4770-96AA-DC6D4173E510}" xr6:coauthVersionLast="47" xr6:coauthVersionMax="47" xr10:uidLastSave="{00000000-0000-0000-0000-000000000000}"/>
  <bookViews>
    <workbookView xWindow="-120" yWindow="-120" windowWidth="20730" windowHeight="11040" activeTab="1" xr2:uid="{00000000-000D-0000-FFFF-FFFF00000000}"/>
  </bookViews>
  <sheets>
    <sheet name="Portafolio" sheetId="11" r:id="rId1"/>
    <sheet name="VaR Paramétrico" sheetId="12" r:id="rId2"/>
    <sheet name="VaR Histórico" sheetId="13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8" i="13" l="1"/>
  <c r="V9" i="13" s="1"/>
  <c r="W9" i="13" s="1"/>
  <c r="S6" i="13"/>
  <c r="S7" i="13"/>
  <c r="S8" i="13"/>
  <c r="S9" i="13"/>
  <c r="S10" i="13"/>
  <c r="S11" i="13"/>
  <c r="S12" i="13"/>
  <c r="S13" i="13"/>
  <c r="S14" i="13"/>
  <c r="S15" i="13"/>
  <c r="S16" i="13"/>
  <c r="S17" i="13"/>
  <c r="S18" i="13"/>
  <c r="S19" i="13"/>
  <c r="S20" i="13"/>
  <c r="S21" i="13"/>
  <c r="S22" i="13"/>
  <c r="S23" i="13"/>
  <c r="S24" i="13"/>
  <c r="S25" i="13"/>
  <c r="S26" i="13"/>
  <c r="S27" i="13"/>
  <c r="S28" i="13"/>
  <c r="S29" i="13"/>
  <c r="S30" i="13"/>
  <c r="S31" i="13"/>
  <c r="S32" i="13"/>
  <c r="S33" i="13"/>
  <c r="S34" i="13"/>
  <c r="S35" i="13"/>
  <c r="S36" i="13"/>
  <c r="S37" i="13"/>
  <c r="S38" i="13"/>
  <c r="S39" i="13"/>
  <c r="S40" i="13"/>
  <c r="S41" i="13"/>
  <c r="S42" i="13"/>
  <c r="S43" i="13"/>
  <c r="S44" i="13"/>
  <c r="S45" i="13"/>
  <c r="S46" i="13"/>
  <c r="S47" i="13"/>
  <c r="S48" i="13"/>
  <c r="S49" i="13"/>
  <c r="S50" i="13"/>
  <c r="S51" i="13"/>
  <c r="S52" i="13"/>
  <c r="S53" i="13"/>
  <c r="S54" i="13"/>
  <c r="S55" i="13"/>
  <c r="S56" i="13"/>
  <c r="S57" i="13"/>
  <c r="S58" i="13"/>
  <c r="S59" i="13"/>
  <c r="S60" i="13"/>
  <c r="S61" i="13"/>
  <c r="S62" i="13"/>
  <c r="S63" i="13"/>
  <c r="S64" i="13"/>
  <c r="S65" i="13"/>
  <c r="S66" i="13"/>
  <c r="S67" i="13"/>
  <c r="S68" i="13"/>
  <c r="S69" i="13"/>
  <c r="S70" i="13"/>
  <c r="S71" i="13"/>
  <c r="S72" i="13"/>
  <c r="S73" i="13"/>
  <c r="S74" i="13"/>
  <c r="S75" i="13"/>
  <c r="S76" i="13"/>
  <c r="S77" i="13"/>
  <c r="S78" i="13"/>
  <c r="S79" i="13"/>
  <c r="S80" i="13"/>
  <c r="S81" i="13"/>
  <c r="S82" i="13"/>
  <c r="S83" i="13"/>
  <c r="S84" i="13"/>
  <c r="S85" i="13"/>
  <c r="S86" i="13"/>
  <c r="S87" i="13"/>
  <c r="S88" i="13"/>
  <c r="S89" i="13"/>
  <c r="S90" i="13"/>
  <c r="S91" i="13"/>
  <c r="S92" i="13"/>
  <c r="S93" i="13"/>
  <c r="S94" i="13"/>
  <c r="S95" i="13"/>
  <c r="S96" i="13"/>
  <c r="S97" i="13"/>
  <c r="S98" i="13"/>
  <c r="S99" i="13"/>
  <c r="S100" i="13"/>
  <c r="S101" i="13"/>
  <c r="S102" i="13"/>
  <c r="S103" i="13"/>
  <c r="S104" i="13"/>
  <c r="S105" i="13"/>
  <c r="S106" i="13"/>
  <c r="S107" i="13"/>
  <c r="S108" i="13"/>
  <c r="S109" i="13"/>
  <c r="S110" i="13"/>
  <c r="S111" i="13"/>
  <c r="S112" i="13"/>
  <c r="S113" i="13"/>
  <c r="S114" i="13"/>
  <c r="S115" i="13"/>
  <c r="S116" i="13"/>
  <c r="S117" i="13"/>
  <c r="S118" i="13"/>
  <c r="S119" i="13"/>
  <c r="S120" i="13"/>
  <c r="S121" i="13"/>
  <c r="S122" i="13"/>
  <c r="S123" i="13"/>
  <c r="S124" i="13"/>
  <c r="S125" i="13"/>
  <c r="S126" i="13"/>
  <c r="S127" i="13"/>
  <c r="S128" i="13"/>
  <c r="S129" i="13"/>
  <c r="S130" i="13"/>
  <c r="S131" i="13"/>
  <c r="S132" i="13"/>
  <c r="S133" i="13"/>
  <c r="S134" i="13"/>
  <c r="S135" i="13"/>
  <c r="S136" i="13"/>
  <c r="S137" i="13"/>
  <c r="S138" i="13"/>
  <c r="S139" i="13"/>
  <c r="S140" i="13"/>
  <c r="S141" i="13"/>
  <c r="S142" i="13"/>
  <c r="S143" i="13"/>
  <c r="S144" i="13"/>
  <c r="S145" i="13"/>
  <c r="S146" i="13"/>
  <c r="S147" i="13"/>
  <c r="S148" i="13"/>
  <c r="S149" i="13"/>
  <c r="S150" i="13"/>
  <c r="S151" i="13"/>
  <c r="S152" i="13"/>
  <c r="S153" i="13"/>
  <c r="S154" i="13"/>
  <c r="S155" i="13"/>
  <c r="S156" i="13"/>
  <c r="S157" i="13"/>
  <c r="S158" i="13"/>
  <c r="S159" i="13"/>
  <c r="S160" i="13"/>
  <c r="S161" i="13"/>
  <c r="S162" i="13"/>
  <c r="S163" i="13"/>
  <c r="S164" i="13"/>
  <c r="S165" i="13"/>
  <c r="S166" i="13"/>
  <c r="S167" i="13"/>
  <c r="S168" i="13"/>
  <c r="S169" i="13"/>
  <c r="S170" i="13"/>
  <c r="S171" i="13"/>
  <c r="S172" i="13"/>
  <c r="S173" i="13"/>
  <c r="S174" i="13"/>
  <c r="S175" i="13"/>
  <c r="S176" i="13"/>
  <c r="S177" i="13"/>
  <c r="S178" i="13"/>
  <c r="S179" i="13"/>
  <c r="S180" i="13"/>
  <c r="S181" i="13"/>
  <c r="S182" i="13"/>
  <c r="S183" i="13"/>
  <c r="S184" i="13"/>
  <c r="S185" i="13"/>
  <c r="S186" i="13"/>
  <c r="S187" i="13"/>
  <c r="S188" i="13"/>
  <c r="S189" i="13"/>
  <c r="S190" i="13"/>
  <c r="S191" i="13"/>
  <c r="S192" i="13"/>
  <c r="S193" i="13"/>
  <c r="S194" i="13"/>
  <c r="S195" i="13"/>
  <c r="S196" i="13"/>
  <c r="S197" i="13"/>
  <c r="S198" i="13"/>
  <c r="S199" i="13"/>
  <c r="S200" i="13"/>
  <c r="S201" i="13"/>
  <c r="S202" i="13"/>
  <c r="S203" i="13"/>
  <c r="S204" i="13"/>
  <c r="S205" i="13"/>
  <c r="S206" i="13"/>
  <c r="S207" i="13"/>
  <c r="S208" i="13"/>
  <c r="S209" i="13"/>
  <c r="S210" i="13"/>
  <c r="S211" i="13"/>
  <c r="S212" i="13"/>
  <c r="S213" i="13"/>
  <c r="S214" i="13"/>
  <c r="S215" i="13"/>
  <c r="S216" i="13"/>
  <c r="S217" i="13"/>
  <c r="S218" i="13"/>
  <c r="S219" i="13"/>
  <c r="S220" i="13"/>
  <c r="S221" i="13"/>
  <c r="S222" i="13"/>
  <c r="S223" i="13"/>
  <c r="S224" i="13"/>
  <c r="S225" i="13"/>
  <c r="S226" i="13"/>
  <c r="S227" i="13"/>
  <c r="S228" i="13"/>
  <c r="S229" i="13"/>
  <c r="S230" i="13"/>
  <c r="S231" i="13"/>
  <c r="S232" i="13"/>
  <c r="S233" i="13"/>
  <c r="S234" i="13"/>
  <c r="S235" i="13"/>
  <c r="S236" i="13"/>
  <c r="S237" i="13"/>
  <c r="S238" i="13"/>
  <c r="S239" i="13"/>
  <c r="S240" i="13"/>
  <c r="S241" i="13"/>
  <c r="S242" i="13"/>
  <c r="S243" i="13"/>
  <c r="S244" i="13"/>
  <c r="S245" i="13"/>
  <c r="S246" i="13"/>
  <c r="S247" i="13"/>
  <c r="S248" i="13"/>
  <c r="S249" i="13"/>
  <c r="S250" i="13"/>
  <c r="S251" i="13"/>
  <c r="S252" i="13"/>
  <c r="S253" i="13"/>
  <c r="S254" i="13"/>
  <c r="S255" i="13"/>
  <c r="S256" i="13"/>
  <c r="S5" i="13"/>
  <c r="O6" i="13"/>
  <c r="P6" i="13"/>
  <c r="Q6" i="13"/>
  <c r="R6" i="13"/>
  <c r="O7" i="13"/>
  <c r="P7" i="13"/>
  <c r="Q7" i="13"/>
  <c r="R7" i="13"/>
  <c r="O8" i="13"/>
  <c r="P8" i="13"/>
  <c r="Q8" i="13"/>
  <c r="R8" i="13"/>
  <c r="O9" i="13"/>
  <c r="P9" i="13"/>
  <c r="Q9" i="13"/>
  <c r="R9" i="13"/>
  <c r="O10" i="13"/>
  <c r="P10" i="13"/>
  <c r="Q10" i="13"/>
  <c r="R10" i="13"/>
  <c r="O11" i="13"/>
  <c r="P11" i="13"/>
  <c r="Q11" i="13"/>
  <c r="R11" i="13"/>
  <c r="O12" i="13"/>
  <c r="P12" i="13"/>
  <c r="Q12" i="13"/>
  <c r="R12" i="13"/>
  <c r="O13" i="13"/>
  <c r="P13" i="13"/>
  <c r="Q13" i="13"/>
  <c r="R13" i="13"/>
  <c r="O14" i="13"/>
  <c r="P14" i="13"/>
  <c r="Q14" i="13"/>
  <c r="R14" i="13"/>
  <c r="O15" i="13"/>
  <c r="P15" i="13"/>
  <c r="Q15" i="13"/>
  <c r="R15" i="13"/>
  <c r="O16" i="13"/>
  <c r="P16" i="13"/>
  <c r="Q16" i="13"/>
  <c r="R16" i="13"/>
  <c r="O17" i="13"/>
  <c r="P17" i="13"/>
  <c r="Q17" i="13"/>
  <c r="R17" i="13"/>
  <c r="O18" i="13"/>
  <c r="P18" i="13"/>
  <c r="Q18" i="13"/>
  <c r="R18" i="13"/>
  <c r="O19" i="13"/>
  <c r="P19" i="13"/>
  <c r="Q19" i="13"/>
  <c r="R19" i="13"/>
  <c r="O20" i="13"/>
  <c r="P20" i="13"/>
  <c r="Q20" i="13"/>
  <c r="R20" i="13"/>
  <c r="O21" i="13"/>
  <c r="P21" i="13"/>
  <c r="Q21" i="13"/>
  <c r="R21" i="13"/>
  <c r="O22" i="13"/>
  <c r="P22" i="13"/>
  <c r="Q22" i="13"/>
  <c r="R22" i="13"/>
  <c r="O23" i="13"/>
  <c r="P23" i="13"/>
  <c r="Q23" i="13"/>
  <c r="R23" i="13"/>
  <c r="O24" i="13"/>
  <c r="P24" i="13"/>
  <c r="Q24" i="13"/>
  <c r="R24" i="13"/>
  <c r="O25" i="13"/>
  <c r="P25" i="13"/>
  <c r="Q25" i="13"/>
  <c r="R25" i="13"/>
  <c r="O26" i="13"/>
  <c r="P26" i="13"/>
  <c r="Q26" i="13"/>
  <c r="R26" i="13"/>
  <c r="O27" i="13"/>
  <c r="P27" i="13"/>
  <c r="Q27" i="13"/>
  <c r="R27" i="13"/>
  <c r="O28" i="13"/>
  <c r="P28" i="13"/>
  <c r="Q28" i="13"/>
  <c r="R28" i="13"/>
  <c r="O29" i="13"/>
  <c r="P29" i="13"/>
  <c r="Q29" i="13"/>
  <c r="R29" i="13"/>
  <c r="O30" i="13"/>
  <c r="P30" i="13"/>
  <c r="Q30" i="13"/>
  <c r="R30" i="13"/>
  <c r="O31" i="13"/>
  <c r="P31" i="13"/>
  <c r="Q31" i="13"/>
  <c r="R31" i="13"/>
  <c r="O32" i="13"/>
  <c r="P32" i="13"/>
  <c r="Q32" i="13"/>
  <c r="R32" i="13"/>
  <c r="O33" i="13"/>
  <c r="P33" i="13"/>
  <c r="Q33" i="13"/>
  <c r="R33" i="13"/>
  <c r="O34" i="13"/>
  <c r="P34" i="13"/>
  <c r="Q34" i="13"/>
  <c r="R34" i="13"/>
  <c r="O35" i="13"/>
  <c r="P35" i="13"/>
  <c r="Q35" i="13"/>
  <c r="R35" i="13"/>
  <c r="O36" i="13"/>
  <c r="P36" i="13"/>
  <c r="Q36" i="13"/>
  <c r="R36" i="13"/>
  <c r="O37" i="13"/>
  <c r="P37" i="13"/>
  <c r="Q37" i="13"/>
  <c r="R37" i="13"/>
  <c r="O38" i="13"/>
  <c r="P38" i="13"/>
  <c r="Q38" i="13"/>
  <c r="R38" i="13"/>
  <c r="O39" i="13"/>
  <c r="P39" i="13"/>
  <c r="Q39" i="13"/>
  <c r="R39" i="13"/>
  <c r="O40" i="13"/>
  <c r="P40" i="13"/>
  <c r="Q40" i="13"/>
  <c r="R40" i="13"/>
  <c r="O41" i="13"/>
  <c r="P41" i="13"/>
  <c r="Q41" i="13"/>
  <c r="R41" i="13"/>
  <c r="O42" i="13"/>
  <c r="P42" i="13"/>
  <c r="Q42" i="13"/>
  <c r="R42" i="13"/>
  <c r="O43" i="13"/>
  <c r="P43" i="13"/>
  <c r="Q43" i="13"/>
  <c r="R43" i="13"/>
  <c r="O44" i="13"/>
  <c r="P44" i="13"/>
  <c r="Q44" i="13"/>
  <c r="R44" i="13"/>
  <c r="O45" i="13"/>
  <c r="P45" i="13"/>
  <c r="Q45" i="13"/>
  <c r="R45" i="13"/>
  <c r="O46" i="13"/>
  <c r="P46" i="13"/>
  <c r="Q46" i="13"/>
  <c r="R46" i="13"/>
  <c r="O47" i="13"/>
  <c r="P47" i="13"/>
  <c r="Q47" i="13"/>
  <c r="R47" i="13"/>
  <c r="O48" i="13"/>
  <c r="P48" i="13"/>
  <c r="Q48" i="13"/>
  <c r="R48" i="13"/>
  <c r="O49" i="13"/>
  <c r="P49" i="13"/>
  <c r="Q49" i="13"/>
  <c r="R49" i="13"/>
  <c r="O50" i="13"/>
  <c r="P50" i="13"/>
  <c r="Q50" i="13"/>
  <c r="R50" i="13"/>
  <c r="O51" i="13"/>
  <c r="P51" i="13"/>
  <c r="Q51" i="13"/>
  <c r="R51" i="13"/>
  <c r="O52" i="13"/>
  <c r="P52" i="13"/>
  <c r="Q52" i="13"/>
  <c r="R52" i="13"/>
  <c r="O53" i="13"/>
  <c r="P53" i="13"/>
  <c r="Q53" i="13"/>
  <c r="R53" i="13"/>
  <c r="O54" i="13"/>
  <c r="P54" i="13"/>
  <c r="Q54" i="13"/>
  <c r="R54" i="13"/>
  <c r="O55" i="13"/>
  <c r="P55" i="13"/>
  <c r="Q55" i="13"/>
  <c r="R55" i="13"/>
  <c r="O56" i="13"/>
  <c r="P56" i="13"/>
  <c r="Q56" i="13"/>
  <c r="R56" i="13"/>
  <c r="O57" i="13"/>
  <c r="P57" i="13"/>
  <c r="Q57" i="13"/>
  <c r="R57" i="13"/>
  <c r="O58" i="13"/>
  <c r="P58" i="13"/>
  <c r="Q58" i="13"/>
  <c r="R58" i="13"/>
  <c r="O59" i="13"/>
  <c r="P59" i="13"/>
  <c r="Q59" i="13"/>
  <c r="R59" i="13"/>
  <c r="O60" i="13"/>
  <c r="P60" i="13"/>
  <c r="Q60" i="13"/>
  <c r="R60" i="13"/>
  <c r="O61" i="13"/>
  <c r="P61" i="13"/>
  <c r="Q61" i="13"/>
  <c r="R61" i="13"/>
  <c r="O62" i="13"/>
  <c r="P62" i="13"/>
  <c r="Q62" i="13"/>
  <c r="R62" i="13"/>
  <c r="O63" i="13"/>
  <c r="P63" i="13"/>
  <c r="Q63" i="13"/>
  <c r="R63" i="13"/>
  <c r="O64" i="13"/>
  <c r="P64" i="13"/>
  <c r="Q64" i="13"/>
  <c r="R64" i="13"/>
  <c r="O65" i="13"/>
  <c r="P65" i="13"/>
  <c r="Q65" i="13"/>
  <c r="R65" i="13"/>
  <c r="O66" i="13"/>
  <c r="P66" i="13"/>
  <c r="Q66" i="13"/>
  <c r="R66" i="13"/>
  <c r="O67" i="13"/>
  <c r="P67" i="13"/>
  <c r="Q67" i="13"/>
  <c r="R67" i="13"/>
  <c r="O68" i="13"/>
  <c r="P68" i="13"/>
  <c r="Q68" i="13"/>
  <c r="R68" i="13"/>
  <c r="O69" i="13"/>
  <c r="P69" i="13"/>
  <c r="Q69" i="13"/>
  <c r="R69" i="13"/>
  <c r="O70" i="13"/>
  <c r="P70" i="13"/>
  <c r="Q70" i="13"/>
  <c r="R70" i="13"/>
  <c r="O71" i="13"/>
  <c r="P71" i="13"/>
  <c r="Q71" i="13"/>
  <c r="R71" i="13"/>
  <c r="O72" i="13"/>
  <c r="P72" i="13"/>
  <c r="Q72" i="13"/>
  <c r="R72" i="13"/>
  <c r="O73" i="13"/>
  <c r="P73" i="13"/>
  <c r="Q73" i="13"/>
  <c r="R73" i="13"/>
  <c r="O74" i="13"/>
  <c r="P74" i="13"/>
  <c r="Q74" i="13"/>
  <c r="R74" i="13"/>
  <c r="O75" i="13"/>
  <c r="P75" i="13"/>
  <c r="Q75" i="13"/>
  <c r="R75" i="13"/>
  <c r="O76" i="13"/>
  <c r="P76" i="13"/>
  <c r="Q76" i="13"/>
  <c r="R76" i="13"/>
  <c r="O77" i="13"/>
  <c r="P77" i="13"/>
  <c r="Q77" i="13"/>
  <c r="R77" i="13"/>
  <c r="O78" i="13"/>
  <c r="P78" i="13"/>
  <c r="Q78" i="13"/>
  <c r="R78" i="13"/>
  <c r="O79" i="13"/>
  <c r="P79" i="13"/>
  <c r="Q79" i="13"/>
  <c r="R79" i="13"/>
  <c r="O80" i="13"/>
  <c r="P80" i="13"/>
  <c r="Q80" i="13"/>
  <c r="R80" i="13"/>
  <c r="O81" i="13"/>
  <c r="P81" i="13"/>
  <c r="Q81" i="13"/>
  <c r="R81" i="13"/>
  <c r="O82" i="13"/>
  <c r="P82" i="13"/>
  <c r="Q82" i="13"/>
  <c r="R82" i="13"/>
  <c r="O83" i="13"/>
  <c r="P83" i="13"/>
  <c r="Q83" i="13"/>
  <c r="R83" i="13"/>
  <c r="O84" i="13"/>
  <c r="P84" i="13"/>
  <c r="Q84" i="13"/>
  <c r="R84" i="13"/>
  <c r="O85" i="13"/>
  <c r="P85" i="13"/>
  <c r="Q85" i="13"/>
  <c r="R85" i="13"/>
  <c r="O86" i="13"/>
  <c r="P86" i="13"/>
  <c r="Q86" i="13"/>
  <c r="R86" i="13"/>
  <c r="O87" i="13"/>
  <c r="P87" i="13"/>
  <c r="Q87" i="13"/>
  <c r="R87" i="13"/>
  <c r="O88" i="13"/>
  <c r="P88" i="13"/>
  <c r="Q88" i="13"/>
  <c r="R88" i="13"/>
  <c r="O89" i="13"/>
  <c r="P89" i="13"/>
  <c r="Q89" i="13"/>
  <c r="R89" i="13"/>
  <c r="O90" i="13"/>
  <c r="P90" i="13"/>
  <c r="Q90" i="13"/>
  <c r="R90" i="13"/>
  <c r="O91" i="13"/>
  <c r="P91" i="13"/>
  <c r="Q91" i="13"/>
  <c r="R91" i="13"/>
  <c r="O92" i="13"/>
  <c r="P92" i="13"/>
  <c r="Q92" i="13"/>
  <c r="R92" i="13"/>
  <c r="O93" i="13"/>
  <c r="P93" i="13"/>
  <c r="Q93" i="13"/>
  <c r="R93" i="13"/>
  <c r="O94" i="13"/>
  <c r="P94" i="13"/>
  <c r="Q94" i="13"/>
  <c r="R94" i="13"/>
  <c r="O95" i="13"/>
  <c r="P95" i="13"/>
  <c r="Q95" i="13"/>
  <c r="R95" i="13"/>
  <c r="O96" i="13"/>
  <c r="P96" i="13"/>
  <c r="Q96" i="13"/>
  <c r="R96" i="13"/>
  <c r="O97" i="13"/>
  <c r="P97" i="13"/>
  <c r="Q97" i="13"/>
  <c r="R97" i="13"/>
  <c r="O98" i="13"/>
  <c r="P98" i="13"/>
  <c r="Q98" i="13"/>
  <c r="R98" i="13"/>
  <c r="O99" i="13"/>
  <c r="P99" i="13"/>
  <c r="Q99" i="13"/>
  <c r="R99" i="13"/>
  <c r="O100" i="13"/>
  <c r="P100" i="13"/>
  <c r="Q100" i="13"/>
  <c r="R100" i="13"/>
  <c r="O101" i="13"/>
  <c r="P101" i="13"/>
  <c r="Q101" i="13"/>
  <c r="R101" i="13"/>
  <c r="O102" i="13"/>
  <c r="P102" i="13"/>
  <c r="Q102" i="13"/>
  <c r="R102" i="13"/>
  <c r="O103" i="13"/>
  <c r="P103" i="13"/>
  <c r="Q103" i="13"/>
  <c r="R103" i="13"/>
  <c r="O104" i="13"/>
  <c r="P104" i="13"/>
  <c r="Q104" i="13"/>
  <c r="R104" i="13"/>
  <c r="O105" i="13"/>
  <c r="P105" i="13"/>
  <c r="Q105" i="13"/>
  <c r="R105" i="13"/>
  <c r="O106" i="13"/>
  <c r="P106" i="13"/>
  <c r="Q106" i="13"/>
  <c r="R106" i="13"/>
  <c r="O107" i="13"/>
  <c r="P107" i="13"/>
  <c r="Q107" i="13"/>
  <c r="R107" i="13"/>
  <c r="O108" i="13"/>
  <c r="P108" i="13"/>
  <c r="Q108" i="13"/>
  <c r="R108" i="13"/>
  <c r="O109" i="13"/>
  <c r="P109" i="13"/>
  <c r="Q109" i="13"/>
  <c r="R109" i="13"/>
  <c r="O110" i="13"/>
  <c r="P110" i="13"/>
  <c r="Q110" i="13"/>
  <c r="R110" i="13"/>
  <c r="O111" i="13"/>
  <c r="P111" i="13"/>
  <c r="Q111" i="13"/>
  <c r="R111" i="13"/>
  <c r="O112" i="13"/>
  <c r="P112" i="13"/>
  <c r="Q112" i="13"/>
  <c r="R112" i="13"/>
  <c r="O113" i="13"/>
  <c r="P113" i="13"/>
  <c r="Q113" i="13"/>
  <c r="R113" i="13"/>
  <c r="O114" i="13"/>
  <c r="P114" i="13"/>
  <c r="Q114" i="13"/>
  <c r="R114" i="13"/>
  <c r="O115" i="13"/>
  <c r="P115" i="13"/>
  <c r="Q115" i="13"/>
  <c r="R115" i="13"/>
  <c r="O116" i="13"/>
  <c r="P116" i="13"/>
  <c r="Q116" i="13"/>
  <c r="R116" i="13"/>
  <c r="O117" i="13"/>
  <c r="P117" i="13"/>
  <c r="Q117" i="13"/>
  <c r="R117" i="13"/>
  <c r="O118" i="13"/>
  <c r="P118" i="13"/>
  <c r="Q118" i="13"/>
  <c r="R118" i="13"/>
  <c r="O119" i="13"/>
  <c r="P119" i="13"/>
  <c r="Q119" i="13"/>
  <c r="R119" i="13"/>
  <c r="O120" i="13"/>
  <c r="P120" i="13"/>
  <c r="Q120" i="13"/>
  <c r="R120" i="13"/>
  <c r="O121" i="13"/>
  <c r="P121" i="13"/>
  <c r="Q121" i="13"/>
  <c r="R121" i="13"/>
  <c r="O122" i="13"/>
  <c r="P122" i="13"/>
  <c r="Q122" i="13"/>
  <c r="R122" i="13"/>
  <c r="O123" i="13"/>
  <c r="P123" i="13"/>
  <c r="Q123" i="13"/>
  <c r="R123" i="13"/>
  <c r="O124" i="13"/>
  <c r="P124" i="13"/>
  <c r="Q124" i="13"/>
  <c r="R124" i="13"/>
  <c r="O125" i="13"/>
  <c r="P125" i="13"/>
  <c r="Q125" i="13"/>
  <c r="R125" i="13"/>
  <c r="O126" i="13"/>
  <c r="P126" i="13"/>
  <c r="Q126" i="13"/>
  <c r="R126" i="13"/>
  <c r="O127" i="13"/>
  <c r="P127" i="13"/>
  <c r="Q127" i="13"/>
  <c r="R127" i="13"/>
  <c r="O128" i="13"/>
  <c r="P128" i="13"/>
  <c r="Q128" i="13"/>
  <c r="R128" i="13"/>
  <c r="O129" i="13"/>
  <c r="P129" i="13"/>
  <c r="Q129" i="13"/>
  <c r="R129" i="13"/>
  <c r="O130" i="13"/>
  <c r="P130" i="13"/>
  <c r="Q130" i="13"/>
  <c r="R130" i="13"/>
  <c r="O131" i="13"/>
  <c r="P131" i="13"/>
  <c r="Q131" i="13"/>
  <c r="R131" i="13"/>
  <c r="O132" i="13"/>
  <c r="P132" i="13"/>
  <c r="Q132" i="13"/>
  <c r="R132" i="13"/>
  <c r="O133" i="13"/>
  <c r="P133" i="13"/>
  <c r="Q133" i="13"/>
  <c r="R133" i="13"/>
  <c r="O134" i="13"/>
  <c r="P134" i="13"/>
  <c r="Q134" i="13"/>
  <c r="R134" i="13"/>
  <c r="O135" i="13"/>
  <c r="P135" i="13"/>
  <c r="Q135" i="13"/>
  <c r="R135" i="13"/>
  <c r="O136" i="13"/>
  <c r="P136" i="13"/>
  <c r="Q136" i="13"/>
  <c r="R136" i="13"/>
  <c r="O137" i="13"/>
  <c r="P137" i="13"/>
  <c r="Q137" i="13"/>
  <c r="R137" i="13"/>
  <c r="O138" i="13"/>
  <c r="P138" i="13"/>
  <c r="Q138" i="13"/>
  <c r="R138" i="13"/>
  <c r="O139" i="13"/>
  <c r="P139" i="13"/>
  <c r="Q139" i="13"/>
  <c r="R139" i="13"/>
  <c r="O140" i="13"/>
  <c r="P140" i="13"/>
  <c r="Q140" i="13"/>
  <c r="R140" i="13"/>
  <c r="O141" i="13"/>
  <c r="P141" i="13"/>
  <c r="Q141" i="13"/>
  <c r="R141" i="13"/>
  <c r="O142" i="13"/>
  <c r="P142" i="13"/>
  <c r="Q142" i="13"/>
  <c r="R142" i="13"/>
  <c r="O143" i="13"/>
  <c r="P143" i="13"/>
  <c r="Q143" i="13"/>
  <c r="R143" i="13"/>
  <c r="O144" i="13"/>
  <c r="P144" i="13"/>
  <c r="Q144" i="13"/>
  <c r="R144" i="13"/>
  <c r="O145" i="13"/>
  <c r="P145" i="13"/>
  <c r="Q145" i="13"/>
  <c r="R145" i="13"/>
  <c r="O146" i="13"/>
  <c r="P146" i="13"/>
  <c r="Q146" i="13"/>
  <c r="R146" i="13"/>
  <c r="O147" i="13"/>
  <c r="P147" i="13"/>
  <c r="Q147" i="13"/>
  <c r="R147" i="13"/>
  <c r="O148" i="13"/>
  <c r="P148" i="13"/>
  <c r="Q148" i="13"/>
  <c r="R148" i="13"/>
  <c r="O149" i="13"/>
  <c r="P149" i="13"/>
  <c r="Q149" i="13"/>
  <c r="R149" i="13"/>
  <c r="O150" i="13"/>
  <c r="P150" i="13"/>
  <c r="Q150" i="13"/>
  <c r="R150" i="13"/>
  <c r="O151" i="13"/>
  <c r="P151" i="13"/>
  <c r="Q151" i="13"/>
  <c r="R151" i="13"/>
  <c r="O152" i="13"/>
  <c r="P152" i="13"/>
  <c r="Q152" i="13"/>
  <c r="R152" i="13"/>
  <c r="O153" i="13"/>
  <c r="P153" i="13"/>
  <c r="Q153" i="13"/>
  <c r="R153" i="13"/>
  <c r="O154" i="13"/>
  <c r="P154" i="13"/>
  <c r="Q154" i="13"/>
  <c r="R154" i="13"/>
  <c r="O155" i="13"/>
  <c r="P155" i="13"/>
  <c r="Q155" i="13"/>
  <c r="R155" i="13"/>
  <c r="O156" i="13"/>
  <c r="P156" i="13"/>
  <c r="Q156" i="13"/>
  <c r="R156" i="13"/>
  <c r="O157" i="13"/>
  <c r="P157" i="13"/>
  <c r="Q157" i="13"/>
  <c r="R157" i="13"/>
  <c r="O158" i="13"/>
  <c r="P158" i="13"/>
  <c r="Q158" i="13"/>
  <c r="R158" i="13"/>
  <c r="O159" i="13"/>
  <c r="P159" i="13"/>
  <c r="Q159" i="13"/>
  <c r="R159" i="13"/>
  <c r="O160" i="13"/>
  <c r="P160" i="13"/>
  <c r="Q160" i="13"/>
  <c r="R160" i="13"/>
  <c r="O161" i="13"/>
  <c r="P161" i="13"/>
  <c r="Q161" i="13"/>
  <c r="R161" i="13"/>
  <c r="O162" i="13"/>
  <c r="P162" i="13"/>
  <c r="Q162" i="13"/>
  <c r="R162" i="13"/>
  <c r="O163" i="13"/>
  <c r="P163" i="13"/>
  <c r="Q163" i="13"/>
  <c r="R163" i="13"/>
  <c r="O164" i="13"/>
  <c r="P164" i="13"/>
  <c r="Q164" i="13"/>
  <c r="R164" i="13"/>
  <c r="O165" i="13"/>
  <c r="P165" i="13"/>
  <c r="Q165" i="13"/>
  <c r="R165" i="13"/>
  <c r="O166" i="13"/>
  <c r="P166" i="13"/>
  <c r="Q166" i="13"/>
  <c r="R166" i="13"/>
  <c r="O167" i="13"/>
  <c r="P167" i="13"/>
  <c r="Q167" i="13"/>
  <c r="R167" i="13"/>
  <c r="O168" i="13"/>
  <c r="P168" i="13"/>
  <c r="Q168" i="13"/>
  <c r="R168" i="13"/>
  <c r="O169" i="13"/>
  <c r="P169" i="13"/>
  <c r="Q169" i="13"/>
  <c r="R169" i="13"/>
  <c r="O170" i="13"/>
  <c r="P170" i="13"/>
  <c r="Q170" i="13"/>
  <c r="R170" i="13"/>
  <c r="O171" i="13"/>
  <c r="P171" i="13"/>
  <c r="Q171" i="13"/>
  <c r="R171" i="13"/>
  <c r="O172" i="13"/>
  <c r="P172" i="13"/>
  <c r="Q172" i="13"/>
  <c r="R172" i="13"/>
  <c r="O173" i="13"/>
  <c r="P173" i="13"/>
  <c r="Q173" i="13"/>
  <c r="R173" i="13"/>
  <c r="O174" i="13"/>
  <c r="P174" i="13"/>
  <c r="Q174" i="13"/>
  <c r="R174" i="13"/>
  <c r="O175" i="13"/>
  <c r="P175" i="13"/>
  <c r="Q175" i="13"/>
  <c r="R175" i="13"/>
  <c r="O176" i="13"/>
  <c r="P176" i="13"/>
  <c r="Q176" i="13"/>
  <c r="R176" i="13"/>
  <c r="O177" i="13"/>
  <c r="P177" i="13"/>
  <c r="Q177" i="13"/>
  <c r="R177" i="13"/>
  <c r="O178" i="13"/>
  <c r="P178" i="13"/>
  <c r="Q178" i="13"/>
  <c r="R178" i="13"/>
  <c r="O179" i="13"/>
  <c r="P179" i="13"/>
  <c r="Q179" i="13"/>
  <c r="R179" i="13"/>
  <c r="O180" i="13"/>
  <c r="P180" i="13"/>
  <c r="Q180" i="13"/>
  <c r="R180" i="13"/>
  <c r="O181" i="13"/>
  <c r="P181" i="13"/>
  <c r="Q181" i="13"/>
  <c r="R181" i="13"/>
  <c r="O182" i="13"/>
  <c r="P182" i="13"/>
  <c r="Q182" i="13"/>
  <c r="R182" i="13"/>
  <c r="O183" i="13"/>
  <c r="P183" i="13"/>
  <c r="Q183" i="13"/>
  <c r="R183" i="13"/>
  <c r="O184" i="13"/>
  <c r="P184" i="13"/>
  <c r="Q184" i="13"/>
  <c r="R184" i="13"/>
  <c r="O185" i="13"/>
  <c r="P185" i="13"/>
  <c r="Q185" i="13"/>
  <c r="R185" i="13"/>
  <c r="O186" i="13"/>
  <c r="P186" i="13"/>
  <c r="Q186" i="13"/>
  <c r="R186" i="13"/>
  <c r="O187" i="13"/>
  <c r="P187" i="13"/>
  <c r="Q187" i="13"/>
  <c r="R187" i="13"/>
  <c r="O188" i="13"/>
  <c r="P188" i="13"/>
  <c r="Q188" i="13"/>
  <c r="R188" i="13"/>
  <c r="O189" i="13"/>
  <c r="P189" i="13"/>
  <c r="Q189" i="13"/>
  <c r="R189" i="13"/>
  <c r="O190" i="13"/>
  <c r="P190" i="13"/>
  <c r="Q190" i="13"/>
  <c r="R190" i="13"/>
  <c r="O191" i="13"/>
  <c r="P191" i="13"/>
  <c r="Q191" i="13"/>
  <c r="R191" i="13"/>
  <c r="O192" i="13"/>
  <c r="P192" i="13"/>
  <c r="Q192" i="13"/>
  <c r="R192" i="13"/>
  <c r="O193" i="13"/>
  <c r="P193" i="13"/>
  <c r="Q193" i="13"/>
  <c r="R193" i="13"/>
  <c r="O194" i="13"/>
  <c r="P194" i="13"/>
  <c r="Q194" i="13"/>
  <c r="R194" i="13"/>
  <c r="O195" i="13"/>
  <c r="P195" i="13"/>
  <c r="Q195" i="13"/>
  <c r="R195" i="13"/>
  <c r="O196" i="13"/>
  <c r="P196" i="13"/>
  <c r="Q196" i="13"/>
  <c r="R196" i="13"/>
  <c r="O197" i="13"/>
  <c r="P197" i="13"/>
  <c r="Q197" i="13"/>
  <c r="R197" i="13"/>
  <c r="O198" i="13"/>
  <c r="P198" i="13"/>
  <c r="Q198" i="13"/>
  <c r="R198" i="13"/>
  <c r="O199" i="13"/>
  <c r="P199" i="13"/>
  <c r="Q199" i="13"/>
  <c r="R199" i="13"/>
  <c r="O200" i="13"/>
  <c r="P200" i="13"/>
  <c r="Q200" i="13"/>
  <c r="R200" i="13"/>
  <c r="O201" i="13"/>
  <c r="P201" i="13"/>
  <c r="Q201" i="13"/>
  <c r="R201" i="13"/>
  <c r="O202" i="13"/>
  <c r="P202" i="13"/>
  <c r="Q202" i="13"/>
  <c r="R202" i="13"/>
  <c r="O203" i="13"/>
  <c r="P203" i="13"/>
  <c r="Q203" i="13"/>
  <c r="R203" i="13"/>
  <c r="O204" i="13"/>
  <c r="P204" i="13"/>
  <c r="Q204" i="13"/>
  <c r="R204" i="13"/>
  <c r="O205" i="13"/>
  <c r="P205" i="13"/>
  <c r="Q205" i="13"/>
  <c r="R205" i="13"/>
  <c r="O206" i="13"/>
  <c r="P206" i="13"/>
  <c r="Q206" i="13"/>
  <c r="R206" i="13"/>
  <c r="O207" i="13"/>
  <c r="P207" i="13"/>
  <c r="Q207" i="13"/>
  <c r="R207" i="13"/>
  <c r="O208" i="13"/>
  <c r="P208" i="13"/>
  <c r="Q208" i="13"/>
  <c r="R208" i="13"/>
  <c r="O209" i="13"/>
  <c r="P209" i="13"/>
  <c r="Q209" i="13"/>
  <c r="R209" i="13"/>
  <c r="O210" i="13"/>
  <c r="P210" i="13"/>
  <c r="Q210" i="13"/>
  <c r="R210" i="13"/>
  <c r="O211" i="13"/>
  <c r="P211" i="13"/>
  <c r="Q211" i="13"/>
  <c r="R211" i="13"/>
  <c r="O212" i="13"/>
  <c r="P212" i="13"/>
  <c r="Q212" i="13"/>
  <c r="R212" i="13"/>
  <c r="O213" i="13"/>
  <c r="P213" i="13"/>
  <c r="Q213" i="13"/>
  <c r="R213" i="13"/>
  <c r="O214" i="13"/>
  <c r="P214" i="13"/>
  <c r="Q214" i="13"/>
  <c r="R214" i="13"/>
  <c r="O215" i="13"/>
  <c r="P215" i="13"/>
  <c r="Q215" i="13"/>
  <c r="R215" i="13"/>
  <c r="O216" i="13"/>
  <c r="P216" i="13"/>
  <c r="Q216" i="13"/>
  <c r="R216" i="13"/>
  <c r="O217" i="13"/>
  <c r="P217" i="13"/>
  <c r="Q217" i="13"/>
  <c r="R217" i="13"/>
  <c r="O218" i="13"/>
  <c r="P218" i="13"/>
  <c r="Q218" i="13"/>
  <c r="R218" i="13"/>
  <c r="O219" i="13"/>
  <c r="P219" i="13"/>
  <c r="Q219" i="13"/>
  <c r="R219" i="13"/>
  <c r="O220" i="13"/>
  <c r="P220" i="13"/>
  <c r="Q220" i="13"/>
  <c r="R220" i="13"/>
  <c r="O221" i="13"/>
  <c r="P221" i="13"/>
  <c r="Q221" i="13"/>
  <c r="R221" i="13"/>
  <c r="O222" i="13"/>
  <c r="P222" i="13"/>
  <c r="Q222" i="13"/>
  <c r="R222" i="13"/>
  <c r="O223" i="13"/>
  <c r="P223" i="13"/>
  <c r="Q223" i="13"/>
  <c r="R223" i="13"/>
  <c r="O224" i="13"/>
  <c r="P224" i="13"/>
  <c r="Q224" i="13"/>
  <c r="R224" i="13"/>
  <c r="O225" i="13"/>
  <c r="P225" i="13"/>
  <c r="Q225" i="13"/>
  <c r="R225" i="13"/>
  <c r="O226" i="13"/>
  <c r="P226" i="13"/>
  <c r="Q226" i="13"/>
  <c r="R226" i="13"/>
  <c r="O227" i="13"/>
  <c r="P227" i="13"/>
  <c r="Q227" i="13"/>
  <c r="R227" i="13"/>
  <c r="O228" i="13"/>
  <c r="P228" i="13"/>
  <c r="Q228" i="13"/>
  <c r="R228" i="13"/>
  <c r="O229" i="13"/>
  <c r="P229" i="13"/>
  <c r="Q229" i="13"/>
  <c r="R229" i="13"/>
  <c r="O230" i="13"/>
  <c r="P230" i="13"/>
  <c r="Q230" i="13"/>
  <c r="R230" i="13"/>
  <c r="O231" i="13"/>
  <c r="P231" i="13"/>
  <c r="Q231" i="13"/>
  <c r="R231" i="13"/>
  <c r="O232" i="13"/>
  <c r="P232" i="13"/>
  <c r="Q232" i="13"/>
  <c r="R232" i="13"/>
  <c r="O233" i="13"/>
  <c r="P233" i="13"/>
  <c r="Q233" i="13"/>
  <c r="R233" i="13"/>
  <c r="O234" i="13"/>
  <c r="P234" i="13"/>
  <c r="Q234" i="13"/>
  <c r="R234" i="13"/>
  <c r="O235" i="13"/>
  <c r="P235" i="13"/>
  <c r="Q235" i="13"/>
  <c r="R235" i="13"/>
  <c r="O236" i="13"/>
  <c r="P236" i="13"/>
  <c r="Q236" i="13"/>
  <c r="R236" i="13"/>
  <c r="O237" i="13"/>
  <c r="P237" i="13"/>
  <c r="Q237" i="13"/>
  <c r="R237" i="13"/>
  <c r="O238" i="13"/>
  <c r="P238" i="13"/>
  <c r="Q238" i="13"/>
  <c r="R238" i="13"/>
  <c r="O239" i="13"/>
  <c r="P239" i="13"/>
  <c r="Q239" i="13"/>
  <c r="R239" i="13"/>
  <c r="O240" i="13"/>
  <c r="P240" i="13"/>
  <c r="Q240" i="13"/>
  <c r="R240" i="13"/>
  <c r="O241" i="13"/>
  <c r="P241" i="13"/>
  <c r="Q241" i="13"/>
  <c r="R241" i="13"/>
  <c r="O242" i="13"/>
  <c r="P242" i="13"/>
  <c r="Q242" i="13"/>
  <c r="R242" i="13"/>
  <c r="O243" i="13"/>
  <c r="P243" i="13"/>
  <c r="Q243" i="13"/>
  <c r="R243" i="13"/>
  <c r="O244" i="13"/>
  <c r="P244" i="13"/>
  <c r="Q244" i="13"/>
  <c r="R244" i="13"/>
  <c r="O245" i="13"/>
  <c r="P245" i="13"/>
  <c r="Q245" i="13"/>
  <c r="R245" i="13"/>
  <c r="O246" i="13"/>
  <c r="P246" i="13"/>
  <c r="Q246" i="13"/>
  <c r="R246" i="13"/>
  <c r="O247" i="13"/>
  <c r="P247" i="13"/>
  <c r="Q247" i="13"/>
  <c r="R247" i="13"/>
  <c r="O248" i="13"/>
  <c r="P248" i="13"/>
  <c r="Q248" i="13"/>
  <c r="R248" i="13"/>
  <c r="O249" i="13"/>
  <c r="P249" i="13"/>
  <c r="Q249" i="13"/>
  <c r="R249" i="13"/>
  <c r="O250" i="13"/>
  <c r="P250" i="13"/>
  <c r="Q250" i="13"/>
  <c r="R250" i="13"/>
  <c r="O251" i="13"/>
  <c r="P251" i="13"/>
  <c r="Q251" i="13"/>
  <c r="R251" i="13"/>
  <c r="O252" i="13"/>
  <c r="P252" i="13"/>
  <c r="Q252" i="13"/>
  <c r="R252" i="13"/>
  <c r="O253" i="13"/>
  <c r="P253" i="13"/>
  <c r="Q253" i="13"/>
  <c r="R253" i="13"/>
  <c r="O254" i="13"/>
  <c r="P254" i="13"/>
  <c r="Q254" i="13"/>
  <c r="R254" i="13"/>
  <c r="O255" i="13"/>
  <c r="P255" i="13"/>
  <c r="Q255" i="13"/>
  <c r="R255" i="13"/>
  <c r="O256" i="13"/>
  <c r="P256" i="13"/>
  <c r="Q256" i="13"/>
  <c r="R256" i="13"/>
  <c r="P5" i="13"/>
  <c r="Q5" i="13"/>
  <c r="R5" i="13"/>
  <c r="O5" i="13"/>
  <c r="K6" i="13"/>
  <c r="L6" i="13"/>
  <c r="M6" i="13"/>
  <c r="N6" i="13"/>
  <c r="K7" i="13"/>
  <c r="L7" i="13"/>
  <c r="M7" i="13"/>
  <c r="N7" i="13"/>
  <c r="K8" i="13"/>
  <c r="L8" i="13"/>
  <c r="M8" i="13"/>
  <c r="N8" i="13"/>
  <c r="K9" i="13"/>
  <c r="L9" i="13"/>
  <c r="M9" i="13"/>
  <c r="N9" i="13"/>
  <c r="K10" i="13"/>
  <c r="L10" i="13"/>
  <c r="M10" i="13"/>
  <c r="N10" i="13"/>
  <c r="K11" i="13"/>
  <c r="L11" i="13"/>
  <c r="M11" i="13"/>
  <c r="N11" i="13"/>
  <c r="K12" i="13"/>
  <c r="L12" i="13"/>
  <c r="M12" i="13"/>
  <c r="N12" i="13"/>
  <c r="K13" i="13"/>
  <c r="L13" i="13"/>
  <c r="M13" i="13"/>
  <c r="N13" i="13"/>
  <c r="K14" i="13"/>
  <c r="L14" i="13"/>
  <c r="M14" i="13"/>
  <c r="N14" i="13"/>
  <c r="K15" i="13"/>
  <c r="L15" i="13"/>
  <c r="M15" i="13"/>
  <c r="N15" i="13"/>
  <c r="K16" i="13"/>
  <c r="L16" i="13"/>
  <c r="M16" i="13"/>
  <c r="N16" i="13"/>
  <c r="K17" i="13"/>
  <c r="L17" i="13"/>
  <c r="M17" i="13"/>
  <c r="N17" i="13"/>
  <c r="K18" i="13"/>
  <c r="L18" i="13"/>
  <c r="M18" i="13"/>
  <c r="N18" i="13"/>
  <c r="K19" i="13"/>
  <c r="L19" i="13"/>
  <c r="M19" i="13"/>
  <c r="N19" i="13"/>
  <c r="K20" i="13"/>
  <c r="L20" i="13"/>
  <c r="M20" i="13"/>
  <c r="N20" i="13"/>
  <c r="K21" i="13"/>
  <c r="L21" i="13"/>
  <c r="M21" i="13"/>
  <c r="N21" i="13"/>
  <c r="K22" i="13"/>
  <c r="L22" i="13"/>
  <c r="M22" i="13"/>
  <c r="N22" i="13"/>
  <c r="K23" i="13"/>
  <c r="L23" i="13"/>
  <c r="M23" i="13"/>
  <c r="N23" i="13"/>
  <c r="K24" i="13"/>
  <c r="L24" i="13"/>
  <c r="M24" i="13"/>
  <c r="N24" i="13"/>
  <c r="K25" i="13"/>
  <c r="L25" i="13"/>
  <c r="M25" i="13"/>
  <c r="N25" i="13"/>
  <c r="K26" i="13"/>
  <c r="L26" i="13"/>
  <c r="M26" i="13"/>
  <c r="N26" i="13"/>
  <c r="K27" i="13"/>
  <c r="L27" i="13"/>
  <c r="M27" i="13"/>
  <c r="N27" i="13"/>
  <c r="K28" i="13"/>
  <c r="L28" i="13"/>
  <c r="M28" i="13"/>
  <c r="N28" i="13"/>
  <c r="K29" i="13"/>
  <c r="L29" i="13"/>
  <c r="M29" i="13"/>
  <c r="N29" i="13"/>
  <c r="K30" i="13"/>
  <c r="L30" i="13"/>
  <c r="M30" i="13"/>
  <c r="N30" i="13"/>
  <c r="K31" i="13"/>
  <c r="L31" i="13"/>
  <c r="M31" i="13"/>
  <c r="N31" i="13"/>
  <c r="K32" i="13"/>
  <c r="L32" i="13"/>
  <c r="M32" i="13"/>
  <c r="N32" i="13"/>
  <c r="K33" i="13"/>
  <c r="L33" i="13"/>
  <c r="M33" i="13"/>
  <c r="N33" i="13"/>
  <c r="K34" i="13"/>
  <c r="L34" i="13"/>
  <c r="M34" i="13"/>
  <c r="N34" i="13"/>
  <c r="K35" i="13"/>
  <c r="L35" i="13"/>
  <c r="M35" i="13"/>
  <c r="N35" i="13"/>
  <c r="K36" i="13"/>
  <c r="L36" i="13"/>
  <c r="M36" i="13"/>
  <c r="N36" i="13"/>
  <c r="K37" i="13"/>
  <c r="L37" i="13"/>
  <c r="M37" i="13"/>
  <c r="N37" i="13"/>
  <c r="K38" i="13"/>
  <c r="L38" i="13"/>
  <c r="M38" i="13"/>
  <c r="N38" i="13"/>
  <c r="K39" i="13"/>
  <c r="L39" i="13"/>
  <c r="M39" i="13"/>
  <c r="N39" i="13"/>
  <c r="K40" i="13"/>
  <c r="L40" i="13"/>
  <c r="M40" i="13"/>
  <c r="N40" i="13"/>
  <c r="K41" i="13"/>
  <c r="L41" i="13"/>
  <c r="M41" i="13"/>
  <c r="N41" i="13"/>
  <c r="K42" i="13"/>
  <c r="L42" i="13"/>
  <c r="M42" i="13"/>
  <c r="N42" i="13"/>
  <c r="K43" i="13"/>
  <c r="L43" i="13"/>
  <c r="M43" i="13"/>
  <c r="N43" i="13"/>
  <c r="K44" i="13"/>
  <c r="L44" i="13"/>
  <c r="M44" i="13"/>
  <c r="N44" i="13"/>
  <c r="K45" i="13"/>
  <c r="L45" i="13"/>
  <c r="M45" i="13"/>
  <c r="N45" i="13"/>
  <c r="K46" i="13"/>
  <c r="L46" i="13"/>
  <c r="M46" i="13"/>
  <c r="N46" i="13"/>
  <c r="K47" i="13"/>
  <c r="L47" i="13"/>
  <c r="M47" i="13"/>
  <c r="N47" i="13"/>
  <c r="K48" i="13"/>
  <c r="L48" i="13"/>
  <c r="M48" i="13"/>
  <c r="N48" i="13"/>
  <c r="K49" i="13"/>
  <c r="L49" i="13"/>
  <c r="M49" i="13"/>
  <c r="N49" i="13"/>
  <c r="K50" i="13"/>
  <c r="L50" i="13"/>
  <c r="M50" i="13"/>
  <c r="N50" i="13"/>
  <c r="K51" i="13"/>
  <c r="L51" i="13"/>
  <c r="M51" i="13"/>
  <c r="N51" i="13"/>
  <c r="K52" i="13"/>
  <c r="L52" i="13"/>
  <c r="M52" i="13"/>
  <c r="N52" i="13"/>
  <c r="K53" i="13"/>
  <c r="L53" i="13"/>
  <c r="M53" i="13"/>
  <c r="N53" i="13"/>
  <c r="K54" i="13"/>
  <c r="L54" i="13"/>
  <c r="M54" i="13"/>
  <c r="N54" i="13"/>
  <c r="K55" i="13"/>
  <c r="L55" i="13"/>
  <c r="M55" i="13"/>
  <c r="N55" i="13"/>
  <c r="K56" i="13"/>
  <c r="L56" i="13"/>
  <c r="M56" i="13"/>
  <c r="N56" i="13"/>
  <c r="K57" i="13"/>
  <c r="L57" i="13"/>
  <c r="M57" i="13"/>
  <c r="N57" i="13"/>
  <c r="K58" i="13"/>
  <c r="L58" i="13"/>
  <c r="M58" i="13"/>
  <c r="N58" i="13"/>
  <c r="K59" i="13"/>
  <c r="L59" i="13"/>
  <c r="M59" i="13"/>
  <c r="N59" i="13"/>
  <c r="K60" i="13"/>
  <c r="L60" i="13"/>
  <c r="M60" i="13"/>
  <c r="N60" i="13"/>
  <c r="K61" i="13"/>
  <c r="L61" i="13"/>
  <c r="M61" i="13"/>
  <c r="N61" i="13"/>
  <c r="K62" i="13"/>
  <c r="L62" i="13"/>
  <c r="M62" i="13"/>
  <c r="N62" i="13"/>
  <c r="K63" i="13"/>
  <c r="L63" i="13"/>
  <c r="M63" i="13"/>
  <c r="N63" i="13"/>
  <c r="K64" i="13"/>
  <c r="L64" i="13"/>
  <c r="M64" i="13"/>
  <c r="N64" i="13"/>
  <c r="K65" i="13"/>
  <c r="L65" i="13"/>
  <c r="M65" i="13"/>
  <c r="N65" i="13"/>
  <c r="K66" i="13"/>
  <c r="L66" i="13"/>
  <c r="M66" i="13"/>
  <c r="N66" i="13"/>
  <c r="K67" i="13"/>
  <c r="L67" i="13"/>
  <c r="M67" i="13"/>
  <c r="N67" i="13"/>
  <c r="K68" i="13"/>
  <c r="L68" i="13"/>
  <c r="M68" i="13"/>
  <c r="N68" i="13"/>
  <c r="K69" i="13"/>
  <c r="L69" i="13"/>
  <c r="M69" i="13"/>
  <c r="N69" i="13"/>
  <c r="K70" i="13"/>
  <c r="L70" i="13"/>
  <c r="M70" i="13"/>
  <c r="N70" i="13"/>
  <c r="K71" i="13"/>
  <c r="L71" i="13"/>
  <c r="M71" i="13"/>
  <c r="N71" i="13"/>
  <c r="K72" i="13"/>
  <c r="L72" i="13"/>
  <c r="M72" i="13"/>
  <c r="N72" i="13"/>
  <c r="K73" i="13"/>
  <c r="L73" i="13"/>
  <c r="M73" i="13"/>
  <c r="N73" i="13"/>
  <c r="K74" i="13"/>
  <c r="L74" i="13"/>
  <c r="M74" i="13"/>
  <c r="N74" i="13"/>
  <c r="K75" i="13"/>
  <c r="L75" i="13"/>
  <c r="M75" i="13"/>
  <c r="N75" i="13"/>
  <c r="K76" i="13"/>
  <c r="L76" i="13"/>
  <c r="M76" i="13"/>
  <c r="N76" i="13"/>
  <c r="K77" i="13"/>
  <c r="L77" i="13"/>
  <c r="M77" i="13"/>
  <c r="N77" i="13"/>
  <c r="K78" i="13"/>
  <c r="L78" i="13"/>
  <c r="M78" i="13"/>
  <c r="N78" i="13"/>
  <c r="K79" i="13"/>
  <c r="L79" i="13"/>
  <c r="M79" i="13"/>
  <c r="N79" i="13"/>
  <c r="K80" i="13"/>
  <c r="L80" i="13"/>
  <c r="M80" i="13"/>
  <c r="N80" i="13"/>
  <c r="K81" i="13"/>
  <c r="L81" i="13"/>
  <c r="M81" i="13"/>
  <c r="N81" i="13"/>
  <c r="K82" i="13"/>
  <c r="L82" i="13"/>
  <c r="M82" i="13"/>
  <c r="N82" i="13"/>
  <c r="K83" i="13"/>
  <c r="L83" i="13"/>
  <c r="M83" i="13"/>
  <c r="N83" i="13"/>
  <c r="K84" i="13"/>
  <c r="L84" i="13"/>
  <c r="M84" i="13"/>
  <c r="N84" i="13"/>
  <c r="K85" i="13"/>
  <c r="L85" i="13"/>
  <c r="M85" i="13"/>
  <c r="N85" i="13"/>
  <c r="K86" i="13"/>
  <c r="L86" i="13"/>
  <c r="M86" i="13"/>
  <c r="N86" i="13"/>
  <c r="K87" i="13"/>
  <c r="L87" i="13"/>
  <c r="M87" i="13"/>
  <c r="N87" i="13"/>
  <c r="K88" i="13"/>
  <c r="L88" i="13"/>
  <c r="M88" i="13"/>
  <c r="N88" i="13"/>
  <c r="K89" i="13"/>
  <c r="L89" i="13"/>
  <c r="M89" i="13"/>
  <c r="N89" i="13"/>
  <c r="K90" i="13"/>
  <c r="L90" i="13"/>
  <c r="M90" i="13"/>
  <c r="N90" i="13"/>
  <c r="K91" i="13"/>
  <c r="L91" i="13"/>
  <c r="M91" i="13"/>
  <c r="N91" i="13"/>
  <c r="K92" i="13"/>
  <c r="L92" i="13"/>
  <c r="M92" i="13"/>
  <c r="N92" i="13"/>
  <c r="K93" i="13"/>
  <c r="L93" i="13"/>
  <c r="M93" i="13"/>
  <c r="N93" i="13"/>
  <c r="K94" i="13"/>
  <c r="L94" i="13"/>
  <c r="M94" i="13"/>
  <c r="N94" i="13"/>
  <c r="K95" i="13"/>
  <c r="L95" i="13"/>
  <c r="M95" i="13"/>
  <c r="N95" i="13"/>
  <c r="K96" i="13"/>
  <c r="L96" i="13"/>
  <c r="M96" i="13"/>
  <c r="N96" i="13"/>
  <c r="K97" i="13"/>
  <c r="L97" i="13"/>
  <c r="M97" i="13"/>
  <c r="N97" i="13"/>
  <c r="K98" i="13"/>
  <c r="L98" i="13"/>
  <c r="M98" i="13"/>
  <c r="N98" i="13"/>
  <c r="K99" i="13"/>
  <c r="L99" i="13"/>
  <c r="M99" i="13"/>
  <c r="N99" i="13"/>
  <c r="K100" i="13"/>
  <c r="L100" i="13"/>
  <c r="M100" i="13"/>
  <c r="N100" i="13"/>
  <c r="K101" i="13"/>
  <c r="L101" i="13"/>
  <c r="M101" i="13"/>
  <c r="N101" i="13"/>
  <c r="K102" i="13"/>
  <c r="L102" i="13"/>
  <c r="M102" i="13"/>
  <c r="N102" i="13"/>
  <c r="K103" i="13"/>
  <c r="L103" i="13"/>
  <c r="M103" i="13"/>
  <c r="N103" i="13"/>
  <c r="K104" i="13"/>
  <c r="L104" i="13"/>
  <c r="M104" i="13"/>
  <c r="N104" i="13"/>
  <c r="K105" i="13"/>
  <c r="L105" i="13"/>
  <c r="M105" i="13"/>
  <c r="N105" i="13"/>
  <c r="K106" i="13"/>
  <c r="L106" i="13"/>
  <c r="M106" i="13"/>
  <c r="N106" i="13"/>
  <c r="K107" i="13"/>
  <c r="L107" i="13"/>
  <c r="M107" i="13"/>
  <c r="N107" i="13"/>
  <c r="K108" i="13"/>
  <c r="L108" i="13"/>
  <c r="M108" i="13"/>
  <c r="N108" i="13"/>
  <c r="K109" i="13"/>
  <c r="L109" i="13"/>
  <c r="M109" i="13"/>
  <c r="N109" i="13"/>
  <c r="K110" i="13"/>
  <c r="L110" i="13"/>
  <c r="M110" i="13"/>
  <c r="N110" i="13"/>
  <c r="K111" i="13"/>
  <c r="L111" i="13"/>
  <c r="M111" i="13"/>
  <c r="N111" i="13"/>
  <c r="K112" i="13"/>
  <c r="L112" i="13"/>
  <c r="M112" i="13"/>
  <c r="N112" i="13"/>
  <c r="K113" i="13"/>
  <c r="L113" i="13"/>
  <c r="M113" i="13"/>
  <c r="N113" i="13"/>
  <c r="K114" i="13"/>
  <c r="L114" i="13"/>
  <c r="M114" i="13"/>
  <c r="N114" i="13"/>
  <c r="K115" i="13"/>
  <c r="L115" i="13"/>
  <c r="M115" i="13"/>
  <c r="N115" i="13"/>
  <c r="K116" i="13"/>
  <c r="L116" i="13"/>
  <c r="M116" i="13"/>
  <c r="N116" i="13"/>
  <c r="K117" i="13"/>
  <c r="L117" i="13"/>
  <c r="M117" i="13"/>
  <c r="N117" i="13"/>
  <c r="K118" i="13"/>
  <c r="L118" i="13"/>
  <c r="M118" i="13"/>
  <c r="N118" i="13"/>
  <c r="K119" i="13"/>
  <c r="L119" i="13"/>
  <c r="M119" i="13"/>
  <c r="N119" i="13"/>
  <c r="K120" i="13"/>
  <c r="L120" i="13"/>
  <c r="M120" i="13"/>
  <c r="N120" i="13"/>
  <c r="K121" i="13"/>
  <c r="L121" i="13"/>
  <c r="M121" i="13"/>
  <c r="N121" i="13"/>
  <c r="K122" i="13"/>
  <c r="L122" i="13"/>
  <c r="M122" i="13"/>
  <c r="N122" i="13"/>
  <c r="K123" i="13"/>
  <c r="L123" i="13"/>
  <c r="M123" i="13"/>
  <c r="N123" i="13"/>
  <c r="K124" i="13"/>
  <c r="L124" i="13"/>
  <c r="M124" i="13"/>
  <c r="N124" i="13"/>
  <c r="K125" i="13"/>
  <c r="L125" i="13"/>
  <c r="M125" i="13"/>
  <c r="N125" i="13"/>
  <c r="K126" i="13"/>
  <c r="L126" i="13"/>
  <c r="M126" i="13"/>
  <c r="N126" i="13"/>
  <c r="K127" i="13"/>
  <c r="L127" i="13"/>
  <c r="M127" i="13"/>
  <c r="N127" i="13"/>
  <c r="K128" i="13"/>
  <c r="L128" i="13"/>
  <c r="M128" i="13"/>
  <c r="N128" i="13"/>
  <c r="K129" i="13"/>
  <c r="L129" i="13"/>
  <c r="M129" i="13"/>
  <c r="N129" i="13"/>
  <c r="K130" i="13"/>
  <c r="L130" i="13"/>
  <c r="M130" i="13"/>
  <c r="N130" i="13"/>
  <c r="K131" i="13"/>
  <c r="L131" i="13"/>
  <c r="M131" i="13"/>
  <c r="N131" i="13"/>
  <c r="K132" i="13"/>
  <c r="L132" i="13"/>
  <c r="M132" i="13"/>
  <c r="N132" i="13"/>
  <c r="K133" i="13"/>
  <c r="L133" i="13"/>
  <c r="M133" i="13"/>
  <c r="N133" i="13"/>
  <c r="K134" i="13"/>
  <c r="L134" i="13"/>
  <c r="M134" i="13"/>
  <c r="N134" i="13"/>
  <c r="K135" i="13"/>
  <c r="L135" i="13"/>
  <c r="M135" i="13"/>
  <c r="N135" i="13"/>
  <c r="K136" i="13"/>
  <c r="L136" i="13"/>
  <c r="M136" i="13"/>
  <c r="N136" i="13"/>
  <c r="K137" i="13"/>
  <c r="L137" i="13"/>
  <c r="M137" i="13"/>
  <c r="N137" i="13"/>
  <c r="K138" i="13"/>
  <c r="L138" i="13"/>
  <c r="M138" i="13"/>
  <c r="N138" i="13"/>
  <c r="K139" i="13"/>
  <c r="L139" i="13"/>
  <c r="M139" i="13"/>
  <c r="N139" i="13"/>
  <c r="K140" i="13"/>
  <c r="L140" i="13"/>
  <c r="M140" i="13"/>
  <c r="N140" i="13"/>
  <c r="K141" i="13"/>
  <c r="L141" i="13"/>
  <c r="M141" i="13"/>
  <c r="N141" i="13"/>
  <c r="K142" i="13"/>
  <c r="L142" i="13"/>
  <c r="M142" i="13"/>
  <c r="N142" i="13"/>
  <c r="K143" i="13"/>
  <c r="L143" i="13"/>
  <c r="M143" i="13"/>
  <c r="N143" i="13"/>
  <c r="K144" i="13"/>
  <c r="L144" i="13"/>
  <c r="M144" i="13"/>
  <c r="N144" i="13"/>
  <c r="K145" i="13"/>
  <c r="L145" i="13"/>
  <c r="M145" i="13"/>
  <c r="N145" i="13"/>
  <c r="K146" i="13"/>
  <c r="L146" i="13"/>
  <c r="M146" i="13"/>
  <c r="N146" i="13"/>
  <c r="K147" i="13"/>
  <c r="L147" i="13"/>
  <c r="M147" i="13"/>
  <c r="N147" i="13"/>
  <c r="K148" i="13"/>
  <c r="L148" i="13"/>
  <c r="M148" i="13"/>
  <c r="N148" i="13"/>
  <c r="K149" i="13"/>
  <c r="L149" i="13"/>
  <c r="M149" i="13"/>
  <c r="N149" i="13"/>
  <c r="K150" i="13"/>
  <c r="L150" i="13"/>
  <c r="M150" i="13"/>
  <c r="N150" i="13"/>
  <c r="K151" i="13"/>
  <c r="L151" i="13"/>
  <c r="M151" i="13"/>
  <c r="N151" i="13"/>
  <c r="K152" i="13"/>
  <c r="L152" i="13"/>
  <c r="M152" i="13"/>
  <c r="N152" i="13"/>
  <c r="K153" i="13"/>
  <c r="L153" i="13"/>
  <c r="M153" i="13"/>
  <c r="N153" i="13"/>
  <c r="K154" i="13"/>
  <c r="L154" i="13"/>
  <c r="M154" i="13"/>
  <c r="N154" i="13"/>
  <c r="K155" i="13"/>
  <c r="L155" i="13"/>
  <c r="M155" i="13"/>
  <c r="N155" i="13"/>
  <c r="K156" i="13"/>
  <c r="L156" i="13"/>
  <c r="M156" i="13"/>
  <c r="N156" i="13"/>
  <c r="K157" i="13"/>
  <c r="L157" i="13"/>
  <c r="M157" i="13"/>
  <c r="N157" i="13"/>
  <c r="K158" i="13"/>
  <c r="L158" i="13"/>
  <c r="M158" i="13"/>
  <c r="N158" i="13"/>
  <c r="K159" i="13"/>
  <c r="L159" i="13"/>
  <c r="M159" i="13"/>
  <c r="N159" i="13"/>
  <c r="K160" i="13"/>
  <c r="L160" i="13"/>
  <c r="M160" i="13"/>
  <c r="N160" i="13"/>
  <c r="K161" i="13"/>
  <c r="L161" i="13"/>
  <c r="M161" i="13"/>
  <c r="N161" i="13"/>
  <c r="K162" i="13"/>
  <c r="L162" i="13"/>
  <c r="M162" i="13"/>
  <c r="N162" i="13"/>
  <c r="K163" i="13"/>
  <c r="L163" i="13"/>
  <c r="M163" i="13"/>
  <c r="N163" i="13"/>
  <c r="K164" i="13"/>
  <c r="L164" i="13"/>
  <c r="M164" i="13"/>
  <c r="N164" i="13"/>
  <c r="K165" i="13"/>
  <c r="L165" i="13"/>
  <c r="M165" i="13"/>
  <c r="N165" i="13"/>
  <c r="K166" i="13"/>
  <c r="L166" i="13"/>
  <c r="M166" i="13"/>
  <c r="N166" i="13"/>
  <c r="K167" i="13"/>
  <c r="L167" i="13"/>
  <c r="M167" i="13"/>
  <c r="N167" i="13"/>
  <c r="K168" i="13"/>
  <c r="L168" i="13"/>
  <c r="M168" i="13"/>
  <c r="N168" i="13"/>
  <c r="K169" i="13"/>
  <c r="L169" i="13"/>
  <c r="M169" i="13"/>
  <c r="N169" i="13"/>
  <c r="K170" i="13"/>
  <c r="L170" i="13"/>
  <c r="M170" i="13"/>
  <c r="N170" i="13"/>
  <c r="K171" i="13"/>
  <c r="L171" i="13"/>
  <c r="M171" i="13"/>
  <c r="N171" i="13"/>
  <c r="K172" i="13"/>
  <c r="L172" i="13"/>
  <c r="M172" i="13"/>
  <c r="N172" i="13"/>
  <c r="K173" i="13"/>
  <c r="L173" i="13"/>
  <c r="M173" i="13"/>
  <c r="N173" i="13"/>
  <c r="K174" i="13"/>
  <c r="L174" i="13"/>
  <c r="M174" i="13"/>
  <c r="N174" i="13"/>
  <c r="K175" i="13"/>
  <c r="L175" i="13"/>
  <c r="M175" i="13"/>
  <c r="N175" i="13"/>
  <c r="K176" i="13"/>
  <c r="L176" i="13"/>
  <c r="M176" i="13"/>
  <c r="N176" i="13"/>
  <c r="K177" i="13"/>
  <c r="L177" i="13"/>
  <c r="M177" i="13"/>
  <c r="N177" i="13"/>
  <c r="K178" i="13"/>
  <c r="L178" i="13"/>
  <c r="M178" i="13"/>
  <c r="N178" i="13"/>
  <c r="K179" i="13"/>
  <c r="L179" i="13"/>
  <c r="M179" i="13"/>
  <c r="N179" i="13"/>
  <c r="K180" i="13"/>
  <c r="L180" i="13"/>
  <c r="M180" i="13"/>
  <c r="N180" i="13"/>
  <c r="K181" i="13"/>
  <c r="L181" i="13"/>
  <c r="M181" i="13"/>
  <c r="N181" i="13"/>
  <c r="K182" i="13"/>
  <c r="L182" i="13"/>
  <c r="M182" i="13"/>
  <c r="N182" i="13"/>
  <c r="K183" i="13"/>
  <c r="L183" i="13"/>
  <c r="M183" i="13"/>
  <c r="N183" i="13"/>
  <c r="K184" i="13"/>
  <c r="L184" i="13"/>
  <c r="M184" i="13"/>
  <c r="N184" i="13"/>
  <c r="K185" i="13"/>
  <c r="L185" i="13"/>
  <c r="M185" i="13"/>
  <c r="N185" i="13"/>
  <c r="K186" i="13"/>
  <c r="L186" i="13"/>
  <c r="M186" i="13"/>
  <c r="N186" i="13"/>
  <c r="K187" i="13"/>
  <c r="L187" i="13"/>
  <c r="M187" i="13"/>
  <c r="N187" i="13"/>
  <c r="K188" i="13"/>
  <c r="L188" i="13"/>
  <c r="M188" i="13"/>
  <c r="N188" i="13"/>
  <c r="K189" i="13"/>
  <c r="L189" i="13"/>
  <c r="M189" i="13"/>
  <c r="N189" i="13"/>
  <c r="K190" i="13"/>
  <c r="L190" i="13"/>
  <c r="M190" i="13"/>
  <c r="N190" i="13"/>
  <c r="K191" i="13"/>
  <c r="L191" i="13"/>
  <c r="M191" i="13"/>
  <c r="N191" i="13"/>
  <c r="K192" i="13"/>
  <c r="L192" i="13"/>
  <c r="M192" i="13"/>
  <c r="N192" i="13"/>
  <c r="K193" i="13"/>
  <c r="L193" i="13"/>
  <c r="M193" i="13"/>
  <c r="N193" i="13"/>
  <c r="K194" i="13"/>
  <c r="L194" i="13"/>
  <c r="M194" i="13"/>
  <c r="N194" i="13"/>
  <c r="K195" i="13"/>
  <c r="L195" i="13"/>
  <c r="M195" i="13"/>
  <c r="N195" i="13"/>
  <c r="K196" i="13"/>
  <c r="L196" i="13"/>
  <c r="M196" i="13"/>
  <c r="N196" i="13"/>
  <c r="K197" i="13"/>
  <c r="L197" i="13"/>
  <c r="M197" i="13"/>
  <c r="N197" i="13"/>
  <c r="K198" i="13"/>
  <c r="L198" i="13"/>
  <c r="M198" i="13"/>
  <c r="N198" i="13"/>
  <c r="K199" i="13"/>
  <c r="L199" i="13"/>
  <c r="M199" i="13"/>
  <c r="N199" i="13"/>
  <c r="K200" i="13"/>
  <c r="L200" i="13"/>
  <c r="M200" i="13"/>
  <c r="N200" i="13"/>
  <c r="K201" i="13"/>
  <c r="L201" i="13"/>
  <c r="M201" i="13"/>
  <c r="N201" i="13"/>
  <c r="K202" i="13"/>
  <c r="L202" i="13"/>
  <c r="M202" i="13"/>
  <c r="N202" i="13"/>
  <c r="K203" i="13"/>
  <c r="L203" i="13"/>
  <c r="M203" i="13"/>
  <c r="N203" i="13"/>
  <c r="K204" i="13"/>
  <c r="L204" i="13"/>
  <c r="M204" i="13"/>
  <c r="N204" i="13"/>
  <c r="K205" i="13"/>
  <c r="L205" i="13"/>
  <c r="M205" i="13"/>
  <c r="N205" i="13"/>
  <c r="K206" i="13"/>
  <c r="L206" i="13"/>
  <c r="M206" i="13"/>
  <c r="N206" i="13"/>
  <c r="K207" i="13"/>
  <c r="L207" i="13"/>
  <c r="M207" i="13"/>
  <c r="N207" i="13"/>
  <c r="K208" i="13"/>
  <c r="L208" i="13"/>
  <c r="M208" i="13"/>
  <c r="N208" i="13"/>
  <c r="K209" i="13"/>
  <c r="L209" i="13"/>
  <c r="M209" i="13"/>
  <c r="N209" i="13"/>
  <c r="K210" i="13"/>
  <c r="L210" i="13"/>
  <c r="M210" i="13"/>
  <c r="N210" i="13"/>
  <c r="K211" i="13"/>
  <c r="L211" i="13"/>
  <c r="M211" i="13"/>
  <c r="N211" i="13"/>
  <c r="K212" i="13"/>
  <c r="L212" i="13"/>
  <c r="M212" i="13"/>
  <c r="N212" i="13"/>
  <c r="K213" i="13"/>
  <c r="L213" i="13"/>
  <c r="M213" i="13"/>
  <c r="N213" i="13"/>
  <c r="K214" i="13"/>
  <c r="L214" i="13"/>
  <c r="M214" i="13"/>
  <c r="N214" i="13"/>
  <c r="K215" i="13"/>
  <c r="L215" i="13"/>
  <c r="M215" i="13"/>
  <c r="N215" i="13"/>
  <c r="K216" i="13"/>
  <c r="L216" i="13"/>
  <c r="M216" i="13"/>
  <c r="N216" i="13"/>
  <c r="K217" i="13"/>
  <c r="L217" i="13"/>
  <c r="M217" i="13"/>
  <c r="N217" i="13"/>
  <c r="K218" i="13"/>
  <c r="L218" i="13"/>
  <c r="M218" i="13"/>
  <c r="N218" i="13"/>
  <c r="K219" i="13"/>
  <c r="L219" i="13"/>
  <c r="M219" i="13"/>
  <c r="N219" i="13"/>
  <c r="K220" i="13"/>
  <c r="L220" i="13"/>
  <c r="M220" i="13"/>
  <c r="N220" i="13"/>
  <c r="K221" i="13"/>
  <c r="L221" i="13"/>
  <c r="M221" i="13"/>
  <c r="N221" i="13"/>
  <c r="K222" i="13"/>
  <c r="L222" i="13"/>
  <c r="M222" i="13"/>
  <c r="N222" i="13"/>
  <c r="K223" i="13"/>
  <c r="L223" i="13"/>
  <c r="M223" i="13"/>
  <c r="N223" i="13"/>
  <c r="K224" i="13"/>
  <c r="L224" i="13"/>
  <c r="M224" i="13"/>
  <c r="N224" i="13"/>
  <c r="K225" i="13"/>
  <c r="L225" i="13"/>
  <c r="M225" i="13"/>
  <c r="N225" i="13"/>
  <c r="K226" i="13"/>
  <c r="L226" i="13"/>
  <c r="M226" i="13"/>
  <c r="N226" i="13"/>
  <c r="K227" i="13"/>
  <c r="L227" i="13"/>
  <c r="M227" i="13"/>
  <c r="N227" i="13"/>
  <c r="K228" i="13"/>
  <c r="L228" i="13"/>
  <c r="M228" i="13"/>
  <c r="N228" i="13"/>
  <c r="K229" i="13"/>
  <c r="L229" i="13"/>
  <c r="M229" i="13"/>
  <c r="N229" i="13"/>
  <c r="K230" i="13"/>
  <c r="L230" i="13"/>
  <c r="M230" i="13"/>
  <c r="N230" i="13"/>
  <c r="K231" i="13"/>
  <c r="L231" i="13"/>
  <c r="M231" i="13"/>
  <c r="N231" i="13"/>
  <c r="K232" i="13"/>
  <c r="L232" i="13"/>
  <c r="M232" i="13"/>
  <c r="N232" i="13"/>
  <c r="K233" i="13"/>
  <c r="L233" i="13"/>
  <c r="M233" i="13"/>
  <c r="N233" i="13"/>
  <c r="K234" i="13"/>
  <c r="L234" i="13"/>
  <c r="M234" i="13"/>
  <c r="N234" i="13"/>
  <c r="K235" i="13"/>
  <c r="L235" i="13"/>
  <c r="M235" i="13"/>
  <c r="N235" i="13"/>
  <c r="K236" i="13"/>
  <c r="L236" i="13"/>
  <c r="M236" i="13"/>
  <c r="N236" i="13"/>
  <c r="K237" i="13"/>
  <c r="L237" i="13"/>
  <c r="M237" i="13"/>
  <c r="N237" i="13"/>
  <c r="K238" i="13"/>
  <c r="L238" i="13"/>
  <c r="M238" i="13"/>
  <c r="N238" i="13"/>
  <c r="K239" i="13"/>
  <c r="L239" i="13"/>
  <c r="M239" i="13"/>
  <c r="N239" i="13"/>
  <c r="K240" i="13"/>
  <c r="L240" i="13"/>
  <c r="M240" i="13"/>
  <c r="N240" i="13"/>
  <c r="K241" i="13"/>
  <c r="L241" i="13"/>
  <c r="M241" i="13"/>
  <c r="N241" i="13"/>
  <c r="K242" i="13"/>
  <c r="L242" i="13"/>
  <c r="M242" i="13"/>
  <c r="N242" i="13"/>
  <c r="K243" i="13"/>
  <c r="L243" i="13"/>
  <c r="M243" i="13"/>
  <c r="N243" i="13"/>
  <c r="K244" i="13"/>
  <c r="L244" i="13"/>
  <c r="M244" i="13"/>
  <c r="N244" i="13"/>
  <c r="K245" i="13"/>
  <c r="L245" i="13"/>
  <c r="M245" i="13"/>
  <c r="N245" i="13"/>
  <c r="K246" i="13"/>
  <c r="L246" i="13"/>
  <c r="M246" i="13"/>
  <c r="N246" i="13"/>
  <c r="K247" i="13"/>
  <c r="L247" i="13"/>
  <c r="M247" i="13"/>
  <c r="N247" i="13"/>
  <c r="K248" i="13"/>
  <c r="L248" i="13"/>
  <c r="M248" i="13"/>
  <c r="N248" i="13"/>
  <c r="K249" i="13"/>
  <c r="L249" i="13"/>
  <c r="M249" i="13"/>
  <c r="N249" i="13"/>
  <c r="K250" i="13"/>
  <c r="L250" i="13"/>
  <c r="M250" i="13"/>
  <c r="N250" i="13"/>
  <c r="K251" i="13"/>
  <c r="L251" i="13"/>
  <c r="M251" i="13"/>
  <c r="N251" i="13"/>
  <c r="K252" i="13"/>
  <c r="L252" i="13"/>
  <c r="M252" i="13"/>
  <c r="N252" i="13"/>
  <c r="K253" i="13"/>
  <c r="L253" i="13"/>
  <c r="M253" i="13"/>
  <c r="N253" i="13"/>
  <c r="K254" i="13"/>
  <c r="L254" i="13"/>
  <c r="M254" i="13"/>
  <c r="N254" i="13"/>
  <c r="K255" i="13"/>
  <c r="L255" i="13"/>
  <c r="M255" i="13"/>
  <c r="N255" i="13"/>
  <c r="K256" i="13"/>
  <c r="L256" i="13"/>
  <c r="M256" i="13"/>
  <c r="N256" i="13"/>
  <c r="L5" i="13"/>
  <c r="M5" i="13"/>
  <c r="N5" i="13"/>
  <c r="K5" i="13"/>
  <c r="G6" i="13"/>
  <c r="H6" i="13"/>
  <c r="I6" i="13"/>
  <c r="J6" i="13"/>
  <c r="G7" i="13"/>
  <c r="H7" i="13"/>
  <c r="I7" i="13"/>
  <c r="J7" i="13"/>
  <c r="G8" i="13"/>
  <c r="H8" i="13"/>
  <c r="I8" i="13"/>
  <c r="J8" i="13"/>
  <c r="G9" i="13"/>
  <c r="H9" i="13"/>
  <c r="I9" i="13"/>
  <c r="J9" i="13"/>
  <c r="G10" i="13"/>
  <c r="H10" i="13"/>
  <c r="I10" i="13"/>
  <c r="J10" i="13"/>
  <c r="G11" i="13"/>
  <c r="H11" i="13"/>
  <c r="I11" i="13"/>
  <c r="J11" i="13"/>
  <c r="G12" i="13"/>
  <c r="H12" i="13"/>
  <c r="I12" i="13"/>
  <c r="J12" i="13"/>
  <c r="G13" i="13"/>
  <c r="H13" i="13"/>
  <c r="I13" i="13"/>
  <c r="J13" i="13"/>
  <c r="G14" i="13"/>
  <c r="H14" i="13"/>
  <c r="I14" i="13"/>
  <c r="J14" i="13"/>
  <c r="G15" i="13"/>
  <c r="H15" i="13"/>
  <c r="I15" i="13"/>
  <c r="J15" i="13"/>
  <c r="G16" i="13"/>
  <c r="H16" i="13"/>
  <c r="I16" i="13"/>
  <c r="J16" i="13"/>
  <c r="G17" i="13"/>
  <c r="H17" i="13"/>
  <c r="I17" i="13"/>
  <c r="J17" i="13"/>
  <c r="G18" i="13"/>
  <c r="H18" i="13"/>
  <c r="I18" i="13"/>
  <c r="J18" i="13"/>
  <c r="G19" i="13"/>
  <c r="H19" i="13"/>
  <c r="I19" i="13"/>
  <c r="J19" i="13"/>
  <c r="G20" i="13"/>
  <c r="H20" i="13"/>
  <c r="I20" i="13"/>
  <c r="J20" i="13"/>
  <c r="G21" i="13"/>
  <c r="H21" i="13"/>
  <c r="I21" i="13"/>
  <c r="J21" i="13"/>
  <c r="G22" i="13"/>
  <c r="H22" i="13"/>
  <c r="I22" i="13"/>
  <c r="J22" i="13"/>
  <c r="G23" i="13"/>
  <c r="H23" i="13"/>
  <c r="I23" i="13"/>
  <c r="J23" i="13"/>
  <c r="G24" i="13"/>
  <c r="H24" i="13"/>
  <c r="I24" i="13"/>
  <c r="J24" i="13"/>
  <c r="G25" i="13"/>
  <c r="H25" i="13"/>
  <c r="I25" i="13"/>
  <c r="J25" i="13"/>
  <c r="G26" i="13"/>
  <c r="H26" i="13"/>
  <c r="I26" i="13"/>
  <c r="J26" i="13"/>
  <c r="G27" i="13"/>
  <c r="H27" i="13"/>
  <c r="I27" i="13"/>
  <c r="J27" i="13"/>
  <c r="G28" i="13"/>
  <c r="H28" i="13"/>
  <c r="I28" i="13"/>
  <c r="J28" i="13"/>
  <c r="G29" i="13"/>
  <c r="H29" i="13"/>
  <c r="I29" i="13"/>
  <c r="J29" i="13"/>
  <c r="G30" i="13"/>
  <c r="H30" i="13"/>
  <c r="I30" i="13"/>
  <c r="J30" i="13"/>
  <c r="G31" i="13"/>
  <c r="H31" i="13"/>
  <c r="I31" i="13"/>
  <c r="J31" i="13"/>
  <c r="G32" i="13"/>
  <c r="H32" i="13"/>
  <c r="I32" i="13"/>
  <c r="J32" i="13"/>
  <c r="G33" i="13"/>
  <c r="H33" i="13"/>
  <c r="I33" i="13"/>
  <c r="J33" i="13"/>
  <c r="G34" i="13"/>
  <c r="H34" i="13"/>
  <c r="I34" i="13"/>
  <c r="J34" i="13"/>
  <c r="G35" i="13"/>
  <c r="H35" i="13"/>
  <c r="I35" i="13"/>
  <c r="J35" i="13"/>
  <c r="G36" i="13"/>
  <c r="H36" i="13"/>
  <c r="I36" i="13"/>
  <c r="J36" i="13"/>
  <c r="G37" i="13"/>
  <c r="H37" i="13"/>
  <c r="I37" i="13"/>
  <c r="J37" i="13"/>
  <c r="G38" i="13"/>
  <c r="H38" i="13"/>
  <c r="I38" i="13"/>
  <c r="J38" i="13"/>
  <c r="G39" i="13"/>
  <c r="H39" i="13"/>
  <c r="I39" i="13"/>
  <c r="J39" i="13"/>
  <c r="G40" i="13"/>
  <c r="H40" i="13"/>
  <c r="I40" i="13"/>
  <c r="J40" i="13"/>
  <c r="G41" i="13"/>
  <c r="H41" i="13"/>
  <c r="I41" i="13"/>
  <c r="J41" i="13"/>
  <c r="G42" i="13"/>
  <c r="H42" i="13"/>
  <c r="I42" i="13"/>
  <c r="J42" i="13"/>
  <c r="G43" i="13"/>
  <c r="H43" i="13"/>
  <c r="I43" i="13"/>
  <c r="J43" i="13"/>
  <c r="G44" i="13"/>
  <c r="H44" i="13"/>
  <c r="I44" i="13"/>
  <c r="J44" i="13"/>
  <c r="G45" i="13"/>
  <c r="H45" i="13"/>
  <c r="I45" i="13"/>
  <c r="J45" i="13"/>
  <c r="G46" i="13"/>
  <c r="H46" i="13"/>
  <c r="I46" i="13"/>
  <c r="J46" i="13"/>
  <c r="G47" i="13"/>
  <c r="H47" i="13"/>
  <c r="I47" i="13"/>
  <c r="J47" i="13"/>
  <c r="G48" i="13"/>
  <c r="H48" i="13"/>
  <c r="I48" i="13"/>
  <c r="J48" i="13"/>
  <c r="G49" i="13"/>
  <c r="H49" i="13"/>
  <c r="I49" i="13"/>
  <c r="J49" i="13"/>
  <c r="G50" i="13"/>
  <c r="H50" i="13"/>
  <c r="I50" i="13"/>
  <c r="J50" i="13"/>
  <c r="G51" i="13"/>
  <c r="H51" i="13"/>
  <c r="I51" i="13"/>
  <c r="J51" i="13"/>
  <c r="G52" i="13"/>
  <c r="H52" i="13"/>
  <c r="I52" i="13"/>
  <c r="J52" i="13"/>
  <c r="G53" i="13"/>
  <c r="H53" i="13"/>
  <c r="I53" i="13"/>
  <c r="J53" i="13"/>
  <c r="G54" i="13"/>
  <c r="H54" i="13"/>
  <c r="I54" i="13"/>
  <c r="J54" i="13"/>
  <c r="G55" i="13"/>
  <c r="H55" i="13"/>
  <c r="I55" i="13"/>
  <c r="J55" i="13"/>
  <c r="G56" i="13"/>
  <c r="H56" i="13"/>
  <c r="I56" i="13"/>
  <c r="J56" i="13"/>
  <c r="G57" i="13"/>
  <c r="H57" i="13"/>
  <c r="I57" i="13"/>
  <c r="J57" i="13"/>
  <c r="G58" i="13"/>
  <c r="H58" i="13"/>
  <c r="I58" i="13"/>
  <c r="J58" i="13"/>
  <c r="G59" i="13"/>
  <c r="H59" i="13"/>
  <c r="I59" i="13"/>
  <c r="J59" i="13"/>
  <c r="G60" i="13"/>
  <c r="H60" i="13"/>
  <c r="I60" i="13"/>
  <c r="J60" i="13"/>
  <c r="G61" i="13"/>
  <c r="H61" i="13"/>
  <c r="I61" i="13"/>
  <c r="J61" i="13"/>
  <c r="G62" i="13"/>
  <c r="H62" i="13"/>
  <c r="I62" i="13"/>
  <c r="J62" i="13"/>
  <c r="G63" i="13"/>
  <c r="H63" i="13"/>
  <c r="I63" i="13"/>
  <c r="J63" i="13"/>
  <c r="G64" i="13"/>
  <c r="H64" i="13"/>
  <c r="I64" i="13"/>
  <c r="J64" i="13"/>
  <c r="G65" i="13"/>
  <c r="H65" i="13"/>
  <c r="I65" i="13"/>
  <c r="J65" i="13"/>
  <c r="G66" i="13"/>
  <c r="H66" i="13"/>
  <c r="I66" i="13"/>
  <c r="J66" i="13"/>
  <c r="G67" i="13"/>
  <c r="H67" i="13"/>
  <c r="I67" i="13"/>
  <c r="J67" i="13"/>
  <c r="G68" i="13"/>
  <c r="H68" i="13"/>
  <c r="I68" i="13"/>
  <c r="J68" i="13"/>
  <c r="G69" i="13"/>
  <c r="H69" i="13"/>
  <c r="I69" i="13"/>
  <c r="J69" i="13"/>
  <c r="G70" i="13"/>
  <c r="H70" i="13"/>
  <c r="I70" i="13"/>
  <c r="J70" i="13"/>
  <c r="G71" i="13"/>
  <c r="H71" i="13"/>
  <c r="I71" i="13"/>
  <c r="J71" i="13"/>
  <c r="G72" i="13"/>
  <c r="H72" i="13"/>
  <c r="I72" i="13"/>
  <c r="J72" i="13"/>
  <c r="G73" i="13"/>
  <c r="H73" i="13"/>
  <c r="I73" i="13"/>
  <c r="J73" i="13"/>
  <c r="G74" i="13"/>
  <c r="H74" i="13"/>
  <c r="I74" i="13"/>
  <c r="J74" i="13"/>
  <c r="G75" i="13"/>
  <c r="H75" i="13"/>
  <c r="I75" i="13"/>
  <c r="J75" i="13"/>
  <c r="G76" i="13"/>
  <c r="H76" i="13"/>
  <c r="I76" i="13"/>
  <c r="J76" i="13"/>
  <c r="G77" i="13"/>
  <c r="H77" i="13"/>
  <c r="I77" i="13"/>
  <c r="J77" i="13"/>
  <c r="G78" i="13"/>
  <c r="H78" i="13"/>
  <c r="I78" i="13"/>
  <c r="J78" i="13"/>
  <c r="G79" i="13"/>
  <c r="H79" i="13"/>
  <c r="I79" i="13"/>
  <c r="J79" i="13"/>
  <c r="G80" i="13"/>
  <c r="H80" i="13"/>
  <c r="I80" i="13"/>
  <c r="J80" i="13"/>
  <c r="G81" i="13"/>
  <c r="H81" i="13"/>
  <c r="I81" i="13"/>
  <c r="J81" i="13"/>
  <c r="G82" i="13"/>
  <c r="H82" i="13"/>
  <c r="I82" i="13"/>
  <c r="J82" i="13"/>
  <c r="G83" i="13"/>
  <c r="H83" i="13"/>
  <c r="I83" i="13"/>
  <c r="J83" i="13"/>
  <c r="G84" i="13"/>
  <c r="H84" i="13"/>
  <c r="I84" i="13"/>
  <c r="J84" i="13"/>
  <c r="G85" i="13"/>
  <c r="H85" i="13"/>
  <c r="I85" i="13"/>
  <c r="J85" i="13"/>
  <c r="G86" i="13"/>
  <c r="H86" i="13"/>
  <c r="I86" i="13"/>
  <c r="J86" i="13"/>
  <c r="G87" i="13"/>
  <c r="H87" i="13"/>
  <c r="I87" i="13"/>
  <c r="J87" i="13"/>
  <c r="G88" i="13"/>
  <c r="H88" i="13"/>
  <c r="I88" i="13"/>
  <c r="J88" i="13"/>
  <c r="G89" i="13"/>
  <c r="H89" i="13"/>
  <c r="I89" i="13"/>
  <c r="J89" i="13"/>
  <c r="G90" i="13"/>
  <c r="H90" i="13"/>
  <c r="I90" i="13"/>
  <c r="J90" i="13"/>
  <c r="G91" i="13"/>
  <c r="H91" i="13"/>
  <c r="I91" i="13"/>
  <c r="J91" i="13"/>
  <c r="G92" i="13"/>
  <c r="H92" i="13"/>
  <c r="I92" i="13"/>
  <c r="J92" i="13"/>
  <c r="G93" i="13"/>
  <c r="H93" i="13"/>
  <c r="I93" i="13"/>
  <c r="J93" i="13"/>
  <c r="G94" i="13"/>
  <c r="H94" i="13"/>
  <c r="I94" i="13"/>
  <c r="J94" i="13"/>
  <c r="G95" i="13"/>
  <c r="H95" i="13"/>
  <c r="I95" i="13"/>
  <c r="J95" i="13"/>
  <c r="G96" i="13"/>
  <c r="H96" i="13"/>
  <c r="I96" i="13"/>
  <c r="J96" i="13"/>
  <c r="G97" i="13"/>
  <c r="H97" i="13"/>
  <c r="I97" i="13"/>
  <c r="J97" i="13"/>
  <c r="G98" i="13"/>
  <c r="H98" i="13"/>
  <c r="I98" i="13"/>
  <c r="J98" i="13"/>
  <c r="G99" i="13"/>
  <c r="H99" i="13"/>
  <c r="I99" i="13"/>
  <c r="J99" i="13"/>
  <c r="G100" i="13"/>
  <c r="H100" i="13"/>
  <c r="I100" i="13"/>
  <c r="J100" i="13"/>
  <c r="G101" i="13"/>
  <c r="H101" i="13"/>
  <c r="I101" i="13"/>
  <c r="J101" i="13"/>
  <c r="G102" i="13"/>
  <c r="H102" i="13"/>
  <c r="I102" i="13"/>
  <c r="J102" i="13"/>
  <c r="G103" i="13"/>
  <c r="H103" i="13"/>
  <c r="I103" i="13"/>
  <c r="J103" i="13"/>
  <c r="G104" i="13"/>
  <c r="H104" i="13"/>
  <c r="I104" i="13"/>
  <c r="J104" i="13"/>
  <c r="G105" i="13"/>
  <c r="H105" i="13"/>
  <c r="I105" i="13"/>
  <c r="J105" i="13"/>
  <c r="G106" i="13"/>
  <c r="H106" i="13"/>
  <c r="I106" i="13"/>
  <c r="J106" i="13"/>
  <c r="G107" i="13"/>
  <c r="H107" i="13"/>
  <c r="I107" i="13"/>
  <c r="J107" i="13"/>
  <c r="G108" i="13"/>
  <c r="H108" i="13"/>
  <c r="I108" i="13"/>
  <c r="J108" i="13"/>
  <c r="G109" i="13"/>
  <c r="H109" i="13"/>
  <c r="I109" i="13"/>
  <c r="J109" i="13"/>
  <c r="G110" i="13"/>
  <c r="H110" i="13"/>
  <c r="I110" i="13"/>
  <c r="J110" i="13"/>
  <c r="G111" i="13"/>
  <c r="H111" i="13"/>
  <c r="I111" i="13"/>
  <c r="J111" i="13"/>
  <c r="G112" i="13"/>
  <c r="H112" i="13"/>
  <c r="I112" i="13"/>
  <c r="J112" i="13"/>
  <c r="G113" i="13"/>
  <c r="H113" i="13"/>
  <c r="I113" i="13"/>
  <c r="J113" i="13"/>
  <c r="G114" i="13"/>
  <c r="H114" i="13"/>
  <c r="I114" i="13"/>
  <c r="J114" i="13"/>
  <c r="G115" i="13"/>
  <c r="H115" i="13"/>
  <c r="I115" i="13"/>
  <c r="J115" i="13"/>
  <c r="G116" i="13"/>
  <c r="H116" i="13"/>
  <c r="I116" i="13"/>
  <c r="J116" i="13"/>
  <c r="G117" i="13"/>
  <c r="H117" i="13"/>
  <c r="I117" i="13"/>
  <c r="J117" i="13"/>
  <c r="G118" i="13"/>
  <c r="H118" i="13"/>
  <c r="I118" i="13"/>
  <c r="J118" i="13"/>
  <c r="G119" i="13"/>
  <c r="H119" i="13"/>
  <c r="I119" i="13"/>
  <c r="J119" i="13"/>
  <c r="G120" i="13"/>
  <c r="H120" i="13"/>
  <c r="I120" i="13"/>
  <c r="J120" i="13"/>
  <c r="G121" i="13"/>
  <c r="H121" i="13"/>
  <c r="I121" i="13"/>
  <c r="J121" i="13"/>
  <c r="G122" i="13"/>
  <c r="H122" i="13"/>
  <c r="I122" i="13"/>
  <c r="J122" i="13"/>
  <c r="G123" i="13"/>
  <c r="H123" i="13"/>
  <c r="I123" i="13"/>
  <c r="J123" i="13"/>
  <c r="G124" i="13"/>
  <c r="H124" i="13"/>
  <c r="I124" i="13"/>
  <c r="J124" i="13"/>
  <c r="G125" i="13"/>
  <c r="H125" i="13"/>
  <c r="I125" i="13"/>
  <c r="J125" i="13"/>
  <c r="G126" i="13"/>
  <c r="H126" i="13"/>
  <c r="I126" i="13"/>
  <c r="J126" i="13"/>
  <c r="G127" i="13"/>
  <c r="H127" i="13"/>
  <c r="I127" i="13"/>
  <c r="J127" i="13"/>
  <c r="G128" i="13"/>
  <c r="H128" i="13"/>
  <c r="I128" i="13"/>
  <c r="J128" i="13"/>
  <c r="G129" i="13"/>
  <c r="H129" i="13"/>
  <c r="I129" i="13"/>
  <c r="J129" i="13"/>
  <c r="G130" i="13"/>
  <c r="H130" i="13"/>
  <c r="I130" i="13"/>
  <c r="J130" i="13"/>
  <c r="G131" i="13"/>
  <c r="H131" i="13"/>
  <c r="I131" i="13"/>
  <c r="J131" i="13"/>
  <c r="G132" i="13"/>
  <c r="H132" i="13"/>
  <c r="I132" i="13"/>
  <c r="J132" i="13"/>
  <c r="G133" i="13"/>
  <c r="H133" i="13"/>
  <c r="I133" i="13"/>
  <c r="J133" i="13"/>
  <c r="G134" i="13"/>
  <c r="H134" i="13"/>
  <c r="I134" i="13"/>
  <c r="J134" i="13"/>
  <c r="G135" i="13"/>
  <c r="H135" i="13"/>
  <c r="I135" i="13"/>
  <c r="J135" i="13"/>
  <c r="G136" i="13"/>
  <c r="H136" i="13"/>
  <c r="I136" i="13"/>
  <c r="J136" i="13"/>
  <c r="G137" i="13"/>
  <c r="H137" i="13"/>
  <c r="I137" i="13"/>
  <c r="J137" i="13"/>
  <c r="G138" i="13"/>
  <c r="H138" i="13"/>
  <c r="I138" i="13"/>
  <c r="J138" i="13"/>
  <c r="G139" i="13"/>
  <c r="H139" i="13"/>
  <c r="I139" i="13"/>
  <c r="J139" i="13"/>
  <c r="G140" i="13"/>
  <c r="H140" i="13"/>
  <c r="I140" i="13"/>
  <c r="J140" i="13"/>
  <c r="G141" i="13"/>
  <c r="H141" i="13"/>
  <c r="I141" i="13"/>
  <c r="J141" i="13"/>
  <c r="G142" i="13"/>
  <c r="H142" i="13"/>
  <c r="I142" i="13"/>
  <c r="J142" i="13"/>
  <c r="G143" i="13"/>
  <c r="H143" i="13"/>
  <c r="I143" i="13"/>
  <c r="J143" i="13"/>
  <c r="G144" i="13"/>
  <c r="H144" i="13"/>
  <c r="I144" i="13"/>
  <c r="J144" i="13"/>
  <c r="G145" i="13"/>
  <c r="H145" i="13"/>
  <c r="I145" i="13"/>
  <c r="J145" i="13"/>
  <c r="G146" i="13"/>
  <c r="H146" i="13"/>
  <c r="I146" i="13"/>
  <c r="J146" i="13"/>
  <c r="G147" i="13"/>
  <c r="H147" i="13"/>
  <c r="I147" i="13"/>
  <c r="J147" i="13"/>
  <c r="G148" i="13"/>
  <c r="H148" i="13"/>
  <c r="I148" i="13"/>
  <c r="J148" i="13"/>
  <c r="G149" i="13"/>
  <c r="H149" i="13"/>
  <c r="I149" i="13"/>
  <c r="J149" i="13"/>
  <c r="G150" i="13"/>
  <c r="H150" i="13"/>
  <c r="I150" i="13"/>
  <c r="J150" i="13"/>
  <c r="G151" i="13"/>
  <c r="H151" i="13"/>
  <c r="I151" i="13"/>
  <c r="J151" i="13"/>
  <c r="G152" i="13"/>
  <c r="H152" i="13"/>
  <c r="I152" i="13"/>
  <c r="J152" i="13"/>
  <c r="G153" i="13"/>
  <c r="H153" i="13"/>
  <c r="I153" i="13"/>
  <c r="J153" i="13"/>
  <c r="G154" i="13"/>
  <c r="H154" i="13"/>
  <c r="I154" i="13"/>
  <c r="J154" i="13"/>
  <c r="G155" i="13"/>
  <c r="H155" i="13"/>
  <c r="I155" i="13"/>
  <c r="J155" i="13"/>
  <c r="G156" i="13"/>
  <c r="H156" i="13"/>
  <c r="I156" i="13"/>
  <c r="J156" i="13"/>
  <c r="G157" i="13"/>
  <c r="H157" i="13"/>
  <c r="I157" i="13"/>
  <c r="J157" i="13"/>
  <c r="G158" i="13"/>
  <c r="H158" i="13"/>
  <c r="I158" i="13"/>
  <c r="J158" i="13"/>
  <c r="G159" i="13"/>
  <c r="H159" i="13"/>
  <c r="I159" i="13"/>
  <c r="J159" i="13"/>
  <c r="G160" i="13"/>
  <c r="H160" i="13"/>
  <c r="I160" i="13"/>
  <c r="J160" i="13"/>
  <c r="G161" i="13"/>
  <c r="H161" i="13"/>
  <c r="I161" i="13"/>
  <c r="J161" i="13"/>
  <c r="G162" i="13"/>
  <c r="H162" i="13"/>
  <c r="I162" i="13"/>
  <c r="J162" i="13"/>
  <c r="G163" i="13"/>
  <c r="H163" i="13"/>
  <c r="I163" i="13"/>
  <c r="J163" i="13"/>
  <c r="G164" i="13"/>
  <c r="H164" i="13"/>
  <c r="I164" i="13"/>
  <c r="J164" i="13"/>
  <c r="G165" i="13"/>
  <c r="H165" i="13"/>
  <c r="I165" i="13"/>
  <c r="J165" i="13"/>
  <c r="G166" i="13"/>
  <c r="H166" i="13"/>
  <c r="I166" i="13"/>
  <c r="J166" i="13"/>
  <c r="G167" i="13"/>
  <c r="H167" i="13"/>
  <c r="I167" i="13"/>
  <c r="J167" i="13"/>
  <c r="G168" i="13"/>
  <c r="H168" i="13"/>
  <c r="I168" i="13"/>
  <c r="J168" i="13"/>
  <c r="G169" i="13"/>
  <c r="H169" i="13"/>
  <c r="I169" i="13"/>
  <c r="J169" i="13"/>
  <c r="G170" i="13"/>
  <c r="H170" i="13"/>
  <c r="I170" i="13"/>
  <c r="J170" i="13"/>
  <c r="G171" i="13"/>
  <c r="H171" i="13"/>
  <c r="I171" i="13"/>
  <c r="J171" i="13"/>
  <c r="G172" i="13"/>
  <c r="H172" i="13"/>
  <c r="I172" i="13"/>
  <c r="J172" i="13"/>
  <c r="G173" i="13"/>
  <c r="H173" i="13"/>
  <c r="I173" i="13"/>
  <c r="J173" i="13"/>
  <c r="G174" i="13"/>
  <c r="H174" i="13"/>
  <c r="I174" i="13"/>
  <c r="J174" i="13"/>
  <c r="G175" i="13"/>
  <c r="H175" i="13"/>
  <c r="I175" i="13"/>
  <c r="J175" i="13"/>
  <c r="G176" i="13"/>
  <c r="H176" i="13"/>
  <c r="I176" i="13"/>
  <c r="J176" i="13"/>
  <c r="G177" i="13"/>
  <c r="H177" i="13"/>
  <c r="I177" i="13"/>
  <c r="J177" i="13"/>
  <c r="G178" i="13"/>
  <c r="H178" i="13"/>
  <c r="I178" i="13"/>
  <c r="J178" i="13"/>
  <c r="G179" i="13"/>
  <c r="H179" i="13"/>
  <c r="I179" i="13"/>
  <c r="J179" i="13"/>
  <c r="G180" i="13"/>
  <c r="H180" i="13"/>
  <c r="I180" i="13"/>
  <c r="J180" i="13"/>
  <c r="G181" i="13"/>
  <c r="H181" i="13"/>
  <c r="I181" i="13"/>
  <c r="J181" i="13"/>
  <c r="G182" i="13"/>
  <c r="H182" i="13"/>
  <c r="I182" i="13"/>
  <c r="J182" i="13"/>
  <c r="G183" i="13"/>
  <c r="H183" i="13"/>
  <c r="I183" i="13"/>
  <c r="J183" i="13"/>
  <c r="G184" i="13"/>
  <c r="H184" i="13"/>
  <c r="I184" i="13"/>
  <c r="J184" i="13"/>
  <c r="G185" i="13"/>
  <c r="H185" i="13"/>
  <c r="I185" i="13"/>
  <c r="J185" i="13"/>
  <c r="G186" i="13"/>
  <c r="H186" i="13"/>
  <c r="I186" i="13"/>
  <c r="J186" i="13"/>
  <c r="G187" i="13"/>
  <c r="H187" i="13"/>
  <c r="I187" i="13"/>
  <c r="J187" i="13"/>
  <c r="G188" i="13"/>
  <c r="H188" i="13"/>
  <c r="I188" i="13"/>
  <c r="J188" i="13"/>
  <c r="G189" i="13"/>
  <c r="H189" i="13"/>
  <c r="I189" i="13"/>
  <c r="J189" i="13"/>
  <c r="G190" i="13"/>
  <c r="H190" i="13"/>
  <c r="I190" i="13"/>
  <c r="J190" i="13"/>
  <c r="G191" i="13"/>
  <c r="H191" i="13"/>
  <c r="I191" i="13"/>
  <c r="J191" i="13"/>
  <c r="G192" i="13"/>
  <c r="H192" i="13"/>
  <c r="I192" i="13"/>
  <c r="J192" i="13"/>
  <c r="G193" i="13"/>
  <c r="H193" i="13"/>
  <c r="I193" i="13"/>
  <c r="J193" i="13"/>
  <c r="G194" i="13"/>
  <c r="H194" i="13"/>
  <c r="I194" i="13"/>
  <c r="J194" i="13"/>
  <c r="G195" i="13"/>
  <c r="H195" i="13"/>
  <c r="I195" i="13"/>
  <c r="J195" i="13"/>
  <c r="G196" i="13"/>
  <c r="H196" i="13"/>
  <c r="I196" i="13"/>
  <c r="J196" i="13"/>
  <c r="G197" i="13"/>
  <c r="H197" i="13"/>
  <c r="I197" i="13"/>
  <c r="J197" i="13"/>
  <c r="G198" i="13"/>
  <c r="H198" i="13"/>
  <c r="I198" i="13"/>
  <c r="J198" i="13"/>
  <c r="G199" i="13"/>
  <c r="H199" i="13"/>
  <c r="I199" i="13"/>
  <c r="J199" i="13"/>
  <c r="G200" i="13"/>
  <c r="H200" i="13"/>
  <c r="I200" i="13"/>
  <c r="J200" i="13"/>
  <c r="G201" i="13"/>
  <c r="H201" i="13"/>
  <c r="I201" i="13"/>
  <c r="J201" i="13"/>
  <c r="G202" i="13"/>
  <c r="H202" i="13"/>
  <c r="I202" i="13"/>
  <c r="J202" i="13"/>
  <c r="G203" i="13"/>
  <c r="H203" i="13"/>
  <c r="I203" i="13"/>
  <c r="J203" i="13"/>
  <c r="G204" i="13"/>
  <c r="H204" i="13"/>
  <c r="I204" i="13"/>
  <c r="J204" i="13"/>
  <c r="G205" i="13"/>
  <c r="H205" i="13"/>
  <c r="I205" i="13"/>
  <c r="J205" i="13"/>
  <c r="G206" i="13"/>
  <c r="H206" i="13"/>
  <c r="I206" i="13"/>
  <c r="J206" i="13"/>
  <c r="G207" i="13"/>
  <c r="H207" i="13"/>
  <c r="I207" i="13"/>
  <c r="J207" i="13"/>
  <c r="G208" i="13"/>
  <c r="H208" i="13"/>
  <c r="I208" i="13"/>
  <c r="J208" i="13"/>
  <c r="G209" i="13"/>
  <c r="H209" i="13"/>
  <c r="I209" i="13"/>
  <c r="J209" i="13"/>
  <c r="G210" i="13"/>
  <c r="H210" i="13"/>
  <c r="I210" i="13"/>
  <c r="J210" i="13"/>
  <c r="G211" i="13"/>
  <c r="H211" i="13"/>
  <c r="I211" i="13"/>
  <c r="J211" i="13"/>
  <c r="G212" i="13"/>
  <c r="H212" i="13"/>
  <c r="I212" i="13"/>
  <c r="J212" i="13"/>
  <c r="G213" i="13"/>
  <c r="H213" i="13"/>
  <c r="I213" i="13"/>
  <c r="J213" i="13"/>
  <c r="G214" i="13"/>
  <c r="H214" i="13"/>
  <c r="I214" i="13"/>
  <c r="J214" i="13"/>
  <c r="G215" i="13"/>
  <c r="H215" i="13"/>
  <c r="I215" i="13"/>
  <c r="J215" i="13"/>
  <c r="G216" i="13"/>
  <c r="H216" i="13"/>
  <c r="I216" i="13"/>
  <c r="J216" i="13"/>
  <c r="G217" i="13"/>
  <c r="H217" i="13"/>
  <c r="I217" i="13"/>
  <c r="J217" i="13"/>
  <c r="G218" i="13"/>
  <c r="H218" i="13"/>
  <c r="I218" i="13"/>
  <c r="J218" i="13"/>
  <c r="G219" i="13"/>
  <c r="H219" i="13"/>
  <c r="I219" i="13"/>
  <c r="J219" i="13"/>
  <c r="G220" i="13"/>
  <c r="H220" i="13"/>
  <c r="I220" i="13"/>
  <c r="J220" i="13"/>
  <c r="G221" i="13"/>
  <c r="H221" i="13"/>
  <c r="I221" i="13"/>
  <c r="J221" i="13"/>
  <c r="G222" i="13"/>
  <c r="H222" i="13"/>
  <c r="I222" i="13"/>
  <c r="J222" i="13"/>
  <c r="G223" i="13"/>
  <c r="H223" i="13"/>
  <c r="I223" i="13"/>
  <c r="J223" i="13"/>
  <c r="G224" i="13"/>
  <c r="H224" i="13"/>
  <c r="I224" i="13"/>
  <c r="J224" i="13"/>
  <c r="G225" i="13"/>
  <c r="H225" i="13"/>
  <c r="I225" i="13"/>
  <c r="J225" i="13"/>
  <c r="G226" i="13"/>
  <c r="H226" i="13"/>
  <c r="I226" i="13"/>
  <c r="J226" i="13"/>
  <c r="G227" i="13"/>
  <c r="H227" i="13"/>
  <c r="I227" i="13"/>
  <c r="J227" i="13"/>
  <c r="G228" i="13"/>
  <c r="H228" i="13"/>
  <c r="I228" i="13"/>
  <c r="J228" i="13"/>
  <c r="G229" i="13"/>
  <c r="H229" i="13"/>
  <c r="I229" i="13"/>
  <c r="J229" i="13"/>
  <c r="G230" i="13"/>
  <c r="H230" i="13"/>
  <c r="I230" i="13"/>
  <c r="J230" i="13"/>
  <c r="G231" i="13"/>
  <c r="H231" i="13"/>
  <c r="I231" i="13"/>
  <c r="J231" i="13"/>
  <c r="G232" i="13"/>
  <c r="H232" i="13"/>
  <c r="I232" i="13"/>
  <c r="J232" i="13"/>
  <c r="G233" i="13"/>
  <c r="H233" i="13"/>
  <c r="I233" i="13"/>
  <c r="J233" i="13"/>
  <c r="G234" i="13"/>
  <c r="H234" i="13"/>
  <c r="I234" i="13"/>
  <c r="J234" i="13"/>
  <c r="G235" i="13"/>
  <c r="H235" i="13"/>
  <c r="I235" i="13"/>
  <c r="J235" i="13"/>
  <c r="G236" i="13"/>
  <c r="H236" i="13"/>
  <c r="I236" i="13"/>
  <c r="J236" i="13"/>
  <c r="G237" i="13"/>
  <c r="H237" i="13"/>
  <c r="I237" i="13"/>
  <c r="J237" i="13"/>
  <c r="G238" i="13"/>
  <c r="H238" i="13"/>
  <c r="I238" i="13"/>
  <c r="J238" i="13"/>
  <c r="G239" i="13"/>
  <c r="H239" i="13"/>
  <c r="I239" i="13"/>
  <c r="J239" i="13"/>
  <c r="G240" i="13"/>
  <c r="H240" i="13"/>
  <c r="I240" i="13"/>
  <c r="J240" i="13"/>
  <c r="G241" i="13"/>
  <c r="H241" i="13"/>
  <c r="I241" i="13"/>
  <c r="J241" i="13"/>
  <c r="G242" i="13"/>
  <c r="H242" i="13"/>
  <c r="I242" i="13"/>
  <c r="J242" i="13"/>
  <c r="G243" i="13"/>
  <c r="H243" i="13"/>
  <c r="I243" i="13"/>
  <c r="J243" i="13"/>
  <c r="G244" i="13"/>
  <c r="H244" i="13"/>
  <c r="I244" i="13"/>
  <c r="J244" i="13"/>
  <c r="G245" i="13"/>
  <c r="H245" i="13"/>
  <c r="I245" i="13"/>
  <c r="J245" i="13"/>
  <c r="G246" i="13"/>
  <c r="H246" i="13"/>
  <c r="I246" i="13"/>
  <c r="J246" i="13"/>
  <c r="G247" i="13"/>
  <c r="H247" i="13"/>
  <c r="I247" i="13"/>
  <c r="J247" i="13"/>
  <c r="G248" i="13"/>
  <c r="H248" i="13"/>
  <c r="I248" i="13"/>
  <c r="J248" i="13"/>
  <c r="G249" i="13"/>
  <c r="H249" i="13"/>
  <c r="I249" i="13"/>
  <c r="J249" i="13"/>
  <c r="G250" i="13"/>
  <c r="H250" i="13"/>
  <c r="I250" i="13"/>
  <c r="J250" i="13"/>
  <c r="G251" i="13"/>
  <c r="H251" i="13"/>
  <c r="I251" i="13"/>
  <c r="J251" i="13"/>
  <c r="G252" i="13"/>
  <c r="H252" i="13"/>
  <c r="I252" i="13"/>
  <c r="J252" i="13"/>
  <c r="G253" i="13"/>
  <c r="H253" i="13"/>
  <c r="I253" i="13"/>
  <c r="J253" i="13"/>
  <c r="G254" i="13"/>
  <c r="H254" i="13"/>
  <c r="I254" i="13"/>
  <c r="J254" i="13"/>
  <c r="G255" i="13"/>
  <c r="H255" i="13"/>
  <c r="I255" i="13"/>
  <c r="J255" i="13"/>
  <c r="G256" i="13"/>
  <c r="H256" i="13"/>
  <c r="I256" i="13"/>
  <c r="J256" i="13"/>
  <c r="H5" i="13"/>
  <c r="I5" i="13"/>
  <c r="J5" i="13"/>
  <c r="G5" i="13"/>
  <c r="E26" i="12"/>
  <c r="F26" i="12"/>
  <c r="G26" i="12"/>
  <c r="H26" i="12"/>
  <c r="E25" i="12"/>
  <c r="F25" i="12"/>
  <c r="H25" i="12"/>
  <c r="G25" i="12"/>
  <c r="E24" i="12"/>
  <c r="G24" i="12"/>
  <c r="H24" i="12"/>
  <c r="F24" i="12"/>
  <c r="F23" i="12"/>
  <c r="G23" i="12"/>
  <c r="H23" i="12"/>
  <c r="E23" i="12"/>
  <c r="J10" i="12"/>
  <c r="E12" i="12"/>
  <c r="J12" i="12" s="1"/>
  <c r="E11" i="12"/>
  <c r="J11" i="12" s="1"/>
  <c r="E10" i="12"/>
  <c r="E9" i="12"/>
  <c r="J9" i="12" s="1"/>
  <c r="A256" i="13"/>
  <c r="A255" i="13" s="1"/>
  <c r="A254" i="13" s="1"/>
  <c r="A253" i="13" s="1"/>
  <c r="A252" i="13" s="1"/>
  <c r="A251" i="13" s="1"/>
  <c r="A250" i="13" s="1"/>
  <c r="A249" i="13" s="1"/>
  <c r="A248" i="13" s="1"/>
  <c r="A247" i="13" s="1"/>
  <c r="A246" i="13" s="1"/>
  <c r="A245" i="13" s="1"/>
  <c r="A244" i="13" s="1"/>
  <c r="A243" i="13" s="1"/>
  <c r="A242" i="13" s="1"/>
  <c r="A241" i="13" s="1"/>
  <c r="A240" i="13" s="1"/>
  <c r="A239" i="13" s="1"/>
  <c r="A238" i="13" s="1"/>
  <c r="A237" i="13" s="1"/>
  <c r="A236" i="13" s="1"/>
  <c r="A235" i="13" s="1"/>
  <c r="A234" i="13" s="1"/>
  <c r="A233" i="13" s="1"/>
  <c r="A232" i="13" s="1"/>
  <c r="A231" i="13" s="1"/>
  <c r="A230" i="13" s="1"/>
  <c r="A229" i="13" s="1"/>
  <c r="A228" i="13" s="1"/>
  <c r="A227" i="13" s="1"/>
  <c r="A226" i="13" s="1"/>
  <c r="A225" i="13" s="1"/>
  <c r="A224" i="13" s="1"/>
  <c r="A223" i="13" s="1"/>
  <c r="A222" i="13" s="1"/>
  <c r="A221" i="13" s="1"/>
  <c r="A220" i="13" s="1"/>
  <c r="A219" i="13" s="1"/>
  <c r="A218" i="13" s="1"/>
  <c r="A217" i="13" s="1"/>
  <c r="A216" i="13" s="1"/>
  <c r="A215" i="13" s="1"/>
  <c r="A214" i="13" s="1"/>
  <c r="A213" i="13" s="1"/>
  <c r="A212" i="13" s="1"/>
  <c r="A211" i="13" s="1"/>
  <c r="A210" i="13" s="1"/>
  <c r="A209" i="13" s="1"/>
  <c r="A208" i="13" s="1"/>
  <c r="A207" i="13" s="1"/>
  <c r="A206" i="13" s="1"/>
  <c r="A205" i="13" s="1"/>
  <c r="A204" i="13" s="1"/>
  <c r="A203" i="13" s="1"/>
  <c r="A202" i="13" s="1"/>
  <c r="A201" i="13" s="1"/>
  <c r="A200" i="13" s="1"/>
  <c r="A199" i="13" s="1"/>
  <c r="A198" i="13" s="1"/>
  <c r="A197" i="13" s="1"/>
  <c r="A196" i="13" s="1"/>
  <c r="A195" i="13" s="1"/>
  <c r="A194" i="13" s="1"/>
  <c r="A193" i="13" s="1"/>
  <c r="A192" i="13" s="1"/>
  <c r="A191" i="13" s="1"/>
  <c r="A190" i="13" s="1"/>
  <c r="A189" i="13" s="1"/>
  <c r="A188" i="13" s="1"/>
  <c r="A187" i="13" s="1"/>
  <c r="A186" i="13" s="1"/>
  <c r="A185" i="13" s="1"/>
  <c r="A184" i="13" s="1"/>
  <c r="A183" i="13" s="1"/>
  <c r="A182" i="13" s="1"/>
  <c r="A181" i="13" s="1"/>
  <c r="A180" i="13" s="1"/>
  <c r="A179" i="13" s="1"/>
  <c r="A178" i="13" s="1"/>
  <c r="A177" i="13" s="1"/>
  <c r="A176" i="13" s="1"/>
  <c r="A175" i="13" s="1"/>
  <c r="A174" i="13" s="1"/>
  <c r="A173" i="13" s="1"/>
  <c r="A172" i="13" s="1"/>
  <c r="A171" i="13" s="1"/>
  <c r="A170" i="13" s="1"/>
  <c r="A169" i="13" s="1"/>
  <c r="A168" i="13" s="1"/>
  <c r="A167" i="13" s="1"/>
  <c r="A166" i="13" s="1"/>
  <c r="A165" i="13" s="1"/>
  <c r="A164" i="13" s="1"/>
  <c r="A163" i="13" s="1"/>
  <c r="A162" i="13" s="1"/>
  <c r="A161" i="13" s="1"/>
  <c r="A160" i="13" s="1"/>
  <c r="A159" i="13" s="1"/>
  <c r="A158" i="13" s="1"/>
  <c r="A157" i="13" s="1"/>
  <c r="A156" i="13" s="1"/>
  <c r="A155" i="13" s="1"/>
  <c r="A154" i="13" s="1"/>
  <c r="A153" i="13" s="1"/>
  <c r="A152" i="13" s="1"/>
  <c r="A151" i="13" s="1"/>
  <c r="A150" i="13" s="1"/>
  <c r="A149" i="13" s="1"/>
  <c r="A148" i="13" s="1"/>
  <c r="A147" i="13" s="1"/>
  <c r="A146" i="13" s="1"/>
  <c r="A145" i="13" s="1"/>
  <c r="A144" i="13" s="1"/>
  <c r="A143" i="13" s="1"/>
  <c r="A142" i="13" s="1"/>
  <c r="A141" i="13" s="1"/>
  <c r="A140" i="13" s="1"/>
  <c r="A139" i="13" s="1"/>
  <c r="A138" i="13" s="1"/>
  <c r="A137" i="13" s="1"/>
  <c r="A136" i="13" s="1"/>
  <c r="A135" i="13" s="1"/>
  <c r="A134" i="13" s="1"/>
  <c r="A133" i="13" s="1"/>
  <c r="A132" i="13" s="1"/>
  <c r="A131" i="13" s="1"/>
  <c r="A130" i="13" s="1"/>
  <c r="A129" i="13" s="1"/>
  <c r="A128" i="13" s="1"/>
  <c r="A127" i="13" s="1"/>
  <c r="A126" i="13" s="1"/>
  <c r="A125" i="13" s="1"/>
  <c r="A124" i="13" s="1"/>
  <c r="A123" i="13" s="1"/>
  <c r="A122" i="13" s="1"/>
  <c r="A121" i="13" s="1"/>
  <c r="A120" i="13" s="1"/>
  <c r="A119" i="13" s="1"/>
  <c r="A118" i="13" s="1"/>
  <c r="A117" i="13" s="1"/>
  <c r="A116" i="13" s="1"/>
  <c r="A115" i="13" s="1"/>
  <c r="A114" i="13" s="1"/>
  <c r="A113" i="13" s="1"/>
  <c r="A112" i="13" s="1"/>
  <c r="A111" i="13" s="1"/>
  <c r="A110" i="13" s="1"/>
  <c r="A109" i="13" s="1"/>
  <c r="A108" i="13" s="1"/>
  <c r="A107" i="13" s="1"/>
  <c r="A106" i="13" s="1"/>
  <c r="A105" i="13" s="1"/>
  <c r="A104" i="13" s="1"/>
  <c r="A103" i="13" s="1"/>
  <c r="A102" i="13" s="1"/>
  <c r="A101" i="13" s="1"/>
  <c r="A100" i="13" s="1"/>
  <c r="A99" i="13" s="1"/>
  <c r="A98" i="13" s="1"/>
  <c r="A97" i="13" s="1"/>
  <c r="A96" i="13" s="1"/>
  <c r="A95" i="13" s="1"/>
  <c r="A94" i="13" s="1"/>
  <c r="A93" i="13" s="1"/>
  <c r="A92" i="13" s="1"/>
  <c r="A91" i="13" s="1"/>
  <c r="A90" i="13" s="1"/>
  <c r="A89" i="13" s="1"/>
  <c r="A88" i="13" s="1"/>
  <c r="A87" i="13" s="1"/>
  <c r="A86" i="13" s="1"/>
  <c r="A85" i="13" s="1"/>
  <c r="A84" i="13" s="1"/>
  <c r="A83" i="13" s="1"/>
  <c r="A82" i="13" s="1"/>
  <c r="A81" i="13" s="1"/>
  <c r="A80" i="13" s="1"/>
  <c r="A79" i="13" s="1"/>
  <c r="A78" i="13" s="1"/>
  <c r="A77" i="13" s="1"/>
  <c r="A76" i="13" s="1"/>
  <c r="A75" i="13" s="1"/>
  <c r="A74" i="13" s="1"/>
  <c r="A73" i="13" s="1"/>
  <c r="A72" i="13" s="1"/>
  <c r="A71" i="13" s="1"/>
  <c r="A70" i="13" s="1"/>
  <c r="A69" i="13" s="1"/>
  <c r="A68" i="13" s="1"/>
  <c r="A67" i="13" s="1"/>
  <c r="A66" i="13" s="1"/>
  <c r="A65" i="13" s="1"/>
  <c r="A64" i="13" s="1"/>
  <c r="A63" i="13" s="1"/>
  <c r="A62" i="13" s="1"/>
  <c r="A61" i="13" s="1"/>
  <c r="A60" i="13" s="1"/>
  <c r="A59" i="13" s="1"/>
  <c r="A58" i="13" s="1"/>
  <c r="A57" i="13" s="1"/>
  <c r="A56" i="13" s="1"/>
  <c r="A55" i="13" s="1"/>
  <c r="A54" i="13" s="1"/>
  <c r="A53" i="13" s="1"/>
  <c r="A52" i="13" s="1"/>
  <c r="A51" i="13" s="1"/>
  <c r="A50" i="13" s="1"/>
  <c r="A49" i="13" s="1"/>
  <c r="A48" i="13" s="1"/>
  <c r="A47" i="13" s="1"/>
  <c r="A46" i="13" s="1"/>
  <c r="A45" i="13" s="1"/>
  <c r="A44" i="13" s="1"/>
  <c r="A43" i="13" s="1"/>
  <c r="A42" i="13" s="1"/>
  <c r="A41" i="13" s="1"/>
  <c r="A40" i="13" s="1"/>
  <c r="A39" i="13" s="1"/>
  <c r="A38" i="13" s="1"/>
  <c r="A37" i="13" s="1"/>
  <c r="A36" i="13" s="1"/>
  <c r="A35" i="13" s="1"/>
  <c r="A34" i="13" s="1"/>
  <c r="A33" i="13" s="1"/>
  <c r="A32" i="13" s="1"/>
  <c r="A31" i="13" s="1"/>
  <c r="A30" i="13" s="1"/>
  <c r="A29" i="13" s="1"/>
  <c r="A28" i="13" s="1"/>
  <c r="A27" i="13" s="1"/>
  <c r="A26" i="13" s="1"/>
  <c r="A25" i="13" s="1"/>
  <c r="A24" i="13" s="1"/>
  <c r="A23" i="13" s="1"/>
  <c r="A22" i="13" s="1"/>
  <c r="A21" i="13" s="1"/>
  <c r="A20" i="13" s="1"/>
  <c r="A19" i="13" s="1"/>
  <c r="A18" i="13" s="1"/>
  <c r="A17" i="13" s="1"/>
  <c r="A16" i="13" s="1"/>
  <c r="A15" i="13" s="1"/>
  <c r="A14" i="13" s="1"/>
  <c r="A13" i="13" s="1"/>
  <c r="A12" i="13" s="1"/>
  <c r="A11" i="13" s="1"/>
  <c r="A10" i="13" s="1"/>
  <c r="A9" i="13" s="1"/>
  <c r="A8" i="13" s="1"/>
  <c r="A7" i="13" s="1"/>
  <c r="A6" i="13" s="1"/>
  <c r="A5" i="13" s="1"/>
  <c r="J4" i="13"/>
  <c r="N4" i="13" s="1"/>
  <c r="R4" i="13" s="1"/>
  <c r="I4" i="13"/>
  <c r="M4" i="13" s="1"/>
  <c r="Q4" i="13" s="1"/>
  <c r="H4" i="13"/>
  <c r="L4" i="13" s="1"/>
  <c r="P4" i="13" s="1"/>
  <c r="G4" i="13"/>
  <c r="K4" i="13" s="1"/>
  <c r="O4" i="13" s="1"/>
  <c r="C6" i="13" a="1"/>
  <c r="E6" i="13" a="1"/>
  <c r="C7" i="13" a="1"/>
  <c r="E7" i="13" a="1"/>
  <c r="C8" i="13" a="1"/>
  <c r="E8" i="13" a="1"/>
  <c r="C9" i="13" a="1"/>
  <c r="E9" i="13" a="1"/>
  <c r="C10" i="13" a="1"/>
  <c r="D6" i="13" a="1"/>
  <c r="D7" i="13" a="1"/>
  <c r="D8" i="13" a="1"/>
  <c r="D9" i="13" a="1"/>
  <c r="D10" i="13" a="1"/>
  <c r="E11" i="13" a="1"/>
  <c r="D12" i="13" a="1"/>
  <c r="E13" i="13" a="1"/>
  <c r="D14" i="13" a="1"/>
  <c r="E15" i="13" a="1"/>
  <c r="D16" i="13" a="1"/>
  <c r="E17" i="13" a="1"/>
  <c r="D18" i="13" a="1"/>
  <c r="E19" i="13" a="1"/>
  <c r="D20" i="13" a="1"/>
  <c r="E21" i="13" a="1"/>
  <c r="D22" i="13" a="1"/>
  <c r="E23" i="13" a="1"/>
  <c r="D24" i="13" a="1"/>
  <c r="E25" i="13" a="1"/>
  <c r="D26" i="13" a="1"/>
  <c r="E27" i="13" a="1"/>
  <c r="D28" i="13" a="1"/>
  <c r="E29" i="13" a="1"/>
  <c r="D30" i="13" a="1"/>
  <c r="E31" i="13" a="1"/>
  <c r="D32" i="13" a="1"/>
  <c r="E33" i="13" a="1"/>
  <c r="D34" i="13" a="1"/>
  <c r="E35" i="13" a="1"/>
  <c r="D36" i="13" a="1"/>
  <c r="E37" i="13" a="1"/>
  <c r="D38" i="13" a="1"/>
  <c r="E39" i="13" a="1"/>
  <c r="D40" i="13" a="1"/>
  <c r="E41" i="13" a="1"/>
  <c r="D42" i="13" a="1"/>
  <c r="E43" i="13" a="1"/>
  <c r="D44" i="13" a="1"/>
  <c r="E45" i="13" a="1"/>
  <c r="D46" i="13" a="1"/>
  <c r="E47" i="13" a="1"/>
  <c r="D48" i="13" a="1"/>
  <c r="F48" i="13" a="1"/>
  <c r="D49" i="13" a="1"/>
  <c r="F49" i="13" a="1"/>
  <c r="D50" i="13" a="1"/>
  <c r="F50" i="13" a="1"/>
  <c r="D51" i="13" a="1"/>
  <c r="F51" i="13" a="1"/>
  <c r="D52" i="13" a="1"/>
  <c r="F52" i="13" a="1"/>
  <c r="D53" i="13" a="1"/>
  <c r="F53" i="13" a="1"/>
  <c r="D54" i="13" a="1"/>
  <c r="F54" i="13" a="1"/>
  <c r="D55" i="13" a="1"/>
  <c r="F55" i="13" a="1"/>
  <c r="D56" i="13" a="1"/>
  <c r="F56" i="13" a="1"/>
  <c r="D57" i="13" a="1"/>
  <c r="F57" i="13" a="1"/>
  <c r="D58" i="13" a="1"/>
  <c r="C11" i="13" a="1"/>
  <c r="F11" i="13" a="1"/>
  <c r="C13" i="13" a="1"/>
  <c r="F13" i="13" a="1"/>
  <c r="C15" i="13" a="1"/>
  <c r="F15" i="13" a="1"/>
  <c r="C17" i="13" a="1"/>
  <c r="F17" i="13" a="1"/>
  <c r="C19" i="13" a="1"/>
  <c r="F19" i="13" a="1"/>
  <c r="C21" i="13" a="1"/>
  <c r="F21" i="13" a="1"/>
  <c r="C23" i="13" a="1"/>
  <c r="F23" i="13" a="1"/>
  <c r="C25" i="13" a="1"/>
  <c r="F25" i="13" a="1"/>
  <c r="C27" i="13" a="1"/>
  <c r="F27" i="13" a="1"/>
  <c r="C29" i="13" a="1"/>
  <c r="F29" i="13" a="1"/>
  <c r="C31" i="13" a="1"/>
  <c r="F31" i="13" a="1"/>
  <c r="C33" i="13" a="1"/>
  <c r="F33" i="13" a="1"/>
  <c r="C35" i="13" a="1"/>
  <c r="F35" i="13" a="1"/>
  <c r="C37" i="13" a="1"/>
  <c r="F37" i="13" a="1"/>
  <c r="C39" i="13" a="1"/>
  <c r="F39" i="13" a="1"/>
  <c r="C41" i="13" a="1"/>
  <c r="F41" i="13" a="1"/>
  <c r="C43" i="13" a="1"/>
  <c r="F43" i="13" a="1"/>
  <c r="C45" i="13" a="1"/>
  <c r="F45" i="13" a="1"/>
  <c r="C47" i="13" a="1"/>
  <c r="F47" i="13" a="1"/>
  <c r="F6" i="13" a="1"/>
  <c r="F7" i="13" a="1"/>
  <c r="F8" i="13" a="1"/>
  <c r="F9" i="13" a="1"/>
  <c r="E10" i="13" a="1"/>
  <c r="D11" i="13" a="1"/>
  <c r="E12" i="13" a="1"/>
  <c r="D13" i="13" a="1"/>
  <c r="E14" i="13" a="1"/>
  <c r="D15" i="13" a="1"/>
  <c r="E16" i="13" a="1"/>
  <c r="D17" i="13" a="1"/>
  <c r="E18" i="13" a="1"/>
  <c r="D19" i="13" a="1"/>
  <c r="E20" i="13" a="1"/>
  <c r="D21" i="13" a="1"/>
  <c r="E22" i="13" a="1"/>
  <c r="D23" i="13" a="1"/>
  <c r="E24" i="13" a="1"/>
  <c r="D25" i="13" a="1"/>
  <c r="E26" i="13" a="1"/>
  <c r="D27" i="13" a="1"/>
  <c r="E28" i="13" a="1"/>
  <c r="D29" i="13" a="1"/>
  <c r="E30" i="13" a="1"/>
  <c r="D31" i="13" a="1"/>
  <c r="E32" i="13" a="1"/>
  <c r="D33" i="13" a="1"/>
  <c r="E34" i="13" a="1"/>
  <c r="D35" i="13" a="1"/>
  <c r="E36" i="13" a="1"/>
  <c r="D37" i="13" a="1"/>
  <c r="E38" i="13" a="1"/>
  <c r="D39" i="13" a="1"/>
  <c r="E40" i="13" a="1"/>
  <c r="D41" i="13" a="1"/>
  <c r="E42" i="13" a="1"/>
  <c r="D43" i="13" a="1"/>
  <c r="E44" i="13" a="1"/>
  <c r="D45" i="13" a="1"/>
  <c r="E46" i="13" a="1"/>
  <c r="D47" i="13" a="1"/>
  <c r="E48" i="13" a="1"/>
  <c r="C49" i="13" a="1"/>
  <c r="E49" i="13" a="1"/>
  <c r="C50" i="13" a="1"/>
  <c r="E50" i="13" a="1"/>
  <c r="C51" i="13" a="1"/>
  <c r="E51" i="13" a="1"/>
  <c r="C52" i="13" a="1"/>
  <c r="E52" i="13" a="1"/>
  <c r="C53" i="13" a="1"/>
  <c r="E53" i="13" a="1"/>
  <c r="C54" i="13" a="1"/>
  <c r="E54" i="13" a="1"/>
  <c r="C55" i="13" a="1"/>
  <c r="E55" i="13" a="1"/>
  <c r="C56" i="13" a="1"/>
  <c r="E56" i="13" a="1"/>
  <c r="C57" i="13" a="1"/>
  <c r="E57" i="13" a="1"/>
  <c r="C58" i="13" a="1"/>
  <c r="E58" i="13" a="1"/>
  <c r="C59" i="13" a="1"/>
  <c r="E59" i="13" a="1"/>
  <c r="C60" i="13" a="1"/>
  <c r="E60" i="13" a="1"/>
  <c r="C61" i="13" a="1"/>
  <c r="E61" i="13" a="1"/>
  <c r="C62" i="13" a="1"/>
  <c r="E62" i="13" a="1"/>
  <c r="C63" i="13" a="1"/>
  <c r="E63" i="13" a="1"/>
  <c r="C64" i="13" a="1"/>
  <c r="F10" i="13" a="1"/>
  <c r="C16" i="13" a="1"/>
  <c r="F18" i="13" a="1"/>
  <c r="C24" i="13" a="1"/>
  <c r="F26" i="13" a="1"/>
  <c r="C32" i="13" a="1"/>
  <c r="F34" i="13" a="1"/>
  <c r="C40" i="13" a="1"/>
  <c r="F42" i="13" a="1"/>
  <c r="C48" i="13" a="1"/>
  <c r="D59" i="13" a="1"/>
  <c r="D60" i="13" a="1"/>
  <c r="D61" i="13" a="1"/>
  <c r="D62" i="13" a="1"/>
  <c r="D63" i="13" a="1"/>
  <c r="D64" i="13" a="1"/>
  <c r="C65" i="13" a="1"/>
  <c r="D66" i="13" a="1"/>
  <c r="C67" i="13" a="1"/>
  <c r="D68" i="13" a="1"/>
  <c r="C69" i="13" a="1"/>
  <c r="D70" i="13" a="1"/>
  <c r="C71" i="13" a="1"/>
  <c r="D72" i="13" a="1"/>
  <c r="C73" i="13" a="1"/>
  <c r="D74" i="13" a="1"/>
  <c r="C75" i="13" a="1"/>
  <c r="D76" i="13" a="1"/>
  <c r="C77" i="13" a="1"/>
  <c r="D78" i="13" a="1"/>
  <c r="C79" i="13" a="1"/>
  <c r="D80" i="13" a="1"/>
  <c r="C81" i="13" a="1"/>
  <c r="D82" i="13" a="1"/>
  <c r="C83" i="13" a="1"/>
  <c r="D84" i="13" a="1"/>
  <c r="C85" i="13" a="1"/>
  <c r="D86" i="13" a="1"/>
  <c r="C87" i="13" a="1"/>
  <c r="D88" i="13" a="1"/>
  <c r="C89" i="13" a="1"/>
  <c r="D90" i="13" a="1"/>
  <c r="C91" i="13" a="1"/>
  <c r="D92" i="13" a="1"/>
  <c r="C93" i="13" a="1"/>
  <c r="D94" i="13" a="1"/>
  <c r="C95" i="13" a="1"/>
  <c r="D96" i="13" a="1"/>
  <c r="C97" i="13" a="1"/>
  <c r="D98" i="13" a="1"/>
  <c r="C99" i="13" a="1"/>
  <c r="D100" i="13" a="1"/>
  <c r="C101" i="13" a="1"/>
  <c r="D102" i="13" a="1"/>
  <c r="C103" i="13" a="1"/>
  <c r="D104" i="13" a="1"/>
  <c r="C105" i="13" a="1"/>
  <c r="D106" i="13" a="1"/>
  <c r="C107" i="13" a="1"/>
  <c r="D108" i="13" a="1"/>
  <c r="C109" i="13" a="1"/>
  <c r="E109" i="13" a="1"/>
  <c r="C110" i="13" a="1"/>
  <c r="E110" i="13" a="1"/>
  <c r="C111" i="13" a="1"/>
  <c r="E111" i="13" a="1"/>
  <c r="C112" i="13" a="1"/>
  <c r="E112" i="13" a="1"/>
  <c r="C113" i="13" a="1"/>
  <c r="E113" i="13" a="1"/>
  <c r="C114" i="13" a="1"/>
  <c r="E114" i="13" a="1"/>
  <c r="C115" i="13" a="1"/>
  <c r="E115" i="13" a="1"/>
  <c r="C116" i="13" a="1"/>
  <c r="E116" i="13" a="1"/>
  <c r="C117" i="13" a="1"/>
  <c r="E117" i="13" a="1"/>
  <c r="C14" i="13" a="1"/>
  <c r="F16" i="13" a="1"/>
  <c r="C22" i="13" a="1"/>
  <c r="F24" i="13" a="1"/>
  <c r="C30" i="13" a="1"/>
  <c r="F32" i="13" a="1"/>
  <c r="C38" i="13" a="1"/>
  <c r="F40" i="13" a="1"/>
  <c r="C46" i="13" a="1"/>
  <c r="E64" i="13" a="1"/>
  <c r="F65" i="13" a="1"/>
  <c r="E66" i="13" a="1"/>
  <c r="F67" i="13" a="1"/>
  <c r="E68" i="13" a="1"/>
  <c r="F69" i="13" a="1"/>
  <c r="E70" i="13" a="1"/>
  <c r="F71" i="13" a="1"/>
  <c r="E72" i="13" a="1"/>
  <c r="F73" i="13" a="1"/>
  <c r="E74" i="13" a="1"/>
  <c r="F75" i="13" a="1"/>
  <c r="E76" i="13" a="1"/>
  <c r="F77" i="13" a="1"/>
  <c r="E78" i="13" a="1"/>
  <c r="F79" i="13" a="1"/>
  <c r="E80" i="13" a="1"/>
  <c r="F81" i="13" a="1"/>
  <c r="E82" i="13" a="1"/>
  <c r="F83" i="13" a="1"/>
  <c r="E84" i="13" a="1"/>
  <c r="F85" i="13" a="1"/>
  <c r="E86" i="13" a="1"/>
  <c r="F87" i="13" a="1"/>
  <c r="E88" i="13" a="1"/>
  <c r="F89" i="13" a="1"/>
  <c r="E90" i="13" a="1"/>
  <c r="F91" i="13" a="1"/>
  <c r="E92" i="13" a="1"/>
  <c r="F93" i="13" a="1"/>
  <c r="E94" i="13" a="1"/>
  <c r="F95" i="13" a="1"/>
  <c r="E96" i="13" a="1"/>
  <c r="F97" i="13" a="1"/>
  <c r="E98" i="13" a="1"/>
  <c r="F99" i="13" a="1"/>
  <c r="E100" i="13" a="1"/>
  <c r="F101" i="13" a="1"/>
  <c r="E102" i="13" a="1"/>
  <c r="F103" i="13" a="1"/>
  <c r="E104" i="13" a="1"/>
  <c r="F105" i="13" a="1"/>
  <c r="E106" i="13" a="1"/>
  <c r="F107" i="13" a="1"/>
  <c r="E108" i="13" a="1"/>
  <c r="C12" i="13" a="1"/>
  <c r="F14" i="13" a="1"/>
  <c r="C20" i="13" a="1"/>
  <c r="F22" i="13" a="1"/>
  <c r="C28" i="13" a="1"/>
  <c r="F30" i="13" a="1"/>
  <c r="C36" i="13" a="1"/>
  <c r="F38" i="13" a="1"/>
  <c r="C44" i="13" a="1"/>
  <c r="F46" i="13" a="1"/>
  <c r="F58" i="13" a="1"/>
  <c r="F59" i="13" a="1"/>
  <c r="F60" i="13" a="1"/>
  <c r="F61" i="13" a="1"/>
  <c r="F62" i="13" a="1"/>
  <c r="F63" i="13" a="1"/>
  <c r="D65" i="13" a="1"/>
  <c r="C66" i="13" a="1"/>
  <c r="D67" i="13" a="1"/>
  <c r="C68" i="13" a="1"/>
  <c r="D69" i="13" a="1"/>
  <c r="C70" i="13" a="1"/>
  <c r="D71" i="13" a="1"/>
  <c r="C72" i="13" a="1"/>
  <c r="D73" i="13" a="1"/>
  <c r="C74" i="13" a="1"/>
  <c r="D75" i="13" a="1"/>
  <c r="C76" i="13" a="1"/>
  <c r="D77" i="13" a="1"/>
  <c r="C78" i="13" a="1"/>
  <c r="D79" i="13" a="1"/>
  <c r="C80" i="13" a="1"/>
  <c r="D81" i="13" a="1"/>
  <c r="C82" i="13" a="1"/>
  <c r="D83" i="13" a="1"/>
  <c r="C84" i="13" a="1"/>
  <c r="D85" i="13" a="1"/>
  <c r="C86" i="13" a="1"/>
  <c r="D87" i="13" a="1"/>
  <c r="C88" i="13" a="1"/>
  <c r="D89" i="13" a="1"/>
  <c r="C90" i="13" a="1"/>
  <c r="D91" i="13" a="1"/>
  <c r="C92" i="13" a="1"/>
  <c r="D93" i="13" a="1"/>
  <c r="C94" i="13" a="1"/>
  <c r="D95" i="13" a="1"/>
  <c r="C96" i="13" a="1"/>
  <c r="D97" i="13" a="1"/>
  <c r="C98" i="13" a="1"/>
  <c r="D99" i="13" a="1"/>
  <c r="C100" i="13" a="1"/>
  <c r="D101" i="13" a="1"/>
  <c r="C102" i="13" a="1"/>
  <c r="D103" i="13" a="1"/>
  <c r="C104" i="13" a="1"/>
  <c r="D105" i="13" a="1"/>
  <c r="C106" i="13" a="1"/>
  <c r="D107" i="13" a="1"/>
  <c r="C108" i="13" a="1"/>
  <c r="D109" i="13" a="1"/>
  <c r="F109" i="13" a="1"/>
  <c r="F20" i="13" a="1"/>
  <c r="C42" i="13" a="1"/>
  <c r="F68" i="13" a="1"/>
  <c r="E71" i="13" a="1"/>
  <c r="F76" i="13" a="1"/>
  <c r="E79" i="13" a="1"/>
  <c r="F84" i="13" a="1"/>
  <c r="E87" i="13" a="1"/>
  <c r="F92" i="13" a="1"/>
  <c r="E95" i="13" a="1"/>
  <c r="F100" i="13" a="1"/>
  <c r="E103" i="13" a="1"/>
  <c r="F108" i="13" a="1"/>
  <c r="D118" i="13" a="1"/>
  <c r="E119" i="13" a="1"/>
  <c r="D120" i="13" a="1"/>
  <c r="E121" i="13" a="1"/>
  <c r="D122" i="13" a="1"/>
  <c r="E123" i="13" a="1"/>
  <c r="D124" i="13" a="1"/>
  <c r="E125" i="13" a="1"/>
  <c r="D126" i="13" a="1"/>
  <c r="E127" i="13" a="1"/>
  <c r="D128" i="13" a="1"/>
  <c r="E129" i="13" a="1"/>
  <c r="D130" i="13" a="1"/>
  <c r="E131" i="13" a="1"/>
  <c r="D132" i="13" a="1"/>
  <c r="E133" i="13" a="1"/>
  <c r="D134" i="13" a="1"/>
  <c r="E135" i="13" a="1"/>
  <c r="D136" i="13" a="1"/>
  <c r="E137" i="13" a="1"/>
  <c r="D138" i="13" a="1"/>
  <c r="E139" i="13" a="1"/>
  <c r="D140" i="13" a="1"/>
  <c r="E141" i="13" a="1"/>
  <c r="F12" i="13" a="1"/>
  <c r="C34" i="13" a="1"/>
  <c r="F44" i="13" a="1"/>
  <c r="F66" i="13" a="1"/>
  <c r="E69" i="13" a="1"/>
  <c r="F74" i="13" a="1"/>
  <c r="E77" i="13" a="1"/>
  <c r="F82" i="13" a="1"/>
  <c r="E85" i="13" a="1"/>
  <c r="F90" i="13" a="1"/>
  <c r="E93" i="13" a="1"/>
  <c r="F98" i="13" a="1"/>
  <c r="E101" i="13" a="1"/>
  <c r="F106" i="13" a="1"/>
  <c r="F110" i="13" a="1"/>
  <c r="F111" i="13" a="1"/>
  <c r="F112" i="13" a="1"/>
  <c r="F113" i="13" a="1"/>
  <c r="F114" i="13" a="1"/>
  <c r="F115" i="13" a="1"/>
  <c r="F116" i="13" a="1"/>
  <c r="F117" i="13" a="1"/>
  <c r="C119" i="13" a="1"/>
  <c r="F119" i="13" a="1"/>
  <c r="C121" i="13" a="1"/>
  <c r="F121" i="13" a="1"/>
  <c r="C123" i="13" a="1"/>
  <c r="F123" i="13" a="1"/>
  <c r="C125" i="13" a="1"/>
  <c r="F125" i="13" a="1"/>
  <c r="C127" i="13" a="1"/>
  <c r="F127" i="13" a="1"/>
  <c r="C129" i="13" a="1"/>
  <c r="F129" i="13" a="1"/>
  <c r="C131" i="13" a="1"/>
  <c r="F131" i="13" a="1"/>
  <c r="C133" i="13" a="1"/>
  <c r="F133" i="13" a="1"/>
  <c r="C135" i="13" a="1"/>
  <c r="F135" i="13" a="1"/>
  <c r="C137" i="13" a="1"/>
  <c r="F137" i="13" a="1"/>
  <c r="C139" i="13" a="1"/>
  <c r="F139" i="13" a="1"/>
  <c r="C141" i="13" a="1"/>
  <c r="F141" i="13" a="1"/>
  <c r="C143" i="13" a="1"/>
  <c r="F143" i="13" a="1"/>
  <c r="C145" i="13" a="1"/>
  <c r="F145" i="13" a="1"/>
  <c r="C147" i="13" a="1"/>
  <c r="F147" i="13" a="1"/>
  <c r="C149" i="13" a="1"/>
  <c r="F149" i="13" a="1"/>
  <c r="C151" i="13" a="1"/>
  <c r="F151" i="13" a="1"/>
  <c r="D152" i="13" a="1"/>
  <c r="F152" i="13" a="1"/>
  <c r="D153" i="13" a="1"/>
  <c r="F153" i="13" a="1"/>
  <c r="D154" i="13" a="1"/>
  <c r="F154" i="13" a="1"/>
  <c r="D155" i="13" a="1"/>
  <c r="F155" i="13" a="1"/>
  <c r="D156" i="13" a="1"/>
  <c r="F156" i="13" a="1"/>
  <c r="D157" i="13" a="1"/>
  <c r="F157" i="13" a="1"/>
  <c r="D158" i="13" a="1"/>
  <c r="F158" i="13" a="1"/>
  <c r="C26" i="13" a="1"/>
  <c r="F36" i="13" a="1"/>
  <c r="F64" i="13" a="1"/>
  <c r="E67" i="13" a="1"/>
  <c r="F72" i="13" a="1"/>
  <c r="E75" i="13" a="1"/>
  <c r="F80" i="13" a="1"/>
  <c r="E83" i="13" a="1"/>
  <c r="F88" i="13" a="1"/>
  <c r="E91" i="13" a="1"/>
  <c r="F96" i="13" a="1"/>
  <c r="E99" i="13" a="1"/>
  <c r="F104" i="13" a="1"/>
  <c r="E107" i="13" a="1"/>
  <c r="E118" i="13" a="1"/>
  <c r="D119" i="13" a="1"/>
  <c r="E120" i="13" a="1"/>
  <c r="D121" i="13" a="1"/>
  <c r="E122" i="13" a="1"/>
  <c r="D123" i="13" a="1"/>
  <c r="E124" i="13" a="1"/>
  <c r="D125" i="13" a="1"/>
  <c r="E126" i="13" a="1"/>
  <c r="D127" i="13" a="1"/>
  <c r="E128" i="13" a="1"/>
  <c r="D129" i="13" a="1"/>
  <c r="E130" i="13" a="1"/>
  <c r="D131" i="13" a="1"/>
  <c r="E132" i="13" a="1"/>
  <c r="D133" i="13" a="1"/>
  <c r="E134" i="13" a="1"/>
  <c r="D135" i="13" a="1"/>
  <c r="E136" i="13" a="1"/>
  <c r="D137" i="13" a="1"/>
  <c r="E138" i="13" a="1"/>
  <c r="D139" i="13" a="1"/>
  <c r="E140" i="13" a="1"/>
  <c r="D141" i="13" a="1"/>
  <c r="E142" i="13" a="1"/>
  <c r="D143" i="13" a="1"/>
  <c r="E144" i="13" a="1"/>
  <c r="D145" i="13" a="1"/>
  <c r="E146" i="13" a="1"/>
  <c r="D147" i="13" a="1"/>
  <c r="E148" i="13" a="1"/>
  <c r="D149" i="13" a="1"/>
  <c r="E150" i="13" a="1"/>
  <c r="D151" i="13" a="1"/>
  <c r="C18" i="13" a="1"/>
  <c r="F28" i="13" a="1"/>
  <c r="E65" i="13" a="1"/>
  <c r="F70" i="13" a="1"/>
  <c r="E73" i="13" a="1"/>
  <c r="F78" i="13" a="1"/>
  <c r="E81" i="13" a="1"/>
  <c r="F86" i="13" a="1"/>
  <c r="E89" i="13" a="1"/>
  <c r="F94" i="13" a="1"/>
  <c r="E97" i="13" a="1"/>
  <c r="F102" i="13" a="1"/>
  <c r="E105" i="13" a="1"/>
  <c r="D110" i="13" a="1"/>
  <c r="D111" i="13" a="1"/>
  <c r="D112" i="13" a="1"/>
  <c r="D113" i="13" a="1"/>
  <c r="D114" i="13" a="1"/>
  <c r="D115" i="13" a="1"/>
  <c r="D116" i="13" a="1"/>
  <c r="D117" i="13" a="1"/>
  <c r="C118" i="13" a="1"/>
  <c r="F118" i="13" a="1"/>
  <c r="C120" i="13" a="1"/>
  <c r="F120" i="13" a="1"/>
  <c r="C122" i="13" a="1"/>
  <c r="F122" i="13" a="1"/>
  <c r="C124" i="13" a="1"/>
  <c r="F124" i="13" a="1"/>
  <c r="C126" i="13" a="1"/>
  <c r="F126" i="13" a="1"/>
  <c r="C128" i="13" a="1"/>
  <c r="F128" i="13" a="1"/>
  <c r="C130" i="13" a="1"/>
  <c r="F130" i="13" a="1"/>
  <c r="C132" i="13" a="1"/>
  <c r="F132" i="13" a="1"/>
  <c r="C134" i="13" a="1"/>
  <c r="F134" i="13" a="1"/>
  <c r="C136" i="13" a="1"/>
  <c r="F136" i="13" a="1"/>
  <c r="C138" i="13" a="1"/>
  <c r="F138" i="13" a="1"/>
  <c r="C140" i="13" a="1"/>
  <c r="F140" i="13" a="1"/>
  <c r="C142" i="13" a="1"/>
  <c r="F142" i="13" a="1"/>
  <c r="C144" i="13" a="1"/>
  <c r="F144" i="13" a="1"/>
  <c r="C146" i="13" a="1"/>
  <c r="D142" i="13" a="1"/>
  <c r="D148" i="13" a="1"/>
  <c r="E149" i="13" a="1"/>
  <c r="F159" i="13" a="1"/>
  <c r="E160" i="13" a="1"/>
  <c r="E145" i="13" a="1"/>
  <c r="F148" i="13" a="1"/>
  <c r="C150" i="13" a="1"/>
  <c r="E152" i="13" a="1"/>
  <c r="E153" i="13" a="1"/>
  <c r="E154" i="13" a="1"/>
  <c r="E155" i="13" a="1"/>
  <c r="E156" i="13" a="1"/>
  <c r="E157" i="13" a="1"/>
  <c r="E158" i="13" a="1"/>
  <c r="D159" i="13" a="1"/>
  <c r="C160" i="13" a="1"/>
  <c r="D161" i="13" a="1"/>
  <c r="F161" i="13" a="1"/>
  <c r="D162" i="13" a="1"/>
  <c r="F162" i="13" a="1"/>
  <c r="D163" i="13" a="1"/>
  <c r="F163" i="13" a="1"/>
  <c r="D164" i="13" a="1"/>
  <c r="F164" i="13" a="1"/>
  <c r="D165" i="13" a="1"/>
  <c r="F165" i="13" a="1"/>
  <c r="D166" i="13" a="1"/>
  <c r="F166" i="13" a="1"/>
  <c r="D167" i="13" a="1"/>
  <c r="F167" i="13" a="1"/>
  <c r="D168" i="13" a="1"/>
  <c r="F168" i="13" a="1"/>
  <c r="D169" i="13" a="1"/>
  <c r="F169" i="13" a="1"/>
  <c r="D170" i="13" a="1"/>
  <c r="F170" i="13" a="1"/>
  <c r="D171" i="13" a="1"/>
  <c r="F171" i="13" a="1"/>
  <c r="D172" i="13" a="1"/>
  <c r="F172" i="13" a="1"/>
  <c r="D173" i="13" a="1"/>
  <c r="F173" i="13" a="1"/>
  <c r="D174" i="13" a="1"/>
  <c r="F174" i="13" a="1"/>
  <c r="D175" i="13" a="1"/>
  <c r="F175" i="13" a="1"/>
  <c r="D176" i="13" a="1"/>
  <c r="F176" i="13" a="1"/>
  <c r="D177" i="13" a="1"/>
  <c r="F177" i="13" a="1"/>
  <c r="D178" i="13" a="1"/>
  <c r="F178" i="13" a="1"/>
  <c r="D179" i="13" a="1"/>
  <c r="F179" i="13" a="1"/>
  <c r="D180" i="13" a="1"/>
  <c r="F180" i="13" a="1"/>
  <c r="D181" i="13" a="1"/>
  <c r="F181" i="13" a="1"/>
  <c r="D182" i="13" a="1"/>
  <c r="F182" i="13" a="1"/>
  <c r="D183" i="13" a="1"/>
  <c r="F183" i="13" a="1"/>
  <c r="D184" i="13" a="1"/>
  <c r="F184" i="13" a="1"/>
  <c r="D185" i="13" a="1"/>
  <c r="F185" i="13" a="1"/>
  <c r="D186" i="13" a="1"/>
  <c r="F186" i="13" a="1"/>
  <c r="D187" i="13" a="1"/>
  <c r="F187" i="13" a="1"/>
  <c r="D188" i="13" a="1"/>
  <c r="F188" i="13" a="1"/>
  <c r="D189" i="13" a="1"/>
  <c r="E143" i="13" a="1"/>
  <c r="D146" i="13" a="1"/>
  <c r="E147" i="13" a="1"/>
  <c r="D150" i="13" a="1"/>
  <c r="E151" i="13" a="1"/>
  <c r="E159" i="13" a="1"/>
  <c r="F160" i="13" a="1"/>
  <c r="D144" i="13" a="1"/>
  <c r="F146" i="13" a="1"/>
  <c r="C148" i="13" a="1"/>
  <c r="F150" i="13" a="1"/>
  <c r="C152" i="13" a="1"/>
  <c r="C153" i="13" a="1"/>
  <c r="C154" i="13" a="1"/>
  <c r="C155" i="13" a="1"/>
  <c r="C156" i="13" a="1"/>
  <c r="C157" i="13" a="1"/>
  <c r="C158" i="13" a="1"/>
  <c r="C159" i="13" a="1"/>
  <c r="D160" i="13" a="1"/>
  <c r="C161" i="13" a="1"/>
  <c r="E161" i="13" a="1"/>
  <c r="C162" i="13" a="1"/>
  <c r="E162" i="13" a="1"/>
  <c r="C163" i="13" a="1"/>
  <c r="E163" i="13" a="1"/>
  <c r="C164" i="13" a="1"/>
  <c r="E164" i="13" a="1"/>
  <c r="C165" i="13" a="1"/>
  <c r="E165" i="13" a="1"/>
  <c r="C166" i="13" a="1"/>
  <c r="E166" i="13" a="1"/>
  <c r="C167" i="13" a="1"/>
  <c r="E167" i="13" a="1"/>
  <c r="C168" i="13" a="1"/>
  <c r="E168" i="13" a="1"/>
  <c r="C169" i="13" a="1"/>
  <c r="E169" i="13" a="1"/>
  <c r="C170" i="13" a="1"/>
  <c r="E170" i="13" a="1"/>
  <c r="C171" i="13" a="1"/>
  <c r="E171" i="13" a="1"/>
  <c r="C172" i="13" a="1"/>
  <c r="E172" i="13" a="1"/>
  <c r="C173" i="13" a="1"/>
  <c r="E173" i="13" a="1"/>
  <c r="C174" i="13" a="1"/>
  <c r="E174" i="13" a="1"/>
  <c r="C175" i="13" a="1"/>
  <c r="E175" i="13" a="1"/>
  <c r="C176" i="13" a="1"/>
  <c r="E176" i="13" a="1"/>
  <c r="C177" i="13" a="1"/>
  <c r="E177" i="13" a="1"/>
  <c r="C178" i="13" a="1"/>
  <c r="C180" i="13" a="1"/>
  <c r="C182" i="13" a="1"/>
  <c r="C184" i="13" a="1"/>
  <c r="C186" i="13" a="1"/>
  <c r="C188" i="13" a="1"/>
  <c r="F189" i="13" a="1"/>
  <c r="F190" i="13" a="1"/>
  <c r="F191" i="13" a="1"/>
  <c r="F192" i="13" a="1"/>
  <c r="F193" i="13" a="1"/>
  <c r="F194" i="13" a="1"/>
  <c r="F195" i="13" a="1"/>
  <c r="F196" i="13" a="1"/>
  <c r="F197" i="13" a="1"/>
  <c r="F198" i="13" a="1"/>
  <c r="F199" i="13" a="1"/>
  <c r="F200" i="13" a="1"/>
  <c r="F201" i="13" a="1"/>
  <c r="F202" i="13" a="1"/>
  <c r="F203" i="13" a="1"/>
  <c r="F204" i="13" a="1"/>
  <c r="F205" i="13" a="1"/>
  <c r="F206" i="13" a="1"/>
  <c r="F207" i="13" a="1"/>
  <c r="F208" i="13" a="1"/>
  <c r="F209" i="13" a="1"/>
  <c r="F210" i="13" a="1"/>
  <c r="F211" i="13" a="1"/>
  <c r="F212" i="13" a="1"/>
  <c r="F213" i="13" a="1"/>
  <c r="F214" i="13" a="1"/>
  <c r="F215" i="13" a="1"/>
  <c r="F216" i="13" a="1"/>
  <c r="F217" i="13" a="1"/>
  <c r="F218" i="13" a="1"/>
  <c r="F219" i="13" a="1"/>
  <c r="F220" i="13" a="1"/>
  <c r="F221" i="13" a="1"/>
  <c r="F222" i="13" a="1"/>
  <c r="F223" i="13" a="1"/>
  <c r="F224" i="13" a="1"/>
  <c r="F225" i="13" a="1"/>
  <c r="F226" i="13" a="1"/>
  <c r="F227" i="13" a="1"/>
  <c r="F228" i="13" a="1"/>
  <c r="F229" i="13" a="1"/>
  <c r="F230" i="13" a="1"/>
  <c r="F231" i="13" a="1"/>
  <c r="F232" i="13" a="1"/>
  <c r="F233" i="13" a="1"/>
  <c r="F234" i="13" a="1"/>
  <c r="F235" i="13" a="1"/>
  <c r="F236" i="13" a="1"/>
  <c r="F237" i="13" a="1"/>
  <c r="E238" i="13" a="1"/>
  <c r="F239" i="13" a="1"/>
  <c r="F240" i="13" a="1"/>
  <c r="D242" i="13" a="1"/>
  <c r="D244" i="13" a="1"/>
  <c r="D247" i="13" a="1"/>
  <c r="D250" i="13" a="1"/>
  <c r="F253" i="13" a="1"/>
  <c r="F256" i="13" a="1"/>
  <c r="E178" i="13" a="1"/>
  <c r="E180" i="13" a="1"/>
  <c r="E182" i="13" a="1"/>
  <c r="E184" i="13" a="1"/>
  <c r="E186" i="13" a="1"/>
  <c r="E188" i="13" a="1"/>
  <c r="C190" i="13" a="1"/>
  <c r="C191" i="13" a="1"/>
  <c r="C192" i="13" a="1"/>
  <c r="C193" i="13" a="1"/>
  <c r="C194" i="13" a="1"/>
  <c r="C195" i="13" a="1"/>
  <c r="C196" i="13" a="1"/>
  <c r="C197" i="13" a="1"/>
  <c r="C198" i="13" a="1"/>
  <c r="C199" i="13" a="1"/>
  <c r="C200" i="13" a="1"/>
  <c r="C201" i="13" a="1"/>
  <c r="C202" i="13" a="1"/>
  <c r="C203" i="13" a="1"/>
  <c r="C204" i="13" a="1"/>
  <c r="C205" i="13" a="1"/>
  <c r="C206" i="13" a="1"/>
  <c r="C207" i="13" a="1"/>
  <c r="C208" i="13" a="1"/>
  <c r="C209" i="13" a="1"/>
  <c r="C210" i="13" a="1"/>
  <c r="C211" i="13" a="1"/>
  <c r="C212" i="13" a="1"/>
  <c r="C213" i="13" a="1"/>
  <c r="C214" i="13" a="1"/>
  <c r="C215" i="13" a="1"/>
  <c r="C216" i="13" a="1"/>
  <c r="C217" i="13" a="1"/>
  <c r="C218" i="13" a="1"/>
  <c r="C219" i="13" a="1"/>
  <c r="C220" i="13" a="1"/>
  <c r="C221" i="13" a="1"/>
  <c r="C222" i="13" a="1"/>
  <c r="C223" i="13" a="1"/>
  <c r="C224" i="13" a="1"/>
  <c r="C225" i="13" a="1"/>
  <c r="C226" i="13" a="1"/>
  <c r="C227" i="13" a="1"/>
  <c r="C228" i="13" a="1"/>
  <c r="C229" i="13" a="1"/>
  <c r="C230" i="13" a="1"/>
  <c r="C231" i="13" a="1"/>
  <c r="C232" i="13" a="1"/>
  <c r="C233" i="13" a="1"/>
  <c r="C234" i="13" a="1"/>
  <c r="C235" i="13" a="1"/>
  <c r="C236" i="13" a="1"/>
  <c r="C237" i="13" a="1"/>
  <c r="C238" i="13" a="1"/>
  <c r="D239" i="13" a="1"/>
  <c r="D230" i="13" a="1"/>
  <c r="D232" i="13" a="1"/>
  <c r="D234" i="13" a="1"/>
  <c r="D235" i="13" a="1"/>
  <c r="D237" i="13" a="1"/>
  <c r="F238" i="13" a="1"/>
  <c r="C240" i="13" a="1"/>
  <c r="E240" i="13" a="1"/>
  <c r="E241" i="13" a="1"/>
  <c r="C242" i="13" a="1"/>
  <c r="C243" i="13" a="1"/>
  <c r="C244" i="13" a="1"/>
  <c r="E244" i="13" a="1"/>
  <c r="E245" i="13" a="1"/>
  <c r="E246" i="13" a="1"/>
  <c r="C247" i="13" a="1"/>
  <c r="C248" i="13" a="1"/>
  <c r="C249" i="13" a="1"/>
  <c r="E249" i="13" a="1"/>
  <c r="E250" i="13" a="1"/>
  <c r="C251" i="13" a="1"/>
  <c r="C252" i="13" a="1"/>
  <c r="C253" i="13" a="1"/>
  <c r="C254" i="13" a="1"/>
  <c r="E254" i="13" a="1"/>
  <c r="E255" i="13" a="1"/>
  <c r="E256" i="13" a="1"/>
  <c r="C257" i="13" a="1"/>
  <c r="D238" i="13" a="1"/>
  <c r="F242" i="13" a="1"/>
  <c r="F244" i="13" a="1"/>
  <c r="D245" i="13" a="1"/>
  <c r="F246" i="13" a="1"/>
  <c r="D248" i="13" a="1"/>
  <c r="D249" i="13" a="1"/>
  <c r="F250" i="13" a="1"/>
  <c r="D252" i="13" a="1"/>
  <c r="D253" i="13" a="1"/>
  <c r="F254" i="13" a="1"/>
  <c r="F255" i="13" a="1"/>
  <c r="D257" i="13" a="1"/>
  <c r="C179" i="13" a="1"/>
  <c r="C181" i="13" a="1"/>
  <c r="C183" i="13" a="1"/>
  <c r="C185" i="13" a="1"/>
  <c r="C187" i="13" a="1"/>
  <c r="C189" i="13" a="1"/>
  <c r="D190" i="13" a="1"/>
  <c r="D191" i="13" a="1"/>
  <c r="D192" i="13" a="1"/>
  <c r="D193" i="13" a="1"/>
  <c r="D194" i="13" a="1"/>
  <c r="D195" i="13" a="1"/>
  <c r="D196" i="13" a="1"/>
  <c r="D197" i="13" a="1"/>
  <c r="D198" i="13" a="1"/>
  <c r="D199" i="13" a="1"/>
  <c r="D200" i="13" a="1"/>
  <c r="D201" i="13" a="1"/>
  <c r="D202" i="13" a="1"/>
  <c r="D203" i="13" a="1"/>
  <c r="D204" i="13" a="1"/>
  <c r="D205" i="13" a="1"/>
  <c r="D206" i="13" a="1"/>
  <c r="D207" i="13" a="1"/>
  <c r="D208" i="13" a="1"/>
  <c r="D209" i="13" a="1"/>
  <c r="D210" i="13" a="1"/>
  <c r="D211" i="13" a="1"/>
  <c r="D212" i="13" a="1"/>
  <c r="D213" i="13" a="1"/>
  <c r="D214" i="13" a="1"/>
  <c r="D215" i="13" a="1"/>
  <c r="D216" i="13" a="1"/>
  <c r="D217" i="13" a="1"/>
  <c r="D218" i="13" a="1"/>
  <c r="D219" i="13" a="1"/>
  <c r="D220" i="13" a="1"/>
  <c r="D221" i="13" a="1"/>
  <c r="D222" i="13" a="1"/>
  <c r="D223" i="13" a="1"/>
  <c r="D224" i="13" a="1"/>
  <c r="D225" i="13" a="1"/>
  <c r="D226" i="13" a="1"/>
  <c r="D227" i="13" a="1"/>
  <c r="D228" i="13" a="1"/>
  <c r="D229" i="13" a="1"/>
  <c r="D231" i="13" a="1"/>
  <c r="D233" i="13" a="1"/>
  <c r="D236" i="13" a="1"/>
  <c r="E239" i="13" a="1"/>
  <c r="C241" i="13" a="1"/>
  <c r="E242" i="13" a="1"/>
  <c r="E243" i="13" a="1"/>
  <c r="C245" i="13" a="1"/>
  <c r="C246" i="13" a="1"/>
  <c r="E247" i="13" a="1"/>
  <c r="E248" i="13" a="1"/>
  <c r="C250" i="13" a="1"/>
  <c r="E251" i="13" a="1"/>
  <c r="E252" i="13" a="1"/>
  <c r="E253" i="13" a="1"/>
  <c r="C255" i="13" a="1"/>
  <c r="C256" i="13" a="1"/>
  <c r="E257" i="13" a="1"/>
  <c r="D240" i="13" a="1"/>
  <c r="F241" i="13" a="1"/>
  <c r="F243" i="13" a="1"/>
  <c r="F245" i="13" a="1"/>
  <c r="F247" i="13" a="1"/>
  <c r="F249" i="13" a="1"/>
  <c r="F251" i="13" a="1"/>
  <c r="D254" i="13" a="1"/>
  <c r="D256" i="13" a="1"/>
  <c r="E179" i="13" a="1"/>
  <c r="E181" i="13" a="1"/>
  <c r="E183" i="13" a="1"/>
  <c r="E185" i="13" a="1"/>
  <c r="E187" i="13" a="1"/>
  <c r="E189" i="13" a="1"/>
  <c r="E190" i="13" a="1"/>
  <c r="E191" i="13" a="1"/>
  <c r="E192" i="13" a="1"/>
  <c r="E193" i="13" a="1"/>
  <c r="E194" i="13" a="1"/>
  <c r="E195" i="13" a="1"/>
  <c r="E196" i="13" a="1"/>
  <c r="E197" i="13" a="1"/>
  <c r="E198" i="13" a="1"/>
  <c r="E199" i="13" a="1"/>
  <c r="E200" i="13" a="1"/>
  <c r="E201" i="13" a="1"/>
  <c r="E202" i="13" a="1"/>
  <c r="E203" i="13" a="1"/>
  <c r="E204" i="13" a="1"/>
  <c r="E205" i="13" a="1"/>
  <c r="E206" i="13" a="1"/>
  <c r="E207" i="13" a="1"/>
  <c r="E208" i="13" a="1"/>
  <c r="E209" i="13" a="1"/>
  <c r="E210" i="13" a="1"/>
  <c r="E211" i="13" a="1"/>
  <c r="E212" i="13" a="1"/>
  <c r="E213" i="13" a="1"/>
  <c r="E214" i="13" a="1"/>
  <c r="E215" i="13" a="1"/>
  <c r="E216" i="13" a="1"/>
  <c r="E217" i="13" a="1"/>
  <c r="E218" i="13" a="1"/>
  <c r="E219" i="13" a="1"/>
  <c r="E220" i="13" a="1"/>
  <c r="E221" i="13" a="1"/>
  <c r="E222" i="13" a="1"/>
  <c r="E223" i="13" a="1"/>
  <c r="E224" i="13" a="1"/>
  <c r="E225" i="13" a="1"/>
  <c r="E226" i="13" a="1"/>
  <c r="E227" i="13" a="1"/>
  <c r="E228" i="13" a="1"/>
  <c r="E229" i="13" a="1"/>
  <c r="E230" i="13" a="1"/>
  <c r="E231" i="13" a="1"/>
  <c r="E232" i="13" a="1"/>
  <c r="E233" i="13" a="1"/>
  <c r="E234" i="13" a="1"/>
  <c r="E235" i="13" a="1"/>
  <c r="E236" i="13" a="1"/>
  <c r="E237" i="13" a="1"/>
  <c r="C239" i="13" a="1"/>
  <c r="D241" i="13" a="1"/>
  <c r="D243" i="13" a="1"/>
  <c r="D246" i="13" a="1"/>
  <c r="F248" i="13" a="1"/>
  <c r="D251" i="13" a="1"/>
  <c r="F252" i="13" a="1"/>
  <c r="D255" i="13" a="1"/>
  <c r="F257" i="13" a="1"/>
  <c r="D5" i="13" a="1"/>
  <c r="F5" i="13" a="1"/>
  <c r="E5" i="13" a="1"/>
  <c r="C5" i="13" a="1"/>
  <c r="F9" i="12" a="1"/>
  <c r="K9" i="12" a="1"/>
  <c r="F10" i="12" a="1"/>
  <c r="F11" i="12" a="1"/>
  <c r="K11" i="12" a="1"/>
  <c r="F12" i="12" a="1"/>
  <c r="K10" i="12" a="1"/>
  <c r="K12" i="12" a="1"/>
  <c r="W8" i="13" l="1"/>
  <c r="F257" i="13"/>
  <c r="D255" i="13"/>
  <c r="F252" i="13"/>
  <c r="D251" i="13"/>
  <c r="F248" i="13"/>
  <c r="D246" i="13"/>
  <c r="D243" i="13"/>
  <c r="D241" i="13"/>
  <c r="C239" i="13"/>
  <c r="E237" i="13"/>
  <c r="E236" i="13"/>
  <c r="E235" i="13"/>
  <c r="E234" i="13"/>
  <c r="E233" i="13"/>
  <c r="E232" i="13"/>
  <c r="E231" i="13"/>
  <c r="E230" i="13"/>
  <c r="E229" i="13"/>
  <c r="E228" i="13"/>
  <c r="E227" i="13"/>
  <c r="E226" i="13"/>
  <c r="E225" i="13"/>
  <c r="E224" i="13"/>
  <c r="E223" i="13"/>
  <c r="E222" i="13"/>
  <c r="E221" i="13"/>
  <c r="E220" i="13"/>
  <c r="E219" i="13"/>
  <c r="E218" i="13"/>
  <c r="E217" i="13"/>
  <c r="E216" i="13"/>
  <c r="E215" i="13"/>
  <c r="E214" i="13"/>
  <c r="E213" i="13"/>
  <c r="E212" i="13"/>
  <c r="E211" i="13"/>
  <c r="E210" i="13"/>
  <c r="E209" i="13"/>
  <c r="E208" i="13"/>
  <c r="E207" i="13"/>
  <c r="E206" i="13"/>
  <c r="E205" i="13"/>
  <c r="E204" i="13"/>
  <c r="E203" i="13"/>
  <c r="E202" i="13"/>
  <c r="E201" i="13"/>
  <c r="E200" i="13"/>
  <c r="E199" i="13"/>
  <c r="E198" i="13"/>
  <c r="E197" i="13"/>
  <c r="E196" i="13"/>
  <c r="E195" i="13"/>
  <c r="E194" i="13"/>
  <c r="E193" i="13"/>
  <c r="E192" i="13"/>
  <c r="E191" i="13"/>
  <c r="E190" i="13"/>
  <c r="E189" i="13"/>
  <c r="E187" i="13"/>
  <c r="E185" i="13"/>
  <c r="E183" i="13"/>
  <c r="E181" i="13"/>
  <c r="E179" i="13"/>
  <c r="D256" i="13"/>
  <c r="D254" i="13"/>
  <c r="F251" i="13"/>
  <c r="F249" i="13"/>
  <c r="F247" i="13"/>
  <c r="F245" i="13"/>
  <c r="F243" i="13"/>
  <c r="F241" i="13"/>
  <c r="D240" i="13"/>
  <c r="E257" i="13"/>
  <c r="C256" i="13"/>
  <c r="C255" i="13"/>
  <c r="E253" i="13"/>
  <c r="E252" i="13"/>
  <c r="E251" i="13"/>
  <c r="C250" i="13"/>
  <c r="E248" i="13"/>
  <c r="E247" i="13"/>
  <c r="C246" i="13"/>
  <c r="C245" i="13"/>
  <c r="E243" i="13"/>
  <c r="E242" i="13"/>
  <c r="C241" i="13"/>
  <c r="E239" i="13"/>
  <c r="D236" i="13"/>
  <c r="D233" i="13"/>
  <c r="D231" i="13"/>
  <c r="D229" i="13"/>
  <c r="D228" i="13"/>
  <c r="D227" i="13"/>
  <c r="D226" i="13"/>
  <c r="D225" i="13"/>
  <c r="D224" i="13"/>
  <c r="D223" i="13"/>
  <c r="D222" i="13"/>
  <c r="D221" i="13"/>
  <c r="D220" i="13"/>
  <c r="D219" i="13"/>
  <c r="D218" i="13"/>
  <c r="D217" i="13"/>
  <c r="D216" i="13"/>
  <c r="D215" i="13"/>
  <c r="D214" i="13"/>
  <c r="D213" i="13"/>
  <c r="D212" i="13"/>
  <c r="D211" i="13"/>
  <c r="D210" i="13"/>
  <c r="D209" i="13"/>
  <c r="D208" i="13"/>
  <c r="D207" i="13"/>
  <c r="D206" i="13"/>
  <c r="D205" i="13"/>
  <c r="D204" i="13"/>
  <c r="D203" i="13"/>
  <c r="D202" i="13"/>
  <c r="D201" i="13"/>
  <c r="D200" i="13"/>
  <c r="D199" i="13"/>
  <c r="D198" i="13"/>
  <c r="D197" i="13"/>
  <c r="D196" i="13"/>
  <c r="D195" i="13"/>
  <c r="D194" i="13"/>
  <c r="D193" i="13"/>
  <c r="D192" i="13"/>
  <c r="D191" i="13"/>
  <c r="D190" i="13"/>
  <c r="C189" i="13"/>
  <c r="C187" i="13"/>
  <c r="C185" i="13"/>
  <c r="C183" i="13"/>
  <c r="C181" i="13"/>
  <c r="C179" i="13"/>
  <c r="D257" i="13"/>
  <c r="F255" i="13"/>
  <c r="F254" i="13"/>
  <c r="D253" i="13"/>
  <c r="D252" i="13"/>
  <c r="F250" i="13"/>
  <c r="D249" i="13"/>
  <c r="D248" i="13"/>
  <c r="F246" i="13"/>
  <c r="D245" i="13"/>
  <c r="F244" i="13"/>
  <c r="F242" i="13"/>
  <c r="D238" i="13"/>
  <c r="C257" i="13"/>
  <c r="E256" i="13"/>
  <c r="E255" i="13"/>
  <c r="E254" i="13"/>
  <c r="C254" i="13"/>
  <c r="C253" i="13"/>
  <c r="C252" i="13"/>
  <c r="C251" i="13"/>
  <c r="E250" i="13"/>
  <c r="E249" i="13"/>
  <c r="C249" i="13"/>
  <c r="C248" i="13"/>
  <c r="C247" i="13"/>
  <c r="E246" i="13"/>
  <c r="E245" i="13"/>
  <c r="E244" i="13"/>
  <c r="C244" i="13"/>
  <c r="C243" i="13"/>
  <c r="C242" i="13"/>
  <c r="E241" i="13"/>
  <c r="E240" i="13"/>
  <c r="C240" i="13"/>
  <c r="F238" i="13"/>
  <c r="D237" i="13"/>
  <c r="D235" i="13"/>
  <c r="D234" i="13"/>
  <c r="D232" i="13"/>
  <c r="D230" i="13"/>
  <c r="D239" i="13"/>
  <c r="C238" i="13"/>
  <c r="C237" i="13"/>
  <c r="C236" i="13"/>
  <c r="C235" i="13"/>
  <c r="C234" i="13"/>
  <c r="C233" i="13"/>
  <c r="C232" i="13"/>
  <c r="C231" i="13"/>
  <c r="C230" i="13"/>
  <c r="C229" i="13"/>
  <c r="C228" i="13"/>
  <c r="C227" i="13"/>
  <c r="C226" i="13"/>
  <c r="C225" i="13"/>
  <c r="C224" i="13"/>
  <c r="C223" i="13"/>
  <c r="C222" i="13"/>
  <c r="C221" i="13"/>
  <c r="C220" i="13"/>
  <c r="C219" i="13"/>
  <c r="C218" i="13"/>
  <c r="C217" i="13"/>
  <c r="C216" i="13"/>
  <c r="C215" i="13"/>
  <c r="C214" i="13"/>
  <c r="C213" i="13"/>
  <c r="C212" i="13"/>
  <c r="C211" i="13"/>
  <c r="C210" i="13"/>
  <c r="C209" i="13"/>
  <c r="C208" i="13"/>
  <c r="C207" i="13"/>
  <c r="C206" i="13"/>
  <c r="C205" i="13"/>
  <c r="C204" i="13"/>
  <c r="C203" i="13"/>
  <c r="C202" i="13"/>
  <c r="C201" i="13"/>
  <c r="C200" i="13"/>
  <c r="C199" i="13"/>
  <c r="C198" i="13"/>
  <c r="C197" i="13"/>
  <c r="C196" i="13"/>
  <c r="C195" i="13"/>
  <c r="C194" i="13"/>
  <c r="C193" i="13"/>
  <c r="C192" i="13"/>
  <c r="C191" i="13"/>
  <c r="C190" i="13"/>
  <c r="E188" i="13"/>
  <c r="E186" i="13"/>
  <c r="E184" i="13"/>
  <c r="E182" i="13"/>
  <c r="E180" i="13"/>
  <c r="E178" i="13"/>
  <c r="F256" i="13"/>
  <c r="F253" i="13"/>
  <c r="D250" i="13"/>
  <c r="D247" i="13"/>
  <c r="D244" i="13"/>
  <c r="D242" i="13"/>
  <c r="F240" i="13"/>
  <c r="F239" i="13"/>
  <c r="E238" i="13"/>
  <c r="F237" i="13"/>
  <c r="F236" i="13"/>
  <c r="F235" i="13"/>
  <c r="F234" i="13"/>
  <c r="F233" i="13"/>
  <c r="F232" i="13"/>
  <c r="F231" i="13"/>
  <c r="F230" i="13"/>
  <c r="F229" i="13"/>
  <c r="F228" i="13"/>
  <c r="F227" i="13"/>
  <c r="F226" i="13"/>
  <c r="F225" i="13"/>
  <c r="F224" i="13"/>
  <c r="F223" i="13"/>
  <c r="F222" i="13"/>
  <c r="F221" i="13"/>
  <c r="F220" i="13"/>
  <c r="F219" i="13"/>
  <c r="F218" i="13"/>
  <c r="F217" i="13"/>
  <c r="F216" i="13"/>
  <c r="F215" i="13"/>
  <c r="F214" i="13"/>
  <c r="F213" i="13"/>
  <c r="F212" i="13"/>
  <c r="F211" i="13"/>
  <c r="F210" i="13"/>
  <c r="F209" i="13"/>
  <c r="F208" i="13"/>
  <c r="F207" i="13"/>
  <c r="F206" i="13"/>
  <c r="F205" i="13"/>
  <c r="F204" i="13"/>
  <c r="F203" i="13"/>
  <c r="F202" i="13"/>
  <c r="F201" i="13"/>
  <c r="F200" i="13"/>
  <c r="F199" i="13"/>
  <c r="F198" i="13"/>
  <c r="F197" i="13"/>
  <c r="F196" i="13"/>
  <c r="F195" i="13"/>
  <c r="F194" i="13"/>
  <c r="F193" i="13"/>
  <c r="F192" i="13"/>
  <c r="F191" i="13"/>
  <c r="F190" i="13"/>
  <c r="F189" i="13"/>
  <c r="C188" i="13"/>
  <c r="C186" i="13"/>
  <c r="C184" i="13"/>
  <c r="C182" i="13"/>
  <c r="C180" i="13"/>
  <c r="C178" i="13"/>
  <c r="E177" i="13"/>
  <c r="C177" i="13"/>
  <c r="E176" i="13"/>
  <c r="C176" i="13"/>
  <c r="E175" i="13"/>
  <c r="C175" i="13"/>
  <c r="E174" i="13"/>
  <c r="C174" i="13"/>
  <c r="E173" i="13"/>
  <c r="C173" i="13"/>
  <c r="E172" i="13"/>
  <c r="C172" i="13"/>
  <c r="E171" i="13"/>
  <c r="C171" i="13"/>
  <c r="E170" i="13"/>
  <c r="C170" i="13"/>
  <c r="E169" i="13"/>
  <c r="C169" i="13"/>
  <c r="E168" i="13"/>
  <c r="C168" i="13"/>
  <c r="E167" i="13"/>
  <c r="C167" i="13"/>
  <c r="E166" i="13"/>
  <c r="C166" i="13"/>
  <c r="E165" i="13"/>
  <c r="C165" i="13"/>
  <c r="E164" i="13"/>
  <c r="C164" i="13"/>
  <c r="E163" i="13"/>
  <c r="C163" i="13"/>
  <c r="E162" i="13"/>
  <c r="C162" i="13"/>
  <c r="E161" i="13"/>
  <c r="C161" i="13"/>
  <c r="D160" i="13"/>
  <c r="C159" i="13"/>
  <c r="C158" i="13"/>
  <c r="C157" i="13"/>
  <c r="C156" i="13"/>
  <c r="C155" i="13"/>
  <c r="C154" i="13"/>
  <c r="C153" i="13"/>
  <c r="C152" i="13"/>
  <c r="F150" i="13"/>
  <c r="C148" i="13"/>
  <c r="F146" i="13"/>
  <c r="D144" i="13"/>
  <c r="F160" i="13"/>
  <c r="E159" i="13"/>
  <c r="E151" i="13"/>
  <c r="D150" i="13"/>
  <c r="E147" i="13"/>
  <c r="D146" i="13"/>
  <c r="E143" i="13"/>
  <c r="D189" i="13"/>
  <c r="F188" i="13"/>
  <c r="D188" i="13"/>
  <c r="F187" i="13"/>
  <c r="D187" i="13"/>
  <c r="F186" i="13"/>
  <c r="D186" i="13"/>
  <c r="F185" i="13"/>
  <c r="D185" i="13"/>
  <c r="F184" i="13"/>
  <c r="D184" i="13"/>
  <c r="F183" i="13"/>
  <c r="D183" i="13"/>
  <c r="F182" i="13"/>
  <c r="D182" i="13"/>
  <c r="F181" i="13"/>
  <c r="D181" i="13"/>
  <c r="F180" i="13"/>
  <c r="D180" i="13"/>
  <c r="F179" i="13"/>
  <c r="D179" i="13"/>
  <c r="F178" i="13"/>
  <c r="D178" i="13"/>
  <c r="F177" i="13"/>
  <c r="D177" i="13"/>
  <c r="F176" i="13"/>
  <c r="D176" i="13"/>
  <c r="F175" i="13"/>
  <c r="D175" i="13"/>
  <c r="F174" i="13"/>
  <c r="D174" i="13"/>
  <c r="F173" i="13"/>
  <c r="D173" i="13"/>
  <c r="F172" i="13"/>
  <c r="D172" i="13"/>
  <c r="F171" i="13"/>
  <c r="D171" i="13"/>
  <c r="F170" i="13"/>
  <c r="D170" i="13"/>
  <c r="F169" i="13"/>
  <c r="D169" i="13"/>
  <c r="F168" i="13"/>
  <c r="D168" i="13"/>
  <c r="F167" i="13"/>
  <c r="D167" i="13"/>
  <c r="F166" i="13"/>
  <c r="D166" i="13"/>
  <c r="F165" i="13"/>
  <c r="D165" i="13"/>
  <c r="F164" i="13"/>
  <c r="D164" i="13"/>
  <c r="F163" i="13"/>
  <c r="D163" i="13"/>
  <c r="F162" i="13"/>
  <c r="D162" i="13"/>
  <c r="F161" i="13"/>
  <c r="D161" i="13"/>
  <c r="C160" i="13"/>
  <c r="D159" i="13"/>
  <c r="E158" i="13"/>
  <c r="E157" i="13"/>
  <c r="E156" i="13"/>
  <c r="E155" i="13"/>
  <c r="E154" i="13"/>
  <c r="E153" i="13"/>
  <c r="E152" i="13"/>
  <c r="C150" i="13"/>
  <c r="F148" i="13"/>
  <c r="E145" i="13"/>
  <c r="E160" i="13"/>
  <c r="F159" i="13"/>
  <c r="E149" i="13"/>
  <c r="D148" i="13"/>
  <c r="D142" i="13"/>
  <c r="C146" i="13"/>
  <c r="F144" i="13"/>
  <c r="C144" i="13"/>
  <c r="F142" i="13"/>
  <c r="C142" i="13"/>
  <c r="F140" i="13"/>
  <c r="C140" i="13"/>
  <c r="F138" i="13"/>
  <c r="C138" i="13"/>
  <c r="F136" i="13"/>
  <c r="C136" i="13"/>
  <c r="F134" i="13"/>
  <c r="C134" i="13"/>
  <c r="F132" i="13"/>
  <c r="C132" i="13"/>
  <c r="F130" i="13"/>
  <c r="C130" i="13"/>
  <c r="F128" i="13"/>
  <c r="C128" i="13"/>
  <c r="F126" i="13"/>
  <c r="C126" i="13"/>
  <c r="F124" i="13"/>
  <c r="C124" i="13"/>
  <c r="F122" i="13"/>
  <c r="C122" i="13"/>
  <c r="F120" i="13"/>
  <c r="C120" i="13"/>
  <c r="F118" i="13"/>
  <c r="C118" i="13"/>
  <c r="D117" i="13"/>
  <c r="D116" i="13"/>
  <c r="D115" i="13"/>
  <c r="D114" i="13"/>
  <c r="D113" i="13"/>
  <c r="D112" i="13"/>
  <c r="D111" i="13"/>
  <c r="D110" i="13"/>
  <c r="E105" i="13"/>
  <c r="F102" i="13"/>
  <c r="E97" i="13"/>
  <c r="F94" i="13"/>
  <c r="E89" i="13"/>
  <c r="F86" i="13"/>
  <c r="E81" i="13"/>
  <c r="F78" i="13"/>
  <c r="E73" i="13"/>
  <c r="F70" i="13"/>
  <c r="E65" i="13"/>
  <c r="F28" i="13"/>
  <c r="C18" i="13"/>
  <c r="D151" i="13"/>
  <c r="E150" i="13"/>
  <c r="D149" i="13"/>
  <c r="E148" i="13"/>
  <c r="D147" i="13"/>
  <c r="E146" i="13"/>
  <c r="D145" i="13"/>
  <c r="E144" i="13"/>
  <c r="D143" i="13"/>
  <c r="E142" i="13"/>
  <c r="D141" i="13"/>
  <c r="E140" i="13"/>
  <c r="D139" i="13"/>
  <c r="E138" i="13"/>
  <c r="D137" i="13"/>
  <c r="E136" i="13"/>
  <c r="D135" i="13"/>
  <c r="E134" i="13"/>
  <c r="D133" i="13"/>
  <c r="E132" i="13"/>
  <c r="D131" i="13"/>
  <c r="E130" i="13"/>
  <c r="D129" i="13"/>
  <c r="E128" i="13"/>
  <c r="D127" i="13"/>
  <c r="E126" i="13"/>
  <c r="D125" i="13"/>
  <c r="E124" i="13"/>
  <c r="D123" i="13"/>
  <c r="E122" i="13"/>
  <c r="D121" i="13"/>
  <c r="E120" i="13"/>
  <c r="D119" i="13"/>
  <c r="E118" i="13"/>
  <c r="E107" i="13"/>
  <c r="F104" i="13"/>
  <c r="E99" i="13"/>
  <c r="F96" i="13"/>
  <c r="E91" i="13"/>
  <c r="F88" i="13"/>
  <c r="E83" i="13"/>
  <c r="F80" i="13"/>
  <c r="E75" i="13"/>
  <c r="F72" i="13"/>
  <c r="E67" i="13"/>
  <c r="F64" i="13"/>
  <c r="F36" i="13"/>
  <c r="C26" i="13"/>
  <c r="F158" i="13"/>
  <c r="D158" i="13"/>
  <c r="F157" i="13"/>
  <c r="D157" i="13"/>
  <c r="F156" i="13"/>
  <c r="D156" i="13"/>
  <c r="F155" i="13"/>
  <c r="D155" i="13"/>
  <c r="F154" i="13"/>
  <c r="D154" i="13"/>
  <c r="F153" i="13"/>
  <c r="D153" i="13"/>
  <c r="F152" i="13"/>
  <c r="D152" i="13"/>
  <c r="F151" i="13"/>
  <c r="C151" i="13"/>
  <c r="F149" i="13"/>
  <c r="C149" i="13"/>
  <c r="F147" i="13"/>
  <c r="C147" i="13"/>
  <c r="F145" i="13"/>
  <c r="C145" i="13"/>
  <c r="F143" i="13"/>
  <c r="C143" i="13"/>
  <c r="F141" i="13"/>
  <c r="C141" i="13"/>
  <c r="F139" i="13"/>
  <c r="C139" i="13"/>
  <c r="F137" i="13"/>
  <c r="C137" i="13"/>
  <c r="F135" i="13"/>
  <c r="C135" i="13"/>
  <c r="F133" i="13"/>
  <c r="C133" i="13"/>
  <c r="F131" i="13"/>
  <c r="C131" i="13"/>
  <c r="F129" i="13"/>
  <c r="C129" i="13"/>
  <c r="F127" i="13"/>
  <c r="C127" i="13"/>
  <c r="F125" i="13"/>
  <c r="C125" i="13"/>
  <c r="F123" i="13"/>
  <c r="C123" i="13"/>
  <c r="F121" i="13"/>
  <c r="C121" i="13"/>
  <c r="F119" i="13"/>
  <c r="C119" i="13"/>
  <c r="F117" i="13"/>
  <c r="F116" i="13"/>
  <c r="F115" i="13"/>
  <c r="F114" i="13"/>
  <c r="F113" i="13"/>
  <c r="F112" i="13"/>
  <c r="F111" i="13"/>
  <c r="F110" i="13"/>
  <c r="F106" i="13"/>
  <c r="E101" i="13"/>
  <c r="F98" i="13"/>
  <c r="E93" i="13"/>
  <c r="F90" i="13"/>
  <c r="E85" i="13"/>
  <c r="F82" i="13"/>
  <c r="E77" i="13"/>
  <c r="F74" i="13"/>
  <c r="E69" i="13"/>
  <c r="F66" i="13"/>
  <c r="F44" i="13"/>
  <c r="C34" i="13"/>
  <c r="F12" i="13"/>
  <c r="E141" i="13"/>
  <c r="D140" i="13"/>
  <c r="E139" i="13"/>
  <c r="D138" i="13"/>
  <c r="E137" i="13"/>
  <c r="D136" i="13"/>
  <c r="E135" i="13"/>
  <c r="D134" i="13"/>
  <c r="E133" i="13"/>
  <c r="D132" i="13"/>
  <c r="E131" i="13"/>
  <c r="D130" i="13"/>
  <c r="E129" i="13"/>
  <c r="D128" i="13"/>
  <c r="E127" i="13"/>
  <c r="D126" i="13"/>
  <c r="E125" i="13"/>
  <c r="D124" i="13"/>
  <c r="E123" i="13"/>
  <c r="D122" i="13"/>
  <c r="E121" i="13"/>
  <c r="D120" i="13"/>
  <c r="E119" i="13"/>
  <c r="D118" i="13"/>
  <c r="F108" i="13"/>
  <c r="E103" i="13"/>
  <c r="F100" i="13"/>
  <c r="E95" i="13"/>
  <c r="F92" i="13"/>
  <c r="E87" i="13"/>
  <c r="F84" i="13"/>
  <c r="E79" i="13"/>
  <c r="F76" i="13"/>
  <c r="E71" i="13"/>
  <c r="F68" i="13"/>
  <c r="C42" i="13"/>
  <c r="F20" i="13"/>
  <c r="F109" i="13"/>
  <c r="D109" i="13"/>
  <c r="C108" i="13"/>
  <c r="D107" i="13"/>
  <c r="C106" i="13"/>
  <c r="D105" i="13"/>
  <c r="C104" i="13"/>
  <c r="D103" i="13"/>
  <c r="C102" i="13"/>
  <c r="D101" i="13"/>
  <c r="C100" i="13"/>
  <c r="D99" i="13"/>
  <c r="C98" i="13"/>
  <c r="D97" i="13"/>
  <c r="C96" i="13"/>
  <c r="D95" i="13"/>
  <c r="C94" i="13"/>
  <c r="D93" i="13"/>
  <c r="C92" i="13"/>
  <c r="D91" i="13"/>
  <c r="C90" i="13"/>
  <c r="D89" i="13"/>
  <c r="C88" i="13"/>
  <c r="D87" i="13"/>
  <c r="C86" i="13"/>
  <c r="D85" i="13"/>
  <c r="C84" i="13"/>
  <c r="D83" i="13"/>
  <c r="C82" i="13"/>
  <c r="D81" i="13"/>
  <c r="C80" i="13"/>
  <c r="D79" i="13"/>
  <c r="C78" i="13"/>
  <c r="D77" i="13"/>
  <c r="C76" i="13"/>
  <c r="D75" i="13"/>
  <c r="C74" i="13"/>
  <c r="D73" i="13"/>
  <c r="C72" i="13"/>
  <c r="D71" i="13"/>
  <c r="C70" i="13"/>
  <c r="D69" i="13"/>
  <c r="C68" i="13"/>
  <c r="D67" i="13"/>
  <c r="C66" i="13"/>
  <c r="D65" i="13"/>
  <c r="F63" i="13"/>
  <c r="F62" i="13"/>
  <c r="F61" i="13"/>
  <c r="F60" i="13"/>
  <c r="F59" i="13"/>
  <c r="F58" i="13"/>
  <c r="F46" i="13"/>
  <c r="C44" i="13"/>
  <c r="F38" i="13"/>
  <c r="C36" i="13"/>
  <c r="F30" i="13"/>
  <c r="C28" i="13"/>
  <c r="F22" i="13"/>
  <c r="C20" i="13"/>
  <c r="F14" i="13"/>
  <c r="C12" i="13"/>
  <c r="E108" i="13"/>
  <c r="F107" i="13"/>
  <c r="E106" i="13"/>
  <c r="F105" i="13"/>
  <c r="E104" i="13"/>
  <c r="F103" i="13"/>
  <c r="E102" i="13"/>
  <c r="F101" i="13"/>
  <c r="E100" i="13"/>
  <c r="F99" i="13"/>
  <c r="E98" i="13"/>
  <c r="F97" i="13"/>
  <c r="E96" i="13"/>
  <c r="F95" i="13"/>
  <c r="E94" i="13"/>
  <c r="F93" i="13"/>
  <c r="E92" i="13"/>
  <c r="F91" i="13"/>
  <c r="E90" i="13"/>
  <c r="F89" i="13"/>
  <c r="E88" i="13"/>
  <c r="F87" i="13"/>
  <c r="E86" i="13"/>
  <c r="F85" i="13"/>
  <c r="E84" i="13"/>
  <c r="F83" i="13"/>
  <c r="E82" i="13"/>
  <c r="F81" i="13"/>
  <c r="E80" i="13"/>
  <c r="F79" i="13"/>
  <c r="E78" i="13"/>
  <c r="F77" i="13"/>
  <c r="E76" i="13"/>
  <c r="F75" i="13"/>
  <c r="E74" i="13"/>
  <c r="F73" i="13"/>
  <c r="E72" i="13"/>
  <c r="F71" i="13"/>
  <c r="E70" i="13"/>
  <c r="F69" i="13"/>
  <c r="E68" i="13"/>
  <c r="F67" i="13"/>
  <c r="E66" i="13"/>
  <c r="F65" i="13"/>
  <c r="E64" i="13"/>
  <c r="C46" i="13"/>
  <c r="F40" i="13"/>
  <c r="C38" i="13"/>
  <c r="F32" i="13"/>
  <c r="C30" i="13"/>
  <c r="F24" i="13"/>
  <c r="C22" i="13"/>
  <c r="F16" i="13"/>
  <c r="C14" i="13"/>
  <c r="E117" i="13"/>
  <c r="C117" i="13"/>
  <c r="E116" i="13"/>
  <c r="C116" i="13"/>
  <c r="E115" i="13"/>
  <c r="C115" i="13"/>
  <c r="E114" i="13"/>
  <c r="C114" i="13"/>
  <c r="E113" i="13"/>
  <c r="C113" i="13"/>
  <c r="E112" i="13"/>
  <c r="C112" i="13"/>
  <c r="E111" i="13"/>
  <c r="C111" i="13"/>
  <c r="E110" i="13"/>
  <c r="C110" i="13"/>
  <c r="E109" i="13"/>
  <c r="C109" i="13"/>
  <c r="D108" i="13"/>
  <c r="C107" i="13"/>
  <c r="D106" i="13"/>
  <c r="C105" i="13"/>
  <c r="D104" i="13"/>
  <c r="C103" i="13"/>
  <c r="D102" i="13"/>
  <c r="C101" i="13"/>
  <c r="D100" i="13"/>
  <c r="C99" i="13"/>
  <c r="D98" i="13"/>
  <c r="C97" i="13"/>
  <c r="D96" i="13"/>
  <c r="C95" i="13"/>
  <c r="D94" i="13"/>
  <c r="C93" i="13"/>
  <c r="D92" i="13"/>
  <c r="C91" i="13"/>
  <c r="D90" i="13"/>
  <c r="C89" i="13"/>
  <c r="D88" i="13"/>
  <c r="C87" i="13"/>
  <c r="D86" i="13"/>
  <c r="C85" i="13"/>
  <c r="D84" i="13"/>
  <c r="C83" i="13"/>
  <c r="D82" i="13"/>
  <c r="C81" i="13"/>
  <c r="D80" i="13"/>
  <c r="C79" i="13"/>
  <c r="D78" i="13"/>
  <c r="C77" i="13"/>
  <c r="D76" i="13"/>
  <c r="C75" i="13"/>
  <c r="D74" i="13"/>
  <c r="C73" i="13"/>
  <c r="D72" i="13"/>
  <c r="C71" i="13"/>
  <c r="D70" i="13"/>
  <c r="C69" i="13"/>
  <c r="D68" i="13"/>
  <c r="C67" i="13"/>
  <c r="D66" i="13"/>
  <c r="C65" i="13"/>
  <c r="D64" i="13"/>
  <c r="D63" i="13"/>
  <c r="D62" i="13"/>
  <c r="D61" i="13"/>
  <c r="D60" i="13"/>
  <c r="D59" i="13"/>
  <c r="C48" i="13"/>
  <c r="F42" i="13"/>
  <c r="C40" i="13"/>
  <c r="F34" i="13"/>
  <c r="C32" i="13"/>
  <c r="F26" i="13"/>
  <c r="C24" i="13"/>
  <c r="F18" i="13"/>
  <c r="C16" i="13"/>
  <c r="F10" i="13"/>
  <c r="C64" i="13"/>
  <c r="E63" i="13"/>
  <c r="C63" i="13"/>
  <c r="E62" i="13"/>
  <c r="C62" i="13"/>
  <c r="E61" i="13"/>
  <c r="C61" i="13"/>
  <c r="E60" i="13"/>
  <c r="C60" i="13"/>
  <c r="E59" i="13"/>
  <c r="C59" i="13"/>
  <c r="E58" i="13"/>
  <c r="C58" i="13"/>
  <c r="E57" i="13"/>
  <c r="C57" i="13"/>
  <c r="E56" i="13"/>
  <c r="C56" i="13"/>
  <c r="E55" i="13"/>
  <c r="C55" i="13"/>
  <c r="E54" i="13"/>
  <c r="C54" i="13"/>
  <c r="E53" i="13"/>
  <c r="C53" i="13"/>
  <c r="E52" i="13"/>
  <c r="C52" i="13"/>
  <c r="E51" i="13"/>
  <c r="C51" i="13"/>
  <c r="E50" i="13"/>
  <c r="C50" i="13"/>
  <c r="E49" i="13"/>
  <c r="C49" i="13"/>
  <c r="E48" i="13"/>
  <c r="D47" i="13"/>
  <c r="E46" i="13"/>
  <c r="D45" i="13"/>
  <c r="E44" i="13"/>
  <c r="D43" i="13"/>
  <c r="E42" i="13"/>
  <c r="D41" i="13"/>
  <c r="E40" i="13"/>
  <c r="D39" i="13"/>
  <c r="E38" i="13"/>
  <c r="D37" i="13"/>
  <c r="E36" i="13"/>
  <c r="D35" i="13"/>
  <c r="E34" i="13"/>
  <c r="D33" i="13"/>
  <c r="E32" i="13"/>
  <c r="D31" i="13"/>
  <c r="E30" i="13"/>
  <c r="D29" i="13"/>
  <c r="E28" i="13"/>
  <c r="D27" i="13"/>
  <c r="E26" i="13"/>
  <c r="D25" i="13"/>
  <c r="E24" i="13"/>
  <c r="D23" i="13"/>
  <c r="E22" i="13"/>
  <c r="D21" i="13"/>
  <c r="E20" i="13"/>
  <c r="D19" i="13"/>
  <c r="E18" i="13"/>
  <c r="D17" i="13"/>
  <c r="E16" i="13"/>
  <c r="D15" i="13"/>
  <c r="E14" i="13"/>
  <c r="D13" i="13"/>
  <c r="E12" i="13"/>
  <c r="D11" i="13"/>
  <c r="E10" i="13"/>
  <c r="F9" i="13"/>
  <c r="F8" i="13"/>
  <c r="F7" i="13"/>
  <c r="F6" i="13"/>
  <c r="F47" i="13"/>
  <c r="C47" i="13"/>
  <c r="F45" i="13"/>
  <c r="C45" i="13"/>
  <c r="F43" i="13"/>
  <c r="C43" i="13"/>
  <c r="F41" i="13"/>
  <c r="C41" i="13"/>
  <c r="F39" i="13"/>
  <c r="C39" i="13"/>
  <c r="F37" i="13"/>
  <c r="C37" i="13"/>
  <c r="F35" i="13"/>
  <c r="C35" i="13"/>
  <c r="F33" i="13"/>
  <c r="C33" i="13"/>
  <c r="F31" i="13"/>
  <c r="C31" i="13"/>
  <c r="F29" i="13"/>
  <c r="C29" i="13"/>
  <c r="F27" i="13"/>
  <c r="C27" i="13"/>
  <c r="F25" i="13"/>
  <c r="C25" i="13"/>
  <c r="F23" i="13"/>
  <c r="C23" i="13"/>
  <c r="F21" i="13"/>
  <c r="C21" i="13"/>
  <c r="F19" i="13"/>
  <c r="C19" i="13"/>
  <c r="F17" i="13"/>
  <c r="C17" i="13"/>
  <c r="F15" i="13"/>
  <c r="C15" i="13"/>
  <c r="F13" i="13"/>
  <c r="C13" i="13"/>
  <c r="F11" i="13"/>
  <c r="C11" i="13"/>
  <c r="D58" i="13"/>
  <c r="F57" i="13"/>
  <c r="D57" i="13"/>
  <c r="F56" i="13"/>
  <c r="D56" i="13"/>
  <c r="F55" i="13"/>
  <c r="D55" i="13"/>
  <c r="F54" i="13"/>
  <c r="D54" i="13"/>
  <c r="F53" i="13"/>
  <c r="D53" i="13"/>
  <c r="F52" i="13"/>
  <c r="D52" i="13"/>
  <c r="F51" i="13"/>
  <c r="D51" i="13"/>
  <c r="F50" i="13"/>
  <c r="D50" i="13"/>
  <c r="F49" i="13"/>
  <c r="D49" i="13"/>
  <c r="F48" i="13"/>
  <c r="D48" i="13"/>
  <c r="E47" i="13"/>
  <c r="D46" i="13"/>
  <c r="E45" i="13"/>
  <c r="D44" i="13"/>
  <c r="E43" i="13"/>
  <c r="D42" i="13"/>
  <c r="E41" i="13"/>
  <c r="D40" i="13"/>
  <c r="E39" i="13"/>
  <c r="D38" i="13"/>
  <c r="E37" i="13"/>
  <c r="D36" i="13"/>
  <c r="E35" i="13"/>
  <c r="D34" i="13"/>
  <c r="E33" i="13"/>
  <c r="D32" i="13"/>
  <c r="E31" i="13"/>
  <c r="D30" i="13"/>
  <c r="E29" i="13"/>
  <c r="D28" i="13"/>
  <c r="E27" i="13"/>
  <c r="D26" i="13"/>
  <c r="E25" i="13"/>
  <c r="D24" i="13"/>
  <c r="E23" i="13"/>
  <c r="D22" i="13"/>
  <c r="E21" i="13"/>
  <c r="D20" i="13"/>
  <c r="E19" i="13"/>
  <c r="D18" i="13"/>
  <c r="E17" i="13"/>
  <c r="D16" i="13"/>
  <c r="E15" i="13"/>
  <c r="D14" i="13"/>
  <c r="E13" i="13"/>
  <c r="D12" i="13"/>
  <c r="E11" i="13"/>
  <c r="D10" i="13"/>
  <c r="D9" i="13"/>
  <c r="D8" i="13"/>
  <c r="D7" i="13"/>
  <c r="D6" i="13"/>
  <c r="C10" i="13"/>
  <c r="E9" i="13"/>
  <c r="C9" i="13"/>
  <c r="E8" i="13"/>
  <c r="C8" i="13"/>
  <c r="E7" i="13"/>
  <c r="C7" i="13"/>
  <c r="E6" i="13"/>
  <c r="C6" i="13"/>
  <c r="E5" i="13"/>
  <c r="F5" i="13"/>
  <c r="D5" i="13"/>
  <c r="C5" i="13"/>
  <c r="Q1" i="13"/>
  <c r="P1" i="13"/>
  <c r="K9" i="12"/>
  <c r="E30" i="12" s="1"/>
  <c r="K12" i="12"/>
  <c r="H33" i="12" s="1"/>
  <c r="K11" i="12"/>
  <c r="G32" i="12" s="1"/>
  <c r="K10" i="12"/>
  <c r="F31" i="12" s="1"/>
  <c r="F12" i="12"/>
  <c r="H12" i="12" s="1"/>
  <c r="F11" i="12"/>
  <c r="H11" i="12" s="1"/>
  <c r="F10" i="12"/>
  <c r="H10" i="12" s="1"/>
  <c r="F9" i="12"/>
  <c r="H9" i="12" s="1"/>
  <c r="R1" i="13"/>
  <c r="O1" i="13"/>
  <c r="L11" i="12" l="1"/>
  <c r="M11" i="12" s="1"/>
  <c r="L12" i="12"/>
  <c r="M12" i="12" s="1"/>
  <c r="L9" i="12"/>
  <c r="M9" i="12" s="1"/>
  <c r="H13" i="12"/>
  <c r="I12" i="12" s="1"/>
  <c r="L10" i="12"/>
  <c r="M10" i="12" s="1"/>
  <c r="U1" i="13"/>
  <c r="G5" i="11"/>
  <c r="J256" i="11"/>
  <c r="I256" i="11"/>
  <c r="H256" i="11"/>
  <c r="G256" i="11"/>
  <c r="J255" i="11"/>
  <c r="I255" i="11"/>
  <c r="H255" i="11"/>
  <c r="G255" i="11"/>
  <c r="J254" i="11"/>
  <c r="I254" i="11"/>
  <c r="H254" i="11"/>
  <c r="G254" i="11"/>
  <c r="J253" i="11"/>
  <c r="I253" i="11"/>
  <c r="H253" i="11"/>
  <c r="G253" i="11"/>
  <c r="J252" i="11"/>
  <c r="I252" i="11"/>
  <c r="H252" i="11"/>
  <c r="G252" i="11"/>
  <c r="J251" i="11"/>
  <c r="I251" i="11"/>
  <c r="H251" i="11"/>
  <c r="G251" i="11"/>
  <c r="J250" i="11"/>
  <c r="I250" i="11"/>
  <c r="H250" i="11"/>
  <c r="G250" i="11"/>
  <c r="J249" i="11"/>
  <c r="I249" i="11"/>
  <c r="H249" i="11"/>
  <c r="G249" i="11"/>
  <c r="J248" i="11"/>
  <c r="I248" i="11"/>
  <c r="H248" i="11"/>
  <c r="G248" i="11"/>
  <c r="J247" i="11"/>
  <c r="I247" i="11"/>
  <c r="H247" i="11"/>
  <c r="G247" i="11"/>
  <c r="J246" i="11"/>
  <c r="I246" i="11"/>
  <c r="H246" i="11"/>
  <c r="G246" i="11"/>
  <c r="J245" i="11"/>
  <c r="I245" i="11"/>
  <c r="H245" i="11"/>
  <c r="G245" i="11"/>
  <c r="J244" i="11"/>
  <c r="I244" i="11"/>
  <c r="H244" i="11"/>
  <c r="G244" i="11"/>
  <c r="J243" i="11"/>
  <c r="I243" i="11"/>
  <c r="H243" i="11"/>
  <c r="G243" i="11"/>
  <c r="J242" i="11"/>
  <c r="I242" i="11"/>
  <c r="H242" i="11"/>
  <c r="G242" i="11"/>
  <c r="J241" i="11"/>
  <c r="I241" i="11"/>
  <c r="H241" i="11"/>
  <c r="G241" i="11"/>
  <c r="J240" i="11"/>
  <c r="I240" i="11"/>
  <c r="H240" i="11"/>
  <c r="G240" i="11"/>
  <c r="J239" i="11"/>
  <c r="I239" i="11"/>
  <c r="H239" i="11"/>
  <c r="G239" i="11"/>
  <c r="J238" i="11"/>
  <c r="I238" i="11"/>
  <c r="H238" i="11"/>
  <c r="G238" i="11"/>
  <c r="J237" i="11"/>
  <c r="I237" i="11"/>
  <c r="H237" i="11"/>
  <c r="G237" i="11"/>
  <c r="J236" i="11"/>
  <c r="I236" i="11"/>
  <c r="H236" i="11"/>
  <c r="G236" i="11"/>
  <c r="J235" i="11"/>
  <c r="I235" i="11"/>
  <c r="H235" i="11"/>
  <c r="G235" i="11"/>
  <c r="J234" i="11"/>
  <c r="I234" i="11"/>
  <c r="H234" i="11"/>
  <c r="G234" i="11"/>
  <c r="J233" i="11"/>
  <c r="I233" i="11"/>
  <c r="H233" i="11"/>
  <c r="G233" i="11"/>
  <c r="J232" i="11"/>
  <c r="I232" i="11"/>
  <c r="H232" i="11"/>
  <c r="G232" i="11"/>
  <c r="J231" i="11"/>
  <c r="I231" i="11"/>
  <c r="H231" i="11"/>
  <c r="G231" i="11"/>
  <c r="J230" i="11"/>
  <c r="I230" i="11"/>
  <c r="H230" i="11"/>
  <c r="G230" i="11"/>
  <c r="J229" i="11"/>
  <c r="I229" i="11"/>
  <c r="H229" i="11"/>
  <c r="G229" i="11"/>
  <c r="J228" i="11"/>
  <c r="I228" i="11"/>
  <c r="H228" i="11"/>
  <c r="G228" i="11"/>
  <c r="J227" i="11"/>
  <c r="I227" i="11"/>
  <c r="H227" i="11"/>
  <c r="G227" i="11"/>
  <c r="J226" i="11"/>
  <c r="I226" i="11"/>
  <c r="H226" i="11"/>
  <c r="G226" i="11"/>
  <c r="J225" i="11"/>
  <c r="I225" i="11"/>
  <c r="H225" i="11"/>
  <c r="G225" i="11"/>
  <c r="J224" i="11"/>
  <c r="I224" i="11"/>
  <c r="H224" i="11"/>
  <c r="G224" i="11"/>
  <c r="J223" i="11"/>
  <c r="I223" i="11"/>
  <c r="H223" i="11"/>
  <c r="G223" i="11"/>
  <c r="J222" i="11"/>
  <c r="I222" i="11"/>
  <c r="H222" i="11"/>
  <c r="G222" i="11"/>
  <c r="J221" i="11"/>
  <c r="I221" i="11"/>
  <c r="H221" i="11"/>
  <c r="G221" i="11"/>
  <c r="J220" i="11"/>
  <c r="I220" i="11"/>
  <c r="H220" i="11"/>
  <c r="G220" i="11"/>
  <c r="J219" i="11"/>
  <c r="I219" i="11"/>
  <c r="H219" i="11"/>
  <c r="G219" i="11"/>
  <c r="J218" i="11"/>
  <c r="I218" i="11"/>
  <c r="H218" i="11"/>
  <c r="G218" i="11"/>
  <c r="J217" i="11"/>
  <c r="I217" i="11"/>
  <c r="H217" i="11"/>
  <c r="G217" i="11"/>
  <c r="J216" i="11"/>
  <c r="I216" i="11"/>
  <c r="H216" i="11"/>
  <c r="G216" i="11"/>
  <c r="J215" i="11"/>
  <c r="I215" i="11"/>
  <c r="H215" i="11"/>
  <c r="G215" i="11"/>
  <c r="J214" i="11"/>
  <c r="I214" i="11"/>
  <c r="H214" i="11"/>
  <c r="G214" i="11"/>
  <c r="J213" i="11"/>
  <c r="I213" i="11"/>
  <c r="H213" i="11"/>
  <c r="G213" i="11"/>
  <c r="J212" i="11"/>
  <c r="I212" i="11"/>
  <c r="H212" i="11"/>
  <c r="G212" i="11"/>
  <c r="J211" i="11"/>
  <c r="I211" i="11"/>
  <c r="H211" i="11"/>
  <c r="G211" i="11"/>
  <c r="J210" i="11"/>
  <c r="I210" i="11"/>
  <c r="H210" i="11"/>
  <c r="G210" i="11"/>
  <c r="J209" i="11"/>
  <c r="I209" i="11"/>
  <c r="H209" i="11"/>
  <c r="G209" i="11"/>
  <c r="J208" i="11"/>
  <c r="I208" i="11"/>
  <c r="H208" i="11"/>
  <c r="G208" i="11"/>
  <c r="J207" i="11"/>
  <c r="I207" i="11"/>
  <c r="H207" i="11"/>
  <c r="G207" i="11"/>
  <c r="J206" i="11"/>
  <c r="I206" i="11"/>
  <c r="H206" i="11"/>
  <c r="G206" i="11"/>
  <c r="J205" i="11"/>
  <c r="I205" i="11"/>
  <c r="H205" i="11"/>
  <c r="G205" i="11"/>
  <c r="J204" i="11"/>
  <c r="I204" i="11"/>
  <c r="H204" i="11"/>
  <c r="G204" i="11"/>
  <c r="J203" i="11"/>
  <c r="I203" i="11"/>
  <c r="H203" i="11"/>
  <c r="G203" i="11"/>
  <c r="J202" i="11"/>
  <c r="I202" i="11"/>
  <c r="H202" i="11"/>
  <c r="G202" i="11"/>
  <c r="J201" i="11"/>
  <c r="I201" i="11"/>
  <c r="H201" i="11"/>
  <c r="G201" i="11"/>
  <c r="J200" i="11"/>
  <c r="I200" i="11"/>
  <c r="H200" i="11"/>
  <c r="G200" i="11"/>
  <c r="J199" i="11"/>
  <c r="I199" i="11"/>
  <c r="H199" i="11"/>
  <c r="G199" i="11"/>
  <c r="J198" i="11"/>
  <c r="I198" i="11"/>
  <c r="H198" i="11"/>
  <c r="G198" i="11"/>
  <c r="J197" i="11"/>
  <c r="I197" i="11"/>
  <c r="H197" i="11"/>
  <c r="G197" i="11"/>
  <c r="J196" i="11"/>
  <c r="I196" i="11"/>
  <c r="H196" i="11"/>
  <c r="G196" i="11"/>
  <c r="J195" i="11"/>
  <c r="I195" i="11"/>
  <c r="H195" i="11"/>
  <c r="G195" i="11"/>
  <c r="J194" i="11"/>
  <c r="I194" i="11"/>
  <c r="H194" i="11"/>
  <c r="G194" i="11"/>
  <c r="J193" i="11"/>
  <c r="I193" i="11"/>
  <c r="H193" i="11"/>
  <c r="G193" i="11"/>
  <c r="J192" i="11"/>
  <c r="I192" i="11"/>
  <c r="H192" i="11"/>
  <c r="G192" i="11"/>
  <c r="J191" i="11"/>
  <c r="I191" i="11"/>
  <c r="H191" i="11"/>
  <c r="G191" i="11"/>
  <c r="J190" i="11"/>
  <c r="I190" i="11"/>
  <c r="H190" i="11"/>
  <c r="G190" i="11"/>
  <c r="J189" i="11"/>
  <c r="I189" i="11"/>
  <c r="H189" i="11"/>
  <c r="G189" i="11"/>
  <c r="J188" i="11"/>
  <c r="I188" i="11"/>
  <c r="H188" i="11"/>
  <c r="G188" i="11"/>
  <c r="J187" i="11"/>
  <c r="I187" i="11"/>
  <c r="H187" i="11"/>
  <c r="G187" i="11"/>
  <c r="J186" i="11"/>
  <c r="I186" i="11"/>
  <c r="H186" i="11"/>
  <c r="G186" i="11"/>
  <c r="J185" i="11"/>
  <c r="I185" i="11"/>
  <c r="H185" i="11"/>
  <c r="G185" i="11"/>
  <c r="J184" i="11"/>
  <c r="I184" i="11"/>
  <c r="H184" i="11"/>
  <c r="G184" i="11"/>
  <c r="J183" i="11"/>
  <c r="I183" i="11"/>
  <c r="H183" i="11"/>
  <c r="G183" i="11"/>
  <c r="J182" i="11"/>
  <c r="I182" i="11"/>
  <c r="H182" i="11"/>
  <c r="G182" i="11"/>
  <c r="J181" i="11"/>
  <c r="I181" i="11"/>
  <c r="H181" i="11"/>
  <c r="G181" i="11"/>
  <c r="J180" i="11"/>
  <c r="I180" i="11"/>
  <c r="H180" i="11"/>
  <c r="G180" i="11"/>
  <c r="J179" i="11"/>
  <c r="I179" i="11"/>
  <c r="H179" i="11"/>
  <c r="G179" i="11"/>
  <c r="J178" i="11"/>
  <c r="I178" i="11"/>
  <c r="H178" i="11"/>
  <c r="G178" i="11"/>
  <c r="J177" i="11"/>
  <c r="I177" i="11"/>
  <c r="H177" i="11"/>
  <c r="G177" i="11"/>
  <c r="J176" i="11"/>
  <c r="I176" i="11"/>
  <c r="H176" i="11"/>
  <c r="G176" i="11"/>
  <c r="J175" i="11"/>
  <c r="I175" i="11"/>
  <c r="H175" i="11"/>
  <c r="G175" i="11"/>
  <c r="J174" i="11"/>
  <c r="I174" i="11"/>
  <c r="H174" i="11"/>
  <c r="G174" i="11"/>
  <c r="J173" i="11"/>
  <c r="I173" i="11"/>
  <c r="H173" i="11"/>
  <c r="G173" i="11"/>
  <c r="J172" i="11"/>
  <c r="I172" i="11"/>
  <c r="H172" i="11"/>
  <c r="G172" i="11"/>
  <c r="J171" i="11"/>
  <c r="I171" i="11"/>
  <c r="H171" i="11"/>
  <c r="G171" i="11"/>
  <c r="J170" i="11"/>
  <c r="I170" i="11"/>
  <c r="H170" i="11"/>
  <c r="G170" i="11"/>
  <c r="J169" i="11"/>
  <c r="I169" i="11"/>
  <c r="H169" i="11"/>
  <c r="G169" i="11"/>
  <c r="J168" i="11"/>
  <c r="I168" i="11"/>
  <c r="H168" i="11"/>
  <c r="G168" i="11"/>
  <c r="J167" i="11"/>
  <c r="I167" i="11"/>
  <c r="H167" i="11"/>
  <c r="G167" i="11"/>
  <c r="J166" i="11"/>
  <c r="I166" i="11"/>
  <c r="H166" i="11"/>
  <c r="G166" i="11"/>
  <c r="J165" i="11"/>
  <c r="I165" i="11"/>
  <c r="H165" i="11"/>
  <c r="G165" i="11"/>
  <c r="J164" i="11"/>
  <c r="I164" i="11"/>
  <c r="H164" i="11"/>
  <c r="G164" i="11"/>
  <c r="J163" i="11"/>
  <c r="I163" i="11"/>
  <c r="H163" i="11"/>
  <c r="G163" i="11"/>
  <c r="J162" i="11"/>
  <c r="I162" i="11"/>
  <c r="H162" i="11"/>
  <c r="G162" i="11"/>
  <c r="J161" i="11"/>
  <c r="I161" i="11"/>
  <c r="H161" i="11"/>
  <c r="G161" i="11"/>
  <c r="J160" i="11"/>
  <c r="I160" i="11"/>
  <c r="H160" i="11"/>
  <c r="G160" i="11"/>
  <c r="J159" i="11"/>
  <c r="I159" i="11"/>
  <c r="H159" i="11"/>
  <c r="G159" i="11"/>
  <c r="J158" i="11"/>
  <c r="I158" i="11"/>
  <c r="H158" i="11"/>
  <c r="G158" i="11"/>
  <c r="J157" i="11"/>
  <c r="I157" i="11"/>
  <c r="H157" i="11"/>
  <c r="G157" i="11"/>
  <c r="J156" i="11"/>
  <c r="I156" i="11"/>
  <c r="H156" i="11"/>
  <c r="G156" i="11"/>
  <c r="J155" i="11"/>
  <c r="I155" i="11"/>
  <c r="H155" i="11"/>
  <c r="G155" i="11"/>
  <c r="J154" i="11"/>
  <c r="I154" i="11"/>
  <c r="H154" i="11"/>
  <c r="G154" i="11"/>
  <c r="J153" i="11"/>
  <c r="I153" i="11"/>
  <c r="H153" i="11"/>
  <c r="G153" i="11"/>
  <c r="J152" i="11"/>
  <c r="I152" i="11"/>
  <c r="H152" i="11"/>
  <c r="G152" i="11"/>
  <c r="J151" i="11"/>
  <c r="I151" i="11"/>
  <c r="H151" i="11"/>
  <c r="G151" i="11"/>
  <c r="J150" i="11"/>
  <c r="I150" i="11"/>
  <c r="H150" i="11"/>
  <c r="G150" i="11"/>
  <c r="J149" i="11"/>
  <c r="I149" i="11"/>
  <c r="H149" i="11"/>
  <c r="G149" i="11"/>
  <c r="J148" i="11"/>
  <c r="I148" i="11"/>
  <c r="H148" i="11"/>
  <c r="G148" i="11"/>
  <c r="J147" i="11"/>
  <c r="I147" i="11"/>
  <c r="H147" i="11"/>
  <c r="G147" i="11"/>
  <c r="J146" i="11"/>
  <c r="I146" i="11"/>
  <c r="H146" i="11"/>
  <c r="G146" i="11"/>
  <c r="J145" i="11"/>
  <c r="I145" i="11"/>
  <c r="H145" i="11"/>
  <c r="G145" i="11"/>
  <c r="J144" i="11"/>
  <c r="I144" i="11"/>
  <c r="H144" i="11"/>
  <c r="G144" i="11"/>
  <c r="J143" i="11"/>
  <c r="I143" i="11"/>
  <c r="H143" i="11"/>
  <c r="G143" i="11"/>
  <c r="J142" i="11"/>
  <c r="I142" i="11"/>
  <c r="H142" i="11"/>
  <c r="G142" i="11"/>
  <c r="J141" i="11"/>
  <c r="I141" i="11"/>
  <c r="H141" i="11"/>
  <c r="G141" i="11"/>
  <c r="J140" i="11"/>
  <c r="I140" i="11"/>
  <c r="H140" i="11"/>
  <c r="G140" i="11"/>
  <c r="J139" i="11"/>
  <c r="I139" i="11"/>
  <c r="H139" i="11"/>
  <c r="G139" i="11"/>
  <c r="J138" i="11"/>
  <c r="I138" i="11"/>
  <c r="H138" i="11"/>
  <c r="G138" i="11"/>
  <c r="J137" i="11"/>
  <c r="I137" i="11"/>
  <c r="H137" i="11"/>
  <c r="G137" i="11"/>
  <c r="J136" i="11"/>
  <c r="I136" i="11"/>
  <c r="H136" i="11"/>
  <c r="G136" i="11"/>
  <c r="J135" i="11"/>
  <c r="I135" i="11"/>
  <c r="H135" i="11"/>
  <c r="G135" i="11"/>
  <c r="J134" i="11"/>
  <c r="I134" i="11"/>
  <c r="H134" i="11"/>
  <c r="G134" i="11"/>
  <c r="J133" i="11"/>
  <c r="I133" i="11"/>
  <c r="H133" i="11"/>
  <c r="G133" i="11"/>
  <c r="J132" i="11"/>
  <c r="I132" i="11"/>
  <c r="H132" i="11"/>
  <c r="G132" i="11"/>
  <c r="J131" i="11"/>
  <c r="I131" i="11"/>
  <c r="H131" i="11"/>
  <c r="G131" i="11"/>
  <c r="J130" i="11"/>
  <c r="I130" i="11"/>
  <c r="H130" i="11"/>
  <c r="G130" i="11"/>
  <c r="J129" i="11"/>
  <c r="I129" i="11"/>
  <c r="H129" i="11"/>
  <c r="G129" i="11"/>
  <c r="J128" i="11"/>
  <c r="I128" i="11"/>
  <c r="H128" i="11"/>
  <c r="G128" i="11"/>
  <c r="J127" i="11"/>
  <c r="I127" i="11"/>
  <c r="H127" i="11"/>
  <c r="G127" i="11"/>
  <c r="J126" i="11"/>
  <c r="I126" i="11"/>
  <c r="H126" i="11"/>
  <c r="G126" i="11"/>
  <c r="J125" i="11"/>
  <c r="I125" i="11"/>
  <c r="H125" i="11"/>
  <c r="G125" i="11"/>
  <c r="J124" i="11"/>
  <c r="I124" i="11"/>
  <c r="H124" i="11"/>
  <c r="G124" i="11"/>
  <c r="J123" i="11"/>
  <c r="I123" i="11"/>
  <c r="H123" i="11"/>
  <c r="G123" i="11"/>
  <c r="J122" i="11"/>
  <c r="I122" i="11"/>
  <c r="H122" i="11"/>
  <c r="G122" i="11"/>
  <c r="J121" i="11"/>
  <c r="I121" i="11"/>
  <c r="H121" i="11"/>
  <c r="G121" i="11"/>
  <c r="J120" i="11"/>
  <c r="I120" i="11"/>
  <c r="H120" i="11"/>
  <c r="G120" i="11"/>
  <c r="J119" i="11"/>
  <c r="I119" i="11"/>
  <c r="H119" i="11"/>
  <c r="G119" i="11"/>
  <c r="J118" i="11"/>
  <c r="I118" i="11"/>
  <c r="H118" i="11"/>
  <c r="G118" i="11"/>
  <c r="J117" i="11"/>
  <c r="I117" i="11"/>
  <c r="H117" i="11"/>
  <c r="G117" i="11"/>
  <c r="J116" i="11"/>
  <c r="I116" i="11"/>
  <c r="H116" i="11"/>
  <c r="G116" i="11"/>
  <c r="J115" i="11"/>
  <c r="I115" i="11"/>
  <c r="H115" i="11"/>
  <c r="G115" i="11"/>
  <c r="J114" i="11"/>
  <c r="I114" i="11"/>
  <c r="H114" i="11"/>
  <c r="G114" i="11"/>
  <c r="J113" i="11"/>
  <c r="I113" i="11"/>
  <c r="H113" i="11"/>
  <c r="G113" i="11"/>
  <c r="J112" i="11"/>
  <c r="I112" i="11"/>
  <c r="H112" i="11"/>
  <c r="G112" i="11"/>
  <c r="J111" i="11"/>
  <c r="I111" i="11"/>
  <c r="H111" i="11"/>
  <c r="G111" i="11"/>
  <c r="J110" i="11"/>
  <c r="I110" i="11"/>
  <c r="H110" i="11"/>
  <c r="G110" i="11"/>
  <c r="J109" i="11"/>
  <c r="I109" i="11"/>
  <c r="H109" i="11"/>
  <c r="G109" i="11"/>
  <c r="J108" i="11"/>
  <c r="I108" i="11"/>
  <c r="H108" i="11"/>
  <c r="G108" i="11"/>
  <c r="J107" i="11"/>
  <c r="I107" i="11"/>
  <c r="H107" i="11"/>
  <c r="G107" i="11"/>
  <c r="J106" i="11"/>
  <c r="I106" i="11"/>
  <c r="H106" i="11"/>
  <c r="G106" i="11"/>
  <c r="J105" i="11"/>
  <c r="I105" i="11"/>
  <c r="H105" i="11"/>
  <c r="G105" i="11"/>
  <c r="J104" i="11"/>
  <c r="I104" i="11"/>
  <c r="H104" i="11"/>
  <c r="G104" i="11"/>
  <c r="J103" i="11"/>
  <c r="I103" i="11"/>
  <c r="H103" i="11"/>
  <c r="G103" i="11"/>
  <c r="J102" i="11"/>
  <c r="I102" i="11"/>
  <c r="H102" i="11"/>
  <c r="G102" i="11"/>
  <c r="J101" i="11"/>
  <c r="I101" i="11"/>
  <c r="H101" i="11"/>
  <c r="G101" i="11"/>
  <c r="J100" i="11"/>
  <c r="I100" i="11"/>
  <c r="H100" i="11"/>
  <c r="G100" i="11"/>
  <c r="J99" i="11"/>
  <c r="I99" i="11"/>
  <c r="H99" i="11"/>
  <c r="G99" i="11"/>
  <c r="J98" i="11"/>
  <c r="I98" i="11"/>
  <c r="H98" i="11"/>
  <c r="G98" i="11"/>
  <c r="J97" i="11"/>
  <c r="I97" i="11"/>
  <c r="H97" i="11"/>
  <c r="G97" i="11"/>
  <c r="J96" i="11"/>
  <c r="I96" i="11"/>
  <c r="H96" i="11"/>
  <c r="G96" i="11"/>
  <c r="J95" i="11"/>
  <c r="I95" i="11"/>
  <c r="H95" i="11"/>
  <c r="G95" i="11"/>
  <c r="J94" i="11"/>
  <c r="I94" i="11"/>
  <c r="H94" i="11"/>
  <c r="G94" i="11"/>
  <c r="J93" i="11"/>
  <c r="I93" i="11"/>
  <c r="H93" i="11"/>
  <c r="G93" i="11"/>
  <c r="J92" i="11"/>
  <c r="I92" i="11"/>
  <c r="H92" i="11"/>
  <c r="G92" i="11"/>
  <c r="J91" i="11"/>
  <c r="I91" i="11"/>
  <c r="H91" i="11"/>
  <c r="G91" i="11"/>
  <c r="J90" i="11"/>
  <c r="I90" i="11"/>
  <c r="H90" i="11"/>
  <c r="G90" i="11"/>
  <c r="J89" i="11"/>
  <c r="I89" i="11"/>
  <c r="H89" i="11"/>
  <c r="G89" i="11"/>
  <c r="J88" i="11"/>
  <c r="I88" i="11"/>
  <c r="H88" i="11"/>
  <c r="G88" i="11"/>
  <c r="J87" i="11"/>
  <c r="I87" i="11"/>
  <c r="H87" i="11"/>
  <c r="G87" i="11"/>
  <c r="J86" i="11"/>
  <c r="I86" i="11"/>
  <c r="H86" i="11"/>
  <c r="G86" i="11"/>
  <c r="J85" i="11"/>
  <c r="I85" i="11"/>
  <c r="H85" i="11"/>
  <c r="G85" i="11"/>
  <c r="J84" i="11"/>
  <c r="I84" i="11"/>
  <c r="H84" i="11"/>
  <c r="G84" i="11"/>
  <c r="J83" i="11"/>
  <c r="I83" i="11"/>
  <c r="H83" i="11"/>
  <c r="G83" i="11"/>
  <c r="J82" i="11"/>
  <c r="I82" i="11"/>
  <c r="H82" i="11"/>
  <c r="G82" i="11"/>
  <c r="J81" i="11"/>
  <c r="I81" i="11"/>
  <c r="H81" i="11"/>
  <c r="G81" i="11"/>
  <c r="J80" i="11"/>
  <c r="I80" i="11"/>
  <c r="H80" i="11"/>
  <c r="G80" i="11"/>
  <c r="J79" i="11"/>
  <c r="I79" i="11"/>
  <c r="H79" i="11"/>
  <c r="G79" i="11"/>
  <c r="J78" i="11"/>
  <c r="I78" i="11"/>
  <c r="H78" i="11"/>
  <c r="G78" i="11"/>
  <c r="J77" i="11"/>
  <c r="I77" i="11"/>
  <c r="H77" i="11"/>
  <c r="G77" i="11"/>
  <c r="J76" i="11"/>
  <c r="I76" i="11"/>
  <c r="H76" i="11"/>
  <c r="G76" i="11"/>
  <c r="J75" i="11"/>
  <c r="I75" i="11"/>
  <c r="H75" i="11"/>
  <c r="G75" i="11"/>
  <c r="J74" i="11"/>
  <c r="I74" i="11"/>
  <c r="H74" i="11"/>
  <c r="G74" i="11"/>
  <c r="J73" i="11"/>
  <c r="I73" i="11"/>
  <c r="H73" i="11"/>
  <c r="G73" i="11"/>
  <c r="J72" i="11"/>
  <c r="I72" i="11"/>
  <c r="H72" i="11"/>
  <c r="G72" i="11"/>
  <c r="J71" i="11"/>
  <c r="I71" i="11"/>
  <c r="H71" i="11"/>
  <c r="G71" i="11"/>
  <c r="J70" i="11"/>
  <c r="I70" i="11"/>
  <c r="H70" i="11"/>
  <c r="G70" i="11"/>
  <c r="J69" i="11"/>
  <c r="I69" i="11"/>
  <c r="H69" i="11"/>
  <c r="G69" i="11"/>
  <c r="J68" i="11"/>
  <c r="I68" i="11"/>
  <c r="H68" i="11"/>
  <c r="G68" i="11"/>
  <c r="J67" i="11"/>
  <c r="I67" i="11"/>
  <c r="H67" i="11"/>
  <c r="G67" i="11"/>
  <c r="J66" i="11"/>
  <c r="I66" i="11"/>
  <c r="H66" i="11"/>
  <c r="G66" i="11"/>
  <c r="J65" i="11"/>
  <c r="I65" i="11"/>
  <c r="H65" i="11"/>
  <c r="G65" i="11"/>
  <c r="J64" i="11"/>
  <c r="I64" i="11"/>
  <c r="H64" i="11"/>
  <c r="G64" i="11"/>
  <c r="J63" i="11"/>
  <c r="I63" i="11"/>
  <c r="H63" i="11"/>
  <c r="G63" i="11"/>
  <c r="J62" i="11"/>
  <c r="I62" i="11"/>
  <c r="H62" i="11"/>
  <c r="G62" i="11"/>
  <c r="J61" i="11"/>
  <c r="I61" i="11"/>
  <c r="H61" i="11"/>
  <c r="G61" i="11"/>
  <c r="J60" i="11"/>
  <c r="I60" i="11"/>
  <c r="H60" i="11"/>
  <c r="G60" i="11"/>
  <c r="J59" i="11"/>
  <c r="I59" i="11"/>
  <c r="H59" i="11"/>
  <c r="G59" i="11"/>
  <c r="J58" i="11"/>
  <c r="I58" i="11"/>
  <c r="H58" i="11"/>
  <c r="G58" i="11"/>
  <c r="J57" i="11"/>
  <c r="I57" i="11"/>
  <c r="H57" i="11"/>
  <c r="G57" i="11"/>
  <c r="J56" i="11"/>
  <c r="I56" i="11"/>
  <c r="H56" i="11"/>
  <c r="G56" i="11"/>
  <c r="J55" i="11"/>
  <c r="I55" i="11"/>
  <c r="H55" i="11"/>
  <c r="G55" i="11"/>
  <c r="J54" i="11"/>
  <c r="I54" i="11"/>
  <c r="H54" i="11"/>
  <c r="G54" i="11"/>
  <c r="J53" i="11"/>
  <c r="I53" i="11"/>
  <c r="H53" i="11"/>
  <c r="G53" i="11"/>
  <c r="J52" i="11"/>
  <c r="I52" i="11"/>
  <c r="H52" i="11"/>
  <c r="G52" i="11"/>
  <c r="J51" i="11"/>
  <c r="I51" i="11"/>
  <c r="H51" i="11"/>
  <c r="G51" i="11"/>
  <c r="J50" i="11"/>
  <c r="I50" i="11"/>
  <c r="H50" i="11"/>
  <c r="G50" i="11"/>
  <c r="J49" i="11"/>
  <c r="I49" i="11"/>
  <c r="H49" i="11"/>
  <c r="G49" i="11"/>
  <c r="J48" i="11"/>
  <c r="I48" i="11"/>
  <c r="H48" i="11"/>
  <c r="G48" i="11"/>
  <c r="J47" i="11"/>
  <c r="I47" i="11"/>
  <c r="H47" i="11"/>
  <c r="G47" i="11"/>
  <c r="J46" i="11"/>
  <c r="I46" i="11"/>
  <c r="H46" i="11"/>
  <c r="G46" i="11"/>
  <c r="J45" i="11"/>
  <c r="I45" i="11"/>
  <c r="H45" i="11"/>
  <c r="G45" i="11"/>
  <c r="J44" i="11"/>
  <c r="I44" i="11"/>
  <c r="H44" i="11"/>
  <c r="G44" i="11"/>
  <c r="J43" i="11"/>
  <c r="I43" i="11"/>
  <c r="H43" i="11"/>
  <c r="G43" i="11"/>
  <c r="J42" i="11"/>
  <c r="I42" i="11"/>
  <c r="H42" i="11"/>
  <c r="G42" i="11"/>
  <c r="J41" i="11"/>
  <c r="I41" i="11"/>
  <c r="H41" i="11"/>
  <c r="G41" i="11"/>
  <c r="J40" i="11"/>
  <c r="I40" i="11"/>
  <c r="H40" i="11"/>
  <c r="G40" i="11"/>
  <c r="J39" i="11"/>
  <c r="I39" i="11"/>
  <c r="H39" i="11"/>
  <c r="G39" i="11"/>
  <c r="J38" i="11"/>
  <c r="I38" i="11"/>
  <c r="H38" i="11"/>
  <c r="G38" i="11"/>
  <c r="J37" i="11"/>
  <c r="I37" i="11"/>
  <c r="H37" i="11"/>
  <c r="G37" i="11"/>
  <c r="J36" i="11"/>
  <c r="I36" i="11"/>
  <c r="H36" i="11"/>
  <c r="G36" i="11"/>
  <c r="J35" i="11"/>
  <c r="I35" i="11"/>
  <c r="H35" i="11"/>
  <c r="G35" i="11"/>
  <c r="J34" i="11"/>
  <c r="I34" i="11"/>
  <c r="H34" i="11"/>
  <c r="G34" i="11"/>
  <c r="J33" i="11"/>
  <c r="I33" i="11"/>
  <c r="H33" i="11"/>
  <c r="G33" i="11"/>
  <c r="J32" i="11"/>
  <c r="I32" i="11"/>
  <c r="H32" i="11"/>
  <c r="G32" i="11"/>
  <c r="J31" i="11"/>
  <c r="I31" i="11"/>
  <c r="H31" i="11"/>
  <c r="G31" i="11"/>
  <c r="J30" i="11"/>
  <c r="I30" i="11"/>
  <c r="H30" i="11"/>
  <c r="G30" i="11"/>
  <c r="J29" i="11"/>
  <c r="I29" i="11"/>
  <c r="H29" i="11"/>
  <c r="G29" i="11"/>
  <c r="J28" i="11"/>
  <c r="I28" i="11"/>
  <c r="H28" i="11"/>
  <c r="G28" i="11"/>
  <c r="J27" i="11"/>
  <c r="I27" i="11"/>
  <c r="H27" i="11"/>
  <c r="G27" i="11"/>
  <c r="J26" i="11"/>
  <c r="I26" i="11"/>
  <c r="H26" i="11"/>
  <c r="G26" i="11"/>
  <c r="J25" i="11"/>
  <c r="I25" i="11"/>
  <c r="H25" i="11"/>
  <c r="G25" i="11"/>
  <c r="J24" i="11"/>
  <c r="I24" i="11"/>
  <c r="H24" i="11"/>
  <c r="G24" i="11"/>
  <c r="J23" i="11"/>
  <c r="I23" i="11"/>
  <c r="H23" i="11"/>
  <c r="G23" i="11"/>
  <c r="J22" i="11"/>
  <c r="I22" i="11"/>
  <c r="H22" i="11"/>
  <c r="G22" i="11"/>
  <c r="J21" i="11"/>
  <c r="I21" i="11"/>
  <c r="H21" i="11"/>
  <c r="G21" i="11"/>
  <c r="J20" i="11"/>
  <c r="I20" i="11"/>
  <c r="H20" i="11"/>
  <c r="G20" i="11"/>
  <c r="J19" i="11"/>
  <c r="I19" i="11"/>
  <c r="H19" i="11"/>
  <c r="G19" i="11"/>
  <c r="J18" i="11"/>
  <c r="I18" i="11"/>
  <c r="H18" i="11"/>
  <c r="G18" i="11"/>
  <c r="J17" i="11"/>
  <c r="I17" i="11"/>
  <c r="H17" i="11"/>
  <c r="G17" i="11"/>
  <c r="J16" i="11"/>
  <c r="I16" i="11"/>
  <c r="H16" i="11"/>
  <c r="G16" i="11"/>
  <c r="J15" i="11"/>
  <c r="I15" i="11"/>
  <c r="H15" i="11"/>
  <c r="G15" i="11"/>
  <c r="J14" i="11"/>
  <c r="I14" i="11"/>
  <c r="H14" i="11"/>
  <c r="G14" i="11"/>
  <c r="J13" i="11"/>
  <c r="I13" i="11"/>
  <c r="H13" i="11"/>
  <c r="G13" i="11"/>
  <c r="J12" i="11"/>
  <c r="I12" i="11"/>
  <c r="H12" i="11"/>
  <c r="G12" i="11"/>
  <c r="J11" i="11"/>
  <c r="I11" i="11"/>
  <c r="H11" i="11"/>
  <c r="G11" i="11"/>
  <c r="J10" i="11"/>
  <c r="I10" i="11"/>
  <c r="H10" i="11"/>
  <c r="G10" i="11"/>
  <c r="J9" i="11"/>
  <c r="I9" i="11"/>
  <c r="H9" i="11"/>
  <c r="G9" i="11"/>
  <c r="J8" i="11"/>
  <c r="I8" i="11"/>
  <c r="H8" i="11"/>
  <c r="G8" i="11"/>
  <c r="J7" i="11"/>
  <c r="I7" i="11"/>
  <c r="H7" i="11"/>
  <c r="G7" i="11"/>
  <c r="J6" i="11"/>
  <c r="I6" i="11"/>
  <c r="H6" i="11"/>
  <c r="G6" i="11"/>
  <c r="J5" i="11"/>
  <c r="I5" i="11"/>
  <c r="H5" i="11"/>
  <c r="I11" i="12" l="1"/>
  <c r="I10" i="12"/>
  <c r="I9" i="12"/>
  <c r="J4" i="11"/>
  <c r="D16" i="12" l="1" a="1"/>
  <c r="D16" i="12" s="1"/>
  <c r="E17" i="12" s="1"/>
  <c r="F17" i="12" s="1"/>
  <c r="I13" i="12"/>
  <c r="I4" i="11"/>
  <c r="H4" i="11"/>
  <c r="G4" i="11"/>
  <c r="A256" i="11"/>
  <c r="A255" i="11" s="1"/>
  <c r="A254" i="11" s="1"/>
  <c r="A253" i="11" s="1"/>
  <c r="A252" i="11" s="1"/>
  <c r="A251" i="11" s="1"/>
  <c r="A250" i="11" s="1"/>
  <c r="A249" i="11" s="1"/>
  <c r="A248" i="11" s="1"/>
  <c r="A247" i="11" s="1"/>
  <c r="A246" i="11" s="1"/>
  <c r="A245" i="11" s="1"/>
  <c r="A244" i="11" s="1"/>
  <c r="A243" i="11" s="1"/>
  <c r="A242" i="11" s="1"/>
  <c r="A241" i="11" s="1"/>
  <c r="A240" i="11" s="1"/>
  <c r="A239" i="11" s="1"/>
  <c r="A238" i="11" s="1"/>
  <c r="A237" i="11" s="1"/>
  <c r="A236" i="11" s="1"/>
  <c r="A235" i="11" s="1"/>
  <c r="A234" i="11" s="1"/>
  <c r="A233" i="11" s="1"/>
  <c r="A232" i="11" s="1"/>
  <c r="A231" i="11" s="1"/>
  <c r="A230" i="11" s="1"/>
  <c r="A229" i="11" s="1"/>
  <c r="A228" i="11" s="1"/>
  <c r="A227" i="11" s="1"/>
  <c r="A226" i="11" s="1"/>
  <c r="A225" i="11" s="1"/>
  <c r="A224" i="11" s="1"/>
  <c r="A223" i="11" s="1"/>
  <c r="A222" i="11" s="1"/>
  <c r="A221" i="11" s="1"/>
  <c r="A220" i="11" s="1"/>
  <c r="A219" i="11" s="1"/>
  <c r="A218" i="11" s="1"/>
  <c r="A217" i="11" s="1"/>
  <c r="A216" i="11" s="1"/>
  <c r="A215" i="11" s="1"/>
  <c r="A214" i="11" s="1"/>
  <c r="A213" i="11" s="1"/>
  <c r="A212" i="11" s="1"/>
  <c r="A211" i="11" s="1"/>
  <c r="A210" i="11" s="1"/>
  <c r="A209" i="11" s="1"/>
  <c r="A208" i="11" s="1"/>
  <c r="A207" i="11" s="1"/>
  <c r="A206" i="11" s="1"/>
  <c r="A205" i="11" s="1"/>
  <c r="A204" i="11" s="1"/>
  <c r="A203" i="11" s="1"/>
  <c r="A202" i="11" s="1"/>
  <c r="A201" i="11" s="1"/>
  <c r="A200" i="11" s="1"/>
  <c r="A199" i="11" s="1"/>
  <c r="A198" i="11" s="1"/>
  <c r="A197" i="11" s="1"/>
  <c r="A196" i="11" s="1"/>
  <c r="A195" i="11" s="1"/>
  <c r="A194" i="11" s="1"/>
  <c r="A193" i="11" s="1"/>
  <c r="A192" i="11" s="1"/>
  <c r="A191" i="11" s="1"/>
  <c r="A190" i="11" s="1"/>
  <c r="A189" i="11" s="1"/>
  <c r="A188" i="11" s="1"/>
  <c r="A187" i="11" s="1"/>
  <c r="A186" i="11" s="1"/>
  <c r="A185" i="11" s="1"/>
  <c r="A184" i="11" s="1"/>
  <c r="A183" i="11" s="1"/>
  <c r="A182" i="11" s="1"/>
  <c r="A181" i="11" s="1"/>
  <c r="A180" i="11" s="1"/>
  <c r="A179" i="11" s="1"/>
  <c r="A178" i="11" s="1"/>
  <c r="A177" i="11" s="1"/>
  <c r="A176" i="11" s="1"/>
  <c r="A175" i="11" s="1"/>
  <c r="A174" i="11" s="1"/>
  <c r="A173" i="11" s="1"/>
  <c r="A172" i="11" s="1"/>
  <c r="A171" i="11" s="1"/>
  <c r="A170" i="11" s="1"/>
  <c r="A169" i="11" s="1"/>
  <c r="A168" i="11" s="1"/>
  <c r="A167" i="11" s="1"/>
  <c r="A166" i="11" s="1"/>
  <c r="A165" i="11" s="1"/>
  <c r="A164" i="11" s="1"/>
  <c r="A163" i="11" s="1"/>
  <c r="A162" i="11" s="1"/>
  <c r="A161" i="11" s="1"/>
  <c r="A160" i="11" s="1"/>
  <c r="A159" i="11" s="1"/>
  <c r="A158" i="11" s="1"/>
  <c r="A157" i="11" s="1"/>
  <c r="A156" i="11" s="1"/>
  <c r="A155" i="11" s="1"/>
  <c r="A154" i="11" s="1"/>
  <c r="A153" i="11" s="1"/>
  <c r="A152" i="11" s="1"/>
  <c r="A151" i="11" s="1"/>
  <c r="A150" i="11" s="1"/>
  <c r="A149" i="11" s="1"/>
  <c r="A148" i="11" s="1"/>
  <c r="A147" i="11" s="1"/>
  <c r="A146" i="11" s="1"/>
  <c r="A145" i="11" s="1"/>
  <c r="A144" i="11" s="1"/>
  <c r="A143" i="11" s="1"/>
  <c r="A142" i="11" s="1"/>
  <c r="A141" i="11" s="1"/>
  <c r="A140" i="11" s="1"/>
  <c r="A139" i="11" s="1"/>
  <c r="A138" i="11" s="1"/>
  <c r="A137" i="11" s="1"/>
  <c r="A136" i="11" s="1"/>
  <c r="A135" i="11" s="1"/>
  <c r="A134" i="11" s="1"/>
  <c r="A133" i="11" s="1"/>
  <c r="A132" i="11" s="1"/>
  <c r="A131" i="11" s="1"/>
  <c r="A130" i="11" s="1"/>
  <c r="A129" i="11" s="1"/>
  <c r="A128" i="11" s="1"/>
  <c r="A127" i="11" s="1"/>
  <c r="A126" i="11" s="1"/>
  <c r="A125" i="11" s="1"/>
  <c r="A124" i="11" s="1"/>
  <c r="A123" i="11" s="1"/>
  <c r="A122" i="11" s="1"/>
  <c r="A121" i="11" s="1"/>
  <c r="A120" i="11" s="1"/>
  <c r="A119" i="11" s="1"/>
  <c r="A118" i="11" s="1"/>
  <c r="A117" i="11" s="1"/>
  <c r="A116" i="11" s="1"/>
  <c r="A115" i="11" s="1"/>
  <c r="A114" i="11" s="1"/>
  <c r="A113" i="11" s="1"/>
  <c r="A112" i="11" s="1"/>
  <c r="A111" i="11" s="1"/>
  <c r="A110" i="11" s="1"/>
  <c r="A109" i="11" s="1"/>
  <c r="A108" i="11" s="1"/>
  <c r="A107" i="11" s="1"/>
  <c r="A106" i="11" s="1"/>
  <c r="A105" i="11" s="1"/>
  <c r="A104" i="11" s="1"/>
  <c r="A103" i="11" s="1"/>
  <c r="A102" i="11" s="1"/>
  <c r="A101" i="11" s="1"/>
  <c r="A100" i="11" s="1"/>
  <c r="A99" i="11" s="1"/>
  <c r="A98" i="11" s="1"/>
  <c r="A97" i="11" s="1"/>
  <c r="A96" i="11" s="1"/>
  <c r="A95" i="11" s="1"/>
  <c r="A94" i="11" s="1"/>
  <c r="A93" i="11" s="1"/>
  <c r="A92" i="11" s="1"/>
  <c r="A91" i="11" s="1"/>
  <c r="A90" i="11" s="1"/>
  <c r="A89" i="11" s="1"/>
  <c r="A88" i="11" s="1"/>
  <c r="A87" i="11" s="1"/>
  <c r="A86" i="11" s="1"/>
  <c r="A85" i="11" s="1"/>
  <c r="A84" i="11" s="1"/>
  <c r="A83" i="11" s="1"/>
  <c r="A82" i="11" s="1"/>
  <c r="A81" i="11" s="1"/>
  <c r="A80" i="11" s="1"/>
  <c r="A79" i="11" s="1"/>
  <c r="A78" i="11" s="1"/>
  <c r="A77" i="11" s="1"/>
  <c r="A76" i="11" s="1"/>
  <c r="A75" i="11" s="1"/>
  <c r="A74" i="11" s="1"/>
  <c r="A73" i="11" s="1"/>
  <c r="A72" i="11" s="1"/>
  <c r="A71" i="11" s="1"/>
  <c r="A70" i="11" s="1"/>
  <c r="A69" i="11" s="1"/>
  <c r="A68" i="11" s="1"/>
  <c r="A67" i="11" s="1"/>
  <c r="A66" i="11" s="1"/>
  <c r="A65" i="11" s="1"/>
  <c r="A64" i="11" s="1"/>
  <c r="A63" i="11" s="1"/>
  <c r="A62" i="11" s="1"/>
  <c r="A61" i="11" s="1"/>
  <c r="A60" i="11" s="1"/>
  <c r="A59" i="11" s="1"/>
  <c r="A58" i="11" s="1"/>
  <c r="A57" i="11" s="1"/>
  <c r="A56" i="11" s="1"/>
  <c r="A55" i="11" s="1"/>
  <c r="A54" i="11" s="1"/>
  <c r="A53" i="11" s="1"/>
  <c r="A52" i="11" s="1"/>
  <c r="A51" i="11" s="1"/>
  <c r="A50" i="11" s="1"/>
  <c r="A49" i="11" s="1"/>
  <c r="A48" i="11" s="1"/>
  <c r="A47" i="11" s="1"/>
  <c r="A46" i="11" s="1"/>
  <c r="A45" i="11" s="1"/>
  <c r="A44" i="11" s="1"/>
  <c r="A43" i="11" s="1"/>
  <c r="A42" i="11" s="1"/>
  <c r="A41" i="11" s="1"/>
  <c r="A40" i="11" s="1"/>
  <c r="A39" i="11" s="1"/>
  <c r="A38" i="11" s="1"/>
  <c r="A37" i="11" s="1"/>
  <c r="A36" i="11" s="1"/>
  <c r="A35" i="11" s="1"/>
  <c r="A34" i="11" s="1"/>
  <c r="A33" i="11" s="1"/>
  <c r="A32" i="11" s="1"/>
  <c r="A31" i="11" s="1"/>
  <c r="A30" i="11" s="1"/>
  <c r="A29" i="11" s="1"/>
  <c r="A28" i="11" s="1"/>
  <c r="A27" i="11" s="1"/>
  <c r="A26" i="11" s="1"/>
  <c r="A25" i="11" s="1"/>
  <c r="A24" i="11" s="1"/>
  <c r="A23" i="11" s="1"/>
  <c r="A22" i="11" s="1"/>
  <c r="A21" i="11" s="1"/>
  <c r="A20" i="11" s="1"/>
  <c r="A19" i="11" s="1"/>
  <c r="A18" i="11" s="1"/>
  <c r="A17" i="11" s="1"/>
  <c r="A16" i="11" s="1"/>
  <c r="A15" i="11" s="1"/>
  <c r="A14" i="11" s="1"/>
  <c r="A13" i="11" s="1"/>
  <c r="A12" i="11" s="1"/>
  <c r="A11" i="11" s="1"/>
  <c r="A10" i="11" s="1"/>
  <c r="A9" i="11" s="1"/>
  <c r="A8" i="11" s="1"/>
  <c r="A7" i="11" s="1"/>
  <c r="A6" i="11" s="1"/>
  <c r="A5" i="1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tc={E9789B42-3E96-4B4D-81AB-B15039FD3DAC}</author>
  </authors>
  <commentList>
    <comment ref="G3" authorId="0" shapeId="0" xr:uid="{E9789B42-3E96-4B4D-81AB-B15039FD3DAC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(%t / %t-1) - 1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tc={545167B2-263B-4C1D-87D6-B000B139A9FD}</author>
    <author>tc={4E948310-0596-4FD2-B52A-5E7D6D9A3F3D}</author>
    <author>tc={10EA29D2-24E4-4FC4-8D49-1F1B9F0EE1CE}</author>
    <author>tc={D04F3C55-CEB7-4DA1-999D-EC791AE4F9F4}</author>
    <author>tc={B742922B-16E1-49A1-B01F-A870F998D5B8}</author>
    <author>tc={FB39A9EC-EBCF-43BB-99A7-D94DF7A3129D}</author>
    <author>tc={D7163EAA-118E-4CAF-9656-50A9793D7D6C}</author>
    <author>tc={9BC54E2C-889C-4BAB-9350-8A3EB601455F}</author>
  </authors>
  <commentList>
    <comment ref="C8" authorId="0" shapeId="0" xr:uid="{545167B2-263B-4C1D-87D6-B000B139A9FD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Nos indica cuando acaba el tiempo del plazo para devolver la inversion del bono</t>
      </text>
    </comment>
    <comment ref="D8" authorId="1" shapeId="0" xr:uid="{4E948310-0596-4FD2-B52A-5E7D6D9A3F3D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Es el interes del Bono Anual  que maneja</t>
      </text>
    </comment>
    <comment ref="E8" authorId="2" shapeId="0" xr:uid="{10EA29D2-24E4-4FC4-8D49-1F1B9F0EE1CE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Tasa de interes establecida en la fecha de Valuacion</t>
      </text>
    </comment>
    <comment ref="F8" authorId="3" shapeId="0" xr:uid="{D04F3C55-CEB7-4DA1-999D-EC791AE4F9F4}">
      <text>
        <t xml:space="preserve"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Calculamos el precio del Bono con la funcion: "BonoM" </t>
      </text>
    </comment>
    <comment ref="H8" authorId="4" shapeId="0" xr:uid="{B742922B-16E1-49A1-B01F-A870F998D5B8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Es el valor total del # de bonos comprados</t>
      </text>
    </comment>
    <comment ref="I8" authorId="5" shapeId="0" xr:uid="{FB39A9EC-EBCF-43BB-99A7-D94DF7A3129D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La proporcion con respecto a lo gasto en total</t>
      </text>
    </comment>
    <comment ref="J8" authorId="6" shapeId="0" xr:uid="{D7163EAA-118E-4CAF-9656-50A9793D7D6C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Hacemos uso de una funcion de Excel llamada: "Duracion.modif"</t>
      </text>
    </comment>
    <comment ref="L8" authorId="7" shapeId="0" xr:uid="{9BC54E2C-889C-4BAB-9350-8A3EB601455F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El monto (el valor del VaR) sera:
VaR = -F * S * σ * (Raiz de t)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tc={95B3E54F-C22B-48CD-A6B3-21F08F212A18}</author>
    <author>tc={E50F05F5-7FC1-43CA-B59D-5556740889F4}</author>
    <author>tc={69CC61F8-AEDD-43E6-9277-5E4E3A8FFB7A}</author>
    <author>tc={6D18EFA2-921D-4FA3-9D20-391DFB403796}</author>
    <author>tc={C6FA25BA-B4B3-4101-8C91-C41AAD8E6520}</author>
    <author>tc={3C66B039-CBC9-4709-93EA-FDD29DFF64B4}</author>
    <author>tc={2958BA3A-3255-4BBB-883F-BD962E2227E8}</author>
    <author>tc={B590B426-3EB8-417C-9533-57B0B61EC0AB}</author>
    <author>tc={9CA66EB9-AC4D-4723-B5D4-3099CE7B7373}</author>
  </authors>
  <commentList>
    <comment ref="N1" authorId="0" shapeId="0" xr:uid="{95B3E54F-C22B-48CD-A6B3-21F08F212A18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El costo total por la compra de los bonos</t>
      </text>
    </comment>
    <comment ref="N2" authorId="1" shapeId="0" xr:uid="{E50F05F5-7FC1-43CA-B59D-5556740889F4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Es el # de Bonos que se destinaron a comprar</t>
      </text>
    </comment>
    <comment ref="C3" authorId="2" shapeId="0" xr:uid="{69CC61F8-AEDD-43E6-9277-5E4E3A8FFB7A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Calculamos el precio del bono con la funcion de Excel: "BonoM"</t>
      </text>
    </comment>
    <comment ref="G3" authorId="3" shapeId="0" xr:uid="{6D18EFA2-921D-4FA3-9D20-391DFB403796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Con los precios podemos usar: (pt/pt-1) -1</t>
      </text>
    </comment>
    <comment ref="K3" authorId="4" shapeId="0" xr:uid="{C6FA25BA-B4B3-4101-8C91-C41AAD8E652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Simulamos los precios como el resultado de multiplicar el rendimiento por el precio de la fecha de Valuacion</t>
      </text>
    </comment>
    <comment ref="O3" authorId="5" shapeId="0" xr:uid="{3C66B039-CBC9-4709-93EA-FDD29DFF64B4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Sera la diferencia de los precios simulados Vs el precio de valuacion y multiplicado por Titulos</t>
      </text>
    </comment>
    <comment ref="S4" authorId="6" shapeId="0" xr:uid="{2958BA3A-3255-4BBB-883F-BD962E2227E8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Sumamos todos los valores de ese dia</t>
      </text>
    </comment>
    <comment ref="U8" authorId="7" shapeId="0" xr:uid="{B590B426-3EB8-417C-9533-57B0B61EC0AB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Dado que solo tenemos los precios; el VaR solo sera calcular con la funcion "Percentil" todo el portafolio y indicando el nivel de confianza</t>
      </text>
    </comment>
    <comment ref="U9" authorId="8" shapeId="0" xr:uid="{9CA66EB9-AC4D-4723-B5D4-3099CE7B7373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Si el VaR 99% nos indica el valor que se tiene al 99% de toda la distribucion; entonces el VaR condicionado sera la suma de todos los valores del portafolio que no llegue a ese punto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<sst xmlns="http://schemas.openxmlformats.org/spreadsheetml/2006/main" count="73" uniqueCount="43">
  <si>
    <t>Fecha</t>
  </si>
  <si>
    <t>Títulos</t>
  </si>
  <si>
    <t>ID</t>
  </si>
  <si>
    <t>Monto</t>
  </si>
  <si>
    <t>%</t>
  </si>
  <si>
    <r>
      <t xml:space="preserve">VaR </t>
    </r>
    <r>
      <rPr>
        <b/>
        <vertAlign val="subscript"/>
        <sz val="12"/>
        <color theme="1"/>
        <rFont val="Calibri"/>
        <family val="2"/>
        <scheme val="minor"/>
      </rPr>
      <t>99%</t>
    </r>
    <r>
      <rPr>
        <b/>
        <sz val="12"/>
        <color theme="1"/>
        <rFont val="Calibri"/>
        <family val="2"/>
        <scheme val="minor"/>
      </rPr>
      <t xml:space="preserve">= </t>
    </r>
  </si>
  <si>
    <t>1) Portafolio</t>
  </si>
  <si>
    <t>Fecha de Valuación:=</t>
  </si>
  <si>
    <t>Cálculo del VaR Paramétrico</t>
  </si>
  <si>
    <t>VaR diario (Paramétrico)</t>
  </si>
  <si>
    <t>Emisora</t>
  </si>
  <si>
    <t>Precios (MXN)</t>
  </si>
  <si>
    <t>Valuación (S)</t>
  </si>
  <si>
    <t>Pesos (W)</t>
  </si>
  <si>
    <r>
      <t>Volatilidad del Portafolio (</t>
    </r>
    <r>
      <rPr>
        <b/>
        <sz val="12"/>
        <color theme="1"/>
        <rFont val="Calibri"/>
        <family val="2"/>
      </rPr>
      <t>σ</t>
    </r>
    <r>
      <rPr>
        <b/>
        <vertAlign val="subscript"/>
        <sz val="12"/>
        <color theme="1"/>
        <rFont val="Calibri"/>
        <family val="2"/>
        <scheme val="minor"/>
      </rPr>
      <t>p</t>
    </r>
    <r>
      <rPr>
        <b/>
        <sz val="12"/>
        <color theme="1"/>
        <rFont val="Calibri"/>
        <family val="2"/>
        <scheme val="minor"/>
      </rPr>
      <t xml:space="preserve">)=  </t>
    </r>
  </si>
  <si>
    <t>anualizada</t>
  </si>
  <si>
    <t>Porcentaje</t>
  </si>
  <si>
    <t>Matriz de Correlaciones (C):</t>
  </si>
  <si>
    <r>
      <t>Matriz de Volatilidades (</t>
    </r>
    <r>
      <rPr>
        <b/>
        <u/>
        <sz val="12"/>
        <color theme="1"/>
        <rFont val="Calibri"/>
        <family val="2"/>
      </rPr>
      <t>σ</t>
    </r>
    <r>
      <rPr>
        <b/>
        <u/>
        <sz val="12"/>
        <color theme="1"/>
        <rFont val="Calibri"/>
        <family val="2"/>
        <scheme val="minor"/>
      </rPr>
      <t>):</t>
    </r>
  </si>
  <si>
    <t>VARIACIÓN DIARIA %</t>
  </si>
  <si>
    <t>TASAS</t>
  </si>
  <si>
    <t>BONOM_2031</t>
  </si>
  <si>
    <t>Fecha de Vencimiento</t>
  </si>
  <si>
    <t>Tasa Cupón</t>
  </si>
  <si>
    <t>Duración 
Modificada</t>
  </si>
  <si>
    <t>BONOM_2027</t>
  </si>
  <si>
    <t>BONOM_2029</t>
  </si>
  <si>
    <t>BONOM_2038</t>
  </si>
  <si>
    <t>YTM - r</t>
  </si>
  <si>
    <t>MtM:</t>
  </si>
  <si>
    <t>TÍTULOS:</t>
  </si>
  <si>
    <t>PRECIOS</t>
  </si>
  <si>
    <t>RENDIMIENTOS DIARIOS</t>
  </si>
  <si>
    <t>SERIE DE PÉRDIDAS Y GANANCIAS</t>
  </si>
  <si>
    <t>PORTAFOLIO</t>
  </si>
  <si>
    <t>Cálculo del VaR mediante el Método de Simulación Histórica</t>
  </si>
  <si>
    <t>VaR Condicional:=</t>
  </si>
  <si>
    <t>SERIE DE PRECIOS SIMULADOS</t>
  </si>
  <si>
    <t>Tasa Cupón =</t>
  </si>
  <si>
    <t>Vencimiento =</t>
  </si>
  <si>
    <t>Mientras mas duracion tenga un bono =&gt; mas riesgoso es el usarlo</t>
  </si>
  <si>
    <r>
      <t>Volatilidad 
Anualizada (</t>
    </r>
    <r>
      <rPr>
        <b/>
        <sz val="11"/>
        <color theme="1"/>
        <rFont val="Aptos Narrow"/>
        <family val="2"/>
      </rPr>
      <t>σ</t>
    </r>
    <r>
      <rPr>
        <b/>
        <sz val="11"/>
        <color theme="1"/>
        <rFont val="Calibri"/>
        <family val="2"/>
        <scheme val="minor"/>
      </rPr>
      <t>)</t>
    </r>
  </si>
  <si>
    <t>Total_MtM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</si>
</sst>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-&quot;$&quot;* #,##0.00_-;\-&quot;$&quot;* #,##0.00_-;_-&quot;$&quot;* &quot;-&quot;??_-;_-@_-"/>
    <numFmt numFmtId="43" formatCode="_-* #,##0.00_-;\-* #,##0.00_-;_-* &quot;-&quot;??_-;_-@_-"/>
    <numFmt numFmtId="164" formatCode="0.0%"/>
    <numFmt numFmtId="165" formatCode="_-&quot;$&quot;* #,##0_-;\-&quot;$&quot;* #,##0_-;_-&quot;$&quot;* &quot;-&quot;??_-;_-@_-"/>
    <numFmt numFmtId="166" formatCode="_-* #,##0_-;\-* #,##0_-;_-* &quot;-&quot;??_-;_-@_-"/>
    <numFmt numFmtId="167" formatCode="_-&quot;$&quot;* #,##0.0_-;\-&quot;$&quot;* #,##0.0_-;_-&quot;$&quot;* &quot;-&quot;??_-;_-@_-"/>
  </numFmts>
  <fonts count="3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vertAlign val="subscript"/>
      <sz val="12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</font>
    <font>
      <b/>
      <u/>
      <sz val="12"/>
      <color theme="1"/>
      <name val="Calibri"/>
      <family val="2"/>
      <scheme val="minor"/>
    </font>
    <font>
      <b/>
      <u/>
      <sz val="12"/>
      <color theme="1"/>
      <name val="Calibri"/>
      <family val="2"/>
    </font>
    <font>
      <b/>
      <u/>
      <sz val="11"/>
      <color theme="1"/>
      <name val="Calibri"/>
      <family val="2"/>
      <scheme val="minor"/>
    </font>
    <font>
      <b/>
      <sz val="11"/>
      <color theme="4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Aptos Narrow"/>
      <family val="2"/>
    </font>
  </fonts>
  <fills count="4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6">
    <xf numFmtId="0" fontId="0" fillId="0" borderId="0"/>
    <xf numFmtId="0" fontId="2" fillId="10" borderId="0" applyNumberFormat="0" applyBorder="0" applyAlignment="0" applyProtection="0"/>
    <xf numFmtId="0" fontId="2" fillId="14" borderId="0" applyNumberFormat="0" applyBorder="0" applyAlignment="0" applyProtection="0"/>
    <xf numFmtId="0" fontId="2" fillId="18" borderId="0" applyNumberFormat="0" applyBorder="0" applyAlignment="0" applyProtection="0"/>
    <xf numFmtId="0" fontId="2" fillId="22" borderId="0" applyNumberFormat="0" applyBorder="0" applyAlignment="0" applyProtection="0"/>
    <xf numFmtId="0" fontId="2" fillId="26" borderId="0" applyNumberFormat="0" applyBorder="0" applyAlignment="0" applyProtection="0"/>
    <xf numFmtId="0" fontId="2" fillId="30" borderId="0" applyNumberFormat="0" applyBorder="0" applyAlignment="0" applyProtection="0"/>
    <xf numFmtId="0" fontId="2" fillId="11" borderId="0" applyNumberFormat="0" applyBorder="0" applyAlignment="0" applyProtection="0"/>
    <xf numFmtId="0" fontId="2" fillId="15" borderId="0" applyNumberFormat="0" applyBorder="0" applyAlignment="0" applyProtection="0"/>
    <xf numFmtId="0" fontId="2" fillId="19" borderId="0" applyNumberFormat="0" applyBorder="0" applyAlignment="0" applyProtection="0"/>
    <xf numFmtId="0" fontId="2" fillId="23" borderId="0" applyNumberFormat="0" applyBorder="0" applyAlignment="0" applyProtection="0"/>
    <xf numFmtId="0" fontId="2" fillId="27" borderId="0" applyNumberFormat="0" applyBorder="0" applyAlignment="0" applyProtection="0"/>
    <xf numFmtId="0" fontId="2" fillId="31" borderId="0" applyNumberFormat="0" applyBorder="0" applyAlignment="0" applyProtection="0"/>
    <xf numFmtId="0" fontId="18" fillId="12" borderId="0" applyNumberFormat="0" applyBorder="0" applyAlignment="0" applyProtection="0"/>
    <xf numFmtId="0" fontId="18" fillId="16" borderId="0" applyNumberFormat="0" applyBorder="0" applyAlignment="0" applyProtection="0"/>
    <xf numFmtId="0" fontId="18" fillId="20" borderId="0" applyNumberFormat="0" applyBorder="0" applyAlignment="0" applyProtection="0"/>
    <xf numFmtId="0" fontId="18" fillId="24" borderId="0" applyNumberFormat="0" applyBorder="0" applyAlignment="0" applyProtection="0"/>
    <xf numFmtId="0" fontId="18" fillId="28" borderId="0" applyNumberFormat="0" applyBorder="0" applyAlignment="0" applyProtection="0"/>
    <xf numFmtId="0" fontId="18" fillId="32" borderId="0" applyNumberFormat="0" applyBorder="0" applyAlignment="0" applyProtection="0"/>
    <xf numFmtId="0" fontId="18" fillId="9" borderId="0" applyNumberFormat="0" applyBorder="0" applyAlignment="0" applyProtection="0"/>
    <xf numFmtId="0" fontId="18" fillId="13" borderId="0" applyNumberFormat="0" applyBorder="0" applyAlignment="0" applyProtection="0"/>
    <xf numFmtId="0" fontId="18" fillId="17" borderId="0" applyNumberFormat="0" applyBorder="0" applyAlignment="0" applyProtection="0"/>
    <xf numFmtId="0" fontId="18" fillId="21" borderId="0" applyNumberFormat="0" applyBorder="0" applyAlignment="0" applyProtection="0"/>
    <xf numFmtId="0" fontId="18" fillId="25" borderId="0" applyNumberFormat="0" applyBorder="0" applyAlignment="0" applyProtection="0"/>
    <xf numFmtId="0" fontId="18" fillId="29" borderId="0" applyNumberFormat="0" applyBorder="0" applyAlignment="0" applyProtection="0"/>
    <xf numFmtId="0" fontId="8" fillId="3" borderId="0" applyNumberFormat="0" applyBorder="0" applyAlignment="0" applyProtection="0"/>
    <xf numFmtId="0" fontId="12" fillId="6" borderId="4" applyNumberFormat="0" applyAlignment="0" applyProtection="0"/>
    <xf numFmtId="0" fontId="14" fillId="7" borderId="7" applyNumberFormat="0" applyAlignment="0" applyProtection="0"/>
    <xf numFmtId="0" fontId="16" fillId="0" borderId="0" applyNumberFormat="0" applyFill="0" applyBorder="0" applyAlignment="0" applyProtection="0"/>
    <xf numFmtId="0" fontId="7" fillId="2" borderId="0" applyNumberFormat="0" applyBorder="0" applyAlignment="0" applyProtection="0"/>
    <xf numFmtId="0" fontId="4" fillId="0" borderId="1" applyNumberFormat="0" applyFill="0" applyAlignment="0" applyProtection="0"/>
    <xf numFmtId="0" fontId="5" fillId="0" borderId="2" applyNumberFormat="0" applyFill="0" applyAlignment="0" applyProtection="0"/>
    <xf numFmtId="0" fontId="6" fillId="0" borderId="3" applyNumberFormat="0" applyFill="0" applyAlignment="0" applyProtection="0"/>
    <xf numFmtId="0" fontId="6" fillId="0" borderId="0" applyNumberFormat="0" applyFill="0" applyBorder="0" applyAlignment="0" applyProtection="0"/>
    <xf numFmtId="0" fontId="10" fillId="5" borderId="4" applyNumberFormat="0" applyAlignment="0" applyProtection="0"/>
    <xf numFmtId="0" fontId="13" fillId="0" borderId="6" applyNumberFormat="0" applyFill="0" applyAlignment="0" applyProtection="0"/>
    <xf numFmtId="0" fontId="9" fillId="4" borderId="0" applyNumberFormat="0" applyBorder="0" applyAlignment="0" applyProtection="0"/>
    <xf numFmtId="0" fontId="2" fillId="8" borderId="8" applyNumberFormat="0" applyFont="0" applyAlignment="0" applyProtection="0"/>
    <xf numFmtId="0" fontId="11" fillId="6" borderId="5" applyNumberFormat="0" applyAlignment="0" applyProtection="0"/>
    <xf numFmtId="0" fontId="3" fillId="0" borderId="0" applyNumberFormat="0" applyFill="0" applyBorder="0" applyAlignment="0" applyProtection="0"/>
    <xf numFmtId="0" fontId="17" fillId="0" borderId="9" applyNumberFormat="0" applyFill="0" applyAlignment="0" applyProtection="0"/>
    <xf numFmtId="0" fontId="15" fillId="0" borderId="0" applyNumberFormat="0" applyFill="0" applyBorder="0" applyAlignment="0" applyProtection="0"/>
    <xf numFmtId="22" fontId="1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</cellStyleXfs>
  <cellXfs count="112">
    <xf numFmtId="0" fontId="0" fillId="0" borderId="0" xfId="0"/>
    <xf numFmtId="14" fontId="0" fillId="0" borderId="0" xfId="0" applyNumberFormat="1"/>
    <xf numFmtId="0" fontId="17" fillId="0" borderId="10" xfId="0" applyFont="1" applyBorder="1" applyAlignment="1">
      <alignment horizontal="center" vertical="center"/>
    </xf>
    <xf numFmtId="0" fontId="17" fillId="0" borderId="10" xfId="0" applyFont="1" applyBorder="1" applyAlignment="1">
      <alignment horizontal="center"/>
    </xf>
    <xf numFmtId="0" fontId="17" fillId="0" borderId="11" xfId="0" applyFont="1" applyBorder="1" applyAlignment="1">
      <alignment horizontal="center" vertical="center"/>
    </xf>
    <xf numFmtId="164" fontId="0" fillId="0" borderId="0" xfId="43" applyNumberFormat="1" applyFont="1" applyAlignment="1">
      <alignment horizontal="center"/>
    </xf>
    <xf numFmtId="0" fontId="0" fillId="0" borderId="0" xfId="0" applyAlignment="1">
      <alignment horizontal="center"/>
    </xf>
    <xf numFmtId="10" fontId="19" fillId="35" borderId="0" xfId="43" applyNumberFormat="1" applyFont="1" applyFill="1" applyAlignment="1">
      <alignment horizontal="center"/>
    </xf>
    <xf numFmtId="0" fontId="17" fillId="0" borderId="0" xfId="0" applyFont="1" applyAlignment="1">
      <alignment horizontal="center"/>
    </xf>
    <xf numFmtId="164" fontId="0" fillId="0" borderId="0" xfId="0" applyNumberFormat="1"/>
    <xf numFmtId="43" fontId="0" fillId="0" borderId="0" xfId="44" applyFont="1"/>
    <xf numFmtId="43" fontId="0" fillId="0" borderId="0" xfId="0" applyNumberFormat="1"/>
    <xf numFmtId="0" fontId="0" fillId="0" borderId="0" xfId="0" applyAlignment="1">
      <alignment horizontal="left"/>
    </xf>
    <xf numFmtId="14" fontId="19" fillId="34" borderId="0" xfId="0" applyNumberFormat="1" applyFont="1" applyFill="1" applyAlignment="1">
      <alignment horizontal="center"/>
    </xf>
    <xf numFmtId="0" fontId="17" fillId="0" borderId="12" xfId="0" applyFont="1" applyBorder="1" applyAlignment="1">
      <alignment horizontal="center" vertical="center" wrapText="1"/>
    </xf>
    <xf numFmtId="0" fontId="17" fillId="39" borderId="10" xfId="0" applyFont="1" applyFill="1" applyBorder="1" applyAlignment="1">
      <alignment horizontal="left" indent="1"/>
    </xf>
    <xf numFmtId="165" fontId="17" fillId="35" borderId="16" xfId="45" applyNumberFormat="1" applyFont="1" applyFill="1" applyBorder="1"/>
    <xf numFmtId="2" fontId="0" fillId="35" borderId="0" xfId="44" applyNumberFormat="1" applyFont="1" applyFill="1" applyAlignment="1">
      <alignment horizontal="center"/>
    </xf>
    <xf numFmtId="10" fontId="0" fillId="38" borderId="0" xfId="43" applyNumberFormat="1" applyFont="1" applyFill="1" applyAlignment="1">
      <alignment horizontal="center"/>
    </xf>
    <xf numFmtId="10" fontId="0" fillId="35" borderId="0" xfId="43" applyNumberFormat="1" applyFont="1" applyFill="1" applyAlignment="1">
      <alignment horizontal="center"/>
    </xf>
    <xf numFmtId="164" fontId="0" fillId="0" borderId="0" xfId="43" applyNumberFormat="1" applyFont="1" applyFill="1"/>
    <xf numFmtId="164" fontId="0" fillId="0" borderId="0" xfId="43" applyNumberFormat="1" applyFont="1"/>
    <xf numFmtId="10" fontId="0" fillId="0" borderId="0" xfId="43" applyNumberFormat="1" applyFont="1" applyAlignment="1">
      <alignment horizontal="center"/>
    </xf>
    <xf numFmtId="14" fontId="19" fillId="0" borderId="0" xfId="0" applyNumberFormat="1" applyFont="1" applyAlignment="1">
      <alignment horizontal="center"/>
    </xf>
    <xf numFmtId="14" fontId="0" fillId="0" borderId="0" xfId="0" applyNumberFormat="1" applyAlignment="1">
      <alignment horizontal="center"/>
    </xf>
    <xf numFmtId="0" fontId="19" fillId="0" borderId="0" xfId="0" applyFont="1" applyAlignment="1">
      <alignment horizontal="center"/>
    </xf>
    <xf numFmtId="4" fontId="19" fillId="0" borderId="0" xfId="0" applyNumberFormat="1" applyFont="1"/>
    <xf numFmtId="43" fontId="17" fillId="0" borderId="0" xfId="0" applyNumberFormat="1" applyFont="1"/>
    <xf numFmtId="4" fontId="0" fillId="0" borderId="0" xfId="0" applyNumberFormat="1"/>
    <xf numFmtId="167" fontId="17" fillId="35" borderId="0" xfId="45" applyNumberFormat="1" applyFont="1" applyFill="1"/>
    <xf numFmtId="10" fontId="27" fillId="0" borderId="0" xfId="43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4" fontId="29" fillId="0" borderId="0" xfId="0" applyNumberFormat="1" applyFont="1"/>
    <xf numFmtId="10" fontId="19" fillId="0" borderId="18" xfId="43" applyNumberFormat="1" applyFont="1" applyBorder="1" applyAlignment="1">
      <alignment horizontal="center"/>
    </xf>
    <xf numFmtId="10" fontId="19" fillId="0" borderId="19" xfId="43" applyNumberFormat="1" applyFont="1" applyBorder="1" applyAlignment="1">
      <alignment horizontal="center"/>
    </xf>
    <xf numFmtId="10" fontId="19" fillId="0" borderId="20" xfId="43" applyNumberFormat="1" applyFont="1" applyBorder="1" applyAlignment="1">
      <alignment horizontal="center"/>
    </xf>
    <xf numFmtId="10" fontId="0" fillId="0" borderId="21" xfId="43" applyNumberFormat="1" applyFont="1" applyBorder="1" applyAlignment="1">
      <alignment horizontal="center"/>
    </xf>
    <xf numFmtId="10" fontId="0" fillId="0" borderId="0" xfId="43" applyNumberFormat="1" applyFont="1" applyBorder="1" applyAlignment="1">
      <alignment horizontal="center"/>
    </xf>
    <xf numFmtId="10" fontId="0" fillId="0" borderId="22" xfId="43" applyNumberFormat="1" applyFont="1" applyBorder="1" applyAlignment="1">
      <alignment horizontal="center"/>
    </xf>
    <xf numFmtId="10" fontId="0" fillId="0" borderId="17" xfId="43" applyNumberFormat="1" applyFont="1" applyBorder="1" applyAlignment="1">
      <alignment horizontal="center"/>
    </xf>
    <xf numFmtId="10" fontId="0" fillId="0" borderId="15" xfId="43" applyNumberFormat="1" applyFont="1" applyBorder="1" applyAlignment="1">
      <alignment horizontal="center"/>
    </xf>
    <xf numFmtId="10" fontId="0" fillId="0" borderId="23" xfId="43" applyNumberFormat="1" applyFont="1" applyBorder="1" applyAlignment="1">
      <alignment horizontal="center"/>
    </xf>
    <xf numFmtId="10" fontId="0" fillId="0" borderId="18" xfId="43" applyNumberFormat="1" applyFont="1" applyBorder="1" applyAlignment="1">
      <alignment horizontal="center"/>
    </xf>
    <xf numFmtId="10" fontId="0" fillId="0" borderId="19" xfId="43" applyNumberFormat="1" applyFont="1" applyBorder="1" applyAlignment="1">
      <alignment horizontal="center"/>
    </xf>
    <xf numFmtId="10" fontId="0" fillId="0" borderId="20" xfId="43" applyNumberFormat="1" applyFont="1" applyBorder="1" applyAlignment="1">
      <alignment horizontal="center"/>
    </xf>
    <xf numFmtId="0" fontId="28" fillId="42" borderId="0" xfId="0" applyFont="1" applyFill="1" applyAlignment="1">
      <alignment horizontal="center" vertical="center"/>
    </xf>
    <xf numFmtId="0" fontId="17" fillId="0" borderId="10" xfId="0" applyFont="1" applyBorder="1" applyAlignment="1">
      <alignment horizontal="right"/>
    </xf>
    <xf numFmtId="9" fontId="17" fillId="35" borderId="16" xfId="43" applyFont="1" applyFill="1" applyBorder="1" applyAlignment="1">
      <alignment horizontal="center" vertical="center"/>
    </xf>
    <xf numFmtId="14" fontId="17" fillId="0" borderId="24" xfId="0" applyNumberFormat="1" applyFont="1" applyBorder="1" applyAlignment="1">
      <alignment horizontal="center"/>
    </xf>
    <xf numFmtId="14" fontId="17" fillId="0" borderId="25" xfId="0" applyNumberFormat="1" applyFont="1" applyBorder="1" applyAlignment="1">
      <alignment horizontal="center"/>
    </xf>
    <xf numFmtId="14" fontId="17" fillId="0" borderId="11" xfId="0" applyNumberFormat="1" applyFont="1" applyBorder="1" applyAlignment="1">
      <alignment horizontal="center"/>
    </xf>
    <xf numFmtId="10" fontId="0" fillId="0" borderId="24" xfId="0" applyNumberFormat="1" applyBorder="1" applyAlignment="1">
      <alignment horizontal="center"/>
    </xf>
    <xf numFmtId="10" fontId="0" fillId="0" borderId="25" xfId="0" applyNumberFormat="1" applyBorder="1" applyAlignment="1">
      <alignment horizontal="center"/>
    </xf>
    <xf numFmtId="10" fontId="0" fillId="0" borderId="11" xfId="0" applyNumberFormat="1" applyBorder="1" applyAlignment="1">
      <alignment horizontal="center"/>
    </xf>
    <xf numFmtId="10" fontId="0" fillId="35" borderId="24" xfId="43" applyNumberFormat="1" applyFont="1" applyFill="1" applyBorder="1" applyAlignment="1">
      <alignment horizontal="center"/>
    </xf>
    <xf numFmtId="10" fontId="0" fillId="35" borderId="25" xfId="43" applyNumberFormat="1" applyFont="1" applyFill="1" applyBorder="1" applyAlignment="1">
      <alignment horizontal="center"/>
    </xf>
    <xf numFmtId="10" fontId="0" fillId="35" borderId="11" xfId="43" applyNumberFormat="1" applyFont="1" applyFill="1" applyBorder="1" applyAlignment="1">
      <alignment horizontal="center"/>
    </xf>
    <xf numFmtId="44" fontId="0" fillId="35" borderId="24" xfId="45" applyFont="1" applyFill="1" applyBorder="1"/>
    <xf numFmtId="44" fontId="0" fillId="35" borderId="25" xfId="45" applyFont="1" applyFill="1" applyBorder="1"/>
    <xf numFmtId="44" fontId="0" fillId="35" borderId="11" xfId="45" applyFont="1" applyFill="1" applyBorder="1"/>
    <xf numFmtId="3" fontId="0" fillId="0" borderId="24" xfId="44" applyNumberFormat="1" applyFont="1" applyFill="1" applyBorder="1" applyAlignment="1">
      <alignment horizontal="center"/>
    </xf>
    <xf numFmtId="3" fontId="0" fillId="0" borderId="25" xfId="44" applyNumberFormat="1" applyFont="1" applyFill="1" applyBorder="1" applyAlignment="1">
      <alignment horizontal="center"/>
    </xf>
    <xf numFmtId="3" fontId="0" fillId="0" borderId="11" xfId="44" applyNumberFormat="1" applyFont="1" applyFill="1" applyBorder="1" applyAlignment="1">
      <alignment horizontal="center"/>
    </xf>
    <xf numFmtId="165" fontId="0" fillId="35" borderId="24" xfId="45" applyNumberFormat="1" applyFont="1" applyFill="1" applyBorder="1"/>
    <xf numFmtId="165" fontId="0" fillId="35" borderId="25" xfId="45" applyNumberFormat="1" applyFont="1" applyFill="1" applyBorder="1"/>
    <xf numFmtId="165" fontId="0" fillId="35" borderId="11" xfId="45" applyNumberFormat="1" applyFont="1" applyFill="1" applyBorder="1"/>
    <xf numFmtId="164" fontId="0" fillId="35" borderId="24" xfId="43" applyNumberFormat="1" applyFont="1" applyFill="1" applyBorder="1" applyAlignment="1">
      <alignment horizontal="center"/>
    </xf>
    <xf numFmtId="164" fontId="0" fillId="35" borderId="25" xfId="43" applyNumberFormat="1" applyFont="1" applyFill="1" applyBorder="1" applyAlignment="1">
      <alignment horizontal="center"/>
    </xf>
    <xf numFmtId="164" fontId="0" fillId="35" borderId="11" xfId="43" applyNumberFormat="1" applyFont="1" applyFill="1" applyBorder="1" applyAlignment="1">
      <alignment horizontal="center"/>
    </xf>
    <xf numFmtId="4" fontId="0" fillId="35" borderId="24" xfId="44" applyNumberFormat="1" applyFont="1" applyFill="1" applyBorder="1" applyAlignment="1">
      <alignment horizontal="center"/>
    </xf>
    <xf numFmtId="4" fontId="0" fillId="35" borderId="25" xfId="44" applyNumberFormat="1" applyFont="1" applyFill="1" applyBorder="1" applyAlignment="1">
      <alignment horizontal="center"/>
    </xf>
    <xf numFmtId="4" fontId="0" fillId="35" borderId="11" xfId="44" applyNumberFormat="1" applyFont="1" applyFill="1" applyBorder="1" applyAlignment="1">
      <alignment horizontal="center"/>
    </xf>
    <xf numFmtId="164" fontId="0" fillId="38" borderId="24" xfId="43" applyNumberFormat="1" applyFont="1" applyFill="1" applyBorder="1" applyAlignment="1">
      <alignment horizontal="center"/>
    </xf>
    <xf numFmtId="164" fontId="0" fillId="38" borderId="25" xfId="43" applyNumberFormat="1" applyFont="1" applyFill="1" applyBorder="1" applyAlignment="1">
      <alignment horizontal="center"/>
    </xf>
    <xf numFmtId="164" fontId="0" fillId="38" borderId="11" xfId="43" applyNumberFormat="1" applyFont="1" applyFill="1" applyBorder="1" applyAlignment="1">
      <alignment horizontal="center"/>
    </xf>
    <xf numFmtId="165" fontId="0" fillId="37" borderId="24" xfId="0" applyNumberFormat="1" applyFill="1" applyBorder="1"/>
    <xf numFmtId="165" fontId="0" fillId="37" borderId="25" xfId="0" applyNumberFormat="1" applyFill="1" applyBorder="1"/>
    <xf numFmtId="165" fontId="0" fillId="37" borderId="11" xfId="0" applyNumberFormat="1" applyFill="1" applyBorder="1"/>
    <xf numFmtId="164" fontId="0" fillId="37" borderId="24" xfId="43" applyNumberFormat="1" applyFont="1" applyFill="1" applyBorder="1" applyAlignment="1">
      <alignment horizontal="center"/>
    </xf>
    <xf numFmtId="164" fontId="0" fillId="37" borderId="25" xfId="43" applyNumberFormat="1" applyFont="1" applyFill="1" applyBorder="1" applyAlignment="1">
      <alignment horizontal="center"/>
    </xf>
    <xf numFmtId="164" fontId="0" fillId="37" borderId="11" xfId="43" applyNumberFormat="1" applyFont="1" applyFill="1" applyBorder="1" applyAlignment="1">
      <alignment horizontal="center"/>
    </xf>
    <xf numFmtId="10" fontId="17" fillId="34" borderId="0" xfId="43" applyNumberFormat="1" applyFont="1" applyFill="1" applyAlignment="1">
      <alignment horizontal="center"/>
    </xf>
    <xf numFmtId="0" fontId="20" fillId="0" borderId="10" xfId="0" applyFont="1" applyBorder="1" applyAlignment="1">
      <alignment horizontal="center" vertical="center"/>
    </xf>
    <xf numFmtId="44" fontId="17" fillId="34" borderId="0" xfId="45" applyFont="1" applyFill="1" applyAlignment="1">
      <alignment horizontal="center" vertical="center"/>
    </xf>
    <xf numFmtId="10" fontId="19" fillId="34" borderId="0" xfId="43" applyNumberFormat="1" applyFont="1" applyFill="1" applyAlignment="1">
      <alignment horizontal="center" vertical="center"/>
    </xf>
    <xf numFmtId="0" fontId="17" fillId="0" borderId="10" xfId="0" applyFont="1" applyBorder="1" applyAlignment="1">
      <alignment horizontal="left" indent="1"/>
    </xf>
    <xf numFmtId="14" fontId="0" fillId="0" borderId="10" xfId="0" applyNumberFormat="1" applyBorder="1" applyAlignment="1">
      <alignment horizontal="center"/>
    </xf>
    <xf numFmtId="10" fontId="0" fillId="0" borderId="10" xfId="43" applyNumberFormat="1" applyFont="1" applyBorder="1" applyAlignment="1">
      <alignment horizontal="center"/>
    </xf>
    <xf numFmtId="0" fontId="17" fillId="0" borderId="10" xfId="0" applyFont="1" applyBorder="1"/>
    <xf numFmtId="166" fontId="17" fillId="0" borderId="10" xfId="44" applyNumberFormat="1" applyFont="1" applyBorder="1"/>
    <xf numFmtId="166" fontId="0" fillId="34" borderId="10" xfId="44" applyNumberFormat="1" applyFont="1" applyFill="1" applyBorder="1"/>
    <xf numFmtId="166" fontId="17" fillId="34" borderId="10" xfId="44" applyNumberFormat="1" applyFont="1" applyFill="1" applyBorder="1"/>
    <xf numFmtId="0" fontId="19" fillId="0" borderId="10" xfId="0" applyFont="1" applyBorder="1" applyAlignment="1">
      <alignment horizontal="center"/>
    </xf>
    <xf numFmtId="0" fontId="26" fillId="0" borderId="0" xfId="0" applyFont="1" applyAlignment="1">
      <alignment wrapText="1"/>
    </xf>
    <xf numFmtId="0" fontId="17" fillId="33" borderId="12" xfId="0" applyFont="1" applyFill="1" applyBorder="1" applyAlignment="1">
      <alignment horizontal="center"/>
    </xf>
    <xf numFmtId="0" fontId="17" fillId="33" borderId="13" xfId="0" applyFont="1" applyFill="1" applyBorder="1" applyAlignment="1">
      <alignment horizontal="center"/>
    </xf>
    <xf numFmtId="0" fontId="17" fillId="33" borderId="14" xfId="0" applyFont="1" applyFill="1" applyBorder="1" applyAlignment="1">
      <alignment horizontal="center"/>
    </xf>
    <xf numFmtId="0" fontId="17" fillId="36" borderId="12" xfId="0" applyFont="1" applyFill="1" applyBorder="1" applyAlignment="1">
      <alignment horizontal="center"/>
    </xf>
    <xf numFmtId="0" fontId="17" fillId="36" borderId="13" xfId="0" applyFont="1" applyFill="1" applyBorder="1" applyAlignment="1">
      <alignment horizontal="center"/>
    </xf>
    <xf numFmtId="0" fontId="17" fillId="36" borderId="14" xfId="0" applyFont="1" applyFill="1" applyBorder="1" applyAlignment="1">
      <alignment horizontal="center"/>
    </xf>
    <xf numFmtId="0" fontId="22" fillId="0" borderId="1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2" fillId="0" borderId="14" xfId="0" applyFont="1" applyBorder="1" applyAlignment="1">
      <alignment horizontal="center"/>
    </xf>
    <xf numFmtId="0" fontId="17" fillId="37" borderId="12" xfId="0" applyFont="1" applyFill="1" applyBorder="1" applyAlignment="1">
      <alignment horizontal="center"/>
    </xf>
    <xf numFmtId="0" fontId="17" fillId="37" borderId="14" xfId="0" applyFont="1" applyFill="1" applyBorder="1" applyAlignment="1">
      <alignment horizontal="center"/>
    </xf>
    <xf numFmtId="0" fontId="20" fillId="0" borderId="12" xfId="0" applyFont="1" applyBorder="1" applyAlignment="1">
      <alignment horizontal="center" vertical="center"/>
    </xf>
    <xf numFmtId="0" fontId="20" fillId="0" borderId="14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17" fillId="40" borderId="17" xfId="0" applyFont="1" applyFill="1" applyBorder="1" applyAlignment="1">
      <alignment horizontal="center"/>
    </xf>
    <xf numFmtId="0" fontId="17" fillId="40" borderId="15" xfId="0" applyFont="1" applyFill="1" applyBorder="1" applyAlignment="1">
      <alignment horizontal="center"/>
    </xf>
    <xf numFmtId="0" fontId="17" fillId="41" borderId="10" xfId="0" applyFont="1" applyFill="1" applyBorder="1" applyAlignment="1">
      <alignment horizontal="center"/>
    </xf>
    <xf numFmtId="0" fontId="26" fillId="0" borderId="15" xfId="0" applyFont="1" applyBorder="1" applyAlignment="1">
      <alignment horizontal="center" wrapText="1"/>
    </xf>
  </cellXfs>
  <cellStyles count="46">
    <cellStyle name="20% - Énfasis1" xfId="1" builtinId="30" customBuiltin="1"/>
    <cellStyle name="20% - Énfasis2" xfId="2" builtinId="34" customBuiltin="1"/>
    <cellStyle name="20% - Énfasis3" xfId="3" builtinId="38" customBuiltin="1"/>
    <cellStyle name="20% - Énfasis4" xfId="4" builtinId="42" customBuiltin="1"/>
    <cellStyle name="20% - Énfasis5" xfId="5" builtinId="46" customBuiltin="1"/>
    <cellStyle name="20% - Énfasis6" xfId="6" builtinId="50" customBuiltin="1"/>
    <cellStyle name="40% - Énfasis1" xfId="7" builtinId="31" customBuiltin="1"/>
    <cellStyle name="40% - Énfasis2" xfId="8" builtinId="35" customBuiltin="1"/>
    <cellStyle name="40% - Énfasis3" xfId="9" builtinId="39" customBuiltin="1"/>
    <cellStyle name="40% - Énfasis4" xfId="10" builtinId="43" customBuiltin="1"/>
    <cellStyle name="40% - Énfasis5" xfId="11" builtinId="47" customBuiltin="1"/>
    <cellStyle name="40% - Énfasis6" xfId="12" builtinId="51" customBuiltin="1"/>
    <cellStyle name="60% - Énfasis1" xfId="13" builtinId="32" customBuiltin="1"/>
    <cellStyle name="60% - Énfasis2" xfId="14" builtinId="36" customBuiltin="1"/>
    <cellStyle name="60% - Énfasis3" xfId="15" builtinId="40" customBuiltin="1"/>
    <cellStyle name="60% - Énfasis4" xfId="16" builtinId="44" customBuiltin="1"/>
    <cellStyle name="60% - Énfasis5" xfId="17" builtinId="48" customBuiltin="1"/>
    <cellStyle name="60% - Énfasis6" xfId="18" builtinId="52" customBuiltin="1"/>
    <cellStyle name="blp_datetime" xfId="42" xr:uid="{00000000-0005-0000-0000-000012000000}"/>
    <cellStyle name="Bueno" xfId="29" builtinId="26" customBuiltin="1"/>
    <cellStyle name="Cálculo" xfId="26" builtinId="22" customBuiltin="1"/>
    <cellStyle name="Celda de comprobación" xfId="27" builtinId="23" customBuiltin="1"/>
    <cellStyle name="Celda vinculada" xfId="35" builtinId="24" customBuiltin="1"/>
    <cellStyle name="Encabezado 1" xfId="30" builtinId="16" customBuiltin="1"/>
    <cellStyle name="Encabezado 4" xfId="33" builtinId="19" customBuiltin="1"/>
    <cellStyle name="Énfasis1" xfId="19" builtinId="29" customBuiltin="1"/>
    <cellStyle name="Énfasis2" xfId="20" builtinId="33" customBuiltin="1"/>
    <cellStyle name="Énfasis3" xfId="21" builtinId="37" customBuiltin="1"/>
    <cellStyle name="Énfasis4" xfId="22" builtinId="41" customBuiltin="1"/>
    <cellStyle name="Énfasis5" xfId="23" builtinId="45" customBuiltin="1"/>
    <cellStyle name="Énfasis6" xfId="24" builtinId="49" customBuiltin="1"/>
    <cellStyle name="Entrada" xfId="34" builtinId="20" customBuiltin="1"/>
    <cellStyle name="Incorrecto" xfId="25" builtinId="27" customBuiltin="1"/>
    <cellStyle name="Millares" xfId="44" builtinId="3"/>
    <cellStyle name="Moneda" xfId="45" builtinId="4"/>
    <cellStyle name="Neutral" xfId="36" builtinId="28" customBuiltin="1"/>
    <cellStyle name="Normal" xfId="0" builtinId="0"/>
    <cellStyle name="Notas" xfId="37" builtinId="10" customBuiltin="1"/>
    <cellStyle name="Porcentaje" xfId="43" builtinId="5"/>
    <cellStyle name="Salida" xfId="38" builtinId="21" customBuiltin="1"/>
    <cellStyle name="Texto de advertencia" xfId="41" builtinId="11" customBuiltin="1"/>
    <cellStyle name="Texto explicativo" xfId="28" builtinId="53" customBuiltin="1"/>
    <cellStyle name="Título" xfId="39" builtinId="15" customBuiltin="1"/>
    <cellStyle name="Título 2" xfId="31" builtinId="17" customBuiltin="1"/>
    <cellStyle name="Título 3" xfId="32" builtinId="18" customBuiltin="1"/>
    <cellStyle name="Total" xfId="40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581024</xdr:colOff>
      <xdr:row>5</xdr:row>
      <xdr:rowOff>133350</xdr:rowOff>
    </xdr:from>
    <xdr:to>
      <xdr:col>14</xdr:col>
      <xdr:colOff>609599</xdr:colOff>
      <xdr:row>11</xdr:row>
      <xdr:rowOff>85725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B8B289C2-ED4C-9537-B660-DDB87C677153}"/>
            </a:ext>
          </a:extLst>
        </xdr:cNvPr>
        <xdr:cNvSpPr txBox="1"/>
      </xdr:nvSpPr>
      <xdr:spPr>
        <a:xfrm>
          <a:off x="8629649" y="1085850"/>
          <a:ext cx="3324225" cy="1095375"/>
        </a:xfrm>
        <a:prstGeom prst="rect">
          <a:avLst/>
        </a:prstGeom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1100"/>
            <a:t>Al</a:t>
          </a:r>
          <a:r>
            <a:rPr lang="es-MX" sz="1100" baseline="0"/>
            <a:t> igual que los activos; vamos a recolectar los ultimos 252 dias </a:t>
          </a:r>
          <a:r>
            <a:rPr lang="es-MX" sz="1100" b="1" i="1" baseline="0"/>
            <a:t>(lapso de tiempo) </a:t>
          </a:r>
          <a:r>
            <a:rPr lang="es-MX" sz="1100" b="0" i="0" baseline="0"/>
            <a:t>pero no de los precios del Bono sino de tu cambio en la tasa de interes que ofrece y  calcular </a:t>
          </a:r>
          <a:r>
            <a:rPr lang="es-MX" sz="1100" b="1" i="1" baseline="0"/>
            <a:t>"la variacion diaria</a:t>
          </a:r>
          <a:r>
            <a:rPr lang="es-MX" sz="11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% de las tasas </a:t>
          </a:r>
          <a:r>
            <a:rPr lang="es-MX" sz="1100" b="1" i="1" baseline="0"/>
            <a:t>"</a:t>
          </a:r>
          <a:endParaRPr lang="es-MX" sz="1100" b="1" i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766379</xdr:colOff>
      <xdr:row>15</xdr:row>
      <xdr:rowOff>10948</xdr:rowOff>
    </xdr:from>
    <xdr:to>
      <xdr:col>11</xdr:col>
      <xdr:colOff>586338</xdr:colOff>
      <xdr:row>20</xdr:row>
      <xdr:rowOff>194609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579A231B-FD11-6EFA-9007-E42214F1E0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46896" y="3076465"/>
          <a:ext cx="2907373" cy="1223747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10</xdr:col>
      <xdr:colOff>52308</xdr:colOff>
      <xdr:row>12</xdr:row>
      <xdr:rowOff>10951</xdr:rowOff>
    </xdr:from>
    <xdr:to>
      <xdr:col>10</xdr:col>
      <xdr:colOff>306553</xdr:colOff>
      <xdr:row>15</xdr:row>
      <xdr:rowOff>10948</xdr:rowOff>
    </xdr:to>
    <xdr:cxnSp macro="">
      <xdr:nvCxnSpPr>
        <xdr:cNvPr id="4" name="Conector: angular 3">
          <a:extLst>
            <a:ext uri="{FF2B5EF4-FFF2-40B4-BE49-F238E27FC236}">
              <a16:creationId xmlns:a16="http://schemas.microsoft.com/office/drawing/2014/main" id="{F853BA3F-A239-9C7F-767B-AAAA55D78C80}"/>
            </a:ext>
          </a:extLst>
        </xdr:cNvPr>
        <xdr:cNvCxnSpPr>
          <a:endCxn id="2" idx="0"/>
        </xdr:cNvCxnSpPr>
      </xdr:nvCxnSpPr>
      <xdr:spPr>
        <a:xfrm rot="5400000">
          <a:off x="10837579" y="2659215"/>
          <a:ext cx="580255" cy="254245"/>
        </a:xfrm>
        <a:prstGeom prst="bentConnector3">
          <a:avLst>
            <a:gd name="adj1" fmla="val 50000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624053</xdr:colOff>
      <xdr:row>22</xdr:row>
      <xdr:rowOff>43793</xdr:rowOff>
    </xdr:from>
    <xdr:to>
      <xdr:col>11</xdr:col>
      <xdr:colOff>860864</xdr:colOff>
      <xdr:row>28</xdr:row>
      <xdr:rowOff>11495</xdr:rowOff>
    </xdr:to>
    <xdr:sp macro="" textlink="">
      <xdr:nvSpPr>
        <xdr:cNvPr id="6" name="CuadroTexto 5">
          <a:extLst>
            <a:ext uri="{FF2B5EF4-FFF2-40B4-BE49-F238E27FC236}">
              <a16:creationId xmlns:a16="http://schemas.microsoft.com/office/drawing/2014/main" id="{54E108AF-B4E8-4DC2-8304-104E2F685747}"/>
            </a:ext>
          </a:extLst>
        </xdr:cNvPr>
        <xdr:cNvSpPr txBox="1"/>
      </xdr:nvSpPr>
      <xdr:spPr>
        <a:xfrm>
          <a:off x="9404570" y="4532586"/>
          <a:ext cx="3324225" cy="1095375"/>
        </a:xfrm>
        <a:prstGeom prst="rect">
          <a:avLst/>
        </a:prstGeom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1100" b="0" i="0"/>
            <a:t>Podemos ver lo que </a:t>
          </a:r>
          <a:r>
            <a:rPr lang="es-MX" sz="1100" b="1" i="1"/>
            <a:t>el VaR Parametrico de cada Bono</a:t>
          </a:r>
          <a:r>
            <a:rPr lang="es-MX" sz="1100" b="0" i="0"/>
            <a:t> de manera diaria;</a:t>
          </a:r>
          <a:r>
            <a:rPr lang="es-MX" sz="1100" b="0" i="0" baseline="0"/>
            <a:t> </a:t>
          </a:r>
          <a:r>
            <a:rPr lang="es-MX" sz="1100" b="0" i="0"/>
            <a:t>pero podemos calcularlo</a:t>
          </a:r>
          <a:r>
            <a:rPr lang="es-MX" sz="1100" b="0" i="0" baseline="0"/>
            <a:t> por portafolio....</a:t>
          </a:r>
          <a:endParaRPr lang="es-MX" sz="1100" b="0" i="0"/>
        </a:p>
      </xdr:txBody>
    </xdr:sp>
    <xdr:clientData/>
  </xdr:twoCellAnchor>
  <xdr:twoCellAnchor editAs="oneCell">
    <xdr:from>
      <xdr:col>0</xdr:col>
      <xdr:colOff>109482</xdr:colOff>
      <xdr:row>17</xdr:row>
      <xdr:rowOff>120433</xdr:rowOff>
    </xdr:from>
    <xdr:to>
      <xdr:col>1</xdr:col>
      <xdr:colOff>996293</xdr:colOff>
      <xdr:row>23</xdr:row>
      <xdr:rowOff>20344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3D4AED22-0635-447F-B1E9-E9EAC6FE11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9482" y="3667674"/>
          <a:ext cx="1598449" cy="1027584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1</xdr:col>
      <xdr:colOff>996294</xdr:colOff>
      <xdr:row>15</xdr:row>
      <xdr:rowOff>218966</xdr:rowOff>
    </xdr:from>
    <xdr:to>
      <xdr:col>2</xdr:col>
      <xdr:colOff>144764</xdr:colOff>
      <xdr:row>20</xdr:row>
      <xdr:rowOff>75863</xdr:rowOff>
    </xdr:to>
    <xdr:cxnSp macro="">
      <xdr:nvCxnSpPr>
        <xdr:cNvPr id="10" name="Conector: angular 9">
          <a:extLst>
            <a:ext uri="{FF2B5EF4-FFF2-40B4-BE49-F238E27FC236}">
              <a16:creationId xmlns:a16="http://schemas.microsoft.com/office/drawing/2014/main" id="{DDCFA00D-1200-4F2F-A6A9-5B5D3FA7C9C6}"/>
            </a:ext>
          </a:extLst>
        </xdr:cNvPr>
        <xdr:cNvCxnSpPr>
          <a:endCxn id="9" idx="3"/>
        </xdr:cNvCxnSpPr>
      </xdr:nvCxnSpPr>
      <xdr:spPr>
        <a:xfrm rot="5400000">
          <a:off x="1364667" y="3627748"/>
          <a:ext cx="896983" cy="210453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722058</xdr:colOff>
      <xdr:row>10</xdr:row>
      <xdr:rowOff>122904</xdr:rowOff>
    </xdr:from>
    <xdr:to>
      <xdr:col>23</xdr:col>
      <xdr:colOff>253490</xdr:colOff>
      <xdr:row>14</xdr:row>
      <xdr:rowOff>145948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84584394-6F6A-444E-A310-E7E57212772C}"/>
            </a:ext>
          </a:extLst>
        </xdr:cNvPr>
        <xdr:cNvSpPr txBox="1"/>
      </xdr:nvSpPr>
      <xdr:spPr>
        <a:xfrm>
          <a:off x="16699477" y="2089356"/>
          <a:ext cx="3648690" cy="791189"/>
        </a:xfrm>
        <a:prstGeom prst="rect">
          <a:avLst/>
        </a:prstGeom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1100" b="0" i="0"/>
            <a:t>A</a:t>
          </a:r>
          <a:r>
            <a:rPr lang="es-MX" sz="1100" b="0" i="0" baseline="0"/>
            <a:t> diferencia del </a:t>
          </a:r>
          <a:r>
            <a:rPr lang="es-MX" sz="1100" b="1" i="1" baseline="0"/>
            <a:t>Var Parametrico</a:t>
          </a:r>
          <a:r>
            <a:rPr lang="es-MX" sz="1100" b="0" i="0" baseline="0"/>
            <a:t>; </a:t>
          </a:r>
          <a:r>
            <a:rPr lang="es-MX" sz="1100" b="1" i="0" baseline="0"/>
            <a:t>"</a:t>
          </a:r>
          <a:r>
            <a:rPr lang="es-MX" sz="11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el VaR Historico</a:t>
          </a:r>
          <a:r>
            <a:rPr lang="es-MX" sz="1100" b="1" i="0" baseline="0"/>
            <a:t>" </a:t>
          </a:r>
          <a:r>
            <a:rPr lang="es-MX" sz="1100" b="0" i="0" baseline="0"/>
            <a:t>usa los precios de los Bonos para su desarrollo por lo que es necesario el calculo de cada uno de ellos.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DAVID MENDIETA LOPEZ" id="{D3D200A2-7CC7-4F66-BBBA-10F7B2DBD130}" userId="S::mendieta_lopez_david@comunidad.unam.mx::50135692-ec2c-489a-957d-9bedbfc7b984" providerId="AD"/>
</personList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3" dT="2024-04-06T18:12:13.18" personId="{D3D200A2-7CC7-4F66-BBBA-10F7B2DBD130}" id="{E9789B42-3E96-4B4D-81AB-B15039FD3DAC}">
    <text>(%t / %t-1) - 1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C8" dT="2024-04-06T18:28:47.00" personId="{D3D200A2-7CC7-4F66-BBBA-10F7B2DBD130}" id="{545167B2-263B-4C1D-87D6-B000B139A9FD}">
    <text>Nos indica cuando acaba el tiempo del plazo para devolver la inversion del bono</text>
  </threadedComment>
  <threadedComment ref="D8" dT="2024-04-06T18:54:03.03" personId="{D3D200A2-7CC7-4F66-BBBA-10F7B2DBD130}" id="{4E948310-0596-4FD2-B52A-5E7D6D9A3F3D}">
    <text>Es el interes del Bono Anual  que maneja</text>
  </threadedComment>
  <threadedComment ref="E8" dT="2024-04-03T00:49:28.68" personId="{D3D200A2-7CC7-4F66-BBBA-10F7B2DBD130}" id="{10EA29D2-24E4-4FC4-8D49-1F1B9F0EE1CE}">
    <text>Tasa de interes establecida en la fecha de Valuacion</text>
  </threadedComment>
  <threadedComment ref="F8" dT="2024-04-03T00:54:56.01" personId="{D3D200A2-7CC7-4F66-BBBA-10F7B2DBD130}" id="{D04F3C55-CEB7-4DA1-999D-EC791AE4F9F4}">
    <text xml:space="preserve">Calculamos el precio del Bono con la funcion: "BonoM" </text>
  </threadedComment>
  <threadedComment ref="H8" dT="2024-04-03T00:56:41.72" personId="{D3D200A2-7CC7-4F66-BBBA-10F7B2DBD130}" id="{B742922B-16E1-49A1-B01F-A870F998D5B8}">
    <text>Es el valor total del # de bonos comprados</text>
  </threadedComment>
  <threadedComment ref="I8" dT="2024-04-03T00:57:34.83" personId="{D3D200A2-7CC7-4F66-BBBA-10F7B2DBD130}" id="{FB39A9EC-EBCF-43BB-99A7-D94DF7A3129D}">
    <text>La proporcion con respecto a lo gasto en total</text>
  </threadedComment>
  <threadedComment ref="J8" dT="2024-04-03T00:58:09.28" personId="{D3D200A2-7CC7-4F66-BBBA-10F7B2DBD130}" id="{D7163EAA-118E-4CAF-9656-50A9793D7D6C}">
    <text>Hacemos uso de una funcion de Excel llamada: "Duracion.modif"</text>
  </threadedComment>
  <threadedComment ref="L8" dT="2024-04-06T19:12:10.80" personId="{D3D200A2-7CC7-4F66-BBBA-10F7B2DBD130}" id="{9BC54E2C-889C-4BAB-9350-8A3EB601455F}">
    <text>El monto (el valor del VaR) sera:
VaR = -F * S * σ * (Raiz de t)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N1" dT="2024-04-06T19:57:24.24" personId="{D3D200A2-7CC7-4F66-BBBA-10F7B2DBD130}" id="{95B3E54F-C22B-48CD-A6B3-21F08F212A18}">
    <text>El costo total por la compra de los bonos</text>
  </threadedComment>
  <threadedComment ref="N2" dT="2024-04-06T19:56:57.73" personId="{D3D200A2-7CC7-4F66-BBBA-10F7B2DBD130}" id="{E50F05F5-7FC1-43CA-B59D-5556740889F4}">
    <text>Es el # de Bonos que se destinaron a comprar</text>
  </threadedComment>
  <threadedComment ref="C3" dT="2024-04-06T19:49:34.23" personId="{D3D200A2-7CC7-4F66-BBBA-10F7B2DBD130}" id="{69CC61F8-AEDD-43E6-9277-5E4E3A8FFB7A}">
    <text>Calculamos el precio del bono con la funcion de Excel: "BonoM"</text>
  </threadedComment>
  <threadedComment ref="G3" dT="2024-04-06T19:52:49.40" personId="{D3D200A2-7CC7-4F66-BBBA-10F7B2DBD130}" id="{6D18EFA2-921D-4FA3-9D20-391DFB403796}">
    <text>Con los precios podemos usar: (pt/pt-1) -1</text>
  </threadedComment>
  <threadedComment ref="K3" dT="2024-04-06T19:56:05.30" personId="{D3D200A2-7CC7-4F66-BBBA-10F7B2DBD130}" id="{C6FA25BA-B4B3-4101-8C91-C41AAD8E6520}">
    <text>Simulamos los precios como el resultado de multiplicar el rendimiento por el precio de la fecha de Valuacion</text>
  </threadedComment>
  <threadedComment ref="O3" dT="2024-04-06T20:11:35.66" personId="{D3D200A2-7CC7-4F66-BBBA-10F7B2DBD130}" id="{3C66B039-CBC9-4709-93EA-FDD29DFF64B4}">
    <text>Sera la diferencia de los precios simulados Vs el precio de valuacion y multiplicado por Titulos</text>
  </threadedComment>
  <threadedComment ref="S4" dT="2024-04-06T20:14:50.25" personId="{D3D200A2-7CC7-4F66-BBBA-10F7B2DBD130}" id="{2958BA3A-3255-4BBB-883F-BD962E2227E8}">
    <text>Sumamos todos los valores de ese dia</text>
  </threadedComment>
  <threadedComment ref="U8" dT="2024-04-06T20:29:14.39" personId="{D3D200A2-7CC7-4F66-BBBA-10F7B2DBD130}" id="{B590B426-3EB8-417C-9533-57B0B61EC0AB}">
    <text>Dado que solo tenemos los precios; el VaR solo sera calcular con la funcion "Percentil" todo el portafolio y indicando el nivel de confianza</text>
  </threadedComment>
  <threadedComment ref="U9" dT="2024-04-06T20:32:18.45" personId="{D3D200A2-7CC7-4F66-BBBA-10F7B2DBD130}" id="{9CA66EB9-AC4D-4723-B5D4-3099CE7B7373}">
    <text>Si el VaR 99% nos indica el valor que se tiene al 99% de toda la distribucion; entonces el VaR condicionado sera la suma de todos los valores del portafolio que no llegue a ese punto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microsoft.com/office/2017/10/relationships/threadedComment" Target="../threadedComments/threadedComment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microsoft.com/office/2017/10/relationships/threadedComment" Target="../threadedComments/threadedComment2.xml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microsoft.com/office/2017/10/relationships/threadedComment" Target="../threadedComments/threadedComment3.xml"/><Relationship Id="rId4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CEF9E4-EE11-4B71-B04F-5EC9B5730581}">
  <sheetPr codeName="Hoja3"/>
  <dimension ref="A3:M259"/>
  <sheetViews>
    <sheetView zoomScaleNormal="100" workbookViewId="0">
      <pane xSplit="2" ySplit="4" topLeftCell="C5" activePane="bottomRight" state="frozen"/>
      <selection pane="topRight" activeCell="D1" sqref="D1"/>
      <selection pane="bottomLeft" activeCell="A3" sqref="A3"/>
      <selection pane="bottomRight" activeCell="D5" sqref="D5"/>
    </sheetView>
  </sheetViews>
  <sheetFormatPr baseColWidth="10" defaultColWidth="8.85546875" defaultRowHeight="15" x14ac:dyDescent="0.25"/>
  <cols>
    <col min="1" max="1" width="4.28515625" bestFit="1" customWidth="1"/>
    <col min="2" max="2" width="11.28515625" bestFit="1" customWidth="1"/>
    <col min="3" max="10" width="13.140625" customWidth="1"/>
    <col min="11" max="11" width="14.7109375" bestFit="1" customWidth="1"/>
    <col min="12" max="12" width="13.28515625" customWidth="1"/>
    <col min="13" max="20" width="10.7109375" customWidth="1"/>
  </cols>
  <sheetData>
    <row r="3" spans="1:13" x14ac:dyDescent="0.25">
      <c r="C3" s="94" t="s">
        <v>20</v>
      </c>
      <c r="D3" s="95"/>
      <c r="E3" s="95"/>
      <c r="F3" s="96"/>
      <c r="G3" s="97" t="s">
        <v>19</v>
      </c>
      <c r="H3" s="98"/>
      <c r="I3" s="98"/>
      <c r="J3" s="99"/>
    </row>
    <row r="4" spans="1:13" x14ac:dyDescent="0.25">
      <c r="A4" s="2" t="s">
        <v>2</v>
      </c>
      <c r="B4" s="2" t="s">
        <v>0</v>
      </c>
      <c r="C4" s="4" t="s">
        <v>25</v>
      </c>
      <c r="D4" s="4" t="s">
        <v>26</v>
      </c>
      <c r="E4" s="4" t="s">
        <v>21</v>
      </c>
      <c r="F4" s="4" t="s">
        <v>27</v>
      </c>
      <c r="G4" s="3" t="str">
        <f>+C4</f>
        <v>BONOM_2027</v>
      </c>
      <c r="H4" s="3" t="str">
        <f>+D4</f>
        <v>BONOM_2029</v>
      </c>
      <c r="I4" s="3" t="str">
        <f>+E4</f>
        <v>BONOM_2031</v>
      </c>
      <c r="J4" s="3" t="str">
        <f>+F4</f>
        <v>BONOM_2038</v>
      </c>
    </row>
    <row r="5" spans="1:13" x14ac:dyDescent="0.25">
      <c r="A5" s="6">
        <f t="shared" ref="A5:A68" si="0">+A6-1</f>
        <v>1</v>
      </c>
      <c r="B5" s="23">
        <v>45379</v>
      </c>
      <c r="C5" s="33">
        <v>9.7550000000000012E-2</v>
      </c>
      <c r="D5" s="34">
        <v>9.5890000000000003E-2</v>
      </c>
      <c r="E5" s="34">
        <v>9.6099999999999991E-2</v>
      </c>
      <c r="F5" s="35">
        <v>9.6860000000000002E-2</v>
      </c>
      <c r="G5" s="42">
        <f>+C5/C6-1</f>
        <v>3.3806697753285375E-2</v>
      </c>
      <c r="H5" s="43">
        <f t="shared" ref="H5:H68" si="1">+D5/D6-1</f>
        <v>3.9345328419683412E-2</v>
      </c>
      <c r="I5" s="43">
        <f t="shared" ref="I5:I68" si="2">+E5/E6-1</f>
        <v>3.8245462402765718E-2</v>
      </c>
      <c r="J5" s="44">
        <f t="shared" ref="J5:J68" si="3">+F5/F6-1</f>
        <v>3.7489288774635865E-2</v>
      </c>
    </row>
    <row r="6" spans="1:13" x14ac:dyDescent="0.25">
      <c r="A6" s="6">
        <f t="shared" si="0"/>
        <v>2</v>
      </c>
      <c r="B6" s="24">
        <v>45378</v>
      </c>
      <c r="C6" s="36">
        <v>9.4359999999999999E-2</v>
      </c>
      <c r="D6" s="37">
        <v>9.2260000000000009E-2</v>
      </c>
      <c r="E6" s="37">
        <v>9.2560000000000003E-2</v>
      </c>
      <c r="F6" s="38">
        <v>9.3359999999999999E-2</v>
      </c>
      <c r="G6" s="36">
        <f t="shared" ref="G6:G69" si="4">+C6/C7-1</f>
        <v>-6.3184498736310601E-3</v>
      </c>
      <c r="H6" s="37">
        <f t="shared" si="1"/>
        <v>-4.3168573278652422E-3</v>
      </c>
      <c r="I6" s="37">
        <f t="shared" si="2"/>
        <v>-2.1561017680034045E-3</v>
      </c>
      <c r="J6" s="38">
        <f t="shared" si="3"/>
        <v>-4.2662116040955711E-3</v>
      </c>
    </row>
    <row r="7" spans="1:13" x14ac:dyDescent="0.25">
      <c r="A7" s="6">
        <f t="shared" si="0"/>
        <v>3</v>
      </c>
      <c r="B7" s="24">
        <v>45377</v>
      </c>
      <c r="C7" s="36">
        <v>9.4960000000000003E-2</v>
      </c>
      <c r="D7" s="37">
        <v>9.2660000000000006E-2</v>
      </c>
      <c r="E7" s="37">
        <v>9.2759999999999995E-2</v>
      </c>
      <c r="F7" s="38">
        <v>9.3759999999999996E-2</v>
      </c>
      <c r="G7" s="36">
        <f t="shared" si="4"/>
        <v>-4.1946308724831738E-3</v>
      </c>
      <c r="H7" s="37">
        <f t="shared" si="1"/>
        <v>-4.2983021706424207E-3</v>
      </c>
      <c r="I7" s="37">
        <f t="shared" si="2"/>
        <v>-4.293688278231178E-3</v>
      </c>
      <c r="J7" s="38">
        <f t="shared" si="3"/>
        <v>-5.3044769785699497E-3</v>
      </c>
    </row>
    <row r="8" spans="1:13" x14ac:dyDescent="0.25">
      <c r="A8" s="6">
        <f t="shared" si="0"/>
        <v>4</v>
      </c>
      <c r="B8" s="24">
        <v>45376</v>
      </c>
      <c r="C8" s="36">
        <v>9.536E-2</v>
      </c>
      <c r="D8" s="37">
        <v>9.305999999999999E-2</v>
      </c>
      <c r="E8" s="37">
        <v>9.3160000000000007E-2</v>
      </c>
      <c r="F8" s="38">
        <v>9.4259999999999997E-2</v>
      </c>
      <c r="G8" s="36">
        <f t="shared" si="4"/>
        <v>-2.8425878757004641E-2</v>
      </c>
      <c r="H8" s="37">
        <f t="shared" si="1"/>
        <v>-2.3914411579610051E-2</v>
      </c>
      <c r="I8" s="37">
        <f t="shared" si="2"/>
        <v>-2.4911032028469671E-2</v>
      </c>
      <c r="J8" s="38">
        <f t="shared" si="3"/>
        <v>-2.8047020004124734E-2</v>
      </c>
    </row>
    <row r="9" spans="1:13" x14ac:dyDescent="0.25">
      <c r="A9" s="6">
        <f t="shared" si="0"/>
        <v>5</v>
      </c>
      <c r="B9" s="24">
        <v>45374</v>
      </c>
      <c r="C9" s="36">
        <v>9.8150000000000001E-2</v>
      </c>
      <c r="D9" s="37">
        <v>9.5340000000000008E-2</v>
      </c>
      <c r="E9" s="37">
        <v>9.554E-2</v>
      </c>
      <c r="F9" s="38">
        <v>9.6980000000000011E-2</v>
      </c>
      <c r="G9" s="36">
        <f t="shared" si="4"/>
        <v>3.250578581948238E-2</v>
      </c>
      <c r="H9" s="37">
        <f t="shared" si="1"/>
        <v>3.6755110917790379E-2</v>
      </c>
      <c r="I9" s="37">
        <f t="shared" si="2"/>
        <v>3.8929969551979138E-2</v>
      </c>
      <c r="J9" s="38">
        <f t="shared" si="3"/>
        <v>3.5447362801622972E-2</v>
      </c>
      <c r="K9" s="10"/>
      <c r="L9" s="12"/>
      <c r="M9" s="5"/>
    </row>
    <row r="10" spans="1:13" x14ac:dyDescent="0.25">
      <c r="A10" s="6">
        <f t="shared" si="0"/>
        <v>6</v>
      </c>
      <c r="B10" s="24">
        <v>45373</v>
      </c>
      <c r="C10" s="36">
        <v>9.5060000000000006E-2</v>
      </c>
      <c r="D10" s="37">
        <v>9.196E-2</v>
      </c>
      <c r="E10" s="37">
        <v>9.196E-2</v>
      </c>
      <c r="F10" s="38">
        <v>9.3659999999999993E-2</v>
      </c>
      <c r="G10" s="36">
        <f t="shared" si="4"/>
        <v>1.1707109408258809E-2</v>
      </c>
      <c r="H10" s="37">
        <f t="shared" si="1"/>
        <v>5.4668707631750912E-3</v>
      </c>
      <c r="I10" s="37">
        <f t="shared" si="2"/>
        <v>5.4668707631750912E-3</v>
      </c>
      <c r="J10" s="38">
        <f t="shared" si="3"/>
        <v>7.5301204819278045E-3</v>
      </c>
      <c r="K10" s="10"/>
      <c r="L10" s="12"/>
      <c r="M10" s="5"/>
    </row>
    <row r="11" spans="1:13" x14ac:dyDescent="0.25">
      <c r="A11" s="6">
        <f t="shared" si="0"/>
        <v>7</v>
      </c>
      <c r="B11" s="24">
        <v>45372</v>
      </c>
      <c r="C11" s="36">
        <v>9.3960000000000002E-2</v>
      </c>
      <c r="D11" s="37">
        <v>9.1460000000000014E-2</v>
      </c>
      <c r="E11" s="37">
        <v>9.1460000000000014E-2</v>
      </c>
      <c r="F11" s="38">
        <v>9.2959999999999987E-2</v>
      </c>
      <c r="G11" s="36">
        <f t="shared" si="4"/>
        <v>-2.2878535773710462E-2</v>
      </c>
      <c r="H11" s="37">
        <f t="shared" si="1"/>
        <v>-1.1884183232497736E-2</v>
      </c>
      <c r="I11" s="37">
        <f t="shared" si="2"/>
        <v>-1.1884183232497736E-2</v>
      </c>
      <c r="J11" s="38">
        <f t="shared" si="3"/>
        <v>-7.4738415545591019E-3</v>
      </c>
      <c r="K11" s="11"/>
      <c r="L11" s="12"/>
      <c r="M11" s="5"/>
    </row>
    <row r="12" spans="1:13" x14ac:dyDescent="0.25">
      <c r="A12" s="6">
        <f t="shared" si="0"/>
        <v>8</v>
      </c>
      <c r="B12" s="24">
        <v>45371</v>
      </c>
      <c r="C12" s="36">
        <v>9.6159999999999995E-2</v>
      </c>
      <c r="D12" s="37">
        <v>9.2560000000000003E-2</v>
      </c>
      <c r="E12" s="37">
        <v>9.2560000000000003E-2</v>
      </c>
      <c r="F12" s="38">
        <v>9.3659999999999993E-2</v>
      </c>
      <c r="G12" s="36">
        <f t="shared" si="4"/>
        <v>0</v>
      </c>
      <c r="H12" s="37">
        <f t="shared" si="1"/>
        <v>-1.0792143319663383E-3</v>
      </c>
      <c r="I12" s="37">
        <f t="shared" si="2"/>
        <v>-2.1561017680034045E-3</v>
      </c>
      <c r="J12" s="38">
        <f t="shared" si="3"/>
        <v>-2.1308331557640114E-3</v>
      </c>
      <c r="K12" s="10"/>
      <c r="L12" s="12"/>
      <c r="M12" s="5"/>
    </row>
    <row r="13" spans="1:13" x14ac:dyDescent="0.25">
      <c r="A13" s="6">
        <f t="shared" si="0"/>
        <v>9</v>
      </c>
      <c r="B13" s="24">
        <v>45370</v>
      </c>
      <c r="C13" s="36">
        <v>9.6159999999999995E-2</v>
      </c>
      <c r="D13" s="37">
        <v>9.2660000000000006E-2</v>
      </c>
      <c r="E13" s="37">
        <v>9.2759999999999995E-2</v>
      </c>
      <c r="F13" s="38">
        <v>9.3859999999999999E-2</v>
      </c>
      <c r="G13" s="36">
        <f t="shared" si="4"/>
        <v>-3.3956198513160563E-2</v>
      </c>
      <c r="H13" s="37">
        <f t="shared" si="1"/>
        <v>-3.7298701298701276E-2</v>
      </c>
      <c r="I13" s="37">
        <f t="shared" si="2"/>
        <v>-3.7160058127465367E-2</v>
      </c>
      <c r="J13" s="38">
        <f t="shared" si="3"/>
        <v>-3.5949055053410062E-2</v>
      </c>
      <c r="K13" s="10"/>
    </row>
    <row r="14" spans="1:13" x14ac:dyDescent="0.25">
      <c r="A14" s="6">
        <f t="shared" si="0"/>
        <v>10</v>
      </c>
      <c r="B14" s="24">
        <v>45367</v>
      </c>
      <c r="C14" s="36">
        <v>9.9540000000000003E-2</v>
      </c>
      <c r="D14" s="37">
        <v>9.6250000000000002E-2</v>
      </c>
      <c r="E14" s="37">
        <v>9.6340000000000009E-2</v>
      </c>
      <c r="F14" s="38">
        <v>9.7360000000000002E-2</v>
      </c>
      <c r="G14" s="36">
        <f t="shared" si="4"/>
        <v>3.5149750415973458E-2</v>
      </c>
      <c r="H14" s="37">
        <f t="shared" si="1"/>
        <v>3.9866032843560939E-2</v>
      </c>
      <c r="I14" s="37">
        <f t="shared" si="2"/>
        <v>3.9715087416360983E-2</v>
      </c>
      <c r="J14" s="38">
        <f t="shared" si="3"/>
        <v>3.7289580225868368E-2</v>
      </c>
      <c r="K14" s="11"/>
    </row>
    <row r="15" spans="1:13" x14ac:dyDescent="0.25">
      <c r="A15" s="6">
        <f t="shared" si="0"/>
        <v>11</v>
      </c>
      <c r="B15" s="24">
        <v>45366</v>
      </c>
      <c r="C15" s="36">
        <v>9.6159999999999995E-2</v>
      </c>
      <c r="D15" s="37">
        <v>9.2560000000000003E-2</v>
      </c>
      <c r="E15" s="37">
        <v>9.2660000000000006E-2</v>
      </c>
      <c r="F15" s="38">
        <v>9.3859999999999999E-2</v>
      </c>
      <c r="G15" s="36">
        <f t="shared" si="4"/>
        <v>8.3892617449663476E-3</v>
      </c>
      <c r="H15" s="37">
        <f t="shared" si="1"/>
        <v>9.8188959197031966E-3</v>
      </c>
      <c r="I15" s="37">
        <f t="shared" si="2"/>
        <v>6.5174885943950489E-3</v>
      </c>
      <c r="J15" s="38">
        <f t="shared" si="3"/>
        <v>1.1858559724019058E-2</v>
      </c>
      <c r="K15" s="10"/>
    </row>
    <row r="16" spans="1:13" x14ac:dyDescent="0.25">
      <c r="A16" s="6">
        <f t="shared" si="0"/>
        <v>12</v>
      </c>
      <c r="B16" s="24">
        <v>45365</v>
      </c>
      <c r="C16" s="36">
        <v>9.536E-2</v>
      </c>
      <c r="D16" s="37">
        <v>9.1660000000000005E-2</v>
      </c>
      <c r="E16" s="37">
        <v>9.2059999999999989E-2</v>
      </c>
      <c r="F16" s="38">
        <v>9.2759999999999995E-2</v>
      </c>
      <c r="G16" s="36">
        <f t="shared" si="4"/>
        <v>6.3317855635287579E-3</v>
      </c>
      <c r="H16" s="37">
        <f t="shared" si="1"/>
        <v>4.3830813061582763E-3</v>
      </c>
      <c r="I16" s="37">
        <f t="shared" si="2"/>
        <v>7.6619964973729804E-3</v>
      </c>
      <c r="J16" s="38">
        <f t="shared" si="3"/>
        <v>4.3308791684710801E-3</v>
      </c>
      <c r="K16" s="11"/>
    </row>
    <row r="17" spans="1:11" x14ac:dyDescent="0.25">
      <c r="A17" s="6">
        <f t="shared" si="0"/>
        <v>13</v>
      </c>
      <c r="B17" s="24">
        <v>45364</v>
      </c>
      <c r="C17" s="36">
        <v>9.4760000000000011E-2</v>
      </c>
      <c r="D17" s="37">
        <v>9.1259999999999994E-2</v>
      </c>
      <c r="E17" s="37">
        <v>9.1359999999999997E-2</v>
      </c>
      <c r="F17" s="38">
        <v>9.2360000000000012E-2</v>
      </c>
      <c r="G17" s="36">
        <f t="shared" si="4"/>
        <v>-3.1559015358719744E-3</v>
      </c>
      <c r="H17" s="37">
        <f t="shared" si="1"/>
        <v>-4.3639537420904206E-3</v>
      </c>
      <c r="I17" s="37">
        <f t="shared" si="2"/>
        <v>-3.2729653065678432E-3</v>
      </c>
      <c r="J17" s="38">
        <f t="shared" si="3"/>
        <v>-2.16076058772674E-3</v>
      </c>
      <c r="K17" s="11"/>
    </row>
    <row r="18" spans="1:11" x14ac:dyDescent="0.25">
      <c r="A18" s="6">
        <f t="shared" si="0"/>
        <v>14</v>
      </c>
      <c r="B18" s="24">
        <v>45363</v>
      </c>
      <c r="C18" s="36">
        <v>9.5060000000000006E-2</v>
      </c>
      <c r="D18" s="37">
        <v>9.1660000000000005E-2</v>
      </c>
      <c r="E18" s="37">
        <v>9.1660000000000005E-2</v>
      </c>
      <c r="F18" s="38">
        <v>9.2560000000000003E-2</v>
      </c>
      <c r="G18" s="36">
        <f t="shared" si="4"/>
        <v>5.2876480541457216E-3</v>
      </c>
      <c r="H18" s="37">
        <f t="shared" si="1"/>
        <v>1.092179991262654E-3</v>
      </c>
      <c r="I18" s="37">
        <f t="shared" si="2"/>
        <v>2.1867483052699921E-3</v>
      </c>
      <c r="J18" s="38">
        <f t="shared" si="3"/>
        <v>7.6202917483128019E-3</v>
      </c>
    </row>
    <row r="19" spans="1:11" x14ac:dyDescent="0.25">
      <c r="A19" s="6">
        <f t="shared" si="0"/>
        <v>15</v>
      </c>
      <c r="B19" s="24">
        <v>45362</v>
      </c>
      <c r="C19" s="36">
        <v>9.4559999999999991E-2</v>
      </c>
      <c r="D19" s="37">
        <v>9.1560000000000002E-2</v>
      </c>
      <c r="E19" s="37">
        <v>9.1460000000000014E-2</v>
      </c>
      <c r="F19" s="38">
        <v>9.1859999999999997E-2</v>
      </c>
      <c r="G19" s="36">
        <f t="shared" si="4"/>
        <v>-3.4116445352400326E-2</v>
      </c>
      <c r="H19" s="37">
        <f t="shared" si="1"/>
        <v>-3.671751709626514E-2</v>
      </c>
      <c r="I19" s="37">
        <f t="shared" si="2"/>
        <v>-3.6147117715249144E-2</v>
      </c>
      <c r="J19" s="38">
        <f t="shared" si="3"/>
        <v>-3.5691790888095709E-2</v>
      </c>
    </row>
    <row r="20" spans="1:11" x14ac:dyDescent="0.25">
      <c r="A20" s="6">
        <f t="shared" si="0"/>
        <v>16</v>
      </c>
      <c r="B20" s="24">
        <v>45360</v>
      </c>
      <c r="C20" s="36">
        <v>9.7899999999999987E-2</v>
      </c>
      <c r="D20" s="37">
        <v>9.5050000000000009E-2</v>
      </c>
      <c r="E20" s="37">
        <v>9.4890000000000002E-2</v>
      </c>
      <c r="F20" s="38">
        <v>9.5259999999999997E-2</v>
      </c>
      <c r="G20" s="36">
        <f t="shared" si="4"/>
        <v>4.2598509052182987E-2</v>
      </c>
      <c r="H20" s="37">
        <f t="shared" si="1"/>
        <v>4.680616740088106E-2</v>
      </c>
      <c r="I20" s="37">
        <f t="shared" si="2"/>
        <v>4.1602634467617916E-2</v>
      </c>
      <c r="J20" s="38">
        <f t="shared" si="3"/>
        <v>4.7043306221147496E-2</v>
      </c>
    </row>
    <row r="21" spans="1:11" x14ac:dyDescent="0.25">
      <c r="A21" s="6">
        <f t="shared" si="0"/>
        <v>17</v>
      </c>
      <c r="B21" s="24">
        <v>45359</v>
      </c>
      <c r="C21" s="36">
        <v>9.3900000000000011E-2</v>
      </c>
      <c r="D21" s="37">
        <v>9.0800000000000006E-2</v>
      </c>
      <c r="E21" s="37">
        <v>9.11E-2</v>
      </c>
      <c r="F21" s="38">
        <v>9.0980000000000005E-2</v>
      </c>
      <c r="G21" s="36">
        <f t="shared" si="4"/>
        <v>-1.1162594776747969E-2</v>
      </c>
      <c r="H21" s="37">
        <f t="shared" si="1"/>
        <v>-8.3005679335954596E-3</v>
      </c>
      <c r="I21" s="37">
        <f t="shared" si="2"/>
        <v>-1.7532325224631773E-3</v>
      </c>
      <c r="J21" s="38">
        <f t="shared" si="3"/>
        <v>-4.1593695271452402E-3</v>
      </c>
    </row>
    <row r="22" spans="1:11" x14ac:dyDescent="0.25">
      <c r="A22" s="6">
        <f t="shared" si="0"/>
        <v>18</v>
      </c>
      <c r="B22" s="24">
        <v>45358</v>
      </c>
      <c r="C22" s="36">
        <v>9.4960000000000003E-2</v>
      </c>
      <c r="D22" s="37">
        <v>9.1560000000000002E-2</v>
      </c>
      <c r="E22" s="37">
        <v>9.1259999999999994E-2</v>
      </c>
      <c r="F22" s="38">
        <v>9.1359999999999997E-2</v>
      </c>
      <c r="G22" s="36">
        <f t="shared" si="4"/>
        <v>1.0642826734780675E-2</v>
      </c>
      <c r="H22" s="37">
        <f t="shared" si="1"/>
        <v>1.093374152634885E-3</v>
      </c>
      <c r="I22" s="37">
        <f t="shared" si="2"/>
        <v>0</v>
      </c>
      <c r="J22" s="38">
        <f t="shared" si="3"/>
        <v>-3.2729653065678432E-3</v>
      </c>
    </row>
    <row r="23" spans="1:11" x14ac:dyDescent="0.25">
      <c r="A23" s="6">
        <f t="shared" si="0"/>
        <v>19</v>
      </c>
      <c r="B23" s="24">
        <v>45357</v>
      </c>
      <c r="C23" s="36">
        <v>9.3960000000000002E-2</v>
      </c>
      <c r="D23" s="37">
        <v>9.1460000000000014E-2</v>
      </c>
      <c r="E23" s="37">
        <v>9.1259999999999994E-2</v>
      </c>
      <c r="F23" s="38">
        <v>9.1660000000000005E-2</v>
      </c>
      <c r="G23" s="36">
        <f t="shared" si="4"/>
        <v>-6.345177664974555E-3</v>
      </c>
      <c r="H23" s="37">
        <f t="shared" si="1"/>
        <v>-4.354452427607014E-3</v>
      </c>
      <c r="I23" s="37">
        <f t="shared" si="2"/>
        <v>-7.6120052196607668E-3</v>
      </c>
      <c r="J23" s="38">
        <f t="shared" si="3"/>
        <v>-3.2622879512831382E-3</v>
      </c>
    </row>
    <row r="24" spans="1:11" x14ac:dyDescent="0.25">
      <c r="A24" s="6">
        <f t="shared" si="0"/>
        <v>20</v>
      </c>
      <c r="B24" s="24">
        <v>45356</v>
      </c>
      <c r="C24" s="36">
        <v>9.4559999999999991E-2</v>
      </c>
      <c r="D24" s="37">
        <v>9.1859999999999997E-2</v>
      </c>
      <c r="E24" s="37">
        <v>9.196E-2</v>
      </c>
      <c r="F24" s="38">
        <v>9.196E-2</v>
      </c>
      <c r="G24" s="36">
        <f t="shared" si="4"/>
        <v>-5.2598358931202904E-3</v>
      </c>
      <c r="H24" s="37">
        <f t="shared" si="1"/>
        <v>-4.3355733795795715E-3</v>
      </c>
      <c r="I24" s="37">
        <f t="shared" si="2"/>
        <v>-2.1701388888888395E-3</v>
      </c>
      <c r="J24" s="38">
        <f t="shared" si="3"/>
        <v>-3.2516800346846786E-3</v>
      </c>
    </row>
    <row r="25" spans="1:11" x14ac:dyDescent="0.25">
      <c r="A25" s="6">
        <f t="shared" si="0"/>
        <v>21</v>
      </c>
      <c r="B25" s="24">
        <v>45355</v>
      </c>
      <c r="C25" s="36">
        <v>9.5060000000000006E-2</v>
      </c>
      <c r="D25" s="37">
        <v>9.2260000000000009E-2</v>
      </c>
      <c r="E25" s="37">
        <v>9.2159999999999992E-2</v>
      </c>
      <c r="F25" s="38">
        <v>9.2260000000000009E-2</v>
      </c>
      <c r="G25" s="36">
        <f t="shared" si="4"/>
        <v>-2.6423596886521739E-2</v>
      </c>
      <c r="H25" s="37">
        <f t="shared" si="1"/>
        <v>-3.2609835378001439E-2</v>
      </c>
      <c r="I25" s="37">
        <f t="shared" si="2"/>
        <v>-3.172935490649309E-2</v>
      </c>
      <c r="J25" s="38">
        <f t="shared" si="3"/>
        <v>-3.2711260222268779E-2</v>
      </c>
    </row>
    <row r="26" spans="1:11" x14ac:dyDescent="0.25">
      <c r="A26" s="6">
        <f t="shared" si="0"/>
        <v>22</v>
      </c>
      <c r="B26" s="24">
        <v>45353</v>
      </c>
      <c r="C26" s="36">
        <v>9.7639999999999991E-2</v>
      </c>
      <c r="D26" s="37">
        <v>9.537000000000001E-2</v>
      </c>
      <c r="E26" s="37">
        <v>9.5180000000000001E-2</v>
      </c>
      <c r="F26" s="38">
        <v>9.5380000000000006E-2</v>
      </c>
      <c r="G26" s="36">
        <f t="shared" si="4"/>
        <v>3.0392570704938615E-2</v>
      </c>
      <c r="H26" s="37">
        <f t="shared" si="1"/>
        <v>4.1612057667103519E-2</v>
      </c>
      <c r="I26" s="37">
        <f t="shared" si="2"/>
        <v>4.0673518478023141E-2</v>
      </c>
      <c r="J26" s="38">
        <f t="shared" si="3"/>
        <v>3.8319181362943766E-2</v>
      </c>
    </row>
    <row r="27" spans="1:11" x14ac:dyDescent="0.25">
      <c r="A27" s="6">
        <f t="shared" si="0"/>
        <v>23</v>
      </c>
      <c r="B27" s="24">
        <v>45352</v>
      </c>
      <c r="C27" s="36">
        <v>9.4760000000000011E-2</v>
      </c>
      <c r="D27" s="37">
        <v>9.1560000000000002E-2</v>
      </c>
      <c r="E27" s="37">
        <v>9.1460000000000014E-2</v>
      </c>
      <c r="F27" s="38">
        <v>9.1859999999999997E-2</v>
      </c>
      <c r="G27" s="36">
        <f t="shared" si="4"/>
        <v>2.7513227513229488E-3</v>
      </c>
      <c r="H27" s="37">
        <f t="shared" si="1"/>
        <v>-1.0909884355225774E-3</v>
      </c>
      <c r="I27" s="37">
        <f t="shared" si="2"/>
        <v>-1.0921799912624319E-3</v>
      </c>
      <c r="J27" s="38">
        <f t="shared" si="3"/>
        <v>-2.1724961981315349E-3</v>
      </c>
    </row>
    <row r="28" spans="1:11" x14ac:dyDescent="0.25">
      <c r="A28" s="6">
        <f t="shared" si="0"/>
        <v>24</v>
      </c>
      <c r="B28" s="24">
        <v>45351</v>
      </c>
      <c r="C28" s="36">
        <v>9.4499999999999987E-2</v>
      </c>
      <c r="D28" s="37">
        <v>9.1660000000000005E-2</v>
      </c>
      <c r="E28" s="37">
        <v>9.1560000000000002E-2</v>
      </c>
      <c r="F28" s="38">
        <v>9.2059999999999989E-2</v>
      </c>
      <c r="G28" s="36">
        <f t="shared" si="4"/>
        <v>-2.7437737441960985E-3</v>
      </c>
      <c r="H28" s="37">
        <f t="shared" si="1"/>
        <v>-5.4253472222220989E-3</v>
      </c>
      <c r="I28" s="37">
        <f t="shared" si="2"/>
        <v>-4.3497172683775176E-3</v>
      </c>
      <c r="J28" s="38">
        <f t="shared" si="3"/>
        <v>-8.6151195347836662E-3</v>
      </c>
    </row>
    <row r="29" spans="1:11" x14ac:dyDescent="0.25">
      <c r="A29" s="6">
        <f t="shared" si="0"/>
        <v>25</v>
      </c>
      <c r="B29" s="24">
        <v>45350</v>
      </c>
      <c r="C29" s="36">
        <v>9.4760000000000011E-2</v>
      </c>
      <c r="D29" s="37">
        <v>9.2159999999999992E-2</v>
      </c>
      <c r="E29" s="37">
        <v>9.196E-2</v>
      </c>
      <c r="F29" s="38">
        <v>9.2859999999999998E-2</v>
      </c>
      <c r="G29" s="36">
        <f t="shared" si="4"/>
        <v>-2.106149957876946E-3</v>
      </c>
      <c r="H29" s="37">
        <f t="shared" si="1"/>
        <v>-6.4683053040104355E-3</v>
      </c>
      <c r="I29" s="37">
        <f t="shared" si="2"/>
        <v>-5.4077438892493612E-3</v>
      </c>
      <c r="J29" s="38">
        <f t="shared" si="3"/>
        <v>-5.3556126820908379E-3</v>
      </c>
    </row>
    <row r="30" spans="1:11" x14ac:dyDescent="0.25">
      <c r="A30" s="6">
        <f t="shared" si="0"/>
        <v>26</v>
      </c>
      <c r="B30" s="24">
        <v>45349</v>
      </c>
      <c r="C30" s="36">
        <v>9.4960000000000003E-2</v>
      </c>
      <c r="D30" s="37">
        <v>9.2759999999999995E-2</v>
      </c>
      <c r="E30" s="37">
        <v>9.2460000000000001E-2</v>
      </c>
      <c r="F30" s="38">
        <v>9.3359999999999999E-2</v>
      </c>
      <c r="G30" s="36">
        <f t="shared" si="4"/>
        <v>1.2798634812286824E-2</v>
      </c>
      <c r="H30" s="37">
        <f t="shared" si="1"/>
        <v>1.0897994768962471E-2</v>
      </c>
      <c r="I30" s="37">
        <f t="shared" si="2"/>
        <v>7.6285963382736188E-3</v>
      </c>
      <c r="J30" s="38">
        <f t="shared" si="3"/>
        <v>2.146844139115478E-3</v>
      </c>
    </row>
    <row r="31" spans="1:11" x14ac:dyDescent="0.25">
      <c r="A31" s="6">
        <f t="shared" si="0"/>
        <v>27</v>
      </c>
      <c r="B31" s="24">
        <v>45348</v>
      </c>
      <c r="C31" s="36">
        <v>9.3759999999999996E-2</v>
      </c>
      <c r="D31" s="37">
        <v>9.1760000000000008E-2</v>
      </c>
      <c r="E31" s="37">
        <v>9.1760000000000008E-2</v>
      </c>
      <c r="F31" s="38">
        <v>9.3160000000000007E-2</v>
      </c>
      <c r="G31" s="36">
        <f t="shared" si="4"/>
        <v>-3.9737812371978598E-2</v>
      </c>
      <c r="H31" s="37">
        <f t="shared" si="1"/>
        <v>-3.8356738629218179E-2</v>
      </c>
      <c r="I31" s="37">
        <f t="shared" si="2"/>
        <v>-3.7448861848316306E-2</v>
      </c>
      <c r="J31" s="38">
        <f t="shared" si="3"/>
        <v>-3.5011394240729188E-2</v>
      </c>
    </row>
    <row r="32" spans="1:11" x14ac:dyDescent="0.25">
      <c r="A32" s="6">
        <f t="shared" si="0"/>
        <v>28</v>
      </c>
      <c r="B32" s="24">
        <v>45346</v>
      </c>
      <c r="C32" s="36">
        <v>9.7639999999999991E-2</v>
      </c>
      <c r="D32" s="37">
        <v>9.5420000000000005E-2</v>
      </c>
      <c r="E32" s="37">
        <v>9.5329999999999998E-2</v>
      </c>
      <c r="F32" s="38">
        <v>9.6540000000000001E-2</v>
      </c>
      <c r="G32" s="36">
        <f t="shared" si="4"/>
        <v>4.138225255972694E-2</v>
      </c>
      <c r="H32" s="37">
        <f t="shared" si="1"/>
        <v>3.9886660854402844E-2</v>
      </c>
      <c r="I32" s="37">
        <f t="shared" si="2"/>
        <v>3.8905841325196144E-2</v>
      </c>
      <c r="J32" s="38">
        <f t="shared" si="3"/>
        <v>3.6281665951051867E-2</v>
      </c>
    </row>
    <row r="33" spans="1:10" x14ac:dyDescent="0.25">
      <c r="A33" s="6">
        <f t="shared" si="0"/>
        <v>29</v>
      </c>
      <c r="B33" s="24">
        <v>45345</v>
      </c>
      <c r="C33" s="36">
        <v>9.3759999999999996E-2</v>
      </c>
      <c r="D33" s="37">
        <v>9.1760000000000008E-2</v>
      </c>
      <c r="E33" s="37">
        <v>9.1760000000000008E-2</v>
      </c>
      <c r="F33" s="38">
        <v>9.3160000000000007E-2</v>
      </c>
      <c r="G33" s="36">
        <f t="shared" si="4"/>
        <v>-1.0654165778819502E-3</v>
      </c>
      <c r="H33" s="37">
        <f t="shared" si="1"/>
        <v>-5.4194667244743533E-3</v>
      </c>
      <c r="I33" s="37">
        <f t="shared" si="2"/>
        <v>-4.3402777777775681E-3</v>
      </c>
      <c r="J33" s="38">
        <f t="shared" si="3"/>
        <v>-4.2753313381787006E-3</v>
      </c>
    </row>
    <row r="34" spans="1:10" x14ac:dyDescent="0.25">
      <c r="A34" s="6">
        <f t="shared" si="0"/>
        <v>30</v>
      </c>
      <c r="B34" s="24">
        <v>45344</v>
      </c>
      <c r="C34" s="36">
        <v>9.3859999999999999E-2</v>
      </c>
      <c r="D34" s="37">
        <v>9.2260000000000009E-2</v>
      </c>
      <c r="E34" s="37">
        <v>9.2159999999999992E-2</v>
      </c>
      <c r="F34" s="38">
        <v>9.3560000000000004E-2</v>
      </c>
      <c r="G34" s="36">
        <f t="shared" si="4"/>
        <v>-6.0362173038229772E-3</v>
      </c>
      <c r="H34" s="37">
        <f t="shared" si="1"/>
        <v>1.4110496038208797E-3</v>
      </c>
      <c r="I34" s="37">
        <f t="shared" si="2"/>
        <v>0</v>
      </c>
      <c r="J34" s="38">
        <f t="shared" si="3"/>
        <v>9.7129289876969338E-3</v>
      </c>
    </row>
    <row r="35" spans="1:10" x14ac:dyDescent="0.25">
      <c r="A35" s="6">
        <f t="shared" si="0"/>
        <v>31</v>
      </c>
      <c r="B35" s="24">
        <v>45343</v>
      </c>
      <c r="C35" s="36">
        <v>9.443E-2</v>
      </c>
      <c r="D35" s="37">
        <v>9.212999999999999E-2</v>
      </c>
      <c r="E35" s="37">
        <v>9.2159999999999992E-2</v>
      </c>
      <c r="F35" s="38">
        <v>9.2660000000000006E-2</v>
      </c>
      <c r="G35" s="36">
        <f t="shared" si="4"/>
        <v>-1.1825031393888574E-2</v>
      </c>
      <c r="H35" s="37">
        <f t="shared" si="1"/>
        <v>-6.7917205692109572E-3</v>
      </c>
      <c r="I35" s="37">
        <f t="shared" si="2"/>
        <v>-7.5382295929357079E-3</v>
      </c>
      <c r="J35" s="38">
        <f t="shared" si="3"/>
        <v>-7.497857754927062E-3</v>
      </c>
    </row>
    <row r="36" spans="1:10" x14ac:dyDescent="0.25">
      <c r="A36" s="6">
        <f t="shared" si="0"/>
        <v>32</v>
      </c>
      <c r="B36" s="24">
        <v>45342</v>
      </c>
      <c r="C36" s="36">
        <v>9.5559999999999992E-2</v>
      </c>
      <c r="D36" s="37">
        <v>9.2759999999999995E-2</v>
      </c>
      <c r="E36" s="37">
        <v>9.2859999999999998E-2</v>
      </c>
      <c r="F36" s="38">
        <v>9.3359999999999999E-2</v>
      </c>
      <c r="G36" s="36">
        <f t="shared" si="4"/>
        <v>-1.0453690152625317E-3</v>
      </c>
      <c r="H36" s="37">
        <f t="shared" si="1"/>
        <v>-1.0768899418479583E-3</v>
      </c>
      <c r="I36" s="37">
        <f t="shared" si="2"/>
        <v>-2.1491510853212104E-3</v>
      </c>
      <c r="J36" s="38">
        <f t="shared" si="3"/>
        <v>-1.0699764605178741E-3</v>
      </c>
    </row>
    <row r="37" spans="1:10" x14ac:dyDescent="0.25">
      <c r="A37" s="6">
        <f t="shared" si="0"/>
        <v>33</v>
      </c>
      <c r="B37" s="24">
        <v>45341</v>
      </c>
      <c r="C37" s="36">
        <v>9.5660000000000009E-2</v>
      </c>
      <c r="D37" s="37">
        <v>9.2859999999999998E-2</v>
      </c>
      <c r="E37" s="37">
        <v>9.305999999999999E-2</v>
      </c>
      <c r="F37" s="38">
        <v>9.3460000000000001E-2</v>
      </c>
      <c r="G37" s="36">
        <f t="shared" si="4"/>
        <v>-3.3834966165033786E-2</v>
      </c>
      <c r="H37" s="37">
        <f t="shared" si="1"/>
        <v>-3.6622056229899336E-2</v>
      </c>
      <c r="I37" s="37">
        <f t="shared" si="2"/>
        <v>-3.4847542003733634E-2</v>
      </c>
      <c r="J37" s="38">
        <f t="shared" si="3"/>
        <v>-3.3505687693898611E-2</v>
      </c>
    </row>
    <row r="38" spans="1:10" x14ac:dyDescent="0.25">
      <c r="A38" s="6">
        <f t="shared" si="0"/>
        <v>34</v>
      </c>
      <c r="B38" s="24">
        <v>45339</v>
      </c>
      <c r="C38" s="36">
        <v>9.9010000000000001E-2</v>
      </c>
      <c r="D38" s="37">
        <v>9.638999999999999E-2</v>
      </c>
      <c r="E38" s="37">
        <v>9.6419999999999992E-2</v>
      </c>
      <c r="F38" s="38">
        <v>9.6699999999999994E-2</v>
      </c>
      <c r="G38" s="36">
        <f t="shared" si="4"/>
        <v>3.5019862011289815E-2</v>
      </c>
      <c r="H38" s="37">
        <f t="shared" si="1"/>
        <v>3.8014214947232228E-2</v>
      </c>
      <c r="I38" s="37">
        <f t="shared" si="2"/>
        <v>3.6105738233397799E-2</v>
      </c>
      <c r="J38" s="38">
        <f t="shared" si="3"/>
        <v>3.9114549752847783E-2</v>
      </c>
    </row>
    <row r="39" spans="1:10" x14ac:dyDescent="0.25">
      <c r="A39" s="6">
        <f t="shared" si="0"/>
        <v>35</v>
      </c>
      <c r="B39" s="24">
        <v>45338</v>
      </c>
      <c r="C39" s="36">
        <v>9.5660000000000009E-2</v>
      </c>
      <c r="D39" s="37">
        <v>9.2859999999999998E-2</v>
      </c>
      <c r="E39" s="37">
        <v>9.305999999999999E-2</v>
      </c>
      <c r="F39" s="38">
        <v>9.305999999999999E-2</v>
      </c>
      <c r="G39" s="36">
        <f t="shared" si="4"/>
        <v>1.1632825719120277E-2</v>
      </c>
      <c r="H39" s="37">
        <f t="shared" si="1"/>
        <v>8.6899847925268059E-3</v>
      </c>
      <c r="I39" s="37">
        <f t="shared" si="2"/>
        <v>9.765625E-3</v>
      </c>
      <c r="J39" s="38">
        <f t="shared" si="3"/>
        <v>4.3168573278651312E-3</v>
      </c>
    </row>
    <row r="40" spans="1:10" x14ac:dyDescent="0.25">
      <c r="A40" s="6">
        <f t="shared" si="0"/>
        <v>36</v>
      </c>
      <c r="B40" s="24">
        <v>45337</v>
      </c>
      <c r="C40" s="36">
        <v>9.4559999999999991E-2</v>
      </c>
      <c r="D40" s="37">
        <v>9.2059999999999989E-2</v>
      </c>
      <c r="E40" s="37">
        <v>9.2159999999999992E-2</v>
      </c>
      <c r="F40" s="38">
        <v>9.2660000000000006E-2</v>
      </c>
      <c r="G40" s="36">
        <f t="shared" si="4"/>
        <v>-4.2122999157541141E-3</v>
      </c>
      <c r="H40" s="37">
        <f t="shared" si="1"/>
        <v>-4.3261951113996444E-3</v>
      </c>
      <c r="I40" s="37">
        <f t="shared" si="2"/>
        <v>-3.2446463335497056E-3</v>
      </c>
      <c r="J40" s="38">
        <f t="shared" si="3"/>
        <v>-6.4336264207591753E-3</v>
      </c>
    </row>
    <row r="41" spans="1:10" x14ac:dyDescent="0.25">
      <c r="A41" s="6">
        <f t="shared" si="0"/>
        <v>37</v>
      </c>
      <c r="B41" s="24">
        <v>45336</v>
      </c>
      <c r="C41" s="36">
        <v>9.4960000000000003E-2</v>
      </c>
      <c r="D41" s="37">
        <v>9.2460000000000001E-2</v>
      </c>
      <c r="E41" s="37">
        <v>9.2460000000000001E-2</v>
      </c>
      <c r="F41" s="38">
        <v>9.326000000000001E-2</v>
      </c>
      <c r="G41" s="36">
        <f t="shared" si="4"/>
        <v>-8.3542188805347806E-3</v>
      </c>
      <c r="H41" s="37">
        <f t="shared" si="1"/>
        <v>-5.3786574870910986E-3</v>
      </c>
      <c r="I41" s="37">
        <f t="shared" si="2"/>
        <v>-8.5781685610123448E-3</v>
      </c>
      <c r="J41" s="38">
        <f t="shared" si="3"/>
        <v>-7.4499787143464946E-3</v>
      </c>
    </row>
    <row r="42" spans="1:10" x14ac:dyDescent="0.25">
      <c r="A42" s="6">
        <f t="shared" si="0"/>
        <v>38</v>
      </c>
      <c r="B42" s="24">
        <v>45335</v>
      </c>
      <c r="C42" s="36">
        <v>9.5760000000000012E-2</v>
      </c>
      <c r="D42" s="37">
        <v>9.2959999999999987E-2</v>
      </c>
      <c r="E42" s="37">
        <v>9.326000000000001E-2</v>
      </c>
      <c r="F42" s="38">
        <v>9.3960000000000002E-2</v>
      </c>
      <c r="G42" s="36">
        <f t="shared" si="4"/>
        <v>2.0242914979757165E-2</v>
      </c>
      <c r="H42" s="37">
        <f t="shared" si="1"/>
        <v>1.9745502413339056E-2</v>
      </c>
      <c r="I42" s="37">
        <f t="shared" si="2"/>
        <v>1.9680734747430595E-2</v>
      </c>
      <c r="J42" s="38">
        <f t="shared" si="3"/>
        <v>9.6711798839459462E-3</v>
      </c>
    </row>
    <row r="43" spans="1:10" x14ac:dyDescent="0.25">
      <c r="A43" s="6">
        <f t="shared" si="0"/>
        <v>39</v>
      </c>
      <c r="B43" s="24">
        <v>45334</v>
      </c>
      <c r="C43" s="36">
        <v>9.3859999999999999E-2</v>
      </c>
      <c r="D43" s="37">
        <v>9.1159999999999991E-2</v>
      </c>
      <c r="E43" s="37">
        <v>9.1460000000000014E-2</v>
      </c>
      <c r="F43" s="38">
        <v>9.305999999999999E-2</v>
      </c>
      <c r="G43" s="36">
        <f t="shared" si="4"/>
        <v>-3.8221129214058958E-2</v>
      </c>
      <c r="H43" s="37">
        <f t="shared" si="1"/>
        <v>-3.7482842360891278E-2</v>
      </c>
      <c r="I43" s="37">
        <f t="shared" si="2"/>
        <v>-3.7465796674384322E-2</v>
      </c>
      <c r="J43" s="38">
        <f t="shared" si="3"/>
        <v>-3.7642192347466463E-2</v>
      </c>
    </row>
    <row r="44" spans="1:10" x14ac:dyDescent="0.25">
      <c r="A44" s="6">
        <f t="shared" si="0"/>
        <v>40</v>
      </c>
      <c r="B44" s="24">
        <v>45332</v>
      </c>
      <c r="C44" s="36">
        <v>9.759000000000001E-2</v>
      </c>
      <c r="D44" s="37">
        <v>9.4710000000000003E-2</v>
      </c>
      <c r="E44" s="37">
        <v>9.5020000000000007E-2</v>
      </c>
      <c r="F44" s="38">
        <v>9.6699999999999994E-2</v>
      </c>
      <c r="G44" s="36">
        <f t="shared" si="4"/>
        <v>3.7529236657452669E-2</v>
      </c>
      <c r="H44" s="37">
        <f t="shared" si="1"/>
        <v>3.8942518648530156E-2</v>
      </c>
      <c r="I44" s="37">
        <f t="shared" si="2"/>
        <v>3.7789427697684674E-2</v>
      </c>
      <c r="J44" s="38">
        <f t="shared" si="3"/>
        <v>3.799914126234416E-2</v>
      </c>
    </row>
    <row r="45" spans="1:10" x14ac:dyDescent="0.25">
      <c r="A45" s="6">
        <f t="shared" si="0"/>
        <v>41</v>
      </c>
      <c r="B45" s="24">
        <v>45331</v>
      </c>
      <c r="C45" s="36">
        <v>9.4060000000000005E-2</v>
      </c>
      <c r="D45" s="37">
        <v>9.1159999999999991E-2</v>
      </c>
      <c r="E45" s="37">
        <v>9.1560000000000002E-2</v>
      </c>
      <c r="F45" s="38">
        <v>9.3160000000000007E-2</v>
      </c>
      <c r="G45" s="36">
        <f t="shared" si="4"/>
        <v>-6.338474540460437E-3</v>
      </c>
      <c r="H45" s="37">
        <f t="shared" si="1"/>
        <v>-7.6202917483126908E-3</v>
      </c>
      <c r="I45" s="37">
        <f t="shared" si="2"/>
        <v>-6.5104166666665186E-3</v>
      </c>
      <c r="J45" s="38">
        <f t="shared" si="3"/>
        <v>-3.2099293815535113E-3</v>
      </c>
    </row>
    <row r="46" spans="1:10" x14ac:dyDescent="0.25">
      <c r="A46" s="6">
        <f t="shared" si="0"/>
        <v>42</v>
      </c>
      <c r="B46" s="24">
        <v>45330</v>
      </c>
      <c r="C46" s="36">
        <v>9.4659999999999994E-2</v>
      </c>
      <c r="D46" s="37">
        <v>9.1859999999999997E-2</v>
      </c>
      <c r="E46" s="37">
        <v>9.2159999999999992E-2</v>
      </c>
      <c r="F46" s="38">
        <v>9.3460000000000001E-2</v>
      </c>
      <c r="G46" s="36">
        <f t="shared" si="4"/>
        <v>-9.418166596902422E-3</v>
      </c>
      <c r="H46" s="37">
        <f t="shared" si="1"/>
        <v>-5.4135989605891277E-3</v>
      </c>
      <c r="I46" s="37">
        <f t="shared" si="2"/>
        <v>-5.3960716598318026E-3</v>
      </c>
      <c r="J46" s="38">
        <f t="shared" si="3"/>
        <v>-6.3789070805868597E-3</v>
      </c>
    </row>
    <row r="47" spans="1:10" x14ac:dyDescent="0.25">
      <c r="A47" s="6">
        <f t="shared" si="0"/>
        <v>43</v>
      </c>
      <c r="B47" s="24">
        <v>45329</v>
      </c>
      <c r="C47" s="36">
        <v>9.5559999999999992E-2</v>
      </c>
      <c r="D47" s="37">
        <v>9.2360000000000012E-2</v>
      </c>
      <c r="E47" s="37">
        <v>9.2660000000000006E-2</v>
      </c>
      <c r="F47" s="38">
        <v>9.4060000000000005E-2</v>
      </c>
      <c r="G47" s="36">
        <f t="shared" si="4"/>
        <v>-8.30220008302196E-3</v>
      </c>
      <c r="H47" s="37">
        <f t="shared" si="1"/>
        <v>-2.16076058772674E-3</v>
      </c>
      <c r="I47" s="37">
        <f t="shared" si="2"/>
        <v>0</v>
      </c>
      <c r="J47" s="38">
        <f t="shared" si="3"/>
        <v>5.3441641727234312E-3</v>
      </c>
    </row>
    <row r="48" spans="1:10" x14ac:dyDescent="0.25">
      <c r="A48" s="6">
        <f t="shared" si="0"/>
        <v>44</v>
      </c>
      <c r="B48" s="24">
        <v>45328</v>
      </c>
      <c r="C48" s="36">
        <v>9.6359999999999987E-2</v>
      </c>
      <c r="D48" s="37">
        <v>9.2560000000000003E-2</v>
      </c>
      <c r="E48" s="37">
        <v>9.2660000000000006E-2</v>
      </c>
      <c r="F48" s="38">
        <v>9.3560000000000004E-2</v>
      </c>
      <c r="G48" s="36">
        <f t="shared" si="4"/>
        <v>-3.1168308867886685E-2</v>
      </c>
      <c r="H48" s="37">
        <f t="shared" si="1"/>
        <v>-3.1495239091765215E-2</v>
      </c>
      <c r="I48" s="37">
        <f t="shared" si="2"/>
        <v>-3.2372598162071942E-2</v>
      </c>
      <c r="J48" s="38">
        <f t="shared" si="3"/>
        <v>-3.446852425180591E-2</v>
      </c>
    </row>
    <row r="49" spans="1:10" x14ac:dyDescent="0.25">
      <c r="A49" s="6">
        <f t="shared" si="0"/>
        <v>45</v>
      </c>
      <c r="B49" s="24">
        <v>45325</v>
      </c>
      <c r="C49" s="36">
        <v>9.9459999999999993E-2</v>
      </c>
      <c r="D49" s="37">
        <v>9.5570000000000002E-2</v>
      </c>
      <c r="E49" s="37">
        <v>9.5760000000000012E-2</v>
      </c>
      <c r="F49" s="38">
        <v>9.69E-2</v>
      </c>
      <c r="G49" s="36">
        <f t="shared" si="4"/>
        <v>4.2994966442952975E-2</v>
      </c>
      <c r="H49" s="37">
        <f t="shared" si="1"/>
        <v>3.5876869716019888E-2</v>
      </c>
      <c r="I49" s="37">
        <f t="shared" si="2"/>
        <v>3.681247293200518E-2</v>
      </c>
      <c r="J49" s="38">
        <f t="shared" si="3"/>
        <v>4.1263700838169104E-2</v>
      </c>
    </row>
    <row r="50" spans="1:10" x14ac:dyDescent="0.25">
      <c r="A50" s="6">
        <f t="shared" si="0"/>
        <v>46</v>
      </c>
      <c r="B50" s="24">
        <v>45324</v>
      </c>
      <c r="C50" s="36">
        <v>9.536E-2</v>
      </c>
      <c r="D50" s="37">
        <v>9.2260000000000009E-2</v>
      </c>
      <c r="E50" s="37">
        <v>9.2360000000000012E-2</v>
      </c>
      <c r="F50" s="38">
        <v>9.305999999999999E-2</v>
      </c>
      <c r="G50" s="36">
        <f t="shared" si="4"/>
        <v>2.4274973147153656E-2</v>
      </c>
      <c r="H50" s="37">
        <f t="shared" si="1"/>
        <v>2.4428159005107863E-2</v>
      </c>
      <c r="I50" s="37">
        <f t="shared" si="2"/>
        <v>2.2133687472333019E-2</v>
      </c>
      <c r="J50" s="38">
        <f t="shared" si="3"/>
        <v>1.7493986442160159E-2</v>
      </c>
    </row>
    <row r="51" spans="1:10" x14ac:dyDescent="0.25">
      <c r="A51" s="6">
        <f t="shared" si="0"/>
        <v>47</v>
      </c>
      <c r="B51" s="24">
        <v>45323</v>
      </c>
      <c r="C51" s="36">
        <v>9.3100000000000002E-2</v>
      </c>
      <c r="D51" s="37">
        <v>9.0060000000000001E-2</v>
      </c>
      <c r="E51" s="37">
        <v>9.0359999999999996E-2</v>
      </c>
      <c r="F51" s="38">
        <v>9.1460000000000014E-2</v>
      </c>
      <c r="G51" s="36">
        <f t="shared" si="4"/>
        <v>-1.0206251328939042E-2</v>
      </c>
      <c r="H51" s="37">
        <f t="shared" si="1"/>
        <v>-8.8047545674664329E-3</v>
      </c>
      <c r="I51" s="37">
        <f t="shared" si="2"/>
        <v>-1.4182849661793728E-2</v>
      </c>
      <c r="J51" s="38">
        <f t="shared" si="3"/>
        <v>-1.1884183232497736E-2</v>
      </c>
    </row>
    <row r="52" spans="1:10" x14ac:dyDescent="0.25">
      <c r="A52" s="6">
        <f t="shared" si="0"/>
        <v>48</v>
      </c>
      <c r="B52" s="24">
        <v>45322</v>
      </c>
      <c r="C52" s="36">
        <v>9.4060000000000005E-2</v>
      </c>
      <c r="D52" s="37">
        <v>9.0859999999999996E-2</v>
      </c>
      <c r="E52" s="37">
        <v>9.1660000000000005E-2</v>
      </c>
      <c r="F52" s="38">
        <v>9.2560000000000003E-2</v>
      </c>
      <c r="G52" s="36">
        <f t="shared" si="4"/>
        <v>-1.2597102666386695E-2</v>
      </c>
      <c r="H52" s="37">
        <f t="shared" si="1"/>
        <v>-1.3034977188789876E-2</v>
      </c>
      <c r="I52" s="37">
        <f t="shared" si="2"/>
        <v>-1.1858559724018836E-2</v>
      </c>
      <c r="J52" s="38">
        <f t="shared" si="3"/>
        <v>-8.5689802913452295E-3</v>
      </c>
    </row>
    <row r="53" spans="1:10" x14ac:dyDescent="0.25">
      <c r="A53" s="6">
        <f t="shared" si="0"/>
        <v>49</v>
      </c>
      <c r="B53" s="24">
        <v>45321</v>
      </c>
      <c r="C53" s="36">
        <v>9.5259999999999997E-2</v>
      </c>
      <c r="D53" s="37">
        <v>9.2059999999999989E-2</v>
      </c>
      <c r="E53" s="37">
        <v>9.2759999999999995E-2</v>
      </c>
      <c r="F53" s="38">
        <v>9.3359999999999999E-2</v>
      </c>
      <c r="G53" s="36">
        <f t="shared" si="4"/>
        <v>7.4027072758038326E-3</v>
      </c>
      <c r="H53" s="37">
        <f t="shared" si="1"/>
        <v>5.4608999563126037E-3</v>
      </c>
      <c r="I53" s="37">
        <f t="shared" si="2"/>
        <v>3.2446463335495945E-3</v>
      </c>
      <c r="J53" s="38">
        <f t="shared" si="3"/>
        <v>1.0722710701263072E-3</v>
      </c>
    </row>
    <row r="54" spans="1:10" x14ac:dyDescent="0.25">
      <c r="A54" s="6">
        <f t="shared" si="0"/>
        <v>50</v>
      </c>
      <c r="B54" s="24">
        <v>45320</v>
      </c>
      <c r="C54" s="36">
        <v>9.4559999999999991E-2</v>
      </c>
      <c r="D54" s="37">
        <v>9.1560000000000002E-2</v>
      </c>
      <c r="E54" s="37">
        <v>9.2460000000000001E-2</v>
      </c>
      <c r="F54" s="38">
        <v>9.326000000000001E-2</v>
      </c>
      <c r="G54" s="36">
        <f t="shared" si="4"/>
        <v>-3.647850010189535E-2</v>
      </c>
      <c r="H54" s="37">
        <f t="shared" si="1"/>
        <v>-3.7021455616323085E-2</v>
      </c>
      <c r="I54" s="37">
        <f t="shared" si="2"/>
        <v>-3.747657713928787E-2</v>
      </c>
      <c r="J54" s="38">
        <f t="shared" si="3"/>
        <v>-3.8358424417405668E-2</v>
      </c>
    </row>
    <row r="55" spans="1:10" x14ac:dyDescent="0.25">
      <c r="A55" s="6">
        <f t="shared" si="0"/>
        <v>51</v>
      </c>
      <c r="B55" s="24">
        <v>45318</v>
      </c>
      <c r="C55" s="36">
        <v>9.8140000000000005E-2</v>
      </c>
      <c r="D55" s="37">
        <v>9.5079999999999998E-2</v>
      </c>
      <c r="E55" s="37">
        <v>9.6059999999999993E-2</v>
      </c>
      <c r="F55" s="38">
        <v>9.6980000000000011E-2</v>
      </c>
      <c r="G55" s="36">
        <f t="shared" si="4"/>
        <v>3.7859560067682096E-2</v>
      </c>
      <c r="H55" s="37">
        <f t="shared" si="1"/>
        <v>3.618134263295536E-2</v>
      </c>
      <c r="I55" s="37">
        <f t="shared" si="2"/>
        <v>3.8935756002595578E-2</v>
      </c>
      <c r="J55" s="38">
        <f t="shared" si="3"/>
        <v>3.7663171410229124E-2</v>
      </c>
    </row>
    <row r="56" spans="1:10" x14ac:dyDescent="0.25">
      <c r="A56" s="6">
        <f t="shared" si="0"/>
        <v>52</v>
      </c>
      <c r="B56" s="24">
        <v>45317</v>
      </c>
      <c r="C56" s="36">
        <v>9.4559999999999991E-2</v>
      </c>
      <c r="D56" s="37">
        <v>9.1760000000000008E-2</v>
      </c>
      <c r="E56" s="37">
        <v>9.2460000000000001E-2</v>
      </c>
      <c r="F56" s="38">
        <v>9.3460000000000001E-2</v>
      </c>
      <c r="G56" s="36">
        <f t="shared" si="4"/>
        <v>2.1195421788893221E-3</v>
      </c>
      <c r="H56" s="37">
        <f t="shared" si="1"/>
        <v>3.2801224579050992E-3</v>
      </c>
      <c r="I56" s="37">
        <f t="shared" si="2"/>
        <v>0</v>
      </c>
      <c r="J56" s="38">
        <f t="shared" si="3"/>
        <v>3.220266208673106E-3</v>
      </c>
    </row>
    <row r="57" spans="1:10" x14ac:dyDescent="0.25">
      <c r="A57" s="6">
        <f t="shared" si="0"/>
        <v>53</v>
      </c>
      <c r="B57" s="24">
        <v>45316</v>
      </c>
      <c r="C57" s="36">
        <v>9.4359999999999999E-2</v>
      </c>
      <c r="D57" s="37">
        <v>9.1460000000000014E-2</v>
      </c>
      <c r="E57" s="37">
        <v>9.2460000000000001E-2</v>
      </c>
      <c r="F57" s="38">
        <v>9.3160000000000007E-2</v>
      </c>
      <c r="G57" s="36">
        <f t="shared" si="4"/>
        <v>-4.2211903756860236E-3</v>
      </c>
      <c r="H57" s="37">
        <f t="shared" si="1"/>
        <v>4.3927081045465055E-3</v>
      </c>
      <c r="I57" s="37">
        <f t="shared" si="2"/>
        <v>7.6285963382736188E-3</v>
      </c>
      <c r="J57" s="38">
        <f t="shared" si="3"/>
        <v>1.0745755426608827E-3</v>
      </c>
    </row>
    <row r="58" spans="1:10" x14ac:dyDescent="0.25">
      <c r="A58" s="6">
        <f t="shared" si="0"/>
        <v>54</v>
      </c>
      <c r="B58" s="24">
        <v>45315</v>
      </c>
      <c r="C58" s="36">
        <v>9.4760000000000011E-2</v>
      </c>
      <c r="D58" s="37">
        <v>9.1060000000000002E-2</v>
      </c>
      <c r="E58" s="37">
        <v>9.1760000000000008E-2</v>
      </c>
      <c r="F58" s="38">
        <v>9.305999999999999E-2</v>
      </c>
      <c r="G58" s="36">
        <f t="shared" si="4"/>
        <v>2.0090937929577724E-3</v>
      </c>
      <c r="H58" s="37">
        <f t="shared" si="1"/>
        <v>-2.9563122741704806E-3</v>
      </c>
      <c r="I58" s="37">
        <f t="shared" si="2"/>
        <v>-5.8504875406283352E-3</v>
      </c>
      <c r="J58" s="38">
        <f t="shared" si="3"/>
        <v>7.1428571428571175E-3</v>
      </c>
    </row>
    <row r="59" spans="1:10" x14ac:dyDescent="0.25">
      <c r="A59" s="6">
        <f t="shared" si="0"/>
        <v>55</v>
      </c>
      <c r="B59" s="24">
        <v>45314</v>
      </c>
      <c r="C59" s="36">
        <v>9.4570000000000001E-2</v>
      </c>
      <c r="D59" s="37">
        <v>9.1329999999999995E-2</v>
      </c>
      <c r="E59" s="37">
        <v>9.2300000000000007E-2</v>
      </c>
      <c r="F59" s="38">
        <v>9.2399999999999996E-2</v>
      </c>
      <c r="G59" s="36">
        <f t="shared" si="4"/>
        <v>2.3317435082139681E-3</v>
      </c>
      <c r="H59" s="37">
        <f t="shared" si="1"/>
        <v>2.8549467442626764E-3</v>
      </c>
      <c r="I59" s="37">
        <f t="shared" si="2"/>
        <v>5.9945504087193235E-3</v>
      </c>
      <c r="J59" s="38">
        <f t="shared" si="3"/>
        <v>-5.3821313240043356E-3</v>
      </c>
    </row>
    <row r="60" spans="1:10" x14ac:dyDescent="0.25">
      <c r="A60" s="6">
        <f t="shared" si="0"/>
        <v>56</v>
      </c>
      <c r="B60" s="24">
        <v>45313</v>
      </c>
      <c r="C60" s="36">
        <v>9.4350000000000003E-2</v>
      </c>
      <c r="D60" s="37">
        <v>9.1069999999999998E-2</v>
      </c>
      <c r="E60" s="37">
        <v>9.1750000000000012E-2</v>
      </c>
      <c r="F60" s="38">
        <v>9.2899999999999996E-2</v>
      </c>
      <c r="G60" s="36">
        <f t="shared" si="4"/>
        <v>-3.9792387543252539E-2</v>
      </c>
      <c r="H60" s="37">
        <f t="shared" si="1"/>
        <v>-4.0661540082165826E-2</v>
      </c>
      <c r="I60" s="37">
        <f t="shared" si="2"/>
        <v>-4.2375534912848178E-2</v>
      </c>
      <c r="J60" s="38">
        <f t="shared" si="3"/>
        <v>-4.1081750619322954E-2</v>
      </c>
    </row>
    <row r="61" spans="1:10" x14ac:dyDescent="0.25">
      <c r="A61" s="6">
        <f t="shared" si="0"/>
        <v>57</v>
      </c>
      <c r="B61" s="24">
        <v>45311</v>
      </c>
      <c r="C61" s="36">
        <v>9.826E-2</v>
      </c>
      <c r="D61" s="37">
        <v>9.493E-2</v>
      </c>
      <c r="E61" s="37">
        <v>9.5809999999999992E-2</v>
      </c>
      <c r="F61" s="38">
        <v>9.6880000000000008E-2</v>
      </c>
      <c r="G61" s="36">
        <f t="shared" si="4"/>
        <v>4.0889830508474612E-2</v>
      </c>
      <c r="H61" s="37">
        <f t="shared" si="1"/>
        <v>4.0100799824695832E-2</v>
      </c>
      <c r="I61" s="37">
        <f t="shared" si="2"/>
        <v>3.9154013015184175E-2</v>
      </c>
      <c r="J61" s="38">
        <f t="shared" si="3"/>
        <v>4.2056577390556127E-2</v>
      </c>
    </row>
    <row r="62" spans="1:10" x14ac:dyDescent="0.25">
      <c r="A62" s="6">
        <f t="shared" si="0"/>
        <v>58</v>
      </c>
      <c r="B62" s="24">
        <v>45310</v>
      </c>
      <c r="C62" s="36">
        <v>9.4399999999999998E-2</v>
      </c>
      <c r="D62" s="37">
        <v>9.1270000000000004E-2</v>
      </c>
      <c r="E62" s="37">
        <v>9.2200000000000004E-2</v>
      </c>
      <c r="F62" s="38">
        <v>9.2970000000000011E-2</v>
      </c>
      <c r="G62" s="36">
        <f t="shared" si="4"/>
        <v>-5.2938062466922897E-4</v>
      </c>
      <c r="H62" s="37">
        <f t="shared" si="1"/>
        <v>1.5362668715024341E-3</v>
      </c>
      <c r="I62" s="37">
        <f t="shared" si="2"/>
        <v>4.1385319102593687E-3</v>
      </c>
      <c r="J62" s="38">
        <f t="shared" si="3"/>
        <v>3.9956803455725165E-3</v>
      </c>
    </row>
    <row r="63" spans="1:10" x14ac:dyDescent="0.25">
      <c r="A63" s="6">
        <f t="shared" si="0"/>
        <v>59</v>
      </c>
      <c r="B63" s="24">
        <v>45309</v>
      </c>
      <c r="C63" s="36">
        <v>9.4450000000000006E-2</v>
      </c>
      <c r="D63" s="37">
        <v>9.1129999999999989E-2</v>
      </c>
      <c r="E63" s="37">
        <v>9.1819999999999999E-2</v>
      </c>
      <c r="F63" s="38">
        <v>9.2600000000000002E-2</v>
      </c>
      <c r="G63" s="36">
        <f t="shared" si="4"/>
        <v>5.2966101694917889E-4</v>
      </c>
      <c r="H63" s="37">
        <f t="shared" si="1"/>
        <v>2.1994941163532289E-3</v>
      </c>
      <c r="I63" s="37">
        <f t="shared" si="2"/>
        <v>8.2354233007577715E-3</v>
      </c>
      <c r="J63" s="38">
        <f t="shared" si="3"/>
        <v>1.08108108108107E-3</v>
      </c>
    </row>
    <row r="64" spans="1:10" x14ac:dyDescent="0.25">
      <c r="A64" s="6">
        <f t="shared" si="0"/>
        <v>60</v>
      </c>
      <c r="B64" s="24">
        <v>45308</v>
      </c>
      <c r="C64" s="36">
        <v>9.4399999999999998E-2</v>
      </c>
      <c r="D64" s="37">
        <v>9.0929999999999997E-2</v>
      </c>
      <c r="E64" s="37">
        <v>9.1069999999999998E-2</v>
      </c>
      <c r="F64" s="38">
        <v>9.2499999999999999E-2</v>
      </c>
      <c r="G64" s="36">
        <f t="shared" si="4"/>
        <v>2.1092482422931491E-2</v>
      </c>
      <c r="H64" s="37">
        <f t="shared" si="1"/>
        <v>1.5977653631285005E-2</v>
      </c>
      <c r="I64" s="37">
        <f t="shared" si="2"/>
        <v>9.9811467228567707E-3</v>
      </c>
      <c r="J64" s="38">
        <f t="shared" si="3"/>
        <v>5.4347826086955653E-3</v>
      </c>
    </row>
    <row r="65" spans="1:10" x14ac:dyDescent="0.25">
      <c r="A65" s="6">
        <f t="shared" si="0"/>
        <v>61</v>
      </c>
      <c r="B65" s="24">
        <v>45307</v>
      </c>
      <c r="C65" s="36">
        <v>9.2449999999999991E-2</v>
      </c>
      <c r="D65" s="37">
        <v>8.9499999999999996E-2</v>
      </c>
      <c r="E65" s="37">
        <v>9.017E-2</v>
      </c>
      <c r="F65" s="38">
        <v>9.1999999999999998E-2</v>
      </c>
      <c r="G65" s="36">
        <f t="shared" si="4"/>
        <v>8.6608206127514187E-4</v>
      </c>
      <c r="H65" s="37">
        <f t="shared" si="1"/>
        <v>9.8160893602616817E-3</v>
      </c>
      <c r="I65" s="37">
        <f t="shared" si="2"/>
        <v>1.3943551107612695E-2</v>
      </c>
      <c r="J65" s="38">
        <f t="shared" si="3"/>
        <v>1.8826135105205033E-2</v>
      </c>
    </row>
    <row r="66" spans="1:10" x14ac:dyDescent="0.25">
      <c r="A66" s="6">
        <f t="shared" si="0"/>
        <v>62</v>
      </c>
      <c r="B66" s="24">
        <v>45306</v>
      </c>
      <c r="C66" s="36">
        <v>9.2370000000000008E-2</v>
      </c>
      <c r="D66" s="37">
        <v>8.863E-2</v>
      </c>
      <c r="E66" s="37">
        <v>8.8930000000000009E-2</v>
      </c>
      <c r="F66" s="38">
        <v>9.0299999999999991E-2</v>
      </c>
      <c r="G66" s="36">
        <f t="shared" si="4"/>
        <v>-3.791271742526825E-2</v>
      </c>
      <c r="H66" s="37">
        <f t="shared" si="1"/>
        <v>-3.7362876072553619E-2</v>
      </c>
      <c r="I66" s="37">
        <f t="shared" si="2"/>
        <v>-3.8906300659245607E-2</v>
      </c>
      <c r="J66" s="38">
        <f t="shared" si="3"/>
        <v>-3.7723785166240531E-2</v>
      </c>
    </row>
    <row r="67" spans="1:10" x14ac:dyDescent="0.25">
      <c r="A67" s="6">
        <f t="shared" si="0"/>
        <v>63</v>
      </c>
      <c r="B67" s="24">
        <v>45304</v>
      </c>
      <c r="C67" s="36">
        <v>9.6010000000000012E-2</v>
      </c>
      <c r="D67" s="37">
        <v>9.2070000000000013E-2</v>
      </c>
      <c r="E67" s="37">
        <v>9.2530000000000001E-2</v>
      </c>
      <c r="F67" s="38">
        <v>9.3840000000000007E-2</v>
      </c>
      <c r="G67" s="36">
        <f t="shared" si="4"/>
        <v>3.7273120138288762E-2</v>
      </c>
      <c r="H67" s="37">
        <f t="shared" si="1"/>
        <v>3.6124240378123007E-2</v>
      </c>
      <c r="I67" s="37">
        <f t="shared" si="2"/>
        <v>3.4317013190252599E-2</v>
      </c>
      <c r="J67" s="38">
        <f t="shared" si="3"/>
        <v>3.6219081272085063E-2</v>
      </c>
    </row>
    <row r="68" spans="1:10" x14ac:dyDescent="0.25">
      <c r="A68" s="6">
        <f t="shared" si="0"/>
        <v>64</v>
      </c>
      <c r="B68" s="24">
        <v>45303</v>
      </c>
      <c r="C68" s="36">
        <v>9.2560000000000003E-2</v>
      </c>
      <c r="D68" s="37">
        <v>8.8859999999999995E-2</v>
      </c>
      <c r="E68" s="37">
        <v>8.9459999999999998E-2</v>
      </c>
      <c r="F68" s="38">
        <v>9.0559999999999988E-2</v>
      </c>
      <c r="G68" s="36">
        <f t="shared" si="4"/>
        <v>-1.3850415512465353E-2</v>
      </c>
      <c r="H68" s="37">
        <f t="shared" si="1"/>
        <v>-1.5510746731664082E-2</v>
      </c>
      <c r="I68" s="37">
        <f t="shared" si="2"/>
        <v>-1.4323490524460247E-2</v>
      </c>
      <c r="J68" s="38">
        <f t="shared" si="3"/>
        <v>-1.0921799912625763E-2</v>
      </c>
    </row>
    <row r="69" spans="1:10" x14ac:dyDescent="0.25">
      <c r="A69" s="6">
        <f t="shared" ref="A69:A132" si="5">+A70-1</f>
        <v>65</v>
      </c>
      <c r="B69" s="24">
        <v>45302</v>
      </c>
      <c r="C69" s="36">
        <v>9.3859999999999999E-2</v>
      </c>
      <c r="D69" s="37">
        <v>9.0259999999999993E-2</v>
      </c>
      <c r="E69" s="37">
        <v>9.0760000000000007E-2</v>
      </c>
      <c r="F69" s="38">
        <v>9.1560000000000002E-2</v>
      </c>
      <c r="G69" s="36">
        <f t="shared" si="4"/>
        <v>-7.4027072758036105E-3</v>
      </c>
      <c r="H69" s="37">
        <f t="shared" ref="H69:H132" si="6">+D69/D70-1</f>
        <v>-6.6035659255998524E-3</v>
      </c>
      <c r="I69" s="37">
        <f t="shared" ref="I69:I132" si="7">+E69/E70-1</f>
        <v>-4.3878894251863088E-3</v>
      </c>
      <c r="J69" s="38">
        <f t="shared" ref="J69:J132" si="8">+F69/F70-1</f>
        <v>-1.0909884355225774E-3</v>
      </c>
    </row>
    <row r="70" spans="1:10" x14ac:dyDescent="0.25">
      <c r="A70" s="6">
        <f t="shared" si="5"/>
        <v>66</v>
      </c>
      <c r="B70" s="24">
        <v>45301</v>
      </c>
      <c r="C70" s="36">
        <v>9.4559999999999991E-2</v>
      </c>
      <c r="D70" s="37">
        <v>9.0859999999999996E-2</v>
      </c>
      <c r="E70" s="37">
        <v>9.1159999999999991E-2</v>
      </c>
      <c r="F70" s="38">
        <v>9.1660000000000005E-2</v>
      </c>
      <c r="G70" s="36">
        <f t="shared" ref="G70:G133" si="9">+C70/C71-1</f>
        <v>-4.2122999157541141E-3</v>
      </c>
      <c r="H70" s="37">
        <f t="shared" si="6"/>
        <v>-5.4728546409807954E-3</v>
      </c>
      <c r="I70" s="37">
        <f t="shared" si="7"/>
        <v>-3.2801224579053212E-3</v>
      </c>
      <c r="J70" s="38">
        <f t="shared" si="8"/>
        <v>-2.1772262138035625E-3</v>
      </c>
    </row>
    <row r="71" spans="1:10" x14ac:dyDescent="0.25">
      <c r="A71" s="6">
        <f t="shared" si="5"/>
        <v>67</v>
      </c>
      <c r="B71" s="24">
        <v>45300</v>
      </c>
      <c r="C71" s="36">
        <v>9.4960000000000003E-2</v>
      </c>
      <c r="D71" s="37">
        <v>9.1359999999999997E-2</v>
      </c>
      <c r="E71" s="37">
        <v>9.1460000000000014E-2</v>
      </c>
      <c r="F71" s="38">
        <v>9.1859999999999997E-2</v>
      </c>
      <c r="G71" s="36">
        <f t="shared" si="9"/>
        <v>5.293245818335901E-3</v>
      </c>
      <c r="H71" s="37">
        <f t="shared" si="6"/>
        <v>7.7211559673504571E-3</v>
      </c>
      <c r="I71" s="37">
        <f t="shared" si="7"/>
        <v>5.4969217238347579E-3</v>
      </c>
      <c r="J71" s="38">
        <f t="shared" si="8"/>
        <v>5.4728546409807954E-3</v>
      </c>
    </row>
    <row r="72" spans="1:10" x14ac:dyDescent="0.25">
      <c r="A72" s="6">
        <f t="shared" si="5"/>
        <v>68</v>
      </c>
      <c r="B72" s="24">
        <v>45299</v>
      </c>
      <c r="C72" s="36">
        <v>9.4460000000000002E-2</v>
      </c>
      <c r="D72" s="37">
        <v>9.0660000000000004E-2</v>
      </c>
      <c r="E72" s="37">
        <v>9.0959999999999999E-2</v>
      </c>
      <c r="F72" s="38">
        <v>9.1359999999999997E-2</v>
      </c>
      <c r="G72" s="36">
        <f t="shared" si="9"/>
        <v>-7.356031946195829E-3</v>
      </c>
      <c r="H72" s="37">
        <f t="shared" si="6"/>
        <v>-6.5746219592371924E-3</v>
      </c>
      <c r="I72" s="37">
        <f t="shared" si="7"/>
        <v>-5.4668707631753133E-3</v>
      </c>
      <c r="J72" s="38">
        <f t="shared" si="8"/>
        <v>-3.2729653065678432E-3</v>
      </c>
    </row>
    <row r="73" spans="1:10" x14ac:dyDescent="0.25">
      <c r="A73" s="6">
        <f t="shared" si="5"/>
        <v>69</v>
      </c>
      <c r="B73" s="24">
        <v>45296</v>
      </c>
      <c r="C73" s="36">
        <v>9.5159999999999995E-2</v>
      </c>
      <c r="D73" s="37">
        <v>9.1259999999999994E-2</v>
      </c>
      <c r="E73" s="37">
        <v>9.1460000000000014E-2</v>
      </c>
      <c r="F73" s="38">
        <v>9.1660000000000005E-2</v>
      </c>
      <c r="G73" s="36">
        <f t="shared" si="9"/>
        <v>-4.2016806722688926E-4</v>
      </c>
      <c r="H73" s="37">
        <f t="shared" si="6"/>
        <v>1.4265335235379428E-3</v>
      </c>
      <c r="I73" s="37">
        <f t="shared" si="7"/>
        <v>1.0934937124140731E-4</v>
      </c>
      <c r="J73" s="38">
        <f t="shared" si="8"/>
        <v>-7.6310912460486602E-4</v>
      </c>
    </row>
    <row r="74" spans="1:10" x14ac:dyDescent="0.25">
      <c r="A74" s="6">
        <f t="shared" si="5"/>
        <v>70</v>
      </c>
      <c r="B74" s="24">
        <v>45295</v>
      </c>
      <c r="C74" s="36">
        <v>9.5199999999999993E-2</v>
      </c>
      <c r="D74" s="37">
        <v>9.1129999999999989E-2</v>
      </c>
      <c r="E74" s="37">
        <v>9.144999999999999E-2</v>
      </c>
      <c r="F74" s="38">
        <v>9.1730000000000006E-2</v>
      </c>
      <c r="G74" s="36">
        <f t="shared" si="9"/>
        <v>8.4745762711864181E-3</v>
      </c>
      <c r="H74" s="37">
        <f t="shared" si="6"/>
        <v>7.4065885474241533E-3</v>
      </c>
      <c r="I74" s="37">
        <f t="shared" si="7"/>
        <v>9.8277385159011299E-3</v>
      </c>
      <c r="J74" s="38">
        <f t="shared" si="8"/>
        <v>5.150120534735958E-3</v>
      </c>
    </row>
    <row r="75" spans="1:10" x14ac:dyDescent="0.25">
      <c r="A75" s="6">
        <f t="shared" si="5"/>
        <v>71</v>
      </c>
      <c r="B75" s="24">
        <v>45294</v>
      </c>
      <c r="C75" s="36">
        <v>9.4399999999999998E-2</v>
      </c>
      <c r="D75" s="37">
        <v>9.0459999999999999E-2</v>
      </c>
      <c r="E75" s="37">
        <v>9.0559999999999988E-2</v>
      </c>
      <c r="F75" s="38">
        <v>9.1259999999999994E-2</v>
      </c>
      <c r="G75" s="36">
        <f t="shared" si="9"/>
        <v>-2.7466723008662264E-3</v>
      </c>
      <c r="H75" s="37">
        <f t="shared" si="6"/>
        <v>5.5580257892395846E-3</v>
      </c>
      <c r="I75" s="37">
        <f t="shared" si="7"/>
        <v>4.4365572315880897E-3</v>
      </c>
      <c r="J75" s="38">
        <f t="shared" si="8"/>
        <v>2.1963540522731417E-3</v>
      </c>
    </row>
    <row r="76" spans="1:10" x14ac:dyDescent="0.25">
      <c r="A76" s="6">
        <f t="shared" si="5"/>
        <v>72</v>
      </c>
      <c r="B76" s="24">
        <v>45293</v>
      </c>
      <c r="C76" s="36">
        <v>9.4659999999999994E-2</v>
      </c>
      <c r="D76" s="37">
        <v>8.9959999999999998E-2</v>
      </c>
      <c r="E76" s="37">
        <v>9.0160000000000004E-2</v>
      </c>
      <c r="F76" s="38">
        <v>9.1060000000000002E-2</v>
      </c>
      <c r="G76" s="36">
        <f t="shared" si="9"/>
        <v>2.0592991913746639E-2</v>
      </c>
      <c r="H76" s="37">
        <f t="shared" si="6"/>
        <v>-3.2167832167832255E-2</v>
      </c>
      <c r="I76" s="37">
        <f t="shared" si="7"/>
        <v>-2.9285099052540953E-2</v>
      </c>
      <c r="J76" s="38">
        <f t="shared" si="8"/>
        <v>-3.127659574468078E-2</v>
      </c>
    </row>
    <row r="77" spans="1:10" x14ac:dyDescent="0.25">
      <c r="A77" s="6">
        <f t="shared" si="5"/>
        <v>73</v>
      </c>
      <c r="B77" s="24">
        <v>45290</v>
      </c>
      <c r="C77" s="36">
        <v>9.2749999999999999E-2</v>
      </c>
      <c r="D77" s="37">
        <v>9.2950000000000005E-2</v>
      </c>
      <c r="E77" s="37">
        <v>9.2880000000000004E-2</v>
      </c>
      <c r="F77" s="38">
        <v>9.4E-2</v>
      </c>
      <c r="G77" s="36">
        <f t="shared" si="9"/>
        <v>0</v>
      </c>
      <c r="H77" s="37">
        <f t="shared" si="6"/>
        <v>4.9097065462754053E-2</v>
      </c>
      <c r="I77" s="37">
        <f t="shared" si="7"/>
        <v>4.771573604060908E-2</v>
      </c>
      <c r="J77" s="38">
        <f t="shared" si="8"/>
        <v>4.9692908989391382E-2</v>
      </c>
    </row>
    <row r="78" spans="1:10" x14ac:dyDescent="0.25">
      <c r="A78" s="6">
        <f t="shared" si="5"/>
        <v>74</v>
      </c>
      <c r="B78" s="24">
        <v>45289</v>
      </c>
      <c r="C78" s="36">
        <v>9.2749999999999999E-2</v>
      </c>
      <c r="D78" s="37">
        <v>8.8599999999999998E-2</v>
      </c>
      <c r="E78" s="37">
        <v>8.8650000000000007E-2</v>
      </c>
      <c r="F78" s="38">
        <v>8.9550000000000005E-2</v>
      </c>
      <c r="G78" s="36">
        <f t="shared" si="9"/>
        <v>-4.828326180257525E-3</v>
      </c>
      <c r="H78" s="37">
        <f t="shared" si="6"/>
        <v>-1.1160714285714413E-2</v>
      </c>
      <c r="I78" s="37">
        <f t="shared" si="7"/>
        <v>-1.0602678571428603E-2</v>
      </c>
      <c r="J78" s="38">
        <f t="shared" si="8"/>
        <v>-3.8932146829810943E-3</v>
      </c>
    </row>
    <row r="79" spans="1:10" x14ac:dyDescent="0.25">
      <c r="A79" s="6">
        <f t="shared" si="5"/>
        <v>75</v>
      </c>
      <c r="B79" s="24">
        <v>45288</v>
      </c>
      <c r="C79" s="36">
        <v>9.3200000000000005E-2</v>
      </c>
      <c r="D79" s="37">
        <v>8.9600000000000013E-2</v>
      </c>
      <c r="E79" s="37">
        <v>8.9600000000000013E-2</v>
      </c>
      <c r="F79" s="38">
        <v>8.9900000000000008E-2</v>
      </c>
      <c r="G79" s="36">
        <f t="shared" si="9"/>
        <v>-4.9113815929958671E-3</v>
      </c>
      <c r="H79" s="37">
        <f t="shared" si="6"/>
        <v>-5.1077059737950625E-3</v>
      </c>
      <c r="I79" s="37">
        <f t="shared" si="7"/>
        <v>-5.1077059737950625E-3</v>
      </c>
      <c r="J79" s="38">
        <f t="shared" si="8"/>
        <v>-3.9884777309991959E-3</v>
      </c>
    </row>
    <row r="80" spans="1:10" x14ac:dyDescent="0.25">
      <c r="A80" s="6">
        <f t="shared" si="5"/>
        <v>76</v>
      </c>
      <c r="B80" s="24">
        <v>45287</v>
      </c>
      <c r="C80" s="36">
        <v>9.3659999999999993E-2</v>
      </c>
      <c r="D80" s="37">
        <v>9.0060000000000001E-2</v>
      </c>
      <c r="E80" s="37">
        <v>9.0060000000000001E-2</v>
      </c>
      <c r="F80" s="38">
        <v>9.0259999999999993E-2</v>
      </c>
      <c r="G80" s="36">
        <f t="shared" si="9"/>
        <v>-9.5177664974619436E-3</v>
      </c>
      <c r="H80" s="37">
        <f t="shared" si="6"/>
        <v>-1.0981770261366153E-2</v>
      </c>
      <c r="I80" s="37">
        <f t="shared" si="7"/>
        <v>-1.2066695919262682E-2</v>
      </c>
      <c r="J80" s="38">
        <f t="shared" si="8"/>
        <v>-7.6956904133685944E-3</v>
      </c>
    </row>
    <row r="81" spans="1:10" x14ac:dyDescent="0.25">
      <c r="A81" s="6">
        <f t="shared" si="5"/>
        <v>77</v>
      </c>
      <c r="B81" s="24">
        <v>45286</v>
      </c>
      <c r="C81" s="36">
        <v>9.4559999999999991E-2</v>
      </c>
      <c r="D81" s="37">
        <v>9.1060000000000002E-2</v>
      </c>
      <c r="E81" s="37">
        <v>9.1159999999999991E-2</v>
      </c>
      <c r="F81" s="38">
        <v>9.0959999999999999E-2</v>
      </c>
      <c r="G81" s="36">
        <f t="shared" si="9"/>
        <v>-3.5102040816326618E-2</v>
      </c>
      <c r="H81" s="37">
        <f t="shared" si="6"/>
        <v>-3.2819968135953226E-2</v>
      </c>
      <c r="I81" s="37">
        <f t="shared" si="7"/>
        <v>-3.554803216250535E-2</v>
      </c>
      <c r="J81" s="38">
        <f t="shared" si="8"/>
        <v>-4.0000000000000036E-2</v>
      </c>
    </row>
    <row r="82" spans="1:10" x14ac:dyDescent="0.25">
      <c r="A82" s="6">
        <f t="shared" si="5"/>
        <v>78</v>
      </c>
      <c r="B82" s="24">
        <v>45283</v>
      </c>
      <c r="C82" s="36">
        <v>9.8000000000000004E-2</v>
      </c>
      <c r="D82" s="37">
        <v>9.4149999999999998E-2</v>
      </c>
      <c r="E82" s="37">
        <v>9.4519999999999993E-2</v>
      </c>
      <c r="F82" s="38">
        <v>9.4750000000000001E-2</v>
      </c>
      <c r="G82" s="36">
        <f t="shared" si="9"/>
        <v>3.7476180393817504E-2</v>
      </c>
      <c r="H82" s="37">
        <f t="shared" si="6"/>
        <v>3.507036059806512E-2</v>
      </c>
      <c r="I82" s="37">
        <f t="shared" si="7"/>
        <v>4.1313209210091406E-2</v>
      </c>
      <c r="J82" s="38">
        <f t="shared" si="8"/>
        <v>3.7105954465849411E-2</v>
      </c>
    </row>
    <row r="83" spans="1:10" x14ac:dyDescent="0.25">
      <c r="A83" s="6">
        <f t="shared" si="5"/>
        <v>79</v>
      </c>
      <c r="B83" s="24">
        <v>45282</v>
      </c>
      <c r="C83" s="36">
        <v>9.4460000000000002E-2</v>
      </c>
      <c r="D83" s="37">
        <v>9.0959999999999999E-2</v>
      </c>
      <c r="E83" s="37">
        <v>9.0770000000000003E-2</v>
      </c>
      <c r="F83" s="38">
        <v>9.1359999999999997E-2</v>
      </c>
      <c r="G83" s="36">
        <f t="shared" si="9"/>
        <v>1.059771089444661E-3</v>
      </c>
      <c r="H83" s="37">
        <f t="shared" si="6"/>
        <v>2.2036139268399868E-3</v>
      </c>
      <c r="I83" s="37">
        <f t="shared" si="7"/>
        <v>-2.088830255057128E-3</v>
      </c>
      <c r="J83" s="38">
        <f t="shared" si="8"/>
        <v>1.0957703265395136E-3</v>
      </c>
    </row>
    <row r="84" spans="1:10" x14ac:dyDescent="0.25">
      <c r="A84" s="6">
        <f t="shared" si="5"/>
        <v>80</v>
      </c>
      <c r="B84" s="24">
        <v>45281</v>
      </c>
      <c r="C84" s="36">
        <v>9.4359999999999999E-2</v>
      </c>
      <c r="D84" s="37">
        <v>9.0760000000000007E-2</v>
      </c>
      <c r="E84" s="37">
        <v>9.0959999999999999E-2</v>
      </c>
      <c r="F84" s="38">
        <v>9.1259999999999994E-2</v>
      </c>
      <c r="G84" s="36">
        <f t="shared" si="9"/>
        <v>4.2571306939123144E-3</v>
      </c>
      <c r="H84" s="37">
        <f t="shared" si="6"/>
        <v>4.4267374944666482E-3</v>
      </c>
      <c r="I84" s="37">
        <f t="shared" si="7"/>
        <v>3.3090668431501324E-3</v>
      </c>
      <c r="J84" s="38">
        <f t="shared" si="8"/>
        <v>5.509034817099856E-3</v>
      </c>
    </row>
    <row r="85" spans="1:10" x14ac:dyDescent="0.25">
      <c r="A85" s="6">
        <f t="shared" si="5"/>
        <v>81</v>
      </c>
      <c r="B85" s="24">
        <v>45280</v>
      </c>
      <c r="C85" s="36">
        <v>9.3960000000000002E-2</v>
      </c>
      <c r="D85" s="37">
        <v>9.0359999999999996E-2</v>
      </c>
      <c r="E85" s="37">
        <v>9.0660000000000004E-2</v>
      </c>
      <c r="F85" s="38">
        <v>9.0760000000000007E-2</v>
      </c>
      <c r="G85" s="36">
        <f t="shared" si="9"/>
        <v>-8.4423807513719362E-3</v>
      </c>
      <c r="H85" s="37">
        <f t="shared" si="6"/>
        <v>-1.2027115678985512E-2</v>
      </c>
      <c r="I85" s="37">
        <f t="shared" si="7"/>
        <v>-7.6619964973729804E-3</v>
      </c>
      <c r="J85" s="38">
        <f t="shared" si="8"/>
        <v>-5.4788516326976788E-3</v>
      </c>
    </row>
    <row r="86" spans="1:10" x14ac:dyDescent="0.25">
      <c r="A86" s="6">
        <f t="shared" si="5"/>
        <v>82</v>
      </c>
      <c r="B86" s="24">
        <v>45279</v>
      </c>
      <c r="C86" s="36">
        <v>9.4760000000000011E-2</v>
      </c>
      <c r="D86" s="37">
        <v>9.1460000000000014E-2</v>
      </c>
      <c r="E86" s="37">
        <v>9.1359999999999997E-2</v>
      </c>
      <c r="F86" s="38">
        <v>9.1259999999999994E-2</v>
      </c>
      <c r="G86" s="36">
        <f t="shared" si="9"/>
        <v>4.0262767535494959E-3</v>
      </c>
      <c r="H86" s="37">
        <f t="shared" si="6"/>
        <v>1.1054609772275237E-2</v>
      </c>
      <c r="I86" s="37">
        <f t="shared" si="7"/>
        <v>9.9491487950476021E-3</v>
      </c>
      <c r="J86" s="38">
        <f t="shared" si="8"/>
        <v>6.6181336863002649E-3</v>
      </c>
    </row>
    <row r="87" spans="1:10" x14ac:dyDescent="0.25">
      <c r="A87" s="6">
        <f t="shared" si="5"/>
        <v>83</v>
      </c>
      <c r="B87" s="24">
        <v>45278</v>
      </c>
      <c r="C87" s="36">
        <v>9.4380000000000006E-2</v>
      </c>
      <c r="D87" s="37">
        <v>9.0459999999999999E-2</v>
      </c>
      <c r="E87" s="37">
        <v>9.0459999999999999E-2</v>
      </c>
      <c r="F87" s="38">
        <v>9.0660000000000004E-2</v>
      </c>
      <c r="G87" s="36">
        <f t="shared" si="9"/>
        <v>-3.1602708803611712E-2</v>
      </c>
      <c r="H87" s="37">
        <f t="shared" si="6"/>
        <v>-3.5607675906183522E-2</v>
      </c>
      <c r="I87" s="37">
        <f t="shared" si="7"/>
        <v>-3.5299136184280711E-2</v>
      </c>
      <c r="J87" s="38">
        <f t="shared" si="8"/>
        <v>-3.6147140123325538E-2</v>
      </c>
    </row>
    <row r="88" spans="1:10" x14ac:dyDescent="0.25">
      <c r="A88" s="6">
        <f t="shared" si="5"/>
        <v>84</v>
      </c>
      <c r="B88" s="24">
        <v>45276</v>
      </c>
      <c r="C88" s="36">
        <v>9.7460000000000005E-2</v>
      </c>
      <c r="D88" s="37">
        <v>9.3800000000000008E-2</v>
      </c>
      <c r="E88" s="37">
        <v>9.3770000000000006E-2</v>
      </c>
      <c r="F88" s="38">
        <v>9.4060000000000005E-2</v>
      </c>
      <c r="G88" s="36">
        <f t="shared" si="9"/>
        <v>3.6147140123325538E-2</v>
      </c>
      <c r="H88" s="37">
        <f t="shared" si="6"/>
        <v>4.1527870308683212E-2</v>
      </c>
      <c r="I88" s="37">
        <f t="shared" si="7"/>
        <v>3.7737937140327693E-2</v>
      </c>
      <c r="J88" s="38">
        <f t="shared" si="8"/>
        <v>3.5219018269865732E-2</v>
      </c>
    </row>
    <row r="89" spans="1:10" x14ac:dyDescent="0.25">
      <c r="A89" s="6">
        <f t="shared" si="5"/>
        <v>85</v>
      </c>
      <c r="B89" s="24">
        <v>45275</v>
      </c>
      <c r="C89" s="36">
        <v>9.4060000000000005E-2</v>
      </c>
      <c r="D89" s="37">
        <v>9.0060000000000001E-2</v>
      </c>
      <c r="E89" s="37">
        <v>9.0359999999999996E-2</v>
      </c>
      <c r="F89" s="38">
        <v>9.0859999999999996E-2</v>
      </c>
      <c r="G89" s="36">
        <f t="shared" si="9"/>
        <v>1.8406236466002479E-2</v>
      </c>
      <c r="H89" s="37">
        <f t="shared" si="6"/>
        <v>1.0094212651413192E-2</v>
      </c>
      <c r="I89" s="37">
        <f t="shared" si="7"/>
        <v>8.9325591782045688E-3</v>
      </c>
      <c r="J89" s="38">
        <f t="shared" si="8"/>
        <v>3.3127208480565606E-3</v>
      </c>
    </row>
    <row r="90" spans="1:10" x14ac:dyDescent="0.25">
      <c r="A90" s="6">
        <f t="shared" si="5"/>
        <v>86</v>
      </c>
      <c r="B90" s="24">
        <v>45274</v>
      </c>
      <c r="C90" s="36">
        <v>9.2360000000000012E-2</v>
      </c>
      <c r="D90" s="37">
        <v>8.9160000000000003E-2</v>
      </c>
      <c r="E90" s="37">
        <v>8.9560000000000001E-2</v>
      </c>
      <c r="F90" s="38">
        <v>9.0559999999999988E-2</v>
      </c>
      <c r="G90" s="36">
        <f t="shared" si="9"/>
        <v>-2.3265651438240109E-2</v>
      </c>
      <c r="H90" s="37">
        <f t="shared" si="6"/>
        <v>-1.8710103455866101E-2</v>
      </c>
      <c r="I90" s="37">
        <f t="shared" si="7"/>
        <v>-1.5391380826736967E-2</v>
      </c>
      <c r="J90" s="38">
        <f t="shared" si="8"/>
        <v>-2.6864388566516295E-2</v>
      </c>
    </row>
    <row r="91" spans="1:10" x14ac:dyDescent="0.25">
      <c r="A91" s="6">
        <f t="shared" si="5"/>
        <v>87</v>
      </c>
      <c r="B91" s="24">
        <v>45273</v>
      </c>
      <c r="C91" s="36">
        <v>9.4559999999999991E-2</v>
      </c>
      <c r="D91" s="37">
        <v>9.0859999999999996E-2</v>
      </c>
      <c r="E91" s="37">
        <v>9.0959999999999999E-2</v>
      </c>
      <c r="F91" s="38">
        <v>9.305999999999999E-2</v>
      </c>
      <c r="G91" s="36">
        <f t="shared" si="9"/>
        <v>-5.656988925471429E-2</v>
      </c>
      <c r="H91" s="37">
        <f t="shared" si="6"/>
        <v>-6.165444593617686E-2</v>
      </c>
      <c r="I91" s="37">
        <f t="shared" si="7"/>
        <v>-6.3233779608650953E-2</v>
      </c>
      <c r="J91" s="38">
        <f t="shared" si="8"/>
        <v>-4.6907005325686257E-2</v>
      </c>
    </row>
    <row r="92" spans="1:10" x14ac:dyDescent="0.25">
      <c r="A92" s="6">
        <f t="shared" si="5"/>
        <v>88</v>
      </c>
      <c r="B92" s="24">
        <v>45272</v>
      </c>
      <c r="C92" s="36">
        <v>0.10023</v>
      </c>
      <c r="D92" s="37">
        <v>9.6829999999999999E-2</v>
      </c>
      <c r="E92" s="37">
        <v>9.7100000000000006E-2</v>
      </c>
      <c r="F92" s="38">
        <v>9.7639999999999991E-2</v>
      </c>
      <c r="G92" s="36">
        <f t="shared" si="9"/>
        <v>3.9083557951482328E-2</v>
      </c>
      <c r="H92" s="37">
        <f t="shared" si="6"/>
        <v>3.8280077203517004E-2</v>
      </c>
      <c r="I92" s="37">
        <f t="shared" si="7"/>
        <v>3.8947143162850528E-2</v>
      </c>
      <c r="J92" s="38">
        <f t="shared" si="8"/>
        <v>3.6958368734069547E-2</v>
      </c>
    </row>
    <row r="93" spans="1:10" x14ac:dyDescent="0.25">
      <c r="A93" s="6">
        <f t="shared" si="5"/>
        <v>89</v>
      </c>
      <c r="B93" s="24">
        <v>45271</v>
      </c>
      <c r="C93" s="36">
        <v>9.6460000000000004E-2</v>
      </c>
      <c r="D93" s="37">
        <v>9.326000000000001E-2</v>
      </c>
      <c r="E93" s="37">
        <v>9.3460000000000001E-2</v>
      </c>
      <c r="F93" s="38">
        <v>9.4160000000000008E-2</v>
      </c>
      <c r="G93" s="36">
        <f t="shared" si="9"/>
        <v>-2.908907901358837E-2</v>
      </c>
      <c r="H93" s="37">
        <f t="shared" si="6"/>
        <v>-2.3659966499162355E-2</v>
      </c>
      <c r="I93" s="37">
        <f t="shared" si="7"/>
        <v>-2.6661112268277498E-2</v>
      </c>
      <c r="J93" s="38">
        <f t="shared" si="8"/>
        <v>-1.8860060435552661E-2</v>
      </c>
    </row>
    <row r="94" spans="1:10" x14ac:dyDescent="0.25">
      <c r="A94" s="6">
        <f t="shared" si="5"/>
        <v>90</v>
      </c>
      <c r="B94" s="24">
        <v>45269</v>
      </c>
      <c r="C94" s="36">
        <v>9.9350000000000008E-2</v>
      </c>
      <c r="D94" s="37">
        <v>9.5519999999999994E-2</v>
      </c>
      <c r="E94" s="37">
        <v>9.6020000000000008E-2</v>
      </c>
      <c r="F94" s="38">
        <v>9.597E-2</v>
      </c>
      <c r="G94" s="36">
        <f t="shared" si="9"/>
        <v>4.0750052377959589E-2</v>
      </c>
      <c r="H94" s="37">
        <f t="shared" si="6"/>
        <v>3.5334923043572442E-2</v>
      </c>
      <c r="I94" s="37">
        <f t="shared" si="7"/>
        <v>3.9627544391511504E-2</v>
      </c>
      <c r="J94" s="38">
        <f t="shared" si="8"/>
        <v>3.6840968020743325E-2</v>
      </c>
    </row>
    <row r="95" spans="1:10" x14ac:dyDescent="0.25">
      <c r="A95" s="6">
        <f t="shared" si="5"/>
        <v>91</v>
      </c>
      <c r="B95" s="24">
        <v>45268</v>
      </c>
      <c r="C95" s="36">
        <v>9.5459999999999989E-2</v>
      </c>
      <c r="D95" s="37">
        <v>9.2260000000000009E-2</v>
      </c>
      <c r="E95" s="37">
        <v>9.2360000000000012E-2</v>
      </c>
      <c r="F95" s="38">
        <v>9.2560000000000003E-2</v>
      </c>
      <c r="G95" s="36">
        <f t="shared" si="9"/>
        <v>7.3870831574500695E-3</v>
      </c>
      <c r="H95" s="37">
        <f t="shared" si="6"/>
        <v>1.3178124313639517E-2</v>
      </c>
      <c r="I95" s="37">
        <f t="shared" si="7"/>
        <v>1.0945709281961591E-2</v>
      </c>
      <c r="J95" s="38">
        <f t="shared" si="8"/>
        <v>8.2788671023965588E-3</v>
      </c>
    </row>
    <row r="96" spans="1:10" x14ac:dyDescent="0.25">
      <c r="A96" s="6">
        <f t="shared" si="5"/>
        <v>92</v>
      </c>
      <c r="B96" s="24">
        <v>45267</v>
      </c>
      <c r="C96" s="36">
        <v>9.4760000000000011E-2</v>
      </c>
      <c r="D96" s="37">
        <v>9.1060000000000002E-2</v>
      </c>
      <c r="E96" s="37">
        <v>9.1359999999999997E-2</v>
      </c>
      <c r="F96" s="38">
        <v>9.1799999999999993E-2</v>
      </c>
      <c r="G96" s="36">
        <f t="shared" si="9"/>
        <v>1.6913319238900382E-3</v>
      </c>
      <c r="H96" s="37">
        <f t="shared" si="6"/>
        <v>-6.5459306131355754E-3</v>
      </c>
      <c r="I96" s="37">
        <f t="shared" si="7"/>
        <v>-6.5245759025663874E-3</v>
      </c>
      <c r="J96" s="38">
        <f t="shared" si="8"/>
        <v>-1.7398869073510514E-3</v>
      </c>
    </row>
    <row r="97" spans="1:10" x14ac:dyDescent="0.25">
      <c r="A97" s="6">
        <f t="shared" si="5"/>
        <v>93</v>
      </c>
      <c r="B97" s="24">
        <v>45266</v>
      </c>
      <c r="C97" s="36">
        <v>9.4600000000000004E-2</v>
      </c>
      <c r="D97" s="37">
        <v>9.1660000000000005E-2</v>
      </c>
      <c r="E97" s="37">
        <v>9.196E-2</v>
      </c>
      <c r="F97" s="38">
        <v>9.196E-2</v>
      </c>
      <c r="G97" s="36">
        <f t="shared" si="9"/>
        <v>-5.8848255569565744E-3</v>
      </c>
      <c r="H97" s="37">
        <f t="shared" si="6"/>
        <v>-3.2622879512831382E-3</v>
      </c>
      <c r="I97" s="37">
        <f t="shared" si="7"/>
        <v>-6.482281763180664E-3</v>
      </c>
      <c r="J97" s="38">
        <f t="shared" si="8"/>
        <v>-9.6920094766315135E-3</v>
      </c>
    </row>
    <row r="98" spans="1:10" x14ac:dyDescent="0.25">
      <c r="A98" s="6">
        <f t="shared" si="5"/>
        <v>94</v>
      </c>
      <c r="B98" s="24">
        <v>45265</v>
      </c>
      <c r="C98" s="36">
        <v>9.5159999999999995E-2</v>
      </c>
      <c r="D98" s="37">
        <v>9.196E-2</v>
      </c>
      <c r="E98" s="37">
        <v>9.2560000000000003E-2</v>
      </c>
      <c r="F98" s="38">
        <v>9.2859999999999998E-2</v>
      </c>
      <c r="G98" s="36">
        <f t="shared" si="9"/>
        <v>-4.1858518208455209E-3</v>
      </c>
      <c r="H98" s="37">
        <f t="shared" si="6"/>
        <v>-8.6244070720137289E-3</v>
      </c>
      <c r="I98" s="37">
        <f t="shared" si="7"/>
        <v>-1.0688328345446751E-2</v>
      </c>
      <c r="J98" s="38">
        <f t="shared" si="8"/>
        <v>-1.170710940825892E-2</v>
      </c>
    </row>
    <row r="99" spans="1:10" x14ac:dyDescent="0.25">
      <c r="A99" s="6">
        <f t="shared" si="5"/>
        <v>95</v>
      </c>
      <c r="B99" s="24">
        <v>45264</v>
      </c>
      <c r="C99" s="36">
        <v>9.5559999999999992E-2</v>
      </c>
      <c r="D99" s="37">
        <v>9.2759999999999995E-2</v>
      </c>
      <c r="E99" s="37">
        <v>9.3560000000000004E-2</v>
      </c>
      <c r="F99" s="38">
        <v>9.3960000000000002E-2</v>
      </c>
      <c r="G99" s="36">
        <f t="shared" si="9"/>
        <v>-3.2303797468354545E-2</v>
      </c>
      <c r="H99" s="37">
        <f t="shared" si="6"/>
        <v>-2.4810765349032926E-2</v>
      </c>
      <c r="I99" s="37">
        <f t="shared" si="7"/>
        <v>-2.4705514437610709E-2</v>
      </c>
      <c r="J99" s="38">
        <f t="shared" si="8"/>
        <v>-2.9639574512031364E-2</v>
      </c>
    </row>
    <row r="100" spans="1:10" x14ac:dyDescent="0.25">
      <c r="A100" s="6">
        <f t="shared" si="5"/>
        <v>96</v>
      </c>
      <c r="B100" s="24">
        <v>45262</v>
      </c>
      <c r="C100" s="36">
        <v>9.8750000000000004E-2</v>
      </c>
      <c r="D100" s="37">
        <v>9.512000000000001E-2</v>
      </c>
      <c r="E100" s="37">
        <v>9.5930000000000001E-2</v>
      </c>
      <c r="F100" s="38">
        <v>9.6829999999999999E-2</v>
      </c>
      <c r="G100" s="36">
        <f t="shared" si="9"/>
        <v>3.6636573588074928E-2</v>
      </c>
      <c r="H100" s="37">
        <f t="shared" si="6"/>
        <v>3.6617262423713992E-2</v>
      </c>
      <c r="I100" s="37">
        <f t="shared" si="7"/>
        <v>3.6408815903197889E-2</v>
      </c>
      <c r="J100" s="38">
        <f t="shared" si="8"/>
        <v>3.6058206719452146E-2</v>
      </c>
    </row>
    <row r="101" spans="1:10" x14ac:dyDescent="0.25">
      <c r="A101" s="6">
        <f t="shared" si="5"/>
        <v>97</v>
      </c>
      <c r="B101" s="24">
        <v>45261</v>
      </c>
      <c r="C101" s="36">
        <v>9.5259999999999997E-2</v>
      </c>
      <c r="D101" s="37">
        <v>9.1760000000000008E-2</v>
      </c>
      <c r="E101" s="37">
        <v>9.2560000000000003E-2</v>
      </c>
      <c r="F101" s="38">
        <v>9.3460000000000001E-2</v>
      </c>
      <c r="G101" s="36">
        <f t="shared" si="9"/>
        <v>-1.2440389798880402E-2</v>
      </c>
      <c r="H101" s="37">
        <f t="shared" si="6"/>
        <v>-1.2908777969018681E-2</v>
      </c>
      <c r="I101" s="37">
        <f t="shared" si="7"/>
        <v>-1.2798634812286602E-2</v>
      </c>
      <c r="J101" s="38">
        <f t="shared" si="8"/>
        <v>-1.1632825719120055E-2</v>
      </c>
    </row>
    <row r="102" spans="1:10" x14ac:dyDescent="0.25">
      <c r="A102" s="6">
        <f t="shared" si="5"/>
        <v>98</v>
      </c>
      <c r="B102" s="24">
        <v>45260</v>
      </c>
      <c r="C102" s="36">
        <v>9.6460000000000004E-2</v>
      </c>
      <c r="D102" s="37">
        <v>9.2959999999999987E-2</v>
      </c>
      <c r="E102" s="37">
        <v>9.3759999999999996E-2</v>
      </c>
      <c r="F102" s="38">
        <v>9.4559999999999991E-2</v>
      </c>
      <c r="G102" s="36">
        <f t="shared" si="9"/>
        <v>1.7940059096665184E-2</v>
      </c>
      <c r="H102" s="37">
        <f t="shared" si="6"/>
        <v>8.6805555555555802E-3</v>
      </c>
      <c r="I102" s="37">
        <f t="shared" si="7"/>
        <v>1.4060134112048317E-2</v>
      </c>
      <c r="J102" s="38">
        <f t="shared" si="8"/>
        <v>1.9404915912031084E-2</v>
      </c>
    </row>
    <row r="103" spans="1:10" x14ac:dyDescent="0.25">
      <c r="A103" s="6">
        <f t="shared" si="5"/>
        <v>99</v>
      </c>
      <c r="B103" s="24">
        <v>45259</v>
      </c>
      <c r="C103" s="36">
        <v>9.4760000000000011E-2</v>
      </c>
      <c r="D103" s="37">
        <v>9.2159999999999992E-2</v>
      </c>
      <c r="E103" s="37">
        <v>9.2460000000000001E-2</v>
      </c>
      <c r="F103" s="38">
        <v>9.2759999999999995E-2</v>
      </c>
      <c r="G103" s="36">
        <f t="shared" si="9"/>
        <v>-1.0442773600668365E-2</v>
      </c>
      <c r="H103" s="37">
        <f t="shared" si="6"/>
        <v>-8.6058519793459354E-3</v>
      </c>
      <c r="I103" s="37">
        <f t="shared" si="7"/>
        <v>-1.0699764605178741E-2</v>
      </c>
      <c r="J103" s="38">
        <f t="shared" si="8"/>
        <v>-2.4195245108352692E-2</v>
      </c>
    </row>
    <row r="104" spans="1:10" x14ac:dyDescent="0.25">
      <c r="A104" s="6">
        <f t="shared" si="5"/>
        <v>100</v>
      </c>
      <c r="B104" s="24">
        <v>45258</v>
      </c>
      <c r="C104" s="36">
        <v>9.5760000000000012E-2</v>
      </c>
      <c r="D104" s="37">
        <v>9.2959999999999987E-2</v>
      </c>
      <c r="E104" s="37">
        <v>9.3460000000000001E-2</v>
      </c>
      <c r="F104" s="38">
        <v>9.5060000000000006E-2</v>
      </c>
      <c r="G104" s="36">
        <f t="shared" si="9"/>
        <v>-1.8450184501844991E-2</v>
      </c>
      <c r="H104" s="37">
        <f t="shared" si="6"/>
        <v>-1.6920473773265665E-2</v>
      </c>
      <c r="I104" s="37">
        <f t="shared" si="7"/>
        <v>-1.786464901218987E-2</v>
      </c>
      <c r="J104" s="38">
        <f t="shared" si="8"/>
        <v>-1.959570957095691E-2</v>
      </c>
    </row>
    <row r="105" spans="1:10" x14ac:dyDescent="0.25">
      <c r="A105" s="6">
        <f t="shared" si="5"/>
        <v>101</v>
      </c>
      <c r="B105" s="24">
        <v>45257</v>
      </c>
      <c r="C105" s="36">
        <v>9.7560000000000008E-2</v>
      </c>
      <c r="D105" s="37">
        <v>9.4559999999999991E-2</v>
      </c>
      <c r="E105" s="37">
        <v>9.5159999999999995E-2</v>
      </c>
      <c r="F105" s="38">
        <v>9.6959999999999991E-2</v>
      </c>
      <c r="G105" s="36">
        <f t="shared" si="9"/>
        <v>-4.7265624999999978E-2</v>
      </c>
      <c r="H105" s="37">
        <f t="shared" si="6"/>
        <v>-4.7254408060453557E-2</v>
      </c>
      <c r="I105" s="37">
        <f t="shared" si="7"/>
        <v>-4.7256708049659646E-2</v>
      </c>
      <c r="J105" s="38">
        <f t="shared" si="8"/>
        <v>-4.2843040473840133E-2</v>
      </c>
    </row>
    <row r="106" spans="1:10" x14ac:dyDescent="0.25">
      <c r="A106" s="6">
        <f t="shared" si="5"/>
        <v>102</v>
      </c>
      <c r="B106" s="24">
        <v>45255</v>
      </c>
      <c r="C106" s="36">
        <v>0.1024</v>
      </c>
      <c r="D106" s="37">
        <v>9.9250000000000005E-2</v>
      </c>
      <c r="E106" s="37">
        <v>9.9879999999999997E-2</v>
      </c>
      <c r="F106" s="38">
        <v>0.1013</v>
      </c>
      <c r="G106" s="36">
        <f t="shared" si="9"/>
        <v>4.2133116222267564E-2</v>
      </c>
      <c r="H106" s="37">
        <f t="shared" si="6"/>
        <v>4.5176916596461725E-2</v>
      </c>
      <c r="I106" s="37">
        <f t="shared" si="7"/>
        <v>4.630211606955803E-2</v>
      </c>
      <c r="J106" s="38">
        <f t="shared" si="8"/>
        <v>4.9088649544324792E-2</v>
      </c>
    </row>
    <row r="107" spans="1:10" x14ac:dyDescent="0.25">
      <c r="A107" s="6">
        <f t="shared" si="5"/>
        <v>103</v>
      </c>
      <c r="B107" s="24">
        <v>45254</v>
      </c>
      <c r="C107" s="36">
        <v>9.826E-2</v>
      </c>
      <c r="D107" s="37">
        <v>9.4960000000000003E-2</v>
      </c>
      <c r="E107" s="37">
        <v>9.5459999999999989E-2</v>
      </c>
      <c r="F107" s="38">
        <v>9.6560000000000007E-2</v>
      </c>
      <c r="G107" s="36">
        <f t="shared" si="9"/>
        <v>4.1900868676545411E-3</v>
      </c>
      <c r="H107" s="37">
        <f t="shared" si="6"/>
        <v>3.0632724199852746E-3</v>
      </c>
      <c r="I107" s="37">
        <f t="shared" si="7"/>
        <v>5.159524060229348E-3</v>
      </c>
      <c r="J107" s="38">
        <f t="shared" si="8"/>
        <v>3.0123610678300938E-3</v>
      </c>
    </row>
    <row r="108" spans="1:10" x14ac:dyDescent="0.25">
      <c r="A108" s="6">
        <f t="shared" si="5"/>
        <v>104</v>
      </c>
      <c r="B108" s="24">
        <v>45253</v>
      </c>
      <c r="C108" s="36">
        <v>9.7850000000000006E-2</v>
      </c>
      <c r="D108" s="37">
        <v>9.4670000000000004E-2</v>
      </c>
      <c r="E108" s="37">
        <v>9.4969999999999999E-2</v>
      </c>
      <c r="F108" s="38">
        <v>9.6270000000000008E-2</v>
      </c>
      <c r="G108" s="36">
        <f t="shared" si="9"/>
        <v>-3.5641547861507972E-3</v>
      </c>
      <c r="H108" s="37">
        <f t="shared" si="6"/>
        <v>-4.1026719966337222E-3</v>
      </c>
      <c r="I108" s="37">
        <f t="shared" si="7"/>
        <v>-5.1330400167608481E-3</v>
      </c>
      <c r="J108" s="38">
        <f t="shared" si="8"/>
        <v>1.0388531061722439E-4</v>
      </c>
    </row>
    <row r="109" spans="1:10" x14ac:dyDescent="0.25">
      <c r="A109" s="6">
        <f t="shared" si="5"/>
        <v>105</v>
      </c>
      <c r="B109" s="24">
        <v>45252</v>
      </c>
      <c r="C109" s="36">
        <v>9.820000000000001E-2</v>
      </c>
      <c r="D109" s="37">
        <v>9.5060000000000006E-2</v>
      </c>
      <c r="E109" s="37">
        <v>9.5459999999999989E-2</v>
      </c>
      <c r="F109" s="38">
        <v>9.6259999999999998E-2</v>
      </c>
      <c r="G109" s="36">
        <f t="shared" si="9"/>
        <v>8.2135523613964256E-3</v>
      </c>
      <c r="H109" s="37">
        <f t="shared" si="6"/>
        <v>5.2876480541457216E-3</v>
      </c>
      <c r="I109" s="37">
        <f t="shared" si="7"/>
        <v>4.2078687144959659E-3</v>
      </c>
      <c r="J109" s="38">
        <f t="shared" si="8"/>
        <v>3.1263026260941462E-3</v>
      </c>
    </row>
    <row r="110" spans="1:10" x14ac:dyDescent="0.25">
      <c r="A110" s="6">
        <f t="shared" si="5"/>
        <v>106</v>
      </c>
      <c r="B110" s="24">
        <v>45251</v>
      </c>
      <c r="C110" s="36">
        <v>9.74E-2</v>
      </c>
      <c r="D110" s="37">
        <v>9.4559999999999991E-2</v>
      </c>
      <c r="E110" s="37">
        <v>9.5060000000000006E-2</v>
      </c>
      <c r="F110" s="38">
        <v>9.5960000000000004E-2</v>
      </c>
      <c r="G110" s="36">
        <f t="shared" si="9"/>
        <v>-2.891326021934193E-2</v>
      </c>
      <c r="H110" s="37">
        <f t="shared" si="6"/>
        <v>-2.8459878762971402E-2</v>
      </c>
      <c r="I110" s="37">
        <f t="shared" si="7"/>
        <v>-2.7817549601145464E-2</v>
      </c>
      <c r="J110" s="38">
        <f t="shared" si="8"/>
        <v>-3.0119264200525575E-2</v>
      </c>
    </row>
    <row r="111" spans="1:10" x14ac:dyDescent="0.25">
      <c r="A111" s="6">
        <f t="shared" si="5"/>
        <v>107</v>
      </c>
      <c r="B111" s="24">
        <v>45248</v>
      </c>
      <c r="C111" s="36">
        <v>0.1003</v>
      </c>
      <c r="D111" s="37">
        <v>9.733E-2</v>
      </c>
      <c r="E111" s="37">
        <v>9.7780000000000006E-2</v>
      </c>
      <c r="F111" s="38">
        <v>9.894E-2</v>
      </c>
      <c r="G111" s="36">
        <f t="shared" si="9"/>
        <v>3.873239436619702E-2</v>
      </c>
      <c r="H111" s="37">
        <f t="shared" si="6"/>
        <v>3.8075938566553003E-2</v>
      </c>
      <c r="I111" s="37">
        <f t="shared" si="7"/>
        <v>3.9549223899638442E-2</v>
      </c>
      <c r="J111" s="38">
        <f t="shared" si="8"/>
        <v>3.8631114843586056E-2</v>
      </c>
    </row>
    <row r="112" spans="1:10" x14ac:dyDescent="0.25">
      <c r="A112" s="6">
        <f t="shared" si="5"/>
        <v>108</v>
      </c>
      <c r="B112" s="24">
        <v>45247</v>
      </c>
      <c r="C112" s="36">
        <v>9.6560000000000007E-2</v>
      </c>
      <c r="D112" s="37">
        <v>9.3759999999999996E-2</v>
      </c>
      <c r="E112" s="37">
        <v>9.4060000000000005E-2</v>
      </c>
      <c r="F112" s="38">
        <v>9.5259999999999997E-2</v>
      </c>
      <c r="G112" s="36">
        <f t="shared" si="9"/>
        <v>1.0464629552114024E-2</v>
      </c>
      <c r="H112" s="37">
        <f t="shared" si="6"/>
        <v>7.5220287986246248E-3</v>
      </c>
      <c r="I112" s="37">
        <f t="shared" si="7"/>
        <v>5.3441641727234312E-3</v>
      </c>
      <c r="J112" s="38">
        <f t="shared" si="8"/>
        <v>1.0508617065994041E-3</v>
      </c>
    </row>
    <row r="113" spans="1:10" x14ac:dyDescent="0.25">
      <c r="A113" s="6">
        <f t="shared" si="5"/>
        <v>109</v>
      </c>
      <c r="B113" s="24">
        <v>45246</v>
      </c>
      <c r="C113" s="36">
        <v>9.5559999999999992E-2</v>
      </c>
      <c r="D113" s="37">
        <v>9.305999999999999E-2</v>
      </c>
      <c r="E113" s="37">
        <v>9.3560000000000004E-2</v>
      </c>
      <c r="F113" s="38">
        <v>9.5159999999999995E-2</v>
      </c>
      <c r="G113" s="36">
        <f t="shared" si="9"/>
        <v>-4.1684035014590837E-3</v>
      </c>
      <c r="H113" s="37">
        <f t="shared" si="6"/>
        <v>-1.1682242990654346E-2</v>
      </c>
      <c r="I113" s="37">
        <f t="shared" si="7"/>
        <v>-9.527842473004422E-3</v>
      </c>
      <c r="J113" s="38">
        <f t="shared" si="8"/>
        <v>-1.1427384167878696E-2</v>
      </c>
    </row>
    <row r="114" spans="1:10" x14ac:dyDescent="0.25">
      <c r="A114" s="6">
        <f t="shared" si="5"/>
        <v>110</v>
      </c>
      <c r="B114" s="24">
        <v>45245</v>
      </c>
      <c r="C114" s="36">
        <v>9.5960000000000004E-2</v>
      </c>
      <c r="D114" s="37">
        <v>9.4160000000000008E-2</v>
      </c>
      <c r="E114" s="37">
        <v>9.4460000000000002E-2</v>
      </c>
      <c r="F114" s="38">
        <v>9.6259999999999998E-2</v>
      </c>
      <c r="G114" s="36">
        <f t="shared" si="9"/>
        <v>1.0431879824743806E-3</v>
      </c>
      <c r="H114" s="37">
        <f t="shared" si="6"/>
        <v>0</v>
      </c>
      <c r="I114" s="37">
        <f t="shared" si="7"/>
        <v>2.1217907914279355E-3</v>
      </c>
      <c r="J114" s="38">
        <f t="shared" si="8"/>
        <v>1.0399334442596775E-3</v>
      </c>
    </row>
    <row r="115" spans="1:10" x14ac:dyDescent="0.25">
      <c r="A115" s="6">
        <f t="shared" si="5"/>
        <v>111</v>
      </c>
      <c r="B115" s="24">
        <v>45244</v>
      </c>
      <c r="C115" s="36">
        <v>9.5860000000000001E-2</v>
      </c>
      <c r="D115" s="37">
        <v>9.4160000000000008E-2</v>
      </c>
      <c r="E115" s="37">
        <v>9.4259999999999997E-2</v>
      </c>
      <c r="F115" s="38">
        <v>9.6159999999999995E-2</v>
      </c>
      <c r="G115" s="36">
        <f t="shared" si="9"/>
        <v>-1.943535188216039E-2</v>
      </c>
      <c r="H115" s="37">
        <f t="shared" si="6"/>
        <v>-2.0798668885191218E-2</v>
      </c>
      <c r="I115" s="37">
        <f t="shared" si="7"/>
        <v>-2.1793275217932617E-2</v>
      </c>
      <c r="J115" s="38">
        <f t="shared" si="8"/>
        <v>-1.737175556918058E-2</v>
      </c>
    </row>
    <row r="116" spans="1:10" x14ac:dyDescent="0.25">
      <c r="A116" s="6">
        <f t="shared" si="5"/>
        <v>112</v>
      </c>
      <c r="B116" s="24">
        <v>45243</v>
      </c>
      <c r="C116" s="36">
        <v>9.776E-2</v>
      </c>
      <c r="D116" s="37">
        <v>9.6159999999999995E-2</v>
      </c>
      <c r="E116" s="37">
        <v>9.6359999999999987E-2</v>
      </c>
      <c r="F116" s="38">
        <v>9.7860000000000003E-2</v>
      </c>
      <c r="G116" s="36">
        <f t="shared" si="9"/>
        <v>3.0781859224295882E-3</v>
      </c>
      <c r="H116" s="37">
        <f t="shared" si="6"/>
        <v>-3.3567839195979832E-2</v>
      </c>
      <c r="I116" s="37">
        <f t="shared" si="7"/>
        <v>-3.4662392306151091E-2</v>
      </c>
      <c r="J116" s="38">
        <f t="shared" si="8"/>
        <v>-3.4339846062758972E-2</v>
      </c>
    </row>
    <row r="117" spans="1:10" x14ac:dyDescent="0.25">
      <c r="A117" s="6">
        <f t="shared" si="5"/>
        <v>113</v>
      </c>
      <c r="B117" s="24">
        <v>45241</v>
      </c>
      <c r="C117" s="36">
        <v>9.7460000000000005E-2</v>
      </c>
      <c r="D117" s="37">
        <v>9.9499999999999991E-2</v>
      </c>
      <c r="E117" s="37">
        <v>9.9819999999999992E-2</v>
      </c>
      <c r="F117" s="38">
        <v>0.10134</v>
      </c>
      <c r="G117" s="36">
        <f t="shared" si="9"/>
        <v>0</v>
      </c>
      <c r="H117" s="37">
        <f t="shared" si="6"/>
        <v>3.7972042562069541E-2</v>
      </c>
      <c r="I117" s="37">
        <f t="shared" si="7"/>
        <v>3.6983170579679925E-2</v>
      </c>
      <c r="J117" s="38">
        <f t="shared" si="8"/>
        <v>4.0879211175020469E-2</v>
      </c>
    </row>
    <row r="118" spans="1:10" x14ac:dyDescent="0.25">
      <c r="A118" s="6">
        <f t="shared" si="5"/>
        <v>114</v>
      </c>
      <c r="B118" s="24">
        <v>45240</v>
      </c>
      <c r="C118" s="36">
        <v>9.7460000000000005E-2</v>
      </c>
      <c r="D118" s="37">
        <v>9.5860000000000001E-2</v>
      </c>
      <c r="E118" s="37">
        <v>9.6259999999999998E-2</v>
      </c>
      <c r="F118" s="38">
        <v>9.7360000000000002E-2</v>
      </c>
      <c r="G118" s="36">
        <f t="shared" si="9"/>
        <v>-1.2162983985404385E-2</v>
      </c>
      <c r="H118" s="37">
        <f t="shared" si="6"/>
        <v>-1.0421008753647154E-3</v>
      </c>
      <c r="I118" s="37">
        <f t="shared" si="7"/>
        <v>-2.0733982998134559E-3</v>
      </c>
      <c r="J118" s="38">
        <f t="shared" si="8"/>
        <v>1.0281719103433229E-3</v>
      </c>
    </row>
    <row r="119" spans="1:10" x14ac:dyDescent="0.25">
      <c r="A119" s="6">
        <f t="shared" si="5"/>
        <v>115</v>
      </c>
      <c r="B119" s="24">
        <v>45239</v>
      </c>
      <c r="C119" s="36">
        <v>9.8659999999999998E-2</v>
      </c>
      <c r="D119" s="37">
        <v>9.5960000000000004E-2</v>
      </c>
      <c r="E119" s="37">
        <v>9.6460000000000004E-2</v>
      </c>
      <c r="F119" s="38">
        <v>9.7260000000000013E-2</v>
      </c>
      <c r="G119" s="36">
        <f t="shared" si="9"/>
        <v>-8.0434345465513202E-3</v>
      </c>
      <c r="H119" s="37">
        <f t="shared" si="6"/>
        <v>-2.0798668885190219E-3</v>
      </c>
      <c r="I119" s="37">
        <f t="shared" si="7"/>
        <v>-1.0356255178127771E-3</v>
      </c>
      <c r="J119" s="38">
        <f t="shared" si="8"/>
        <v>4.1296716911005671E-3</v>
      </c>
    </row>
    <row r="120" spans="1:10" x14ac:dyDescent="0.25">
      <c r="A120" s="6">
        <f t="shared" si="5"/>
        <v>116</v>
      </c>
      <c r="B120" s="24">
        <v>45238</v>
      </c>
      <c r="C120" s="36">
        <v>9.9459999999999993E-2</v>
      </c>
      <c r="D120" s="37">
        <v>9.6159999999999995E-2</v>
      </c>
      <c r="E120" s="37">
        <v>9.6560000000000007E-2</v>
      </c>
      <c r="F120" s="38">
        <v>9.6860000000000002E-2</v>
      </c>
      <c r="G120" s="36">
        <f t="shared" si="9"/>
        <v>-7.9792539397567364E-3</v>
      </c>
      <c r="H120" s="37">
        <f t="shared" si="6"/>
        <v>-1.6366612111292977E-2</v>
      </c>
      <c r="I120" s="37">
        <f t="shared" si="7"/>
        <v>-1.7301038062283669E-2</v>
      </c>
      <c r="J120" s="38">
        <f t="shared" si="8"/>
        <v>-1.1229073091057473E-2</v>
      </c>
    </row>
    <row r="121" spans="1:10" x14ac:dyDescent="0.25">
      <c r="A121" s="6">
        <f t="shared" si="5"/>
        <v>117</v>
      </c>
      <c r="B121" s="24">
        <v>45237</v>
      </c>
      <c r="C121" s="36">
        <v>0.10026</v>
      </c>
      <c r="D121" s="37">
        <v>9.776E-2</v>
      </c>
      <c r="E121" s="37">
        <v>9.826E-2</v>
      </c>
      <c r="F121" s="38">
        <v>9.7959999999999992E-2</v>
      </c>
      <c r="G121" s="36">
        <f t="shared" si="9"/>
        <v>4.0056078509913551E-3</v>
      </c>
      <c r="H121" s="37">
        <f t="shared" si="6"/>
        <v>2.0500205002049743E-3</v>
      </c>
      <c r="I121" s="37">
        <f t="shared" si="7"/>
        <v>4.087471898630568E-3</v>
      </c>
      <c r="J121" s="38">
        <f t="shared" si="8"/>
        <v>1.021867974657642E-3</v>
      </c>
    </row>
    <row r="122" spans="1:10" x14ac:dyDescent="0.25">
      <c r="A122" s="6">
        <f t="shared" si="5"/>
        <v>118</v>
      </c>
      <c r="B122" s="24">
        <v>45236</v>
      </c>
      <c r="C122" s="36">
        <v>9.9860000000000004E-2</v>
      </c>
      <c r="D122" s="37">
        <v>9.7560000000000008E-2</v>
      </c>
      <c r="E122" s="37">
        <v>9.7860000000000003E-2</v>
      </c>
      <c r="F122" s="38">
        <v>9.7860000000000003E-2</v>
      </c>
      <c r="G122" s="36">
        <f t="shared" si="9"/>
        <v>-3.6472404477035925E-2</v>
      </c>
      <c r="H122" s="37">
        <f t="shared" si="6"/>
        <v>-3.558718861209953E-2</v>
      </c>
      <c r="I122" s="37">
        <f t="shared" si="7"/>
        <v>-3.7284800787014127E-2</v>
      </c>
      <c r="J122" s="38">
        <f t="shared" si="8"/>
        <v>-3.7474181174387722E-2</v>
      </c>
    </row>
    <row r="123" spans="1:10" x14ac:dyDescent="0.25">
      <c r="A123" s="6">
        <f t="shared" si="5"/>
        <v>119</v>
      </c>
      <c r="B123" s="24">
        <v>45234</v>
      </c>
      <c r="C123" s="36">
        <v>0.10364000000000001</v>
      </c>
      <c r="D123" s="37">
        <v>0.10116</v>
      </c>
      <c r="E123" s="37">
        <v>0.10164999999999999</v>
      </c>
      <c r="F123" s="38">
        <v>0.10167</v>
      </c>
      <c r="G123" s="36">
        <f t="shared" si="9"/>
        <v>3.681472589035617E-2</v>
      </c>
      <c r="H123" s="37">
        <f t="shared" si="6"/>
        <v>3.7964293043299735E-2</v>
      </c>
      <c r="I123" s="37">
        <f t="shared" si="7"/>
        <v>3.8728796239525742E-2</v>
      </c>
      <c r="J123" s="38">
        <f t="shared" si="8"/>
        <v>3.7872601061657907E-2</v>
      </c>
    </row>
    <row r="124" spans="1:10" x14ac:dyDescent="0.25">
      <c r="A124" s="6">
        <f t="shared" si="5"/>
        <v>120</v>
      </c>
      <c r="B124" s="24">
        <v>45233</v>
      </c>
      <c r="C124" s="36">
        <v>9.9960000000000007E-2</v>
      </c>
      <c r="D124" s="37">
        <v>9.7460000000000005E-2</v>
      </c>
      <c r="E124" s="37">
        <v>9.7860000000000003E-2</v>
      </c>
      <c r="F124" s="38">
        <v>9.7959999999999992E-2</v>
      </c>
      <c r="G124" s="36">
        <f t="shared" si="9"/>
        <v>-6.3869638509084115E-2</v>
      </c>
      <c r="H124" s="37">
        <f t="shared" si="6"/>
        <v>-6.4773054409365649E-2</v>
      </c>
      <c r="I124" s="37">
        <f t="shared" si="7"/>
        <v>-6.9063926940639342E-2</v>
      </c>
      <c r="J124" s="38">
        <f t="shared" si="8"/>
        <v>-6.2583732057416297E-2</v>
      </c>
    </row>
    <row r="125" spans="1:10" x14ac:dyDescent="0.25">
      <c r="A125" s="6">
        <f t="shared" si="5"/>
        <v>121</v>
      </c>
      <c r="B125" s="24">
        <v>45232</v>
      </c>
      <c r="C125" s="36">
        <v>0.10678000000000001</v>
      </c>
      <c r="D125" s="37">
        <v>0.10421</v>
      </c>
      <c r="E125" s="37">
        <v>0.10512000000000001</v>
      </c>
      <c r="F125" s="38">
        <v>0.1045</v>
      </c>
      <c r="G125" s="36">
        <f t="shared" si="9"/>
        <v>4.0740740740740966E-2</v>
      </c>
      <c r="H125" s="37">
        <f t="shared" si="6"/>
        <v>3.9397566327548317E-2</v>
      </c>
      <c r="I125" s="37">
        <f t="shared" si="7"/>
        <v>3.9145907473309594E-2</v>
      </c>
      <c r="J125" s="38">
        <f t="shared" si="8"/>
        <v>4.1251494619370277E-2</v>
      </c>
    </row>
    <row r="126" spans="1:10" x14ac:dyDescent="0.25">
      <c r="A126" s="6">
        <f t="shared" si="5"/>
        <v>122</v>
      </c>
      <c r="B126" s="24">
        <v>45231</v>
      </c>
      <c r="C126" s="36">
        <v>0.1026</v>
      </c>
      <c r="D126" s="37">
        <v>0.10026</v>
      </c>
      <c r="E126" s="37">
        <v>0.10116</v>
      </c>
      <c r="F126" s="38">
        <v>0.10035999999999999</v>
      </c>
      <c r="G126" s="36">
        <f t="shared" si="9"/>
        <v>-9.2699884125144738E-3</v>
      </c>
      <c r="H126" s="37">
        <f t="shared" si="6"/>
        <v>-1.1827321111768208E-2</v>
      </c>
      <c r="I126" s="37">
        <f t="shared" si="7"/>
        <v>-8.818342151675429E-3</v>
      </c>
      <c r="J126" s="38">
        <f t="shared" si="8"/>
        <v>-8.8880110606359697E-3</v>
      </c>
    </row>
    <row r="127" spans="1:10" x14ac:dyDescent="0.25">
      <c r="A127" s="6">
        <f t="shared" si="5"/>
        <v>123</v>
      </c>
      <c r="B127" s="24">
        <v>45230</v>
      </c>
      <c r="C127" s="36">
        <v>0.10356</v>
      </c>
      <c r="D127" s="37">
        <v>0.10146000000000001</v>
      </c>
      <c r="E127" s="37">
        <v>0.10206</v>
      </c>
      <c r="F127" s="38">
        <v>0.10125999999999999</v>
      </c>
      <c r="G127" s="36">
        <f t="shared" si="9"/>
        <v>0</v>
      </c>
      <c r="H127" s="37">
        <f t="shared" si="6"/>
        <v>-9.8463962189843102E-4</v>
      </c>
      <c r="I127" s="37">
        <f t="shared" si="7"/>
        <v>-3.9039625219599028E-3</v>
      </c>
      <c r="J127" s="38">
        <f t="shared" si="8"/>
        <v>-6.8654374264418561E-3</v>
      </c>
    </row>
    <row r="128" spans="1:10" x14ac:dyDescent="0.25">
      <c r="A128" s="6">
        <f t="shared" si="5"/>
        <v>124</v>
      </c>
      <c r="B128" s="24">
        <v>45229</v>
      </c>
      <c r="C128" s="36">
        <v>0.10356</v>
      </c>
      <c r="D128" s="37">
        <v>0.10156000000000001</v>
      </c>
      <c r="E128" s="37">
        <v>0.10246000000000001</v>
      </c>
      <c r="F128" s="38">
        <v>0.10196</v>
      </c>
      <c r="G128" s="36">
        <f t="shared" si="9"/>
        <v>-2.8791146956766434E-2</v>
      </c>
      <c r="H128" s="37">
        <f t="shared" si="6"/>
        <v>-2.8412895819381889E-2</v>
      </c>
      <c r="I128" s="37">
        <f t="shared" si="7"/>
        <v>-2.6600798023940553E-2</v>
      </c>
      <c r="J128" s="38">
        <f t="shared" si="8"/>
        <v>-2.793402612260476E-2</v>
      </c>
    </row>
    <row r="129" spans="1:10" x14ac:dyDescent="0.25">
      <c r="A129" s="6">
        <f t="shared" si="5"/>
        <v>125</v>
      </c>
      <c r="B129" s="24">
        <v>45227</v>
      </c>
      <c r="C129" s="36">
        <v>0.10663</v>
      </c>
      <c r="D129" s="37">
        <v>0.10453</v>
      </c>
      <c r="E129" s="37">
        <v>0.10525999999999999</v>
      </c>
      <c r="F129" s="38">
        <v>0.10489000000000001</v>
      </c>
      <c r="G129" s="36">
        <f t="shared" si="9"/>
        <v>3.9278752436647135E-2</v>
      </c>
      <c r="H129" s="37">
        <f t="shared" si="6"/>
        <v>3.9478918058870383E-2</v>
      </c>
      <c r="I129" s="37">
        <f t="shared" si="7"/>
        <v>3.9502271380604359E-2</v>
      </c>
      <c r="J129" s="38">
        <f t="shared" si="8"/>
        <v>3.9956375173507919E-2</v>
      </c>
    </row>
    <row r="130" spans="1:10" x14ac:dyDescent="0.25">
      <c r="A130" s="6">
        <f t="shared" si="5"/>
        <v>126</v>
      </c>
      <c r="B130" s="24">
        <v>45226</v>
      </c>
      <c r="C130" s="36">
        <v>0.1026</v>
      </c>
      <c r="D130" s="37">
        <v>0.10056</v>
      </c>
      <c r="E130" s="37">
        <v>0.10125999999999999</v>
      </c>
      <c r="F130" s="38">
        <v>0.10086000000000001</v>
      </c>
      <c r="G130" s="36">
        <f t="shared" si="9"/>
        <v>-4.8496605237634549E-3</v>
      </c>
      <c r="H130" s="37">
        <f t="shared" si="6"/>
        <v>-1.9849146486701219E-3</v>
      </c>
      <c r="I130" s="37">
        <f t="shared" si="7"/>
        <v>1.9790223629525538E-3</v>
      </c>
      <c r="J130" s="38">
        <f t="shared" si="8"/>
        <v>-3.9502271380602583E-3</v>
      </c>
    </row>
    <row r="131" spans="1:10" x14ac:dyDescent="0.25">
      <c r="A131" s="6">
        <f t="shared" si="5"/>
        <v>127</v>
      </c>
      <c r="B131" s="24">
        <v>45225</v>
      </c>
      <c r="C131" s="36">
        <v>0.10310000000000001</v>
      </c>
      <c r="D131" s="37">
        <v>0.10076</v>
      </c>
      <c r="E131" s="37">
        <v>0.10106</v>
      </c>
      <c r="F131" s="38">
        <v>0.10125999999999999</v>
      </c>
      <c r="G131" s="36">
        <f t="shared" si="9"/>
        <v>-1.4905407987769737E-2</v>
      </c>
      <c r="H131" s="37">
        <f t="shared" si="6"/>
        <v>-1.563110590074257E-2</v>
      </c>
      <c r="I131" s="37">
        <f t="shared" si="7"/>
        <v>-1.3663868826859327E-2</v>
      </c>
      <c r="J131" s="38">
        <f t="shared" si="8"/>
        <v>-8.8097102584181464E-3</v>
      </c>
    </row>
    <row r="132" spans="1:10" x14ac:dyDescent="0.25">
      <c r="A132" s="6">
        <f t="shared" si="5"/>
        <v>128</v>
      </c>
      <c r="B132" s="24">
        <v>45224</v>
      </c>
      <c r="C132" s="36">
        <v>0.10465999999999999</v>
      </c>
      <c r="D132" s="37">
        <v>0.10236000000000001</v>
      </c>
      <c r="E132" s="37">
        <v>0.10246000000000001</v>
      </c>
      <c r="F132" s="38">
        <v>0.10215999999999999</v>
      </c>
      <c r="G132" s="36">
        <f t="shared" si="9"/>
        <v>1.1598685482312021E-2</v>
      </c>
      <c r="H132" s="37">
        <f t="shared" si="6"/>
        <v>1.7899761336515718E-2</v>
      </c>
      <c r="I132" s="37">
        <f t="shared" si="7"/>
        <v>1.8894192521877518E-2</v>
      </c>
      <c r="J132" s="38">
        <f t="shared" si="8"/>
        <v>2.0987407555466575E-2</v>
      </c>
    </row>
    <row r="133" spans="1:10" x14ac:dyDescent="0.25">
      <c r="A133" s="6">
        <f t="shared" ref="A133:A196" si="10">+A134-1</f>
        <v>129</v>
      </c>
      <c r="B133" s="24">
        <v>45223</v>
      </c>
      <c r="C133" s="36">
        <v>0.10346</v>
      </c>
      <c r="D133" s="37">
        <v>0.10056</v>
      </c>
      <c r="E133" s="37">
        <v>0.10056</v>
      </c>
      <c r="F133" s="38">
        <v>0.10006</v>
      </c>
      <c r="G133" s="36">
        <f t="shared" si="9"/>
        <v>4.8562548562549601E-3</v>
      </c>
      <c r="H133" s="37">
        <f t="shared" ref="H133:H196" si="11">+D133/D134-1</f>
        <v>4.9970017989207083E-3</v>
      </c>
      <c r="I133" s="37">
        <f t="shared" ref="I133:I196" si="12">+E133/E134-1</f>
        <v>8.0192461908579205E-3</v>
      </c>
      <c r="J133" s="38">
        <f t="shared" ref="J133:J196" si="13">+F133/F134-1</f>
        <v>6.0325759099135734E-3</v>
      </c>
    </row>
    <row r="134" spans="1:10" x14ac:dyDescent="0.25">
      <c r="A134" s="6">
        <f t="shared" si="10"/>
        <v>130</v>
      </c>
      <c r="B134" s="24">
        <v>45222</v>
      </c>
      <c r="C134" s="36">
        <v>0.10296</v>
      </c>
      <c r="D134" s="37">
        <v>0.10006</v>
      </c>
      <c r="E134" s="37">
        <v>9.9760000000000015E-2</v>
      </c>
      <c r="F134" s="38">
        <v>9.9459999999999993E-2</v>
      </c>
      <c r="G134" s="36">
        <f t="shared" ref="G134:G197" si="14">+C134/C135-1</f>
        <v>-3.5232383808096124E-2</v>
      </c>
      <c r="H134" s="37">
        <f t="shared" si="11"/>
        <v>-3.3610198956924853E-2</v>
      </c>
      <c r="I134" s="37">
        <f t="shared" si="12"/>
        <v>-4.2058767044363177E-2</v>
      </c>
      <c r="J134" s="38">
        <f t="shared" si="13"/>
        <v>-3.7639090469279268E-2</v>
      </c>
    </row>
    <row r="135" spans="1:10" x14ac:dyDescent="0.25">
      <c r="A135" s="6">
        <f t="shared" si="10"/>
        <v>131</v>
      </c>
      <c r="B135" s="24">
        <v>45220</v>
      </c>
      <c r="C135" s="36">
        <v>0.10672000000000001</v>
      </c>
      <c r="D135" s="37">
        <v>0.10353999999999999</v>
      </c>
      <c r="E135" s="37">
        <v>0.10414</v>
      </c>
      <c r="F135" s="38">
        <v>0.10335000000000001</v>
      </c>
      <c r="G135" s="36">
        <f t="shared" si="14"/>
        <v>3.8536395484624508E-2</v>
      </c>
      <c r="H135" s="37">
        <f t="shared" si="11"/>
        <v>3.7890938251804007E-2</v>
      </c>
      <c r="I135" s="37">
        <f t="shared" si="12"/>
        <v>4.0775534679192482E-2</v>
      </c>
      <c r="J135" s="38">
        <f t="shared" si="13"/>
        <v>4.1204916381221146E-2</v>
      </c>
    </row>
    <row r="136" spans="1:10" x14ac:dyDescent="0.25">
      <c r="A136" s="6">
        <f t="shared" si="10"/>
        <v>132</v>
      </c>
      <c r="B136" s="24">
        <v>45219</v>
      </c>
      <c r="C136" s="36">
        <v>0.10276</v>
      </c>
      <c r="D136" s="37">
        <v>9.9760000000000015E-2</v>
      </c>
      <c r="E136" s="37">
        <v>0.10006</v>
      </c>
      <c r="F136" s="38">
        <v>9.9260000000000001E-2</v>
      </c>
      <c r="G136" s="36">
        <f t="shared" si="14"/>
        <v>-8.6822303685124558E-3</v>
      </c>
      <c r="H136" s="37">
        <f t="shared" si="11"/>
        <v>-4.9870337123477659E-3</v>
      </c>
      <c r="I136" s="37">
        <f t="shared" si="12"/>
        <v>-4.9721559268098847E-3</v>
      </c>
      <c r="J136" s="38">
        <f t="shared" si="13"/>
        <v>-7.9952028782729334E-3</v>
      </c>
    </row>
    <row r="137" spans="1:10" x14ac:dyDescent="0.25">
      <c r="A137" s="6">
        <f t="shared" si="10"/>
        <v>133</v>
      </c>
      <c r="B137" s="24">
        <v>45218</v>
      </c>
      <c r="C137" s="36">
        <v>0.10366</v>
      </c>
      <c r="D137" s="37">
        <v>0.10026</v>
      </c>
      <c r="E137" s="37">
        <v>0.10056</v>
      </c>
      <c r="F137" s="38">
        <v>0.10006</v>
      </c>
      <c r="G137" s="36">
        <f t="shared" si="14"/>
        <v>-3.8439361906592584E-3</v>
      </c>
      <c r="H137" s="37">
        <f t="shared" si="11"/>
        <v>-9.9641291351126871E-4</v>
      </c>
      <c r="I137" s="37">
        <f t="shared" si="12"/>
        <v>-9.9344327438921631E-4</v>
      </c>
      <c r="J137" s="38">
        <f t="shared" si="13"/>
        <v>4.0136463977522574E-3</v>
      </c>
    </row>
    <row r="138" spans="1:10" x14ac:dyDescent="0.25">
      <c r="A138" s="6">
        <f t="shared" si="10"/>
        <v>134</v>
      </c>
      <c r="B138" s="24">
        <v>45217</v>
      </c>
      <c r="C138" s="36">
        <v>0.10406</v>
      </c>
      <c r="D138" s="37">
        <v>0.10035999999999999</v>
      </c>
      <c r="E138" s="37">
        <v>0.10066000000000001</v>
      </c>
      <c r="F138" s="38">
        <v>9.9659999999999999E-2</v>
      </c>
      <c r="G138" s="36">
        <f t="shared" si="14"/>
        <v>1.9256691700366702E-3</v>
      </c>
      <c r="H138" s="37">
        <f t="shared" si="11"/>
        <v>6.0144346431432183E-3</v>
      </c>
      <c r="I138" s="37">
        <f t="shared" si="12"/>
        <v>1.0034115994381088E-2</v>
      </c>
      <c r="J138" s="38">
        <f t="shared" si="13"/>
        <v>7.0735650767985714E-3</v>
      </c>
    </row>
    <row r="139" spans="1:10" x14ac:dyDescent="0.25">
      <c r="A139" s="6">
        <f t="shared" si="10"/>
        <v>135</v>
      </c>
      <c r="B139" s="24">
        <v>45216</v>
      </c>
      <c r="C139" s="36">
        <v>0.10385999999999999</v>
      </c>
      <c r="D139" s="37">
        <v>9.9760000000000015E-2</v>
      </c>
      <c r="E139" s="37">
        <v>9.9659999999999999E-2</v>
      </c>
      <c r="F139" s="38">
        <v>9.8960000000000006E-2</v>
      </c>
      <c r="G139" s="36">
        <f t="shared" si="14"/>
        <v>5.8105752469492788E-3</v>
      </c>
      <c r="H139" s="37">
        <f t="shared" si="11"/>
        <v>9.1037831276554737E-3</v>
      </c>
      <c r="I139" s="37">
        <f t="shared" si="12"/>
        <v>8.0922516690269397E-3</v>
      </c>
      <c r="J139" s="38">
        <f t="shared" si="13"/>
        <v>6.1000406669378116E-3</v>
      </c>
    </row>
    <row r="140" spans="1:10" x14ac:dyDescent="0.25">
      <c r="A140" s="6">
        <f t="shared" si="10"/>
        <v>136</v>
      </c>
      <c r="B140" s="24">
        <v>45215</v>
      </c>
      <c r="C140" s="36">
        <v>0.10326</v>
      </c>
      <c r="D140" s="37">
        <v>9.885999999999999E-2</v>
      </c>
      <c r="E140" s="37">
        <v>9.885999999999999E-2</v>
      </c>
      <c r="F140" s="38">
        <v>9.8360000000000003E-2</v>
      </c>
      <c r="G140" s="36">
        <f t="shared" si="14"/>
        <v>-3.1513787281935879E-2</v>
      </c>
      <c r="H140" s="37">
        <f t="shared" si="11"/>
        <v>-2.878475292268412E-2</v>
      </c>
      <c r="I140" s="37">
        <f t="shared" si="12"/>
        <v>-3.3248582045765862E-2</v>
      </c>
      <c r="J140" s="38">
        <f t="shared" si="13"/>
        <v>-3.1889763779527458E-2</v>
      </c>
    </row>
    <row r="141" spans="1:10" x14ac:dyDescent="0.25">
      <c r="A141" s="6">
        <f t="shared" si="10"/>
        <v>137</v>
      </c>
      <c r="B141" s="24">
        <v>45213</v>
      </c>
      <c r="C141" s="36">
        <v>0.10662000000000001</v>
      </c>
      <c r="D141" s="37">
        <v>0.10179000000000001</v>
      </c>
      <c r="E141" s="37">
        <v>0.10226</v>
      </c>
      <c r="F141" s="38">
        <v>0.1016</v>
      </c>
      <c r="G141" s="36">
        <f t="shared" si="14"/>
        <v>3.7563254184507677E-2</v>
      </c>
      <c r="H141" s="37">
        <f t="shared" si="11"/>
        <v>3.4871899145994423E-2</v>
      </c>
      <c r="I141" s="37">
        <f t="shared" si="12"/>
        <v>3.9650264335095553E-2</v>
      </c>
      <c r="J141" s="38">
        <f t="shared" si="13"/>
        <v>4.1410414104140925E-2</v>
      </c>
    </row>
    <row r="142" spans="1:10" x14ac:dyDescent="0.25">
      <c r="A142" s="6">
        <f t="shared" si="10"/>
        <v>138</v>
      </c>
      <c r="B142" s="24">
        <v>45212</v>
      </c>
      <c r="C142" s="36">
        <v>0.10276</v>
      </c>
      <c r="D142" s="37">
        <v>9.8360000000000003E-2</v>
      </c>
      <c r="E142" s="37">
        <v>9.8360000000000003E-2</v>
      </c>
      <c r="F142" s="38">
        <v>9.7560000000000008E-2</v>
      </c>
      <c r="G142" s="36">
        <f t="shared" si="14"/>
        <v>-9.7219521679947629E-4</v>
      </c>
      <c r="H142" s="37">
        <f t="shared" si="11"/>
        <v>-3.0407459963510686E-3</v>
      </c>
      <c r="I142" s="37">
        <f t="shared" si="12"/>
        <v>-3.0407459963510686E-3</v>
      </c>
      <c r="J142" s="38">
        <f t="shared" si="13"/>
        <v>-2.0458265139114973E-3</v>
      </c>
    </row>
    <row r="143" spans="1:10" x14ac:dyDescent="0.25">
      <c r="A143" s="6">
        <f t="shared" si="10"/>
        <v>139</v>
      </c>
      <c r="B143" s="24">
        <v>45211</v>
      </c>
      <c r="C143" s="36">
        <v>0.10285999999999999</v>
      </c>
      <c r="D143" s="37">
        <v>9.8659999999999998E-2</v>
      </c>
      <c r="E143" s="37">
        <v>9.8659999999999998E-2</v>
      </c>
      <c r="F143" s="38">
        <v>9.776E-2</v>
      </c>
      <c r="G143" s="36">
        <f t="shared" si="14"/>
        <v>1.2800315084678937E-2</v>
      </c>
      <c r="H143" s="37">
        <f t="shared" si="11"/>
        <v>1.3352506162695121E-2</v>
      </c>
      <c r="I143" s="37">
        <f t="shared" si="12"/>
        <v>1.0239606799098855E-2</v>
      </c>
      <c r="J143" s="38">
        <f t="shared" si="13"/>
        <v>1.0334849111202971E-2</v>
      </c>
    </row>
    <row r="144" spans="1:10" x14ac:dyDescent="0.25">
      <c r="A144" s="6">
        <f t="shared" si="10"/>
        <v>140</v>
      </c>
      <c r="B144" s="24">
        <v>45210</v>
      </c>
      <c r="C144" s="36">
        <v>0.10156000000000001</v>
      </c>
      <c r="D144" s="37">
        <v>9.7360000000000002E-2</v>
      </c>
      <c r="E144" s="37">
        <v>9.7659999999999997E-2</v>
      </c>
      <c r="F144" s="38">
        <v>9.6759999999999999E-2</v>
      </c>
      <c r="G144" s="36">
        <f t="shared" si="14"/>
        <v>2.9626703535454713E-3</v>
      </c>
      <c r="H144" s="37">
        <f t="shared" si="11"/>
        <v>0</v>
      </c>
      <c r="I144" s="37">
        <f t="shared" si="12"/>
        <v>1.0250102501023761E-3</v>
      </c>
      <c r="J144" s="38">
        <f t="shared" si="13"/>
        <v>-4.1169205434334888E-3</v>
      </c>
    </row>
    <row r="145" spans="1:10" x14ac:dyDescent="0.25">
      <c r="A145" s="6">
        <f t="shared" si="10"/>
        <v>141</v>
      </c>
      <c r="B145" s="24">
        <v>45209</v>
      </c>
      <c r="C145" s="36">
        <v>0.10125999999999999</v>
      </c>
      <c r="D145" s="37">
        <v>9.7360000000000002E-2</v>
      </c>
      <c r="E145" s="37">
        <v>9.7560000000000008E-2</v>
      </c>
      <c r="F145" s="38">
        <v>9.7159999999999996E-2</v>
      </c>
      <c r="G145" s="36">
        <f t="shared" si="14"/>
        <v>-6.8654374264418561E-3</v>
      </c>
      <c r="H145" s="37">
        <f t="shared" si="11"/>
        <v>-1.0166734444896353E-2</v>
      </c>
      <c r="I145" s="37">
        <f t="shared" si="12"/>
        <v>-8.133387555916971E-3</v>
      </c>
      <c r="J145" s="38">
        <f t="shared" si="13"/>
        <v>-1.1194789334418975E-2</v>
      </c>
    </row>
    <row r="146" spans="1:10" x14ac:dyDescent="0.25">
      <c r="A146" s="6">
        <f t="shared" si="10"/>
        <v>142</v>
      </c>
      <c r="B146" s="24">
        <v>45208</v>
      </c>
      <c r="C146" s="36">
        <v>0.10196</v>
      </c>
      <c r="D146" s="37">
        <v>9.8360000000000003E-2</v>
      </c>
      <c r="E146" s="37">
        <v>9.8360000000000003E-2</v>
      </c>
      <c r="F146" s="38">
        <v>9.826E-2</v>
      </c>
      <c r="G146" s="36">
        <f t="shared" si="14"/>
        <v>-4.0195801562647016E-2</v>
      </c>
      <c r="H146" s="37">
        <f t="shared" si="11"/>
        <v>-3.9640695176723417E-2</v>
      </c>
      <c r="I146" s="37">
        <f t="shared" si="12"/>
        <v>-4.3283727263884963E-2</v>
      </c>
      <c r="J146" s="38">
        <f t="shared" si="13"/>
        <v>-4.2859925969218837E-2</v>
      </c>
    </row>
    <row r="147" spans="1:10" x14ac:dyDescent="0.25">
      <c r="A147" s="6">
        <f t="shared" si="10"/>
        <v>143</v>
      </c>
      <c r="B147" s="24">
        <v>45206</v>
      </c>
      <c r="C147" s="36">
        <v>0.10622999999999999</v>
      </c>
      <c r="D147" s="37">
        <v>0.10242000000000001</v>
      </c>
      <c r="E147" s="37">
        <v>0.10281000000000001</v>
      </c>
      <c r="F147" s="38">
        <v>0.10266</v>
      </c>
      <c r="G147" s="36">
        <f t="shared" si="14"/>
        <v>3.7807737397420604E-2</v>
      </c>
      <c r="H147" s="37">
        <f t="shared" si="11"/>
        <v>3.6010519927169859E-2</v>
      </c>
      <c r="I147" s="37">
        <f t="shared" si="12"/>
        <v>3.9955492615820543E-2</v>
      </c>
      <c r="J147" s="38">
        <f t="shared" si="13"/>
        <v>4.1599025974025983E-2</v>
      </c>
    </row>
    <row r="148" spans="1:10" x14ac:dyDescent="0.25">
      <c r="A148" s="6">
        <f t="shared" si="10"/>
        <v>144</v>
      </c>
      <c r="B148" s="24">
        <v>45205</v>
      </c>
      <c r="C148" s="36">
        <v>0.10236000000000001</v>
      </c>
      <c r="D148" s="37">
        <v>9.885999999999999E-2</v>
      </c>
      <c r="E148" s="37">
        <v>9.885999999999999E-2</v>
      </c>
      <c r="F148" s="38">
        <v>9.8559999999999995E-2</v>
      </c>
      <c r="G148" s="36">
        <f t="shared" si="14"/>
        <v>-9.7599063048992019E-4</v>
      </c>
      <c r="H148" s="37">
        <f t="shared" si="11"/>
        <v>-2.0189783969313257E-3</v>
      </c>
      <c r="I148" s="37">
        <f t="shared" si="12"/>
        <v>-7.0309361189233588E-3</v>
      </c>
      <c r="J148" s="38">
        <f t="shared" si="13"/>
        <v>-6.0508269463493969E-3</v>
      </c>
    </row>
    <row r="149" spans="1:10" x14ac:dyDescent="0.25">
      <c r="A149" s="6">
        <f t="shared" si="10"/>
        <v>145</v>
      </c>
      <c r="B149" s="24">
        <v>45204</v>
      </c>
      <c r="C149" s="36">
        <v>0.10246000000000001</v>
      </c>
      <c r="D149" s="37">
        <v>9.9060000000000009E-2</v>
      </c>
      <c r="E149" s="37">
        <v>9.9559999999999996E-2</v>
      </c>
      <c r="F149" s="38">
        <v>9.9159999999999998E-2</v>
      </c>
      <c r="G149" s="36">
        <f t="shared" si="14"/>
        <v>0</v>
      </c>
      <c r="H149" s="37">
        <f t="shared" si="11"/>
        <v>6.0938452163314949E-3</v>
      </c>
      <c r="I149" s="37">
        <f t="shared" si="12"/>
        <v>7.0807202103986278E-3</v>
      </c>
      <c r="J149" s="38">
        <f t="shared" si="13"/>
        <v>2.0210185933708935E-3</v>
      </c>
    </row>
    <row r="150" spans="1:10" x14ac:dyDescent="0.25">
      <c r="A150" s="6">
        <f t="shared" si="10"/>
        <v>146</v>
      </c>
      <c r="B150" s="24">
        <v>45203</v>
      </c>
      <c r="C150" s="36">
        <v>0.10246000000000001</v>
      </c>
      <c r="D150" s="37">
        <v>9.8460000000000006E-2</v>
      </c>
      <c r="E150" s="37">
        <v>9.885999999999999E-2</v>
      </c>
      <c r="F150" s="38">
        <v>9.8960000000000006E-2</v>
      </c>
      <c r="G150" s="36">
        <f t="shared" si="14"/>
        <v>-7.4590719752009038E-3</v>
      </c>
      <c r="H150" s="37">
        <f t="shared" si="11"/>
        <v>-1.2734382833650915E-2</v>
      </c>
      <c r="I150" s="37">
        <f t="shared" si="12"/>
        <v>-5.0974368820197791E-2</v>
      </c>
      <c r="J150" s="38">
        <f t="shared" si="13"/>
        <v>-1.4342629482071545E-2</v>
      </c>
    </row>
    <row r="151" spans="1:10" x14ac:dyDescent="0.25">
      <c r="A151" s="6">
        <f t="shared" si="10"/>
        <v>147</v>
      </c>
      <c r="B151" s="24">
        <v>45202</v>
      </c>
      <c r="C151" s="36">
        <v>0.10323</v>
      </c>
      <c r="D151" s="37">
        <v>9.9730000000000013E-2</v>
      </c>
      <c r="E151" s="37">
        <v>0.10417</v>
      </c>
      <c r="F151" s="38">
        <v>0.10039999999999999</v>
      </c>
      <c r="G151" s="36">
        <f t="shared" si="14"/>
        <v>6.7855758045753944E-4</v>
      </c>
      <c r="H151" s="37">
        <f t="shared" si="11"/>
        <v>7.0238811960687819E-4</v>
      </c>
      <c r="I151" s="37">
        <f t="shared" si="12"/>
        <v>4.5253863134657735E-2</v>
      </c>
      <c r="J151" s="38">
        <f t="shared" si="13"/>
        <v>5.4075705988381184E-3</v>
      </c>
    </row>
    <row r="152" spans="1:10" x14ac:dyDescent="0.25">
      <c r="A152" s="6">
        <f t="shared" si="10"/>
        <v>148</v>
      </c>
      <c r="B152" s="24">
        <v>45201</v>
      </c>
      <c r="C152" s="36">
        <v>0.10316</v>
      </c>
      <c r="D152" s="37">
        <v>9.9659999999999999E-2</v>
      </c>
      <c r="E152" s="37">
        <v>9.9659999999999999E-2</v>
      </c>
      <c r="F152" s="38">
        <v>9.9860000000000004E-2</v>
      </c>
      <c r="G152" s="36">
        <f t="shared" si="14"/>
        <v>-3.2360941750304795E-2</v>
      </c>
      <c r="H152" s="37">
        <f t="shared" si="11"/>
        <v>-2.4948635162899913E-2</v>
      </c>
      <c r="I152" s="37">
        <f t="shared" si="12"/>
        <v>-3.3271898341255102E-2</v>
      </c>
      <c r="J152" s="38">
        <f t="shared" si="13"/>
        <v>-3.2739248353351402E-2</v>
      </c>
    </row>
    <row r="153" spans="1:10" x14ac:dyDescent="0.25">
      <c r="A153" s="6">
        <f t="shared" si="10"/>
        <v>149</v>
      </c>
      <c r="B153" s="24">
        <v>45199</v>
      </c>
      <c r="C153" s="36">
        <v>0.10661</v>
      </c>
      <c r="D153" s="37">
        <v>0.10221</v>
      </c>
      <c r="E153" s="37">
        <v>0.10308999999999999</v>
      </c>
      <c r="F153" s="38">
        <v>0.10324</v>
      </c>
      <c r="G153" s="36">
        <f t="shared" si="14"/>
        <v>3.4445953813312835E-2</v>
      </c>
      <c r="H153" s="37">
        <f t="shared" si="11"/>
        <v>3.0758370310609129E-2</v>
      </c>
      <c r="I153" s="37">
        <f t="shared" si="12"/>
        <v>3.9632916498588022E-2</v>
      </c>
      <c r="J153" s="38">
        <f t="shared" si="13"/>
        <v>3.8005228232455224E-2</v>
      </c>
    </row>
    <row r="154" spans="1:10" x14ac:dyDescent="0.25">
      <c r="A154" s="6">
        <f t="shared" si="10"/>
        <v>150</v>
      </c>
      <c r="B154" s="24">
        <v>45198</v>
      </c>
      <c r="C154" s="36">
        <v>0.10305999999999998</v>
      </c>
      <c r="D154" s="37">
        <v>9.9159999999999998E-2</v>
      </c>
      <c r="E154" s="37">
        <v>9.9159999999999998E-2</v>
      </c>
      <c r="F154" s="38">
        <v>9.9459999999999993E-2</v>
      </c>
      <c r="G154" s="36">
        <f t="shared" si="14"/>
        <v>-3.8662284941041181E-3</v>
      </c>
      <c r="H154" s="37">
        <f t="shared" si="11"/>
        <v>-5.0170579971904328E-3</v>
      </c>
      <c r="I154" s="37">
        <f t="shared" si="12"/>
        <v>-4.0176777822418241E-3</v>
      </c>
      <c r="J154" s="38">
        <f t="shared" si="13"/>
        <v>-2.0068231988762397E-3</v>
      </c>
    </row>
    <row r="155" spans="1:10" x14ac:dyDescent="0.25">
      <c r="A155" s="6">
        <f t="shared" si="10"/>
        <v>151</v>
      </c>
      <c r="B155" s="24">
        <v>45197</v>
      </c>
      <c r="C155" s="36">
        <v>0.10346</v>
      </c>
      <c r="D155" s="37">
        <v>9.9659999999999999E-2</v>
      </c>
      <c r="E155" s="37">
        <v>9.9559999999999996E-2</v>
      </c>
      <c r="F155" s="38">
        <v>9.9659999999999999E-2</v>
      </c>
      <c r="G155" s="36">
        <f t="shared" si="14"/>
        <v>-1.7100513015390395E-2</v>
      </c>
      <c r="H155" s="37">
        <f t="shared" si="11"/>
        <v>-1.7740981667652367E-2</v>
      </c>
      <c r="I155" s="37">
        <f t="shared" si="12"/>
        <v>-1.9692792437967843E-2</v>
      </c>
      <c r="J155" s="38">
        <f t="shared" si="13"/>
        <v>-1.7740981667652367E-2</v>
      </c>
    </row>
    <row r="156" spans="1:10" x14ac:dyDescent="0.25">
      <c r="A156" s="6">
        <f t="shared" si="10"/>
        <v>152</v>
      </c>
      <c r="B156" s="24">
        <v>45196</v>
      </c>
      <c r="C156" s="36">
        <v>0.10525999999999999</v>
      </c>
      <c r="D156" s="37">
        <v>0.10146000000000001</v>
      </c>
      <c r="E156" s="37">
        <v>0.10156000000000001</v>
      </c>
      <c r="F156" s="38">
        <v>0.10146000000000001</v>
      </c>
      <c r="G156" s="36">
        <f t="shared" si="14"/>
        <v>2.8431851489985283E-2</v>
      </c>
      <c r="H156" s="37">
        <f t="shared" si="11"/>
        <v>3.2146490335707156E-2</v>
      </c>
      <c r="I156" s="37">
        <f t="shared" si="12"/>
        <v>2.5858585858586025E-2</v>
      </c>
      <c r="J156" s="38">
        <f t="shared" si="13"/>
        <v>2.1752265861027187E-2</v>
      </c>
    </row>
    <row r="157" spans="1:10" x14ac:dyDescent="0.25">
      <c r="A157" s="6">
        <f t="shared" si="10"/>
        <v>153</v>
      </c>
      <c r="B157" s="24">
        <v>45195</v>
      </c>
      <c r="C157" s="36">
        <v>0.10235</v>
      </c>
      <c r="D157" s="37">
        <v>9.8299999999999998E-2</v>
      </c>
      <c r="E157" s="37">
        <v>9.9000000000000005E-2</v>
      </c>
      <c r="F157" s="38">
        <v>9.9299999999999999E-2</v>
      </c>
      <c r="G157" s="36">
        <f t="shared" si="14"/>
        <v>-2.0475819032761411E-3</v>
      </c>
      <c r="H157" s="37">
        <f t="shared" si="11"/>
        <v>-9.6715696151521424E-3</v>
      </c>
      <c r="I157" s="37">
        <f t="shared" si="12"/>
        <v>-6.0569351907935332E-4</v>
      </c>
      <c r="J157" s="38">
        <f t="shared" si="13"/>
        <v>-2.611490558457219E-3</v>
      </c>
    </row>
    <row r="158" spans="1:10" x14ac:dyDescent="0.25">
      <c r="A158" s="6">
        <f t="shared" si="10"/>
        <v>154</v>
      </c>
      <c r="B158" s="24">
        <v>45194</v>
      </c>
      <c r="C158" s="36">
        <v>0.10256</v>
      </c>
      <c r="D158" s="37">
        <v>9.9260000000000001E-2</v>
      </c>
      <c r="E158" s="37">
        <v>9.9060000000000009E-2</v>
      </c>
      <c r="F158" s="38">
        <v>9.9559999999999996E-2</v>
      </c>
      <c r="G158" s="36">
        <f t="shared" si="14"/>
        <v>-2.5372992492635138E-2</v>
      </c>
      <c r="H158" s="37">
        <f t="shared" si="11"/>
        <v>-2.4855093820611129E-2</v>
      </c>
      <c r="I158" s="37">
        <f t="shared" si="12"/>
        <v>-2.7679623085983485E-2</v>
      </c>
      <c r="J158" s="38">
        <f t="shared" si="13"/>
        <v>-2.7544442273881642E-2</v>
      </c>
    </row>
    <row r="159" spans="1:10" x14ac:dyDescent="0.25">
      <c r="A159" s="6">
        <f t="shared" si="10"/>
        <v>155</v>
      </c>
      <c r="B159" s="24">
        <v>45192</v>
      </c>
      <c r="C159" s="36">
        <v>0.10522999999999999</v>
      </c>
      <c r="D159" s="37">
        <v>0.10179000000000001</v>
      </c>
      <c r="E159" s="37">
        <v>0.10188000000000001</v>
      </c>
      <c r="F159" s="38">
        <v>0.10238</v>
      </c>
      <c r="G159" s="36">
        <f t="shared" si="14"/>
        <v>3.8180741910023741E-2</v>
      </c>
      <c r="H159" s="37">
        <f t="shared" si="11"/>
        <v>3.8037935957577096E-2</v>
      </c>
      <c r="I159" s="37">
        <f t="shared" si="12"/>
        <v>4.0016333197223641E-2</v>
      </c>
      <c r="J159" s="38">
        <f t="shared" si="13"/>
        <v>4.1929574598005281E-2</v>
      </c>
    </row>
    <row r="160" spans="1:10" x14ac:dyDescent="0.25">
      <c r="A160" s="6">
        <f t="shared" si="10"/>
        <v>156</v>
      </c>
      <c r="B160" s="24">
        <v>45191</v>
      </c>
      <c r="C160" s="36">
        <v>0.10135999999999999</v>
      </c>
      <c r="D160" s="37">
        <v>9.8059999999999994E-2</v>
      </c>
      <c r="E160" s="37">
        <v>9.7959999999999992E-2</v>
      </c>
      <c r="F160" s="38">
        <v>9.826E-2</v>
      </c>
      <c r="G160" s="36">
        <f t="shared" si="14"/>
        <v>3.961965134706702E-3</v>
      </c>
      <c r="H160" s="37">
        <f t="shared" si="11"/>
        <v>1.0208248264598208E-3</v>
      </c>
      <c r="I160" s="37">
        <f t="shared" si="12"/>
        <v>1.021867974657642E-3</v>
      </c>
      <c r="J160" s="38">
        <f t="shared" si="13"/>
        <v>-1.0166734444896353E-3</v>
      </c>
    </row>
    <row r="161" spans="1:10" x14ac:dyDescent="0.25">
      <c r="A161" s="6">
        <f t="shared" si="10"/>
        <v>157</v>
      </c>
      <c r="B161" s="24">
        <v>45190</v>
      </c>
      <c r="C161" s="36">
        <v>0.10095999999999999</v>
      </c>
      <c r="D161" s="37">
        <v>9.7959999999999992E-2</v>
      </c>
      <c r="E161" s="37">
        <v>9.7860000000000003E-2</v>
      </c>
      <c r="F161" s="38">
        <v>9.8360000000000003E-2</v>
      </c>
      <c r="G161" s="36">
        <f t="shared" si="14"/>
        <v>6.9818471972868945E-3</v>
      </c>
      <c r="H161" s="37">
        <f t="shared" si="11"/>
        <v>1.3239553165080631E-2</v>
      </c>
      <c r="I161" s="37">
        <f t="shared" si="12"/>
        <v>1.0428497676819859E-2</v>
      </c>
      <c r="J161" s="38">
        <f t="shared" si="13"/>
        <v>4.083299305839283E-3</v>
      </c>
    </row>
    <row r="162" spans="1:10" x14ac:dyDescent="0.25">
      <c r="A162" s="6">
        <f t="shared" si="10"/>
        <v>158</v>
      </c>
      <c r="B162" s="24">
        <v>45189</v>
      </c>
      <c r="C162" s="36">
        <v>0.10026</v>
      </c>
      <c r="D162" s="37">
        <v>9.6679999999999988E-2</v>
      </c>
      <c r="E162" s="37">
        <v>9.6850000000000006E-2</v>
      </c>
      <c r="F162" s="38">
        <v>9.7959999999999992E-2</v>
      </c>
      <c r="G162" s="36">
        <f t="shared" si="14"/>
        <v>-9.9641291351126871E-4</v>
      </c>
      <c r="H162" s="37">
        <f t="shared" si="11"/>
        <v>-6.9843878389483915E-3</v>
      </c>
      <c r="I162" s="37">
        <f t="shared" si="12"/>
        <v>-4.2155048324080679E-3</v>
      </c>
      <c r="J162" s="38">
        <f t="shared" si="13"/>
        <v>1.5129533678756468E-2</v>
      </c>
    </row>
    <row r="163" spans="1:10" x14ac:dyDescent="0.25">
      <c r="A163" s="6">
        <f t="shared" si="10"/>
        <v>159</v>
      </c>
      <c r="B163" s="24">
        <v>45188</v>
      </c>
      <c r="C163" s="36">
        <v>0.10035999999999999</v>
      </c>
      <c r="D163" s="37">
        <v>9.7360000000000002E-2</v>
      </c>
      <c r="E163" s="37">
        <v>9.7260000000000013E-2</v>
      </c>
      <c r="F163" s="38">
        <v>9.6500000000000002E-2</v>
      </c>
      <c r="G163" s="36">
        <f t="shared" si="14"/>
        <v>1.1082006850694937E-2</v>
      </c>
      <c r="H163" s="37">
        <f t="shared" si="11"/>
        <v>1.0377750103777617E-2</v>
      </c>
      <c r="I163" s="37">
        <f t="shared" si="12"/>
        <v>1.0388531061708006E-2</v>
      </c>
      <c r="J163" s="38">
        <f t="shared" si="13"/>
        <v>4.1467965996266898E-4</v>
      </c>
    </row>
    <row r="164" spans="1:10" x14ac:dyDescent="0.25">
      <c r="A164" s="6">
        <f t="shared" si="10"/>
        <v>160</v>
      </c>
      <c r="B164" s="24">
        <v>45187</v>
      </c>
      <c r="C164" s="36">
        <v>9.9260000000000001E-2</v>
      </c>
      <c r="D164" s="37">
        <v>9.6359999999999987E-2</v>
      </c>
      <c r="E164" s="37">
        <v>9.6259999999999998E-2</v>
      </c>
      <c r="F164" s="38">
        <v>9.6460000000000004E-2</v>
      </c>
      <c r="G164" s="36">
        <f t="shared" si="14"/>
        <v>-3.1893104457232035E-2</v>
      </c>
      <c r="H164" s="37">
        <f t="shared" si="11"/>
        <v>-2.980265807490956E-2</v>
      </c>
      <c r="I164" s="37">
        <f t="shared" si="12"/>
        <v>-3.1589537223339903E-2</v>
      </c>
      <c r="J164" s="38">
        <f t="shared" si="13"/>
        <v>-3.6074747676626218E-2</v>
      </c>
    </row>
    <row r="165" spans="1:10" x14ac:dyDescent="0.25">
      <c r="A165" s="6">
        <f t="shared" si="10"/>
        <v>161</v>
      </c>
      <c r="B165" s="24">
        <v>45185</v>
      </c>
      <c r="C165" s="36">
        <v>0.10253</v>
      </c>
      <c r="D165" s="37">
        <v>9.9320000000000006E-2</v>
      </c>
      <c r="E165" s="37">
        <v>9.9399999999999988E-2</v>
      </c>
      <c r="F165" s="38">
        <v>0.10006999999999999</v>
      </c>
      <c r="G165" s="36">
        <f t="shared" si="14"/>
        <v>3.6075181891673358E-2</v>
      </c>
      <c r="H165" s="37">
        <f t="shared" si="11"/>
        <v>4.4044991064858818E-2</v>
      </c>
      <c r="I165" s="37">
        <f t="shared" si="12"/>
        <v>3.3693843594009953E-2</v>
      </c>
      <c r="J165" s="38">
        <f t="shared" si="13"/>
        <v>3.3140615321081812E-2</v>
      </c>
    </row>
    <row r="166" spans="1:10" x14ac:dyDescent="0.25">
      <c r="A166" s="6">
        <f t="shared" si="10"/>
        <v>162</v>
      </c>
      <c r="B166" s="24">
        <v>45184</v>
      </c>
      <c r="C166" s="36">
        <v>9.8960000000000006E-2</v>
      </c>
      <c r="D166" s="37">
        <v>9.5129999999999992E-2</v>
      </c>
      <c r="E166" s="37">
        <v>9.6159999999999995E-2</v>
      </c>
      <c r="F166" s="38">
        <v>9.6860000000000002E-2</v>
      </c>
      <c r="G166" s="36">
        <f t="shared" si="14"/>
        <v>1.011531458628534E-3</v>
      </c>
      <c r="H166" s="37">
        <f t="shared" si="11"/>
        <v>-1.5743073047860268E-3</v>
      </c>
      <c r="I166" s="37">
        <f t="shared" si="12"/>
        <v>1.0410160316469685E-3</v>
      </c>
      <c r="J166" s="38">
        <f t="shared" si="13"/>
        <v>4.1467965996266898E-3</v>
      </c>
    </row>
    <row r="167" spans="1:10" x14ac:dyDescent="0.25">
      <c r="A167" s="6">
        <f t="shared" si="10"/>
        <v>163</v>
      </c>
      <c r="B167" s="24">
        <v>45183</v>
      </c>
      <c r="C167" s="36">
        <v>9.885999999999999E-2</v>
      </c>
      <c r="D167" s="37">
        <v>9.5280000000000004E-2</v>
      </c>
      <c r="E167" s="37">
        <v>9.6059999999999993E-2</v>
      </c>
      <c r="F167" s="38">
        <v>9.6460000000000004E-2</v>
      </c>
      <c r="G167" s="36">
        <f t="shared" si="14"/>
        <v>1.0125556905629107E-3</v>
      </c>
      <c r="H167" s="37">
        <f t="shared" si="11"/>
        <v>-7.0862859524801758E-3</v>
      </c>
      <c r="I167" s="37">
        <f t="shared" si="12"/>
        <v>1.0421008753647154E-3</v>
      </c>
      <c r="J167" s="38">
        <f t="shared" si="13"/>
        <v>-4.1296716911005671E-3</v>
      </c>
    </row>
    <row r="168" spans="1:10" x14ac:dyDescent="0.25">
      <c r="A168" s="6">
        <f t="shared" si="10"/>
        <v>164</v>
      </c>
      <c r="B168" s="24">
        <v>45182</v>
      </c>
      <c r="C168" s="36">
        <v>9.8760000000000001E-2</v>
      </c>
      <c r="D168" s="37">
        <v>9.5960000000000004E-2</v>
      </c>
      <c r="E168" s="37">
        <v>9.5960000000000004E-2</v>
      </c>
      <c r="F168" s="38">
        <v>9.6860000000000002E-2</v>
      </c>
      <c r="G168" s="36">
        <f t="shared" si="14"/>
        <v>-1.3977635782747577E-2</v>
      </c>
      <c r="H168" s="37">
        <f t="shared" si="11"/>
        <v>-1.2350761630300466E-2</v>
      </c>
      <c r="I168" s="37">
        <f t="shared" si="12"/>
        <v>-1.4379622021364002E-2</v>
      </c>
      <c r="J168" s="38">
        <f t="shared" si="13"/>
        <v>-7.175071750717521E-3</v>
      </c>
    </row>
    <row r="169" spans="1:10" x14ac:dyDescent="0.25">
      <c r="A169" s="6">
        <f t="shared" si="10"/>
        <v>165</v>
      </c>
      <c r="B169" s="24">
        <v>45181</v>
      </c>
      <c r="C169" s="36">
        <v>0.10016</v>
      </c>
      <c r="D169" s="37">
        <v>9.7159999999999996E-2</v>
      </c>
      <c r="E169" s="37">
        <v>9.7360000000000002E-2</v>
      </c>
      <c r="F169" s="38">
        <v>9.7560000000000008E-2</v>
      </c>
      <c r="G169" s="36">
        <f t="shared" si="14"/>
        <v>-7.923930269413626E-3</v>
      </c>
      <c r="H169" s="37">
        <f t="shared" si="11"/>
        <v>-7.1530758226038271E-3</v>
      </c>
      <c r="I169" s="37">
        <f t="shared" si="12"/>
        <v>-5.1093398732883211E-3</v>
      </c>
      <c r="J169" s="38">
        <f t="shared" si="13"/>
        <v>-4.08329930583895E-3</v>
      </c>
    </row>
    <row r="170" spans="1:10" x14ac:dyDescent="0.25">
      <c r="A170" s="6">
        <f t="shared" si="10"/>
        <v>166</v>
      </c>
      <c r="B170" s="24">
        <v>45180</v>
      </c>
      <c r="C170" s="36">
        <v>0.10095999999999999</v>
      </c>
      <c r="D170" s="37">
        <v>9.7860000000000003E-2</v>
      </c>
      <c r="E170" s="37">
        <v>9.7860000000000003E-2</v>
      </c>
      <c r="F170" s="38">
        <v>9.7959999999999992E-2</v>
      </c>
      <c r="G170" s="36">
        <f t="shared" si="14"/>
        <v>-2.0756547041707263E-2</v>
      </c>
      <c r="H170" s="37">
        <f t="shared" si="11"/>
        <v>-1.7864311521477383E-2</v>
      </c>
      <c r="I170" s="37">
        <f t="shared" si="12"/>
        <v>-1.7864311521477383E-2</v>
      </c>
      <c r="J170" s="38">
        <f t="shared" si="13"/>
        <v>-1.8043303929430876E-2</v>
      </c>
    </row>
    <row r="171" spans="1:10" x14ac:dyDescent="0.25">
      <c r="A171" s="6">
        <f t="shared" si="10"/>
        <v>167</v>
      </c>
      <c r="B171" s="24">
        <v>45178</v>
      </c>
      <c r="C171" s="36">
        <v>0.10310000000000001</v>
      </c>
      <c r="D171" s="37">
        <v>9.9640000000000006E-2</v>
      </c>
      <c r="E171" s="37">
        <v>9.9640000000000006E-2</v>
      </c>
      <c r="F171" s="38">
        <v>9.9760000000000015E-2</v>
      </c>
      <c r="G171" s="36">
        <f t="shared" si="14"/>
        <v>4.6488022736500323E-2</v>
      </c>
      <c r="H171" s="37">
        <f t="shared" si="11"/>
        <v>4.3569333891914752E-2</v>
      </c>
      <c r="I171" s="37">
        <f t="shared" si="12"/>
        <v>4.4116106046316883E-2</v>
      </c>
      <c r="J171" s="38">
        <f t="shared" si="13"/>
        <v>4.4826141600335268E-2</v>
      </c>
    </row>
    <row r="172" spans="1:10" x14ac:dyDescent="0.25">
      <c r="A172" s="6">
        <f t="shared" si="10"/>
        <v>168</v>
      </c>
      <c r="B172" s="24">
        <v>45177</v>
      </c>
      <c r="C172" s="36">
        <v>9.8519999999999996E-2</v>
      </c>
      <c r="D172" s="37">
        <v>9.5479999999999995E-2</v>
      </c>
      <c r="E172" s="37">
        <v>9.5429999999999987E-2</v>
      </c>
      <c r="F172" s="38">
        <v>9.5479999999999995E-2</v>
      </c>
      <c r="G172" s="36">
        <f t="shared" si="14"/>
        <v>-6.0864272671945496E-4</v>
      </c>
      <c r="H172" s="37">
        <f t="shared" si="11"/>
        <v>-1.8816642274724904E-3</v>
      </c>
      <c r="I172" s="37">
        <f t="shared" si="12"/>
        <v>-2.0953378732324612E-4</v>
      </c>
      <c r="J172" s="38">
        <f t="shared" si="13"/>
        <v>-2.9239766081873286E-3</v>
      </c>
    </row>
    <row r="173" spans="1:10" x14ac:dyDescent="0.25">
      <c r="A173" s="6">
        <f t="shared" si="10"/>
        <v>169</v>
      </c>
      <c r="B173" s="24">
        <v>45176</v>
      </c>
      <c r="C173" s="36">
        <v>9.8580000000000001E-2</v>
      </c>
      <c r="D173" s="37">
        <v>9.5660000000000009E-2</v>
      </c>
      <c r="E173" s="37">
        <v>9.5449999999999993E-2</v>
      </c>
      <c r="F173" s="38">
        <v>9.5760000000000012E-2</v>
      </c>
      <c r="G173" s="36">
        <f t="shared" si="14"/>
        <v>-6.8506951440661101E-3</v>
      </c>
      <c r="H173" s="37">
        <f t="shared" si="11"/>
        <v>-1.0442773600668476E-3</v>
      </c>
      <c r="I173" s="37">
        <f t="shared" si="12"/>
        <v>-3.2372598162073718E-3</v>
      </c>
      <c r="J173" s="38">
        <f t="shared" si="13"/>
        <v>3.1426775612823921E-3</v>
      </c>
    </row>
    <row r="174" spans="1:10" x14ac:dyDescent="0.25">
      <c r="A174" s="6">
        <f t="shared" si="10"/>
        <v>170</v>
      </c>
      <c r="B174" s="24">
        <v>45175</v>
      </c>
      <c r="C174" s="36">
        <v>9.9260000000000001E-2</v>
      </c>
      <c r="D174" s="37">
        <v>9.5760000000000012E-2</v>
      </c>
      <c r="E174" s="37">
        <v>9.5760000000000012E-2</v>
      </c>
      <c r="F174" s="38">
        <v>9.5459999999999989E-2</v>
      </c>
      <c r="G174" s="36">
        <f t="shared" si="14"/>
        <v>9.1500610004067173E-3</v>
      </c>
      <c r="H174" s="37">
        <f t="shared" si="11"/>
        <v>8.4245998315080062E-3</v>
      </c>
      <c r="I174" s="37">
        <f t="shared" si="12"/>
        <v>9.4876660341556285E-3</v>
      </c>
      <c r="J174" s="38">
        <f t="shared" si="13"/>
        <v>1.0486577181207934E-3</v>
      </c>
    </row>
    <row r="175" spans="1:10" x14ac:dyDescent="0.25">
      <c r="A175" s="6">
        <f t="shared" si="10"/>
        <v>171</v>
      </c>
      <c r="B175" s="24">
        <v>45174</v>
      </c>
      <c r="C175" s="36">
        <v>9.8360000000000003E-2</v>
      </c>
      <c r="D175" s="37">
        <v>9.4960000000000003E-2</v>
      </c>
      <c r="E175" s="37">
        <v>9.486E-2</v>
      </c>
      <c r="F175" s="38">
        <v>9.536E-2</v>
      </c>
      <c r="G175" s="36">
        <f t="shared" si="14"/>
        <v>1.0271158586688589E-2</v>
      </c>
      <c r="H175" s="37">
        <f t="shared" si="11"/>
        <v>8.4961767204756455E-3</v>
      </c>
      <c r="I175" s="37">
        <f t="shared" si="12"/>
        <v>8.5052094407824796E-3</v>
      </c>
      <c r="J175" s="38">
        <f t="shared" si="13"/>
        <v>5.2709255745309047E-3</v>
      </c>
    </row>
    <row r="176" spans="1:10" x14ac:dyDescent="0.25">
      <c r="A176" s="6">
        <f t="shared" si="10"/>
        <v>172</v>
      </c>
      <c r="B176" s="24">
        <v>45173</v>
      </c>
      <c r="C176" s="36">
        <v>9.7360000000000002E-2</v>
      </c>
      <c r="D176" s="37">
        <v>9.4160000000000008E-2</v>
      </c>
      <c r="E176" s="37">
        <v>9.4060000000000005E-2</v>
      </c>
      <c r="F176" s="38">
        <v>9.486E-2</v>
      </c>
      <c r="G176" s="36">
        <f t="shared" si="14"/>
        <v>2.0584602717168554E-3</v>
      </c>
      <c r="H176" s="37">
        <f t="shared" si="11"/>
        <v>-3.1674208144796379E-2</v>
      </c>
      <c r="I176" s="37">
        <f t="shared" si="12"/>
        <v>-3.3994043339837687E-2</v>
      </c>
      <c r="J176" s="38">
        <f t="shared" si="13"/>
        <v>-3.3421642551457187E-2</v>
      </c>
    </row>
    <row r="177" spans="1:10" x14ac:dyDescent="0.25">
      <c r="A177" s="6">
        <f t="shared" si="10"/>
        <v>173</v>
      </c>
      <c r="B177" s="24">
        <v>45171</v>
      </c>
      <c r="C177" s="36">
        <v>9.7159999999999996E-2</v>
      </c>
      <c r="D177" s="37">
        <v>9.7240000000000007E-2</v>
      </c>
      <c r="E177" s="37">
        <v>9.7369999999999998E-2</v>
      </c>
      <c r="F177" s="38">
        <v>9.8140000000000005E-2</v>
      </c>
      <c r="G177" s="36">
        <f t="shared" si="14"/>
        <v>0</v>
      </c>
      <c r="H177" s="37">
        <f t="shared" si="11"/>
        <v>3.4908471690080933E-2</v>
      </c>
      <c r="I177" s="37">
        <f t="shared" si="12"/>
        <v>3.6292039165602308E-2</v>
      </c>
      <c r="J177" s="38">
        <f t="shared" si="13"/>
        <v>3.7859560067682096E-2</v>
      </c>
    </row>
    <row r="178" spans="1:10" x14ac:dyDescent="0.25">
      <c r="A178" s="6">
        <f t="shared" si="10"/>
        <v>174</v>
      </c>
      <c r="B178" s="24">
        <v>45170</v>
      </c>
      <c r="C178" s="36">
        <v>9.7159999999999996E-2</v>
      </c>
      <c r="D178" s="37">
        <v>9.3960000000000002E-2</v>
      </c>
      <c r="E178" s="37">
        <v>9.3960000000000002E-2</v>
      </c>
      <c r="F178" s="38">
        <v>9.4559999999999991E-2</v>
      </c>
      <c r="G178" s="36">
        <f t="shared" si="14"/>
        <v>3.0972537683253698E-3</v>
      </c>
      <c r="H178" s="37">
        <f t="shared" si="11"/>
        <v>3.2030749519540436E-3</v>
      </c>
      <c r="I178" s="37">
        <f t="shared" si="12"/>
        <v>6.4267352185090054E-3</v>
      </c>
      <c r="J178" s="38">
        <f t="shared" si="13"/>
        <v>6.3856960408683605E-3</v>
      </c>
    </row>
    <row r="179" spans="1:10" x14ac:dyDescent="0.25">
      <c r="A179" s="6">
        <f t="shared" si="10"/>
        <v>175</v>
      </c>
      <c r="B179" s="24">
        <v>45169</v>
      </c>
      <c r="C179" s="36">
        <v>9.6860000000000002E-2</v>
      </c>
      <c r="D179" s="37">
        <v>9.3659999999999993E-2</v>
      </c>
      <c r="E179" s="37">
        <v>9.3359999999999999E-2</v>
      </c>
      <c r="F179" s="38">
        <v>9.3960000000000002E-2</v>
      </c>
      <c r="G179" s="36">
        <f t="shared" si="14"/>
        <v>-3.0876904075750611E-3</v>
      </c>
      <c r="H179" s="37">
        <f t="shared" si="11"/>
        <v>-2.5559105431312013E-3</v>
      </c>
      <c r="I179" s="37">
        <f t="shared" si="12"/>
        <v>-2.1376656690894613E-3</v>
      </c>
      <c r="J179" s="38">
        <f t="shared" si="13"/>
        <v>-2.5477707006369421E-3</v>
      </c>
    </row>
    <row r="180" spans="1:10" x14ac:dyDescent="0.25">
      <c r="A180" s="6">
        <f t="shared" si="10"/>
        <v>176</v>
      </c>
      <c r="B180" s="24">
        <v>45168</v>
      </c>
      <c r="C180" s="36">
        <v>9.7159999999999996E-2</v>
      </c>
      <c r="D180" s="37">
        <v>9.3900000000000011E-2</v>
      </c>
      <c r="E180" s="37">
        <v>9.3560000000000004E-2</v>
      </c>
      <c r="F180" s="38">
        <v>9.4200000000000006E-2</v>
      </c>
      <c r="G180" s="36">
        <f t="shared" si="14"/>
        <v>1.2505210504376807E-2</v>
      </c>
      <c r="H180" s="37">
        <f t="shared" si="11"/>
        <v>1.0111876075731718E-2</v>
      </c>
      <c r="I180" s="37">
        <f t="shared" si="12"/>
        <v>6.4543889845096736E-3</v>
      </c>
      <c r="J180" s="38">
        <f t="shared" si="13"/>
        <v>6.8405301410858765E-3</v>
      </c>
    </row>
    <row r="181" spans="1:10" x14ac:dyDescent="0.25">
      <c r="A181" s="6">
        <f t="shared" si="10"/>
        <v>177</v>
      </c>
      <c r="B181" s="24">
        <v>45167</v>
      </c>
      <c r="C181" s="36">
        <v>9.5960000000000004E-2</v>
      </c>
      <c r="D181" s="37">
        <v>9.2959999999999987E-2</v>
      </c>
      <c r="E181" s="37">
        <v>9.2959999999999987E-2</v>
      </c>
      <c r="F181" s="38">
        <v>9.3560000000000004E-2</v>
      </c>
      <c r="G181" s="36">
        <f t="shared" si="14"/>
        <v>-6.6252587991718626E-3</v>
      </c>
      <c r="H181" s="37">
        <f t="shared" si="11"/>
        <v>-4.7109207708780909E-3</v>
      </c>
      <c r="I181" s="37">
        <f t="shared" si="12"/>
        <v>-1.5037593984964515E-3</v>
      </c>
      <c r="J181" s="38">
        <f t="shared" si="13"/>
        <v>-4.2735042735031481E-4</v>
      </c>
    </row>
    <row r="182" spans="1:10" x14ac:dyDescent="0.25">
      <c r="A182" s="6">
        <f t="shared" si="10"/>
        <v>178</v>
      </c>
      <c r="B182" s="24">
        <v>45166</v>
      </c>
      <c r="C182" s="36">
        <v>9.6600000000000005E-2</v>
      </c>
      <c r="D182" s="37">
        <v>9.3399999999999997E-2</v>
      </c>
      <c r="E182" s="37">
        <v>9.3100000000000002E-2</v>
      </c>
      <c r="F182" s="38">
        <v>9.3599999999999989E-2</v>
      </c>
      <c r="G182" s="36">
        <f t="shared" si="14"/>
        <v>-3.8518960883845876E-2</v>
      </c>
      <c r="H182" s="37">
        <f t="shared" si="11"/>
        <v>-3.5920726672171832E-2</v>
      </c>
      <c r="I182" s="37">
        <f t="shared" si="12"/>
        <v>-3.6431380666528734E-2</v>
      </c>
      <c r="J182" s="38">
        <f t="shared" si="13"/>
        <v>-3.2858028518289117E-2</v>
      </c>
    </row>
    <row r="183" spans="1:10" x14ac:dyDescent="0.25">
      <c r="A183" s="6">
        <f t="shared" si="10"/>
        <v>179</v>
      </c>
      <c r="B183" s="24">
        <v>45164</v>
      </c>
      <c r="C183" s="36">
        <v>0.10047</v>
      </c>
      <c r="D183" s="37">
        <v>9.6880000000000008E-2</v>
      </c>
      <c r="E183" s="37">
        <v>9.6620000000000011E-2</v>
      </c>
      <c r="F183" s="38">
        <v>9.6780000000000005E-2</v>
      </c>
      <c r="G183" s="36">
        <f t="shared" si="14"/>
        <v>3.6200495049505177E-2</v>
      </c>
      <c r="H183" s="37">
        <f t="shared" si="11"/>
        <v>3.5485250106883415E-2</v>
      </c>
      <c r="I183" s="37">
        <f t="shared" si="12"/>
        <v>3.8254889318719343E-2</v>
      </c>
      <c r="J183" s="38">
        <f t="shared" si="13"/>
        <v>3.8857878917990529E-2</v>
      </c>
    </row>
    <row r="184" spans="1:10" x14ac:dyDescent="0.25">
      <c r="A184" s="6">
        <f t="shared" si="10"/>
        <v>180</v>
      </c>
      <c r="B184" s="24">
        <v>45163</v>
      </c>
      <c r="C184" s="36">
        <v>9.6959999999999991E-2</v>
      </c>
      <c r="D184" s="37">
        <v>9.3560000000000004E-2</v>
      </c>
      <c r="E184" s="37">
        <v>9.305999999999999E-2</v>
      </c>
      <c r="F184" s="38">
        <v>9.3160000000000007E-2</v>
      </c>
      <c r="G184" s="36">
        <f t="shared" si="14"/>
        <v>3.1036623215392467E-3</v>
      </c>
      <c r="H184" s="37">
        <f t="shared" si="11"/>
        <v>1.0699764605179851E-3</v>
      </c>
      <c r="I184" s="37">
        <f t="shared" si="12"/>
        <v>1.0757314974183529E-3</v>
      </c>
      <c r="J184" s="38">
        <f t="shared" si="13"/>
        <v>-2.1422450728362241E-3</v>
      </c>
    </row>
    <row r="185" spans="1:10" x14ac:dyDescent="0.25">
      <c r="A185" s="6">
        <f t="shared" si="10"/>
        <v>181</v>
      </c>
      <c r="B185" s="24">
        <v>45162</v>
      </c>
      <c r="C185" s="36">
        <v>9.666000000000001E-2</v>
      </c>
      <c r="D185" s="37">
        <v>9.3460000000000001E-2</v>
      </c>
      <c r="E185" s="37">
        <v>9.2959999999999987E-2</v>
      </c>
      <c r="F185" s="38">
        <v>9.3359999999999999E-2</v>
      </c>
      <c r="G185" s="36">
        <f t="shared" si="14"/>
        <v>4.1554124246832025E-3</v>
      </c>
      <c r="H185" s="37">
        <f t="shared" si="11"/>
        <v>5.3786574870913206E-3</v>
      </c>
      <c r="I185" s="37">
        <f t="shared" si="12"/>
        <v>3.2376429958986819E-3</v>
      </c>
      <c r="J185" s="38">
        <f t="shared" si="13"/>
        <v>2.146844139115478E-3</v>
      </c>
    </row>
    <row r="186" spans="1:10" x14ac:dyDescent="0.25">
      <c r="A186" s="6">
        <f t="shared" si="10"/>
        <v>182</v>
      </c>
      <c r="B186" s="24">
        <v>45161</v>
      </c>
      <c r="C186" s="36">
        <v>9.6259999999999998E-2</v>
      </c>
      <c r="D186" s="37">
        <v>9.2959999999999987E-2</v>
      </c>
      <c r="E186" s="37">
        <v>9.2660000000000006E-2</v>
      </c>
      <c r="F186" s="38">
        <v>9.3160000000000007E-2</v>
      </c>
      <c r="G186" s="36">
        <f t="shared" si="14"/>
        <v>-2.1350142334282229E-2</v>
      </c>
      <c r="H186" s="37">
        <f t="shared" si="11"/>
        <v>-2.0029517183217549E-2</v>
      </c>
      <c r="I186" s="37">
        <f t="shared" si="12"/>
        <v>-2.1128248468201827E-2</v>
      </c>
      <c r="J186" s="38">
        <f t="shared" si="13"/>
        <v>-2.204492966617666E-2</v>
      </c>
    </row>
    <row r="187" spans="1:10" x14ac:dyDescent="0.25">
      <c r="A187" s="6">
        <f t="shared" si="10"/>
        <v>183</v>
      </c>
      <c r="B187" s="24">
        <v>45160</v>
      </c>
      <c r="C187" s="36">
        <v>9.8360000000000003E-2</v>
      </c>
      <c r="D187" s="37">
        <v>9.486E-2</v>
      </c>
      <c r="E187" s="37">
        <v>9.4659999999999994E-2</v>
      </c>
      <c r="F187" s="38">
        <v>9.5259999999999997E-2</v>
      </c>
      <c r="G187" s="36">
        <f t="shared" si="14"/>
        <v>-2.0292207792207417E-3</v>
      </c>
      <c r="H187" s="37">
        <f t="shared" si="11"/>
        <v>-2.103934357248094E-3</v>
      </c>
      <c r="I187" s="37">
        <f t="shared" si="12"/>
        <v>-2.1083702298123619E-3</v>
      </c>
      <c r="J187" s="38">
        <f t="shared" si="13"/>
        <v>-1.0486577181207934E-3</v>
      </c>
    </row>
    <row r="188" spans="1:10" x14ac:dyDescent="0.25">
      <c r="A188" s="6">
        <f t="shared" si="10"/>
        <v>184</v>
      </c>
      <c r="B188" s="24">
        <v>45159</v>
      </c>
      <c r="C188" s="36">
        <v>9.8559999999999995E-2</v>
      </c>
      <c r="D188" s="37">
        <v>9.5060000000000006E-2</v>
      </c>
      <c r="E188" s="37">
        <v>9.486E-2</v>
      </c>
      <c r="F188" s="38">
        <v>9.536E-2</v>
      </c>
      <c r="G188" s="36">
        <f t="shared" si="14"/>
        <v>-2.7336425540313791E-2</v>
      </c>
      <c r="H188" s="37">
        <f t="shared" si="11"/>
        <v>-2.4124833179344995E-2</v>
      </c>
      <c r="I188" s="37">
        <f t="shared" si="12"/>
        <v>-2.4074074074074137E-2</v>
      </c>
      <c r="J188" s="38">
        <f t="shared" si="13"/>
        <v>-2.3351085620647138E-2</v>
      </c>
    </row>
    <row r="189" spans="1:10" x14ac:dyDescent="0.25">
      <c r="A189" s="6">
        <f t="shared" si="10"/>
        <v>185</v>
      </c>
      <c r="B189" s="24">
        <v>45157</v>
      </c>
      <c r="C189" s="36">
        <v>0.10132999999999999</v>
      </c>
      <c r="D189" s="37">
        <v>9.7409999999999997E-2</v>
      </c>
      <c r="E189" s="37">
        <v>9.7200000000000009E-2</v>
      </c>
      <c r="F189" s="38">
        <v>9.7639999999999991E-2</v>
      </c>
      <c r="G189" s="36">
        <f t="shared" si="14"/>
        <v>3.651800327332233E-2</v>
      </c>
      <c r="H189" s="37">
        <f t="shared" si="11"/>
        <v>3.5615564533276522E-2</v>
      </c>
      <c r="I189" s="37">
        <f t="shared" si="12"/>
        <v>3.5584913701257381E-2</v>
      </c>
      <c r="J189" s="38">
        <f t="shared" si="13"/>
        <v>3.9165602383993026E-2</v>
      </c>
    </row>
    <row r="190" spans="1:10" x14ac:dyDescent="0.25">
      <c r="A190" s="6">
        <f t="shared" si="10"/>
        <v>186</v>
      </c>
      <c r="B190" s="24">
        <v>45156</v>
      </c>
      <c r="C190" s="36">
        <v>9.776E-2</v>
      </c>
      <c r="D190" s="37">
        <v>9.4060000000000005E-2</v>
      </c>
      <c r="E190" s="37">
        <v>9.3859999999999999E-2</v>
      </c>
      <c r="F190" s="38">
        <v>9.3960000000000002E-2</v>
      </c>
      <c r="G190" s="36">
        <f t="shared" si="14"/>
        <v>5.1408595517168365E-3</v>
      </c>
      <c r="H190" s="37">
        <f t="shared" si="11"/>
        <v>7.497857754927173E-3</v>
      </c>
      <c r="I190" s="37">
        <f t="shared" si="12"/>
        <v>8.5966043412852855E-3</v>
      </c>
      <c r="J190" s="38">
        <f t="shared" si="13"/>
        <v>7.5058974908857046E-3</v>
      </c>
    </row>
    <row r="191" spans="1:10" x14ac:dyDescent="0.25">
      <c r="A191" s="6">
        <f t="shared" si="10"/>
        <v>187</v>
      </c>
      <c r="B191" s="24">
        <v>45155</v>
      </c>
      <c r="C191" s="36">
        <v>9.7260000000000013E-2</v>
      </c>
      <c r="D191" s="37">
        <v>9.3359999999999999E-2</v>
      </c>
      <c r="E191" s="37">
        <v>9.305999999999999E-2</v>
      </c>
      <c r="F191" s="38">
        <v>9.326000000000001E-2</v>
      </c>
      <c r="G191" s="36">
        <f t="shared" si="14"/>
        <v>1.0388531061708006E-2</v>
      </c>
      <c r="H191" s="37">
        <f t="shared" si="11"/>
        <v>1.1922826793843377E-2</v>
      </c>
      <c r="I191" s="37">
        <f t="shared" si="12"/>
        <v>9.765625E-3</v>
      </c>
      <c r="J191" s="38">
        <f t="shared" si="13"/>
        <v>9.7444781290600968E-3</v>
      </c>
    </row>
    <row r="192" spans="1:10" x14ac:dyDescent="0.25">
      <c r="A192" s="6">
        <f t="shared" si="10"/>
        <v>188</v>
      </c>
      <c r="B192" s="24">
        <v>45154</v>
      </c>
      <c r="C192" s="36">
        <v>9.6259999999999998E-2</v>
      </c>
      <c r="D192" s="37">
        <v>9.2260000000000009E-2</v>
      </c>
      <c r="E192" s="37">
        <v>9.2159999999999992E-2</v>
      </c>
      <c r="F192" s="38">
        <v>9.2360000000000012E-2</v>
      </c>
      <c r="G192" s="36">
        <f t="shared" si="14"/>
        <v>3.75391032325334E-3</v>
      </c>
      <c r="H192" s="37">
        <f t="shared" si="11"/>
        <v>7.6452599388379117E-3</v>
      </c>
      <c r="I192" s="37">
        <f t="shared" si="12"/>
        <v>6.5530799475752577E-3</v>
      </c>
      <c r="J192" s="38">
        <f t="shared" si="13"/>
        <v>1.0838933448948929E-3</v>
      </c>
    </row>
    <row r="193" spans="1:10" x14ac:dyDescent="0.25">
      <c r="A193" s="6">
        <f t="shared" si="10"/>
        <v>189</v>
      </c>
      <c r="B193" s="24">
        <v>45153</v>
      </c>
      <c r="C193" s="36">
        <v>9.5899999999999999E-2</v>
      </c>
      <c r="D193" s="37">
        <v>9.1560000000000002E-2</v>
      </c>
      <c r="E193" s="37">
        <v>9.1560000000000002E-2</v>
      </c>
      <c r="F193" s="38">
        <v>9.2260000000000009E-2</v>
      </c>
      <c r="G193" s="36">
        <f t="shared" si="14"/>
        <v>1.4619883040933868E-3</v>
      </c>
      <c r="H193" s="37">
        <f t="shared" si="11"/>
        <v>-3.2658393207053438E-3</v>
      </c>
      <c r="I193" s="37">
        <f t="shared" si="12"/>
        <v>-2.1795989537926053E-3</v>
      </c>
      <c r="J193" s="38">
        <f t="shared" si="13"/>
        <v>2.172496198131757E-3</v>
      </c>
    </row>
    <row r="194" spans="1:10" x14ac:dyDescent="0.25">
      <c r="A194" s="6">
        <f t="shared" si="10"/>
        <v>190</v>
      </c>
      <c r="B194" s="24">
        <v>45152</v>
      </c>
      <c r="C194" s="36">
        <v>9.5760000000000012E-2</v>
      </c>
      <c r="D194" s="37">
        <v>9.1859999999999997E-2</v>
      </c>
      <c r="E194" s="37">
        <v>9.1760000000000008E-2</v>
      </c>
      <c r="F194" s="38">
        <v>9.2059999999999989E-2</v>
      </c>
      <c r="G194" s="36">
        <f t="shared" si="14"/>
        <v>-2.5442703032770075E-2</v>
      </c>
      <c r="H194" s="37">
        <f t="shared" si="11"/>
        <v>-2.3908192540643913E-2</v>
      </c>
      <c r="I194" s="37">
        <f t="shared" si="12"/>
        <v>-2.4452477142249629E-2</v>
      </c>
      <c r="J194" s="38">
        <f t="shared" si="13"/>
        <v>-3.2576712904581862E-2</v>
      </c>
    </row>
    <row r="195" spans="1:10" x14ac:dyDescent="0.25">
      <c r="A195" s="6">
        <f t="shared" si="10"/>
        <v>191</v>
      </c>
      <c r="B195" s="24">
        <v>45150</v>
      </c>
      <c r="C195" s="36">
        <v>9.826E-2</v>
      </c>
      <c r="D195" s="37">
        <v>9.4109999999999999E-2</v>
      </c>
      <c r="E195" s="37">
        <v>9.4060000000000005E-2</v>
      </c>
      <c r="F195" s="38">
        <v>9.5159999999999995E-2</v>
      </c>
      <c r="G195" s="36">
        <f t="shared" si="14"/>
        <v>3.8030847242763732E-2</v>
      </c>
      <c r="H195" s="37">
        <f t="shared" si="11"/>
        <v>3.8054268696227522E-2</v>
      </c>
      <c r="I195" s="37">
        <f t="shared" si="12"/>
        <v>3.6359629792860337E-2</v>
      </c>
      <c r="J195" s="38">
        <f t="shared" si="13"/>
        <v>3.8184595243290209E-2</v>
      </c>
    </row>
    <row r="196" spans="1:10" x14ac:dyDescent="0.25">
      <c r="A196" s="6">
        <f t="shared" si="10"/>
        <v>192</v>
      </c>
      <c r="B196" s="24">
        <v>45149</v>
      </c>
      <c r="C196" s="36">
        <v>9.4659999999999994E-2</v>
      </c>
      <c r="D196" s="37">
        <v>9.0660000000000004E-2</v>
      </c>
      <c r="E196" s="37">
        <v>9.0760000000000007E-2</v>
      </c>
      <c r="F196" s="38">
        <v>9.1660000000000005E-2</v>
      </c>
      <c r="G196" s="36">
        <f t="shared" si="14"/>
        <v>8.5233326230556017E-3</v>
      </c>
      <c r="H196" s="37">
        <f t="shared" si="11"/>
        <v>7.7812361049356404E-3</v>
      </c>
      <c r="I196" s="37">
        <f t="shared" si="12"/>
        <v>8.8928412627835574E-3</v>
      </c>
      <c r="J196" s="38">
        <f t="shared" si="13"/>
        <v>6.5890621568196472E-3</v>
      </c>
    </row>
    <row r="197" spans="1:10" x14ac:dyDescent="0.25">
      <c r="A197" s="6">
        <f t="shared" ref="A197:A255" si="15">+A198-1</f>
        <v>193</v>
      </c>
      <c r="B197" s="24">
        <v>45148</v>
      </c>
      <c r="C197" s="36">
        <v>9.3859999999999999E-2</v>
      </c>
      <c r="D197" s="37">
        <v>8.9959999999999998E-2</v>
      </c>
      <c r="E197" s="37">
        <v>8.9959999999999998E-2</v>
      </c>
      <c r="F197" s="38">
        <v>9.1060000000000002E-2</v>
      </c>
      <c r="G197" s="36">
        <f t="shared" si="14"/>
        <v>2.1353833013026957E-3</v>
      </c>
      <c r="H197" s="37">
        <f t="shared" ref="H197:H256" si="16">+D197/D198-1</f>
        <v>4.4662795891021734E-3</v>
      </c>
      <c r="I197" s="37">
        <f t="shared" ref="I197:I256" si="17">+E197/E198-1</f>
        <v>1.1128421989761161E-3</v>
      </c>
      <c r="J197" s="38">
        <f t="shared" ref="J197:J256" si="18">+F197/F198-1</f>
        <v>5.5212014134278231E-3</v>
      </c>
    </row>
    <row r="198" spans="1:10" x14ac:dyDescent="0.25">
      <c r="A198" s="6">
        <f t="shared" si="15"/>
        <v>194</v>
      </c>
      <c r="B198" s="24">
        <v>45147</v>
      </c>
      <c r="C198" s="36">
        <v>9.3659999999999993E-2</v>
      </c>
      <c r="D198" s="37">
        <v>8.9560000000000001E-2</v>
      </c>
      <c r="E198" s="37">
        <v>8.9860000000000009E-2</v>
      </c>
      <c r="F198" s="38">
        <v>9.0559999999999988E-2</v>
      </c>
      <c r="G198" s="36">
        <f t="shared" ref="G198:G256" si="19">+C198/C199-1</f>
        <v>-8.469193309337375E-3</v>
      </c>
      <c r="H198" s="37">
        <f t="shared" si="16"/>
        <v>-1.2133245091550893E-2</v>
      </c>
      <c r="I198" s="37">
        <f t="shared" si="17"/>
        <v>-1.1005943209332902E-2</v>
      </c>
      <c r="J198" s="38">
        <f t="shared" si="18"/>
        <v>-7.670392285776928E-3</v>
      </c>
    </row>
    <row r="199" spans="1:10" x14ac:dyDescent="0.25">
      <c r="A199" s="6">
        <f t="shared" si="15"/>
        <v>195</v>
      </c>
      <c r="B199" s="24">
        <v>45146</v>
      </c>
      <c r="C199" s="36">
        <v>9.4460000000000002E-2</v>
      </c>
      <c r="D199" s="37">
        <v>9.0660000000000004E-2</v>
      </c>
      <c r="E199" s="37">
        <v>9.0859999999999996E-2</v>
      </c>
      <c r="F199" s="38">
        <v>9.1259999999999994E-2</v>
      </c>
      <c r="G199" s="36">
        <f t="shared" si="19"/>
        <v>-3.165892781764601E-3</v>
      </c>
      <c r="H199" s="37">
        <f t="shared" si="16"/>
        <v>-3.2981530343006993E-3</v>
      </c>
      <c r="I199" s="37">
        <f t="shared" si="17"/>
        <v>-2.1963540522732528E-3</v>
      </c>
      <c r="J199" s="38">
        <f t="shared" si="18"/>
        <v>-7.6120052196607668E-3</v>
      </c>
    </row>
    <row r="200" spans="1:10" x14ac:dyDescent="0.25">
      <c r="A200" s="6">
        <f t="shared" si="15"/>
        <v>196</v>
      </c>
      <c r="B200" s="24">
        <v>45145</v>
      </c>
      <c r="C200" s="36">
        <v>9.4760000000000011E-2</v>
      </c>
      <c r="D200" s="37">
        <v>9.0959999999999999E-2</v>
      </c>
      <c r="E200" s="37">
        <v>9.1060000000000002E-2</v>
      </c>
      <c r="F200" s="38">
        <v>9.196E-2</v>
      </c>
      <c r="G200" s="36">
        <f t="shared" si="19"/>
        <v>-2.8998872835331424E-2</v>
      </c>
      <c r="H200" s="37">
        <f t="shared" si="16"/>
        <v>-2.4662234612910283E-2</v>
      </c>
      <c r="I200" s="37">
        <f t="shared" si="17"/>
        <v>-2.5053533190578126E-2</v>
      </c>
      <c r="J200" s="38">
        <f t="shared" si="18"/>
        <v>-2.3468195816077397E-2</v>
      </c>
    </row>
    <row r="201" spans="1:10" x14ac:dyDescent="0.25">
      <c r="A201" s="6">
        <f t="shared" si="15"/>
        <v>197</v>
      </c>
      <c r="B201" s="24">
        <v>45143</v>
      </c>
      <c r="C201" s="36">
        <v>9.759000000000001E-2</v>
      </c>
      <c r="D201" s="37">
        <v>9.326000000000001E-2</v>
      </c>
      <c r="E201" s="37">
        <v>9.3399999999999997E-2</v>
      </c>
      <c r="F201" s="38">
        <v>9.4170000000000004E-2</v>
      </c>
      <c r="G201" s="36">
        <f t="shared" si="19"/>
        <v>3.642735768903993E-2</v>
      </c>
      <c r="H201" s="37">
        <f t="shared" si="16"/>
        <v>3.5531867643793014E-2</v>
      </c>
      <c r="I201" s="37">
        <f t="shared" si="17"/>
        <v>3.5936113575865125E-2</v>
      </c>
      <c r="J201" s="38">
        <f t="shared" si="18"/>
        <v>3.7571617452622164E-2</v>
      </c>
    </row>
    <row r="202" spans="1:10" x14ac:dyDescent="0.25">
      <c r="A202" s="6">
        <f t="shared" si="15"/>
        <v>198</v>
      </c>
      <c r="B202" s="24">
        <v>45142</v>
      </c>
      <c r="C202" s="36">
        <v>9.4160000000000008E-2</v>
      </c>
      <c r="D202" s="37">
        <v>9.0060000000000001E-2</v>
      </c>
      <c r="E202" s="37">
        <v>9.0160000000000004E-2</v>
      </c>
      <c r="F202" s="38">
        <v>9.0760000000000007E-2</v>
      </c>
      <c r="G202" s="36">
        <f t="shared" si="19"/>
        <v>3.1962497336459617E-3</v>
      </c>
      <c r="H202" s="37">
        <f t="shared" si="16"/>
        <v>2.2256843979522323E-3</v>
      </c>
      <c r="I202" s="37">
        <f t="shared" si="17"/>
        <v>1.1103708638686705E-3</v>
      </c>
      <c r="J202" s="38">
        <f t="shared" si="18"/>
        <v>2.2084805653712625E-3</v>
      </c>
    </row>
    <row r="203" spans="1:10" x14ac:dyDescent="0.25">
      <c r="A203" s="6">
        <f t="shared" si="15"/>
        <v>199</v>
      </c>
      <c r="B203" s="24">
        <v>45141</v>
      </c>
      <c r="C203" s="36">
        <v>9.3859999999999999E-2</v>
      </c>
      <c r="D203" s="37">
        <v>8.9860000000000009E-2</v>
      </c>
      <c r="E203" s="37">
        <v>9.0060000000000001E-2</v>
      </c>
      <c r="F203" s="38">
        <v>9.0559999999999988E-2</v>
      </c>
      <c r="G203" s="36">
        <f t="shared" si="19"/>
        <v>4.2799058420714964E-3</v>
      </c>
      <c r="H203" s="37">
        <f t="shared" si="16"/>
        <v>5.5953446732319723E-3</v>
      </c>
      <c r="I203" s="37">
        <f t="shared" si="17"/>
        <v>6.7069081153587895E-3</v>
      </c>
      <c r="J203" s="38">
        <f t="shared" si="18"/>
        <v>1.2295998211490966E-2</v>
      </c>
    </row>
    <row r="204" spans="1:10" x14ac:dyDescent="0.25">
      <c r="A204" s="6">
        <f t="shared" si="15"/>
        <v>200</v>
      </c>
      <c r="B204" s="24">
        <v>45140</v>
      </c>
      <c r="C204" s="36">
        <v>9.3460000000000001E-2</v>
      </c>
      <c r="D204" s="37">
        <v>8.9359999999999995E-2</v>
      </c>
      <c r="E204" s="37">
        <v>8.9459999999999998E-2</v>
      </c>
      <c r="F204" s="38">
        <v>8.9459999999999998E-2</v>
      </c>
      <c r="G204" s="36">
        <f t="shared" si="19"/>
        <v>6.4239828693790635E-4</v>
      </c>
      <c r="H204" s="37">
        <f t="shared" si="16"/>
        <v>6.7598017124832488E-3</v>
      </c>
      <c r="I204" s="37">
        <f t="shared" si="17"/>
        <v>9.0232348296863663E-3</v>
      </c>
      <c r="J204" s="38">
        <f t="shared" si="18"/>
        <v>3.3647375504710642E-3</v>
      </c>
    </row>
    <row r="205" spans="1:10" x14ac:dyDescent="0.25">
      <c r="A205" s="6">
        <f t="shared" si="15"/>
        <v>201</v>
      </c>
      <c r="B205" s="24">
        <v>45139</v>
      </c>
      <c r="C205" s="36">
        <v>9.3399999999999997E-2</v>
      </c>
      <c r="D205" s="37">
        <v>8.8759999999999992E-2</v>
      </c>
      <c r="E205" s="37">
        <v>8.8660000000000003E-2</v>
      </c>
      <c r="F205" s="38">
        <v>8.9160000000000003E-2</v>
      </c>
      <c r="G205" s="36">
        <f t="shared" si="19"/>
        <v>4.2844901456717821E-4</v>
      </c>
      <c r="H205" s="37">
        <f t="shared" si="16"/>
        <v>3.3913633280577837E-3</v>
      </c>
      <c r="I205" s="37">
        <f t="shared" si="17"/>
        <v>5.6715063520871301E-3</v>
      </c>
      <c r="J205" s="38">
        <f t="shared" si="18"/>
        <v>7.9131810988017914E-3</v>
      </c>
    </row>
    <row r="206" spans="1:10" x14ac:dyDescent="0.25">
      <c r="A206" s="6">
        <f t="shared" si="15"/>
        <v>202</v>
      </c>
      <c r="B206" s="24">
        <v>45138</v>
      </c>
      <c r="C206" s="36">
        <v>9.3359999999999999E-2</v>
      </c>
      <c r="D206" s="37">
        <v>8.8459999999999997E-2</v>
      </c>
      <c r="E206" s="37">
        <v>8.8160000000000002E-2</v>
      </c>
      <c r="F206" s="38">
        <v>8.8459999999999997E-2</v>
      </c>
      <c r="G206" s="36">
        <f t="shared" si="19"/>
        <v>-4.2166820560172402E-2</v>
      </c>
      <c r="H206" s="37">
        <f t="shared" si="16"/>
        <v>-3.9313640312771514E-2</v>
      </c>
      <c r="I206" s="37">
        <f t="shared" si="17"/>
        <v>-4.0696409140369871E-2</v>
      </c>
      <c r="J206" s="38">
        <f t="shared" si="18"/>
        <v>-4.1811091854419447E-2</v>
      </c>
    </row>
    <row r="207" spans="1:10" x14ac:dyDescent="0.25">
      <c r="A207" s="6">
        <f t="shared" si="15"/>
        <v>203</v>
      </c>
      <c r="B207" s="24">
        <v>45136</v>
      </c>
      <c r="C207" s="36">
        <v>9.7470000000000001E-2</v>
      </c>
      <c r="D207" s="37">
        <v>9.2079999999999995E-2</v>
      </c>
      <c r="E207" s="37">
        <v>9.1899999999999996E-2</v>
      </c>
      <c r="F207" s="38">
        <v>9.2319999999999999E-2</v>
      </c>
      <c r="G207" s="36">
        <f t="shared" si="19"/>
        <v>3.5152931180968405E-2</v>
      </c>
      <c r="H207" s="37">
        <f t="shared" si="16"/>
        <v>3.6236776952509597E-2</v>
      </c>
      <c r="I207" s="37">
        <f t="shared" si="17"/>
        <v>3.724604966139955E-2</v>
      </c>
      <c r="J207" s="38">
        <f t="shared" si="18"/>
        <v>3.4977578475336335E-2</v>
      </c>
    </row>
    <row r="208" spans="1:10" x14ac:dyDescent="0.25">
      <c r="A208" s="6">
        <f t="shared" si="15"/>
        <v>204</v>
      </c>
      <c r="B208" s="24">
        <v>45135</v>
      </c>
      <c r="C208" s="36">
        <v>9.4160000000000008E-2</v>
      </c>
      <c r="D208" s="37">
        <v>8.8859999999999995E-2</v>
      </c>
      <c r="E208" s="37">
        <v>8.8599999999999998E-2</v>
      </c>
      <c r="F208" s="38">
        <v>8.9200000000000002E-2</v>
      </c>
      <c r="G208" s="36">
        <f t="shared" si="19"/>
        <v>-1.0608953957138567E-3</v>
      </c>
      <c r="H208" s="37">
        <f t="shared" si="16"/>
        <v>5.6299966220008102E-4</v>
      </c>
      <c r="I208" s="37">
        <f t="shared" si="17"/>
        <v>1.0168342560161747E-3</v>
      </c>
      <c r="J208" s="38">
        <f t="shared" si="18"/>
        <v>-1.790510295434089E-3</v>
      </c>
    </row>
    <row r="209" spans="1:10" x14ac:dyDescent="0.25">
      <c r="A209" s="6">
        <f t="shared" si="15"/>
        <v>205</v>
      </c>
      <c r="B209" s="24">
        <v>45134</v>
      </c>
      <c r="C209" s="36">
        <v>9.4259999999999997E-2</v>
      </c>
      <c r="D209" s="37">
        <v>8.881E-2</v>
      </c>
      <c r="E209" s="37">
        <v>8.8510000000000005E-2</v>
      </c>
      <c r="F209" s="38">
        <v>8.9359999999999995E-2</v>
      </c>
      <c r="G209" s="36">
        <f t="shared" si="19"/>
        <v>4.2616663115278008E-3</v>
      </c>
      <c r="H209" s="37">
        <f t="shared" si="16"/>
        <v>3.9565905494007847E-3</v>
      </c>
      <c r="I209" s="37">
        <f t="shared" si="17"/>
        <v>3.9700544464609244E-3</v>
      </c>
      <c r="J209" s="38">
        <f t="shared" si="18"/>
        <v>6.7598017124832488E-3</v>
      </c>
    </row>
    <row r="210" spans="1:10" x14ac:dyDescent="0.25">
      <c r="A210" s="6">
        <f t="shared" si="15"/>
        <v>206</v>
      </c>
      <c r="B210" s="24">
        <v>45133</v>
      </c>
      <c r="C210" s="36">
        <v>9.3859999999999999E-2</v>
      </c>
      <c r="D210" s="37">
        <v>8.8459999999999997E-2</v>
      </c>
      <c r="E210" s="37">
        <v>8.8160000000000002E-2</v>
      </c>
      <c r="F210" s="38">
        <v>8.8759999999999992E-2</v>
      </c>
      <c r="G210" s="36">
        <f t="shared" si="19"/>
        <v>0</v>
      </c>
      <c r="H210" s="37">
        <f t="shared" si="16"/>
        <v>-3.3799008562415134E-3</v>
      </c>
      <c r="I210" s="37">
        <f t="shared" si="17"/>
        <v>-3.3913633280577837E-3</v>
      </c>
      <c r="J210" s="38">
        <f t="shared" si="18"/>
        <v>-1.6870993139130874E-3</v>
      </c>
    </row>
    <row r="211" spans="1:10" x14ac:dyDescent="0.25">
      <c r="A211" s="6">
        <f t="shared" si="15"/>
        <v>207</v>
      </c>
      <c r="B211" s="24">
        <v>45132</v>
      </c>
      <c r="C211" s="36">
        <v>9.3859999999999999E-2</v>
      </c>
      <c r="D211" s="37">
        <v>8.8759999999999992E-2</v>
      </c>
      <c r="E211" s="37">
        <v>8.8459999999999997E-2</v>
      </c>
      <c r="F211" s="38">
        <v>8.8910000000000003E-2</v>
      </c>
      <c r="G211" s="36">
        <f t="shared" si="19"/>
        <v>6.4336264207589533E-3</v>
      </c>
      <c r="H211" s="37">
        <f t="shared" si="16"/>
        <v>3.3913633280577837E-3</v>
      </c>
      <c r="I211" s="37">
        <f t="shared" si="17"/>
        <v>2.2660321776568626E-3</v>
      </c>
      <c r="J211" s="38">
        <f t="shared" si="18"/>
        <v>1.6899504281209232E-3</v>
      </c>
    </row>
    <row r="212" spans="1:10" x14ac:dyDescent="0.25">
      <c r="A212" s="6">
        <f t="shared" si="15"/>
        <v>208</v>
      </c>
      <c r="B212" s="24">
        <v>45131</v>
      </c>
      <c r="C212" s="36">
        <v>9.326000000000001E-2</v>
      </c>
      <c r="D212" s="37">
        <v>8.8459999999999997E-2</v>
      </c>
      <c r="E212" s="37">
        <v>8.8260000000000005E-2</v>
      </c>
      <c r="F212" s="38">
        <v>8.8759999999999992E-2</v>
      </c>
      <c r="G212" s="36">
        <f t="shared" si="19"/>
        <v>-3.1064935064935018E-2</v>
      </c>
      <c r="H212" s="37">
        <f t="shared" si="16"/>
        <v>3.4029038112521892E-3</v>
      </c>
      <c r="I212" s="37">
        <f t="shared" si="17"/>
        <v>-3.0748956731825094E-2</v>
      </c>
      <c r="J212" s="38">
        <f t="shared" si="18"/>
        <v>-3.1321619556913816E-2</v>
      </c>
    </row>
    <row r="213" spans="1:10" x14ac:dyDescent="0.25">
      <c r="A213" s="6">
        <f t="shared" si="15"/>
        <v>209</v>
      </c>
      <c r="B213" s="24">
        <v>45129</v>
      </c>
      <c r="C213" s="36">
        <v>9.6250000000000002E-2</v>
      </c>
      <c r="D213" s="37">
        <v>8.8160000000000002E-2</v>
      </c>
      <c r="E213" s="37">
        <v>9.1060000000000002E-2</v>
      </c>
      <c r="F213" s="38">
        <v>9.1630000000000003E-2</v>
      </c>
      <c r="G213" s="36">
        <f t="shared" si="19"/>
        <v>3.717672413793105E-2</v>
      </c>
      <c r="H213" s="37">
        <f t="shared" si="16"/>
        <v>0</v>
      </c>
      <c r="I213" s="37">
        <f t="shared" si="17"/>
        <v>3.6421579786023228E-2</v>
      </c>
      <c r="J213" s="38">
        <f t="shared" si="18"/>
        <v>3.7007695789950112E-2</v>
      </c>
    </row>
    <row r="214" spans="1:10" x14ac:dyDescent="0.25">
      <c r="A214" s="6">
        <f t="shared" si="15"/>
        <v>210</v>
      </c>
      <c r="B214" s="24">
        <v>45128</v>
      </c>
      <c r="C214" s="36">
        <v>9.2799999999999994E-2</v>
      </c>
      <c r="D214" s="37">
        <v>8.8160000000000002E-2</v>
      </c>
      <c r="E214" s="37">
        <v>8.7859999999999994E-2</v>
      </c>
      <c r="F214" s="38">
        <v>8.8360000000000008E-2</v>
      </c>
      <c r="G214" s="36">
        <f t="shared" si="19"/>
        <v>-4.3986696706362904E-3</v>
      </c>
      <c r="H214" s="37">
        <f t="shared" si="16"/>
        <v>-3.3913633280577837E-3</v>
      </c>
      <c r="I214" s="37">
        <f t="shared" si="17"/>
        <v>-4.5320643553139472E-3</v>
      </c>
      <c r="J214" s="38">
        <f t="shared" si="18"/>
        <v>-4.5065344749884995E-3</v>
      </c>
    </row>
    <row r="215" spans="1:10" x14ac:dyDescent="0.25">
      <c r="A215" s="6">
        <f t="shared" si="15"/>
        <v>211</v>
      </c>
      <c r="B215" s="24">
        <v>45127</v>
      </c>
      <c r="C215" s="36">
        <v>9.3210000000000001E-2</v>
      </c>
      <c r="D215" s="37">
        <v>8.8459999999999997E-2</v>
      </c>
      <c r="E215" s="37">
        <v>8.8260000000000005E-2</v>
      </c>
      <c r="F215" s="38">
        <v>8.8759999999999992E-2</v>
      </c>
      <c r="G215" s="36">
        <f t="shared" si="19"/>
        <v>4.8512289780078266E-3</v>
      </c>
      <c r="H215" s="37">
        <f t="shared" si="16"/>
        <v>5.684402000909472E-3</v>
      </c>
      <c r="I215" s="37">
        <f t="shared" si="17"/>
        <v>1.146000458400187E-2</v>
      </c>
      <c r="J215" s="38">
        <f t="shared" si="18"/>
        <v>3.3913633280577837E-3</v>
      </c>
    </row>
    <row r="216" spans="1:10" x14ac:dyDescent="0.25">
      <c r="A216" s="6">
        <f t="shared" si="15"/>
        <v>212</v>
      </c>
      <c r="B216" s="24">
        <v>45126</v>
      </c>
      <c r="C216" s="36">
        <v>9.2759999999999995E-2</v>
      </c>
      <c r="D216" s="37">
        <v>8.7959999999999997E-2</v>
      </c>
      <c r="E216" s="37">
        <v>8.7260000000000004E-2</v>
      </c>
      <c r="F216" s="38">
        <v>8.8459999999999997E-2</v>
      </c>
      <c r="G216" s="36">
        <f t="shared" si="19"/>
        <v>9.7975179621161423E-3</v>
      </c>
      <c r="H216" s="37">
        <f t="shared" si="16"/>
        <v>8.0220032088011983E-3</v>
      </c>
      <c r="I216" s="37">
        <f t="shared" si="17"/>
        <v>5.7630244352235849E-3</v>
      </c>
      <c r="J216" s="38">
        <f t="shared" si="18"/>
        <v>5.684402000909472E-3</v>
      </c>
    </row>
    <row r="217" spans="1:10" x14ac:dyDescent="0.25">
      <c r="A217" s="6">
        <f t="shared" si="15"/>
        <v>213</v>
      </c>
      <c r="B217" s="24">
        <v>45125</v>
      </c>
      <c r="C217" s="36">
        <v>9.1859999999999997E-2</v>
      </c>
      <c r="D217" s="37">
        <v>8.7260000000000004E-2</v>
      </c>
      <c r="E217" s="37">
        <v>8.6760000000000004E-2</v>
      </c>
      <c r="F217" s="38">
        <v>8.7959999999999997E-2</v>
      </c>
      <c r="G217" s="36">
        <f t="shared" si="19"/>
        <v>0</v>
      </c>
      <c r="H217" s="37">
        <f t="shared" si="16"/>
        <v>3.4498620055198881E-3</v>
      </c>
      <c r="I217" s="37">
        <f t="shared" si="17"/>
        <v>-2.2999080036797404E-3</v>
      </c>
      <c r="J217" s="38">
        <f t="shared" si="18"/>
        <v>0</v>
      </c>
    </row>
    <row r="218" spans="1:10" x14ac:dyDescent="0.25">
      <c r="A218" s="6">
        <f t="shared" si="15"/>
        <v>214</v>
      </c>
      <c r="B218" s="24">
        <v>45124</v>
      </c>
      <c r="C218" s="36">
        <v>9.1859999999999997E-2</v>
      </c>
      <c r="D218" s="37">
        <v>8.6959999999999996E-2</v>
      </c>
      <c r="E218" s="37">
        <v>8.6959999999999996E-2</v>
      </c>
      <c r="F218" s="38">
        <v>8.7959999999999997E-2</v>
      </c>
      <c r="G218" s="36">
        <f t="shared" si="19"/>
        <v>-3.8115183246073325E-2</v>
      </c>
      <c r="H218" s="37">
        <f t="shared" si="16"/>
        <v>-3.8691134202962663E-2</v>
      </c>
      <c r="I218" s="37">
        <f t="shared" si="17"/>
        <v>-3.9009835340921728E-2</v>
      </c>
      <c r="J218" s="38">
        <f t="shared" si="18"/>
        <v>-3.9108586410312451E-2</v>
      </c>
    </row>
    <row r="219" spans="1:10" x14ac:dyDescent="0.25">
      <c r="A219" s="6">
        <f t="shared" si="15"/>
        <v>215</v>
      </c>
      <c r="B219" s="24">
        <v>45122</v>
      </c>
      <c r="C219" s="36">
        <v>9.5500000000000002E-2</v>
      </c>
      <c r="D219" s="37">
        <v>9.0459999999999999E-2</v>
      </c>
      <c r="E219" s="37">
        <v>9.0490000000000001E-2</v>
      </c>
      <c r="F219" s="38">
        <v>9.1539999999999996E-2</v>
      </c>
      <c r="G219" s="36">
        <f t="shared" si="19"/>
        <v>3.7366934607864666E-2</v>
      </c>
      <c r="H219" s="37">
        <f t="shared" si="16"/>
        <v>3.4301394923393458E-2</v>
      </c>
      <c r="I219" s="37">
        <f t="shared" si="17"/>
        <v>3.5828754578754562E-2</v>
      </c>
      <c r="J219" s="38">
        <f t="shared" si="18"/>
        <v>3.7162927713573435E-2</v>
      </c>
    </row>
    <row r="220" spans="1:10" x14ac:dyDescent="0.25">
      <c r="A220" s="6">
        <f t="shared" si="15"/>
        <v>216</v>
      </c>
      <c r="B220" s="24">
        <v>45121</v>
      </c>
      <c r="C220" s="36">
        <v>9.2059999999999989E-2</v>
      </c>
      <c r="D220" s="37">
        <v>8.746000000000001E-2</v>
      </c>
      <c r="E220" s="37">
        <v>8.7360000000000007E-2</v>
      </c>
      <c r="F220" s="38">
        <v>8.8260000000000005E-2</v>
      </c>
      <c r="G220" s="36">
        <f t="shared" si="19"/>
        <v>5.4608999563126037E-3</v>
      </c>
      <c r="H220" s="37">
        <f t="shared" si="16"/>
        <v>5.7497700091997395E-3</v>
      </c>
      <c r="I220" s="37">
        <f t="shared" si="17"/>
        <v>4.5998160073599248E-3</v>
      </c>
      <c r="J220" s="38">
        <f t="shared" si="18"/>
        <v>-2.2609088853717818E-3</v>
      </c>
    </row>
    <row r="221" spans="1:10" x14ac:dyDescent="0.25">
      <c r="A221" s="6">
        <f t="shared" si="15"/>
        <v>217</v>
      </c>
      <c r="B221" s="24">
        <v>45120</v>
      </c>
      <c r="C221" s="36">
        <v>9.1560000000000002E-2</v>
      </c>
      <c r="D221" s="37">
        <v>8.6959999999999996E-2</v>
      </c>
      <c r="E221" s="37">
        <v>8.6959999999999996E-2</v>
      </c>
      <c r="F221" s="38">
        <v>8.8459999999999997E-2</v>
      </c>
      <c r="G221" s="36">
        <f t="shared" si="19"/>
        <v>-9.7339390006488946E-3</v>
      </c>
      <c r="H221" s="37">
        <f t="shared" si="16"/>
        <v>-5.7168991538990577E-3</v>
      </c>
      <c r="I221" s="37">
        <f t="shared" si="17"/>
        <v>-5.7168991538990577E-3</v>
      </c>
      <c r="J221" s="38">
        <f t="shared" si="18"/>
        <v>0</v>
      </c>
    </row>
    <row r="222" spans="1:10" x14ac:dyDescent="0.25">
      <c r="A222" s="6">
        <f t="shared" si="15"/>
        <v>218</v>
      </c>
      <c r="B222" s="24">
        <v>45119</v>
      </c>
      <c r="C222" s="36">
        <v>9.2460000000000001E-2</v>
      </c>
      <c r="D222" s="37">
        <v>8.746000000000001E-2</v>
      </c>
      <c r="E222" s="37">
        <v>8.746000000000001E-2</v>
      </c>
      <c r="F222" s="38">
        <v>8.8459999999999997E-2</v>
      </c>
      <c r="G222" s="36">
        <f t="shared" si="19"/>
        <v>-2.324107331502212E-2</v>
      </c>
      <c r="H222" s="37">
        <f t="shared" si="16"/>
        <v>-2.5623885918003575E-2</v>
      </c>
      <c r="I222" s="37">
        <f t="shared" si="17"/>
        <v>-2.2356360384529261E-2</v>
      </c>
      <c r="J222" s="38">
        <f t="shared" si="18"/>
        <v>-1.7765933821896507E-2</v>
      </c>
    </row>
    <row r="223" spans="1:10" x14ac:dyDescent="0.25">
      <c r="A223" s="6">
        <f t="shared" si="15"/>
        <v>219</v>
      </c>
      <c r="B223" s="24">
        <v>45118</v>
      </c>
      <c r="C223" s="36">
        <v>9.4659999999999994E-2</v>
      </c>
      <c r="D223" s="37">
        <v>8.9760000000000006E-2</v>
      </c>
      <c r="E223" s="37">
        <v>8.9459999999999998E-2</v>
      </c>
      <c r="F223" s="38">
        <v>9.0060000000000001E-2</v>
      </c>
      <c r="G223" s="36">
        <f t="shared" si="19"/>
        <v>-2.1083702298123619E-3</v>
      </c>
      <c r="H223" s="37">
        <f t="shared" si="16"/>
        <v>-1.1128421989762272E-3</v>
      </c>
      <c r="I223" s="37">
        <f t="shared" si="17"/>
        <v>0</v>
      </c>
      <c r="J223" s="38">
        <f t="shared" si="18"/>
        <v>-2.2158209616661706E-3</v>
      </c>
    </row>
    <row r="224" spans="1:10" x14ac:dyDescent="0.25">
      <c r="A224" s="6">
        <f t="shared" si="15"/>
        <v>220</v>
      </c>
      <c r="B224" s="24">
        <v>45117</v>
      </c>
      <c r="C224" s="36">
        <v>9.486E-2</v>
      </c>
      <c r="D224" s="37">
        <v>8.9860000000000009E-2</v>
      </c>
      <c r="E224" s="37">
        <v>8.9459999999999998E-2</v>
      </c>
      <c r="F224" s="38">
        <v>9.0259999999999993E-2</v>
      </c>
      <c r="G224" s="36">
        <f t="shared" si="19"/>
        <v>-3.0061349693251471E-2</v>
      </c>
      <c r="H224" s="37">
        <f t="shared" si="16"/>
        <v>-3.3451651070237731E-2</v>
      </c>
      <c r="I224" s="37">
        <f t="shared" si="17"/>
        <v>-3.2969408712571591E-2</v>
      </c>
      <c r="J224" s="38">
        <f t="shared" si="18"/>
        <v>-3.3204798628963195E-2</v>
      </c>
    </row>
    <row r="225" spans="1:10" x14ac:dyDescent="0.25">
      <c r="A225" s="6">
        <f t="shared" si="15"/>
        <v>221</v>
      </c>
      <c r="B225" s="24">
        <v>45115</v>
      </c>
      <c r="C225" s="36">
        <v>9.7799999999999998E-2</v>
      </c>
      <c r="D225" s="37">
        <v>9.2970000000000011E-2</v>
      </c>
      <c r="E225" s="37">
        <v>9.2509999999999995E-2</v>
      </c>
      <c r="F225" s="38">
        <v>9.3359999999999999E-2</v>
      </c>
      <c r="G225" s="36">
        <f t="shared" si="19"/>
        <v>3.5358882066483188E-2</v>
      </c>
      <c r="H225" s="37">
        <f t="shared" si="16"/>
        <v>3.5762032085561613E-2</v>
      </c>
      <c r="I225" s="37">
        <f t="shared" si="17"/>
        <v>3.7572902646926698E-2</v>
      </c>
      <c r="J225" s="38">
        <f t="shared" si="18"/>
        <v>3.7794575366829619E-2</v>
      </c>
    </row>
    <row r="226" spans="1:10" x14ac:dyDescent="0.25">
      <c r="A226" s="6">
        <f t="shared" si="15"/>
        <v>222</v>
      </c>
      <c r="B226" s="24">
        <v>45114</v>
      </c>
      <c r="C226" s="36">
        <v>9.4460000000000002E-2</v>
      </c>
      <c r="D226" s="37">
        <v>8.9760000000000006E-2</v>
      </c>
      <c r="E226" s="37">
        <v>8.9160000000000003E-2</v>
      </c>
      <c r="F226" s="38">
        <v>8.9959999999999998E-2</v>
      </c>
      <c r="G226" s="36">
        <f t="shared" si="19"/>
        <v>1.5153143471252184E-2</v>
      </c>
      <c r="H226" s="37">
        <f t="shared" si="16"/>
        <v>1.1266336187472081E-2</v>
      </c>
      <c r="I226" s="37">
        <f t="shared" si="17"/>
        <v>7.4576271186441723E-3</v>
      </c>
      <c r="J226" s="38">
        <f t="shared" si="18"/>
        <v>5.1396648044692572E-3</v>
      </c>
    </row>
    <row r="227" spans="1:10" x14ac:dyDescent="0.25">
      <c r="A227" s="6">
        <f t="shared" si="15"/>
        <v>223</v>
      </c>
      <c r="B227" s="24">
        <v>45113</v>
      </c>
      <c r="C227" s="36">
        <v>9.3049999999999994E-2</v>
      </c>
      <c r="D227" s="37">
        <v>8.8759999999999992E-2</v>
      </c>
      <c r="E227" s="37">
        <v>8.8499999999999995E-2</v>
      </c>
      <c r="F227" s="38">
        <v>8.9499999999999996E-2</v>
      </c>
      <c r="G227" s="36">
        <f t="shared" si="19"/>
        <v>5.2938634399306572E-3</v>
      </c>
      <c r="H227" s="37">
        <f t="shared" si="16"/>
        <v>5.6650804441420455E-3</v>
      </c>
      <c r="I227" s="37">
        <f t="shared" si="17"/>
        <v>1.0735495660118666E-2</v>
      </c>
      <c r="J227" s="38">
        <f t="shared" si="18"/>
        <v>4.9404895576015129E-3</v>
      </c>
    </row>
    <row r="228" spans="1:10" x14ac:dyDescent="0.25">
      <c r="A228" s="6">
        <f t="shared" si="15"/>
        <v>224</v>
      </c>
      <c r="B228" s="24">
        <v>45112</v>
      </c>
      <c r="C228" s="36">
        <v>9.2560000000000003E-2</v>
      </c>
      <c r="D228" s="37">
        <v>8.8260000000000005E-2</v>
      </c>
      <c r="E228" s="37">
        <v>8.7559999999999999E-2</v>
      </c>
      <c r="F228" s="38">
        <v>8.906E-2</v>
      </c>
      <c r="G228" s="36">
        <f t="shared" si="19"/>
        <v>5.4312404953293925E-3</v>
      </c>
      <c r="H228" s="37">
        <f t="shared" si="16"/>
        <v>5.697356426618061E-3</v>
      </c>
      <c r="I228" s="37">
        <f t="shared" si="17"/>
        <v>3.4380013752004501E-3</v>
      </c>
      <c r="J228" s="38">
        <f t="shared" si="18"/>
        <v>5.6458897922313511E-3</v>
      </c>
    </row>
    <row r="229" spans="1:10" x14ac:dyDescent="0.25">
      <c r="A229" s="6">
        <f t="shared" si="15"/>
        <v>225</v>
      </c>
      <c r="B229" s="24">
        <v>45111</v>
      </c>
      <c r="C229" s="36">
        <v>9.2059999999999989E-2</v>
      </c>
      <c r="D229" s="37">
        <v>8.7760000000000005E-2</v>
      </c>
      <c r="E229" s="37">
        <v>8.7260000000000004E-2</v>
      </c>
      <c r="F229" s="38">
        <v>8.856E-2</v>
      </c>
      <c r="G229" s="36">
        <f t="shared" si="19"/>
        <v>5.4608999563126037E-3</v>
      </c>
      <c r="H229" s="37">
        <f t="shared" si="16"/>
        <v>4.5787545787545625E-3</v>
      </c>
      <c r="I229" s="37">
        <f t="shared" si="17"/>
        <v>4.6051116739582731E-3</v>
      </c>
      <c r="J229" s="38">
        <f t="shared" si="18"/>
        <v>5.6779468544176925E-3</v>
      </c>
    </row>
    <row r="230" spans="1:10" x14ac:dyDescent="0.25">
      <c r="A230" s="6">
        <f t="shared" si="15"/>
        <v>226</v>
      </c>
      <c r="B230" s="24">
        <v>45110</v>
      </c>
      <c r="C230" s="36">
        <v>9.1560000000000002E-2</v>
      </c>
      <c r="D230" s="37">
        <v>8.7360000000000007E-2</v>
      </c>
      <c r="E230" s="37">
        <v>8.6859999999999993E-2</v>
      </c>
      <c r="F230" s="38">
        <v>8.8059999999999986E-2</v>
      </c>
      <c r="G230" s="36">
        <f t="shared" si="19"/>
        <v>-2.9673590504450953E-2</v>
      </c>
      <c r="H230" s="37">
        <f t="shared" si="16"/>
        <v>-3.1914893617021045E-2</v>
      </c>
      <c r="I230" s="37">
        <f t="shared" si="17"/>
        <v>-3.2954798485860692E-2</v>
      </c>
      <c r="J230" s="38">
        <f t="shared" si="18"/>
        <v>-3.2201340806682244E-2</v>
      </c>
    </row>
    <row r="231" spans="1:10" x14ac:dyDescent="0.25">
      <c r="A231" s="6">
        <f t="shared" si="15"/>
        <v>227</v>
      </c>
      <c r="B231" s="24">
        <v>45108</v>
      </c>
      <c r="C231" s="36">
        <v>9.4359999999999999E-2</v>
      </c>
      <c r="D231" s="37">
        <v>9.0239999999999987E-2</v>
      </c>
      <c r="E231" s="37">
        <v>8.9819999999999997E-2</v>
      </c>
      <c r="F231" s="38">
        <v>9.0990000000000001E-2</v>
      </c>
      <c r="G231" s="36">
        <f t="shared" si="19"/>
        <v>3.5103115401492024E-2</v>
      </c>
      <c r="H231" s="37">
        <f t="shared" si="16"/>
        <v>3.6526533425223828E-2</v>
      </c>
      <c r="I231" s="37">
        <f t="shared" si="17"/>
        <v>3.6464343411031663E-2</v>
      </c>
      <c r="J231" s="38">
        <f t="shared" si="18"/>
        <v>3.6804922515952576E-2</v>
      </c>
    </row>
    <row r="232" spans="1:10" x14ac:dyDescent="0.25">
      <c r="A232" s="6">
        <f t="shared" si="15"/>
        <v>228</v>
      </c>
      <c r="B232" s="24">
        <v>45107</v>
      </c>
      <c r="C232" s="36">
        <v>9.1159999999999991E-2</v>
      </c>
      <c r="D232" s="37">
        <v>8.7059999999999998E-2</v>
      </c>
      <c r="E232" s="37">
        <v>8.6660000000000001E-2</v>
      </c>
      <c r="F232" s="38">
        <v>8.7760000000000005E-2</v>
      </c>
      <c r="G232" s="36">
        <f t="shared" si="19"/>
        <v>5.5151114052502948E-3</v>
      </c>
      <c r="H232" s="37">
        <f t="shared" si="16"/>
        <v>0</v>
      </c>
      <c r="I232" s="37">
        <f t="shared" si="17"/>
        <v>-3.449862005519666E-3</v>
      </c>
      <c r="J232" s="38">
        <f t="shared" si="18"/>
        <v>-4.5372050816696596E-3</v>
      </c>
    </row>
    <row r="233" spans="1:10" x14ac:dyDescent="0.25">
      <c r="A233" s="6">
        <f t="shared" si="15"/>
        <v>229</v>
      </c>
      <c r="B233" s="24">
        <v>45106</v>
      </c>
      <c r="C233" s="36">
        <v>9.0660000000000004E-2</v>
      </c>
      <c r="D233" s="37">
        <v>8.7059999999999998E-2</v>
      </c>
      <c r="E233" s="37">
        <v>8.6959999999999996E-2</v>
      </c>
      <c r="F233" s="38">
        <v>8.8160000000000002E-2</v>
      </c>
      <c r="G233" s="36">
        <f t="shared" si="19"/>
        <v>1.2282268870031254E-2</v>
      </c>
      <c r="H233" s="37">
        <f t="shared" si="16"/>
        <v>1.3976240391334604E-2</v>
      </c>
      <c r="I233" s="37">
        <f t="shared" si="17"/>
        <v>1.5176278309595892E-2</v>
      </c>
      <c r="J233" s="38">
        <f t="shared" si="18"/>
        <v>8.0036588154583921E-3</v>
      </c>
    </row>
    <row r="234" spans="1:10" x14ac:dyDescent="0.25">
      <c r="A234" s="6">
        <f t="shared" si="15"/>
        <v>230</v>
      </c>
      <c r="B234" s="24">
        <v>45105</v>
      </c>
      <c r="C234" s="36">
        <v>8.9560000000000001E-2</v>
      </c>
      <c r="D234" s="37">
        <v>8.5860000000000006E-2</v>
      </c>
      <c r="E234" s="37">
        <v>8.5660000000000014E-2</v>
      </c>
      <c r="F234" s="38">
        <v>8.746000000000001E-2</v>
      </c>
      <c r="G234" s="36">
        <f t="shared" si="19"/>
        <v>1.1178180192266129E-3</v>
      </c>
      <c r="H234" s="37">
        <f t="shared" si="16"/>
        <v>1.1660447761194792E-3</v>
      </c>
      <c r="I234" s="37">
        <f t="shared" si="17"/>
        <v>-1.1660447761192572E-3</v>
      </c>
      <c r="J234" s="38">
        <f t="shared" si="18"/>
        <v>-3.4184138559707478E-3</v>
      </c>
    </row>
    <row r="235" spans="1:10" x14ac:dyDescent="0.25">
      <c r="A235" s="6">
        <f t="shared" si="15"/>
        <v>231</v>
      </c>
      <c r="B235" s="24">
        <v>45104</v>
      </c>
      <c r="C235" s="36">
        <v>8.9459999999999998E-2</v>
      </c>
      <c r="D235" s="37">
        <v>8.5760000000000003E-2</v>
      </c>
      <c r="E235" s="37">
        <v>8.5760000000000003E-2</v>
      </c>
      <c r="F235" s="38">
        <v>8.7760000000000005E-2</v>
      </c>
      <c r="G235" s="36">
        <f t="shared" si="19"/>
        <v>5.6205035971221839E-3</v>
      </c>
      <c r="H235" s="37">
        <f t="shared" si="16"/>
        <v>4.6860356138707093E-3</v>
      </c>
      <c r="I235" s="37">
        <f t="shared" si="17"/>
        <v>4.6860356138707093E-3</v>
      </c>
      <c r="J235" s="38">
        <f t="shared" si="18"/>
        <v>3.4301394923392792E-3</v>
      </c>
    </row>
    <row r="236" spans="1:10" x14ac:dyDescent="0.25">
      <c r="A236" s="6">
        <f t="shared" si="15"/>
        <v>232</v>
      </c>
      <c r="B236" s="24">
        <v>45103</v>
      </c>
      <c r="C236" s="36">
        <v>8.8960000000000011E-2</v>
      </c>
      <c r="D236" s="37">
        <v>8.5359999999999991E-2</v>
      </c>
      <c r="E236" s="37">
        <v>8.5359999999999991E-2</v>
      </c>
      <c r="F236" s="38">
        <v>8.746000000000001E-2</v>
      </c>
      <c r="G236" s="36">
        <f t="shared" si="19"/>
        <v>-3.9205097742736728E-2</v>
      </c>
      <c r="H236" s="37">
        <f t="shared" si="16"/>
        <v>-3.7437979251240594E-2</v>
      </c>
      <c r="I236" s="37">
        <f t="shared" si="17"/>
        <v>-3.7655016910935646E-2</v>
      </c>
      <c r="J236" s="38">
        <f t="shared" si="18"/>
        <v>-4.1744275227347361E-2</v>
      </c>
    </row>
    <row r="237" spans="1:10" x14ac:dyDescent="0.25">
      <c r="A237" s="6">
        <f t="shared" si="15"/>
        <v>233</v>
      </c>
      <c r="B237" s="24">
        <v>45101</v>
      </c>
      <c r="C237" s="36">
        <v>9.2590000000000006E-2</v>
      </c>
      <c r="D237" s="37">
        <v>8.8680000000000009E-2</v>
      </c>
      <c r="E237" s="37">
        <v>8.8699999999999987E-2</v>
      </c>
      <c r="F237" s="38">
        <v>9.1270000000000004E-2</v>
      </c>
      <c r="G237" s="36">
        <f t="shared" si="19"/>
        <v>3.3832067887449746E-2</v>
      </c>
      <c r="H237" s="37">
        <f t="shared" si="16"/>
        <v>3.6465638148667656E-2</v>
      </c>
      <c r="I237" s="37">
        <f t="shared" si="17"/>
        <v>3.5489143123978106E-2</v>
      </c>
      <c r="J237" s="38">
        <f t="shared" si="18"/>
        <v>3.6452418805360098E-2</v>
      </c>
    </row>
    <row r="238" spans="1:10" x14ac:dyDescent="0.25">
      <c r="A238" s="6">
        <f t="shared" si="15"/>
        <v>234</v>
      </c>
      <c r="B238" s="24">
        <v>45100</v>
      </c>
      <c r="C238" s="36">
        <v>8.9560000000000001E-2</v>
      </c>
      <c r="D238" s="37">
        <v>8.5559999999999997E-2</v>
      </c>
      <c r="E238" s="37">
        <v>8.5660000000000014E-2</v>
      </c>
      <c r="F238" s="38">
        <v>8.8059999999999986E-2</v>
      </c>
      <c r="G238" s="36">
        <f t="shared" si="19"/>
        <v>-1.2133245091550893E-2</v>
      </c>
      <c r="H238" s="37">
        <f t="shared" si="16"/>
        <v>-1.1552680221811662E-2</v>
      </c>
      <c r="I238" s="37">
        <f t="shared" si="17"/>
        <v>-1.1539349180706093E-2</v>
      </c>
      <c r="J238" s="38">
        <f t="shared" si="18"/>
        <v>-9.0029259509341042E-3</v>
      </c>
    </row>
    <row r="239" spans="1:10" x14ac:dyDescent="0.25">
      <c r="A239" s="6">
        <f t="shared" si="15"/>
        <v>235</v>
      </c>
      <c r="B239" s="24">
        <v>45099</v>
      </c>
      <c r="C239" s="36">
        <v>9.0660000000000004E-2</v>
      </c>
      <c r="D239" s="37">
        <v>8.6560000000000012E-2</v>
      </c>
      <c r="E239" s="37">
        <v>8.6660000000000001E-2</v>
      </c>
      <c r="F239" s="38">
        <v>8.8859999999999995E-2</v>
      </c>
      <c r="G239" s="36">
        <f t="shared" si="19"/>
        <v>-9.8296199213629976E-3</v>
      </c>
      <c r="H239" s="37">
        <f t="shared" si="16"/>
        <v>-9.157509157509125E-3</v>
      </c>
      <c r="I239" s="37">
        <f t="shared" si="17"/>
        <v>-8.0128205128205954E-3</v>
      </c>
      <c r="J239" s="38">
        <f t="shared" si="18"/>
        <v>0</v>
      </c>
    </row>
    <row r="240" spans="1:10" x14ac:dyDescent="0.25">
      <c r="A240" s="6">
        <f t="shared" si="15"/>
        <v>236</v>
      </c>
      <c r="B240" s="24">
        <v>45098</v>
      </c>
      <c r="C240" s="36">
        <v>9.1560000000000002E-2</v>
      </c>
      <c r="D240" s="37">
        <v>8.7360000000000007E-2</v>
      </c>
      <c r="E240" s="37">
        <v>8.7360000000000007E-2</v>
      </c>
      <c r="F240" s="38">
        <v>8.8859999999999995E-2</v>
      </c>
      <c r="G240" s="36">
        <f t="shared" si="19"/>
        <v>-1.0909884355225774E-3</v>
      </c>
      <c r="H240" s="37">
        <f t="shared" si="16"/>
        <v>-3.4223134839150848E-3</v>
      </c>
      <c r="I240" s="37">
        <f t="shared" si="17"/>
        <v>-2.2841480127910874E-3</v>
      </c>
      <c r="J240" s="38">
        <f t="shared" si="18"/>
        <v>-3.3647375504711752E-3</v>
      </c>
    </row>
    <row r="241" spans="1:10" x14ac:dyDescent="0.25">
      <c r="A241" s="6">
        <f t="shared" si="15"/>
        <v>237</v>
      </c>
      <c r="B241" s="24">
        <v>45097</v>
      </c>
      <c r="C241" s="36">
        <v>9.1660000000000005E-2</v>
      </c>
      <c r="D241" s="37">
        <v>8.7660000000000002E-2</v>
      </c>
      <c r="E241" s="37">
        <v>8.7559999999999999E-2</v>
      </c>
      <c r="F241" s="38">
        <v>8.9160000000000003E-2</v>
      </c>
      <c r="G241" s="36">
        <f t="shared" si="19"/>
        <v>-5.4253472222220989E-3</v>
      </c>
      <c r="H241" s="37">
        <f t="shared" si="16"/>
        <v>-3.4106412005456832E-3</v>
      </c>
      <c r="I241" s="37">
        <f t="shared" si="17"/>
        <v>-3.4145231049396152E-3</v>
      </c>
      <c r="J241" s="38">
        <f t="shared" si="18"/>
        <v>-5.57662279723381E-3</v>
      </c>
    </row>
    <row r="242" spans="1:10" x14ac:dyDescent="0.25">
      <c r="A242" s="6">
        <f t="shared" si="15"/>
        <v>238</v>
      </c>
      <c r="B242" s="24">
        <v>45096</v>
      </c>
      <c r="C242" s="36">
        <v>9.2159999999999992E-2</v>
      </c>
      <c r="D242" s="37">
        <v>8.7959999999999997E-2</v>
      </c>
      <c r="E242" s="37">
        <v>8.7859999999999994E-2</v>
      </c>
      <c r="F242" s="38">
        <v>8.965999999999999E-2</v>
      </c>
      <c r="G242" s="36">
        <f t="shared" si="19"/>
        <v>-3.5377852208499094E-2</v>
      </c>
      <c r="H242" s="37">
        <f t="shared" si="16"/>
        <v>-3.3087831153127412E-2</v>
      </c>
      <c r="I242" s="37">
        <f t="shared" si="17"/>
        <v>-3.3549664503354948E-2</v>
      </c>
      <c r="J242" s="38">
        <f t="shared" si="18"/>
        <v>-3.5187775745184613E-2</v>
      </c>
    </row>
    <row r="243" spans="1:10" x14ac:dyDescent="0.25">
      <c r="A243" s="6">
        <f t="shared" si="15"/>
        <v>239</v>
      </c>
      <c r="B243" s="24">
        <v>45094</v>
      </c>
      <c r="C243" s="36">
        <v>9.554E-2</v>
      </c>
      <c r="D243" s="37">
        <v>9.0969999999999995E-2</v>
      </c>
      <c r="E243" s="37">
        <v>9.0909999999999991E-2</v>
      </c>
      <c r="F243" s="38">
        <v>9.2929999999999999E-2</v>
      </c>
      <c r="G243" s="36">
        <f t="shared" si="19"/>
        <v>3.6675347222222321E-2</v>
      </c>
      <c r="H243" s="37">
        <f t="shared" si="16"/>
        <v>4.0846681922196648E-2</v>
      </c>
      <c r="I243" s="37">
        <f t="shared" si="17"/>
        <v>3.8734003656307081E-2</v>
      </c>
      <c r="J243" s="38">
        <f t="shared" si="18"/>
        <v>4.2985409652076312E-2</v>
      </c>
    </row>
    <row r="244" spans="1:10" x14ac:dyDescent="0.25">
      <c r="A244" s="6">
        <f t="shared" si="15"/>
        <v>240</v>
      </c>
      <c r="B244" s="24">
        <v>45093</v>
      </c>
      <c r="C244" s="36">
        <v>9.2159999999999992E-2</v>
      </c>
      <c r="D244" s="37">
        <v>8.7400000000000005E-2</v>
      </c>
      <c r="E244" s="37">
        <v>8.7520000000000001E-2</v>
      </c>
      <c r="F244" s="38">
        <v>8.9099999999999999E-2</v>
      </c>
      <c r="G244" s="36">
        <f t="shared" si="19"/>
        <v>1.0862480990658785E-3</v>
      </c>
      <c r="H244" s="37">
        <f t="shared" si="16"/>
        <v>-6.3665302410185198E-3</v>
      </c>
      <c r="I244" s="37">
        <f t="shared" si="17"/>
        <v>-2.7347310847767314E-3</v>
      </c>
      <c r="J244" s="38">
        <f t="shared" si="18"/>
        <v>-5.1362215274676215E-3</v>
      </c>
    </row>
    <row r="245" spans="1:10" x14ac:dyDescent="0.25">
      <c r="A245" s="6">
        <f t="shared" si="15"/>
        <v>241</v>
      </c>
      <c r="B245" s="24">
        <v>45092</v>
      </c>
      <c r="C245" s="36">
        <v>9.2059999999999989E-2</v>
      </c>
      <c r="D245" s="37">
        <v>8.7959999999999997E-2</v>
      </c>
      <c r="E245" s="37">
        <v>8.7760000000000005E-2</v>
      </c>
      <c r="F245" s="38">
        <v>8.9560000000000001E-2</v>
      </c>
      <c r="G245" s="36">
        <f t="shared" si="19"/>
        <v>-4.3261951113996444E-3</v>
      </c>
      <c r="H245" s="37">
        <f t="shared" si="16"/>
        <v>-6.7750677506775991E-3</v>
      </c>
      <c r="I245" s="37">
        <f t="shared" si="17"/>
        <v>-5.6650804441422675E-3</v>
      </c>
      <c r="J245" s="38">
        <f t="shared" si="18"/>
        <v>-4.4464206313916677E-3</v>
      </c>
    </row>
    <row r="246" spans="1:10" x14ac:dyDescent="0.25">
      <c r="A246" s="6">
        <f t="shared" si="15"/>
        <v>242</v>
      </c>
      <c r="B246" s="24">
        <v>45091</v>
      </c>
      <c r="C246" s="36">
        <v>9.2460000000000001E-2</v>
      </c>
      <c r="D246" s="37">
        <v>8.856E-2</v>
      </c>
      <c r="E246" s="37">
        <v>8.8260000000000005E-2</v>
      </c>
      <c r="F246" s="38">
        <v>8.9959999999999998E-2</v>
      </c>
      <c r="G246" s="36">
        <f t="shared" si="19"/>
        <v>1.0827197921177145E-3</v>
      </c>
      <c r="H246" s="37">
        <f t="shared" si="16"/>
        <v>-1.1279043537107958E-3</v>
      </c>
      <c r="I246" s="37">
        <f t="shared" si="17"/>
        <v>-2.2609088853717818E-3</v>
      </c>
      <c r="J246" s="38">
        <f t="shared" si="18"/>
        <v>-3.3237314424994224E-3</v>
      </c>
    </row>
    <row r="247" spans="1:10" x14ac:dyDescent="0.25">
      <c r="A247" s="6">
        <f t="shared" si="15"/>
        <v>243</v>
      </c>
      <c r="B247" s="24">
        <v>45090</v>
      </c>
      <c r="C247" s="36">
        <v>9.2360000000000012E-2</v>
      </c>
      <c r="D247" s="37">
        <v>8.8660000000000003E-2</v>
      </c>
      <c r="E247" s="37">
        <v>8.8459999999999997E-2</v>
      </c>
      <c r="F247" s="38">
        <v>9.0259999999999993E-2</v>
      </c>
      <c r="G247" s="36">
        <f t="shared" si="19"/>
        <v>1.0838933448948929E-3</v>
      </c>
      <c r="H247" s="37">
        <f t="shared" si="16"/>
        <v>1.129177958446359E-3</v>
      </c>
      <c r="I247" s="37">
        <f t="shared" si="17"/>
        <v>0</v>
      </c>
      <c r="J247" s="38">
        <f t="shared" si="18"/>
        <v>1.1091393078970224E-3</v>
      </c>
    </row>
    <row r="248" spans="1:10" x14ac:dyDescent="0.25">
      <c r="A248" s="6">
        <f t="shared" si="15"/>
        <v>244</v>
      </c>
      <c r="B248" s="24">
        <v>45089</v>
      </c>
      <c r="C248" s="36">
        <v>9.2260000000000009E-2</v>
      </c>
      <c r="D248" s="37">
        <v>8.856E-2</v>
      </c>
      <c r="E248" s="37">
        <v>8.8459999999999997E-2</v>
      </c>
      <c r="F248" s="38">
        <v>9.0160000000000004E-2</v>
      </c>
      <c r="G248" s="36">
        <f t="shared" si="19"/>
        <v>-3.5340861564199022E-2</v>
      </c>
      <c r="H248" s="37">
        <f t="shared" si="16"/>
        <v>-1.1279043537107958E-3</v>
      </c>
      <c r="I248" s="37">
        <f t="shared" si="17"/>
        <v>-3.6488399956431716E-2</v>
      </c>
      <c r="J248" s="38">
        <f t="shared" si="18"/>
        <v>-3.6546270570634865E-2</v>
      </c>
    </row>
    <row r="249" spans="1:10" x14ac:dyDescent="0.25">
      <c r="A249" s="6">
        <f t="shared" si="15"/>
        <v>245</v>
      </c>
      <c r="B249" s="24">
        <v>45087</v>
      </c>
      <c r="C249" s="36">
        <v>9.5640000000000003E-2</v>
      </c>
      <c r="D249" s="37">
        <v>8.8660000000000003E-2</v>
      </c>
      <c r="E249" s="37">
        <v>9.1809999999999989E-2</v>
      </c>
      <c r="F249" s="38">
        <v>9.358000000000001E-2</v>
      </c>
      <c r="G249" s="36">
        <f t="shared" si="19"/>
        <v>3.5513209181463834E-2</v>
      </c>
      <c r="H249" s="37">
        <f t="shared" si="16"/>
        <v>0</v>
      </c>
      <c r="I249" s="37">
        <f t="shared" si="17"/>
        <v>3.5528987141890234E-2</v>
      </c>
      <c r="J249" s="38">
        <f t="shared" si="18"/>
        <v>3.7932564330079854E-2</v>
      </c>
    </row>
    <row r="250" spans="1:10" x14ac:dyDescent="0.25">
      <c r="A250" s="6">
        <f t="shared" si="15"/>
        <v>246</v>
      </c>
      <c r="B250" s="24">
        <v>45086</v>
      </c>
      <c r="C250" s="36">
        <v>9.2360000000000012E-2</v>
      </c>
      <c r="D250" s="37">
        <v>8.8660000000000003E-2</v>
      </c>
      <c r="E250" s="37">
        <v>8.8660000000000003E-2</v>
      </c>
      <c r="F250" s="38">
        <v>9.0160000000000004E-2</v>
      </c>
      <c r="G250" s="36">
        <f t="shared" si="19"/>
        <v>3.2587442971976355E-3</v>
      </c>
      <c r="H250" s="37">
        <f t="shared" si="16"/>
        <v>5.6715063520871301E-3</v>
      </c>
      <c r="I250" s="37">
        <f t="shared" si="17"/>
        <v>5.6715063520871301E-3</v>
      </c>
      <c r="J250" s="38">
        <f t="shared" si="18"/>
        <v>-2.2133687472332131E-3</v>
      </c>
    </row>
    <row r="251" spans="1:10" x14ac:dyDescent="0.25">
      <c r="A251" s="6">
        <f t="shared" si="15"/>
        <v>247</v>
      </c>
      <c r="B251" s="24">
        <v>45085</v>
      </c>
      <c r="C251" s="36">
        <v>9.2059999999999989E-2</v>
      </c>
      <c r="D251" s="37">
        <v>8.8160000000000002E-2</v>
      </c>
      <c r="E251" s="37">
        <v>8.8160000000000002E-2</v>
      </c>
      <c r="F251" s="38">
        <v>9.0359999999999996E-2</v>
      </c>
      <c r="G251" s="36">
        <f t="shared" si="19"/>
        <v>-1.1807642765135462E-2</v>
      </c>
      <c r="H251" s="37">
        <f t="shared" si="16"/>
        <v>-7.8775602070672024E-3</v>
      </c>
      <c r="I251" s="37">
        <f t="shared" si="17"/>
        <v>-6.7598017124830267E-3</v>
      </c>
      <c r="J251" s="38">
        <f t="shared" si="18"/>
        <v>-6.5963060686016206E-3</v>
      </c>
    </row>
    <row r="252" spans="1:10" x14ac:dyDescent="0.25">
      <c r="A252" s="6">
        <f t="shared" si="15"/>
        <v>248</v>
      </c>
      <c r="B252" s="24">
        <v>45084</v>
      </c>
      <c r="C252" s="36">
        <v>9.3160000000000007E-2</v>
      </c>
      <c r="D252" s="37">
        <v>8.8859999999999995E-2</v>
      </c>
      <c r="E252" s="37">
        <v>8.8759999999999992E-2</v>
      </c>
      <c r="F252" s="38">
        <v>9.0959999999999999E-2</v>
      </c>
      <c r="G252" s="36">
        <f t="shared" si="19"/>
        <v>3.2306698255439859E-3</v>
      </c>
      <c r="H252" s="37">
        <f t="shared" si="16"/>
        <v>1.1266336187472081E-3</v>
      </c>
      <c r="I252" s="37">
        <f t="shared" si="17"/>
        <v>7.9491255961845475E-3</v>
      </c>
      <c r="J252" s="38">
        <f t="shared" si="18"/>
        <v>5.5273048861375074E-3</v>
      </c>
    </row>
    <row r="253" spans="1:10" x14ac:dyDescent="0.25">
      <c r="A253" s="6">
        <f t="shared" si="15"/>
        <v>249</v>
      </c>
      <c r="B253" s="24">
        <v>45083</v>
      </c>
      <c r="C253" s="36">
        <v>9.2859999999999998E-2</v>
      </c>
      <c r="D253" s="37">
        <v>8.8759999999999992E-2</v>
      </c>
      <c r="E253" s="37">
        <v>8.8059999999999986E-2</v>
      </c>
      <c r="F253" s="38">
        <v>9.0459999999999999E-2</v>
      </c>
      <c r="G253" s="36">
        <f t="shared" si="19"/>
        <v>-7.4818298418127815E-3</v>
      </c>
      <c r="H253" s="37">
        <f t="shared" si="16"/>
        <v>0</v>
      </c>
      <c r="I253" s="37">
        <f t="shared" si="17"/>
        <v>-4.5218177707440077E-3</v>
      </c>
      <c r="J253" s="38">
        <f t="shared" si="18"/>
        <v>1.1066843736167176E-3</v>
      </c>
    </row>
    <row r="254" spans="1:10" x14ac:dyDescent="0.25">
      <c r="A254" s="6">
        <f t="shared" si="15"/>
        <v>250</v>
      </c>
      <c r="B254" s="24">
        <v>45082</v>
      </c>
      <c r="C254" s="36">
        <v>9.3560000000000004E-2</v>
      </c>
      <c r="D254" s="37">
        <v>8.8759999999999992E-2</v>
      </c>
      <c r="E254" s="37">
        <v>8.8459999999999997E-2</v>
      </c>
      <c r="F254" s="38">
        <v>9.0359999999999996E-2</v>
      </c>
      <c r="G254" s="36">
        <f t="shared" si="19"/>
        <v>-3.5762135422034325E-2</v>
      </c>
      <c r="H254" s="37">
        <f t="shared" si="16"/>
        <v>-3.699685364001315E-2</v>
      </c>
      <c r="I254" s="37">
        <f t="shared" si="17"/>
        <v>-3.6278461706068188E-2</v>
      </c>
      <c r="J254" s="38">
        <f t="shared" si="18"/>
        <v>-2.2084805653709294E-3</v>
      </c>
    </row>
    <row r="255" spans="1:10" x14ac:dyDescent="0.25">
      <c r="A255" s="6">
        <f t="shared" si="15"/>
        <v>251</v>
      </c>
      <c r="B255" s="24">
        <v>45080</v>
      </c>
      <c r="C255" s="36">
        <v>9.7029999999999991E-2</v>
      </c>
      <c r="D255" s="37">
        <v>9.2170000000000002E-2</v>
      </c>
      <c r="E255" s="37">
        <v>9.1789999999999997E-2</v>
      </c>
      <c r="F255" s="38">
        <v>9.0559999999999988E-2</v>
      </c>
      <c r="G255" s="36">
        <f t="shared" si="19"/>
        <v>3.4876279863481185E-2</v>
      </c>
      <c r="H255" s="37">
        <f t="shared" si="16"/>
        <v>3.4920278463956844E-2</v>
      </c>
      <c r="I255" s="37">
        <f t="shared" si="17"/>
        <v>3.5303406271148141E-2</v>
      </c>
      <c r="J255" s="38">
        <f t="shared" si="18"/>
        <v>0</v>
      </c>
    </row>
    <row r="256" spans="1:10" x14ac:dyDescent="0.25">
      <c r="A256" s="6">
        <f>+A257-1</f>
        <v>252</v>
      </c>
      <c r="B256" s="24">
        <v>45079</v>
      </c>
      <c r="C256" s="36">
        <v>9.3759999999999996E-2</v>
      </c>
      <c r="D256" s="37">
        <v>8.906E-2</v>
      </c>
      <c r="E256" s="37">
        <v>8.8660000000000003E-2</v>
      </c>
      <c r="F256" s="38">
        <v>9.0559999999999988E-2</v>
      </c>
      <c r="G256" s="39">
        <f t="shared" si="19"/>
        <v>9.6920094766315135E-3</v>
      </c>
      <c r="H256" s="40">
        <f t="shared" si="16"/>
        <v>1.020871143375679E-2</v>
      </c>
      <c r="I256" s="40">
        <f t="shared" si="17"/>
        <v>7.9581628012734829E-3</v>
      </c>
      <c r="J256" s="41">
        <f t="shared" si="18"/>
        <v>4.4365572315880897E-3</v>
      </c>
    </row>
    <row r="257" spans="1:10" x14ac:dyDescent="0.25">
      <c r="A257" s="6">
        <v>253</v>
      </c>
      <c r="B257" s="24">
        <v>45078</v>
      </c>
      <c r="C257" s="39">
        <v>9.2859999999999998E-2</v>
      </c>
      <c r="D257" s="40">
        <v>8.8160000000000002E-2</v>
      </c>
      <c r="E257" s="40">
        <v>8.7959999999999997E-2</v>
      </c>
      <c r="F257" s="41">
        <v>9.0160000000000004E-2</v>
      </c>
      <c r="G257" s="22"/>
      <c r="H257" s="22"/>
      <c r="I257" s="22"/>
      <c r="J257" s="22"/>
    </row>
    <row r="259" spans="1:10" x14ac:dyDescent="0.25">
      <c r="G259" s="9"/>
      <c r="H259" s="9"/>
      <c r="I259" s="9"/>
      <c r="J259" s="9"/>
    </row>
  </sheetData>
  <mergeCells count="2">
    <mergeCell ref="C3:F3"/>
    <mergeCell ref="G3:J3"/>
  </mergeCells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7ABCE9-4CE6-4C47-B259-D22853B00FF3}">
  <sheetPr codeName="Hoja4">
    <tabColor theme="7"/>
  </sheetPr>
  <dimension ref="A1:O561"/>
  <sheetViews>
    <sheetView tabSelected="1" zoomScale="87" zoomScaleNormal="126" workbookViewId="0">
      <selection activeCell="F7" sqref="F7"/>
    </sheetView>
  </sheetViews>
  <sheetFormatPr baseColWidth="10" defaultColWidth="8.85546875" defaultRowHeight="15" x14ac:dyDescent="0.25"/>
  <cols>
    <col min="1" max="1" width="10.7109375" bestFit="1" customWidth="1"/>
    <col min="2" max="2" width="16" bestFit="1" customWidth="1"/>
    <col min="3" max="3" width="21.140625" customWidth="1"/>
    <col min="4" max="4" width="16" customWidth="1"/>
    <col min="5" max="5" width="18.42578125" bestFit="1" customWidth="1"/>
    <col min="6" max="6" width="16" customWidth="1"/>
    <col min="7" max="7" width="16.5703125" customWidth="1"/>
    <col min="8" max="8" width="17.140625" customWidth="1"/>
    <col min="9" max="10" width="16.28515625" customWidth="1"/>
    <col min="11" max="12" width="13.7109375" customWidth="1"/>
    <col min="13" max="13" width="12.28515625" bestFit="1" customWidth="1"/>
  </cols>
  <sheetData>
    <row r="1" spans="1:14" x14ac:dyDescent="0.25">
      <c r="B1" s="45" t="s">
        <v>6</v>
      </c>
    </row>
    <row r="2" spans="1:14" x14ac:dyDescent="0.25">
      <c r="C2" s="46" t="s">
        <v>7</v>
      </c>
      <c r="D2" s="13">
        <v>45379</v>
      </c>
    </row>
    <row r="4" spans="1:14" x14ac:dyDescent="0.25">
      <c r="A4" s="1"/>
    </row>
    <row r="5" spans="1:14" ht="18.75" x14ac:dyDescent="0.3">
      <c r="A5" s="1"/>
      <c r="B5" s="100" t="s">
        <v>8</v>
      </c>
      <c r="C5" s="101"/>
      <c r="D5" s="101"/>
      <c r="E5" s="101"/>
      <c r="F5" s="101"/>
      <c r="G5" s="101"/>
      <c r="H5" s="101"/>
      <c r="I5" s="101"/>
      <c r="J5" s="101"/>
      <c r="K5" s="101"/>
      <c r="L5" s="101"/>
      <c r="M5" s="101"/>
      <c r="N5" s="102"/>
    </row>
    <row r="6" spans="1:14" x14ac:dyDescent="0.25">
      <c r="A6" s="1"/>
      <c r="J6" t="s">
        <v>40</v>
      </c>
    </row>
    <row r="7" spans="1:14" x14ac:dyDescent="0.25">
      <c r="A7" s="1"/>
      <c r="E7" s="6"/>
      <c r="L7" s="103" t="s">
        <v>9</v>
      </c>
      <c r="M7" s="104"/>
    </row>
    <row r="8" spans="1:14" ht="30" x14ac:dyDescent="0.25">
      <c r="A8" s="1"/>
      <c r="B8" s="2" t="s">
        <v>10</v>
      </c>
      <c r="C8" s="2" t="s">
        <v>22</v>
      </c>
      <c r="D8" s="2" t="s">
        <v>23</v>
      </c>
      <c r="E8" s="2" t="s">
        <v>28</v>
      </c>
      <c r="F8" s="2" t="s">
        <v>11</v>
      </c>
      <c r="G8" s="2" t="s">
        <v>1</v>
      </c>
      <c r="H8" s="2" t="s">
        <v>12</v>
      </c>
      <c r="I8" s="2" t="s">
        <v>13</v>
      </c>
      <c r="J8" s="14" t="s">
        <v>24</v>
      </c>
      <c r="K8" s="14" t="s">
        <v>41</v>
      </c>
      <c r="L8" s="2" t="s">
        <v>3</v>
      </c>
      <c r="M8" s="2" t="s">
        <v>4</v>
      </c>
    </row>
    <row r="9" spans="1:14" x14ac:dyDescent="0.25">
      <c r="A9" s="1"/>
      <c r="B9" s="15" t="s">
        <v>25</v>
      </c>
      <c r="C9" s="48">
        <v>46450</v>
      </c>
      <c r="D9" s="51">
        <v>5.5E-2</v>
      </c>
      <c r="E9" s="54">
        <f xml:space="preserve"> Portafolio!C5</f>
        <v>9.7550000000000012E-2</v>
      </c>
      <c r="F9" s="57" cm="1">
        <f t="array" ref="F9" xml:space="preserve"> BonoM(100,D9,C9 - $D$2,E9)</f>
        <v>89.553641395063494</v>
      </c>
      <c r="G9" s="60">
        <v>3300</v>
      </c>
      <c r="H9" s="63">
        <f xml:space="preserve"> G9 * F9</f>
        <v>295527.01660370955</v>
      </c>
      <c r="I9" s="66">
        <f xml:space="preserve"> H9 / $H$13</f>
        <v>0.40939961570535466</v>
      </c>
      <c r="J9" s="69">
        <f xml:space="preserve"> MDURATION($D$2, C9, D9, E9, 2 )</f>
        <v>2.5991966275407545</v>
      </c>
      <c r="K9" s="72" cm="1">
        <f t="array" ref="K9">J9*E9*Vol_Dinamica(Portafolio!G5:G256)</f>
        <v>9.057945335856063E-2</v>
      </c>
      <c r="L9" s="75">
        <f xml:space="preserve"> - NORMSINV(0.99)*H9*K9*SQRT(1/252)</f>
        <v>-3922.8461213301466</v>
      </c>
      <c r="M9" s="78">
        <f xml:space="preserve"> L9 / H9</f>
        <v>-1.3274069377523387E-2</v>
      </c>
    </row>
    <row r="10" spans="1:14" x14ac:dyDescent="0.25">
      <c r="A10" s="1"/>
      <c r="B10" s="15" t="s">
        <v>26</v>
      </c>
      <c r="C10" s="49">
        <v>47269</v>
      </c>
      <c r="D10" s="52">
        <v>8.5000000000000006E-2</v>
      </c>
      <c r="E10" s="55">
        <f xml:space="preserve"> Portafolio!D5</f>
        <v>9.5890000000000003E-2</v>
      </c>
      <c r="F10" s="58" cm="1">
        <f t="array" ref="F10" xml:space="preserve"> BonoM(100,D10,C10 - $D$2,E10)</f>
        <v>98.209889506628784</v>
      </c>
      <c r="G10" s="61">
        <v>1500</v>
      </c>
      <c r="H10" s="64">
        <f t="shared" ref="H10:H12" si="0" xml:space="preserve"> G10 * F10</f>
        <v>147314.83425994316</v>
      </c>
      <c r="I10" s="67">
        <f t="shared" ref="I10:I12" si="1" xml:space="preserve"> H10 / $H$13</f>
        <v>0.20407825053298939</v>
      </c>
      <c r="J10" s="70">
        <f xml:space="preserve"> MDURATION($D$2, C10, D10, E10, 2 )</f>
        <v>3.9602663762970001</v>
      </c>
      <c r="K10" s="73" cm="1">
        <f t="array" ref="K10">J10*E10*Vol_Dinamica(Portafolio!H5:H256)</f>
        <v>0.14198003396830197</v>
      </c>
      <c r="L10" s="76">
        <f t="shared" ref="L10:L12" si="2" xml:space="preserve"> - NORMSINV(0.99)*H10*K10*SQRT(1/252)</f>
        <v>-3065.1246798935031</v>
      </c>
      <c r="M10" s="79">
        <f t="shared" ref="M10:M12" si="3" xml:space="preserve"> L10 / H10</f>
        <v>-2.0806626130298343E-2</v>
      </c>
    </row>
    <row r="11" spans="1:14" x14ac:dyDescent="0.25">
      <c r="A11" s="1"/>
      <c r="B11" s="15" t="s">
        <v>21</v>
      </c>
      <c r="C11" s="49">
        <v>47997</v>
      </c>
      <c r="D11" s="52">
        <v>7.7499999999999999E-2</v>
      </c>
      <c r="E11" s="55">
        <f xml:space="preserve"> Portafolio!E5</f>
        <v>9.6099999999999991E-2</v>
      </c>
      <c r="F11" s="58" cm="1">
        <f t="array" ref="F11" xml:space="preserve"> BonoM(100,D11,C11 - $D$2,E11)</f>
        <v>92.816080105486606</v>
      </c>
      <c r="G11" s="61">
        <v>2000</v>
      </c>
      <c r="H11" s="64">
        <f t="shared" si="0"/>
        <v>185632.1602109732</v>
      </c>
      <c r="I11" s="67">
        <f t="shared" si="1"/>
        <v>0.25716002525358733</v>
      </c>
      <c r="J11" s="70">
        <f xml:space="preserve"> MDURATION($D$2, C11, D11, E11, 2 )</f>
        <v>5.1448354457119505</v>
      </c>
      <c r="K11" s="73" cm="1">
        <f t="array" ref="K11">J11*E11*Vol_Dinamica(Portafolio!I5:I256)</f>
        <v>0.18249892104591781</v>
      </c>
      <c r="L11" s="76">
        <f t="shared" si="2"/>
        <v>-4964.641663379849</v>
      </c>
      <c r="M11" s="79">
        <f t="shared" si="3"/>
        <v>-2.6744512684318673E-2</v>
      </c>
    </row>
    <row r="12" spans="1:14" x14ac:dyDescent="0.25">
      <c r="A12" s="1"/>
      <c r="B12" s="15" t="s">
        <v>27</v>
      </c>
      <c r="C12" s="50">
        <v>50727</v>
      </c>
      <c r="D12" s="53">
        <v>8.5000000000000006E-2</v>
      </c>
      <c r="E12" s="56">
        <f xml:space="preserve"> Portafolio!F5</f>
        <v>9.6860000000000002E-2</v>
      </c>
      <c r="F12" s="59" cm="1">
        <f t="array" ref="F12" xml:space="preserve"> BonoM(100,D12,C12 - $D$2,E12)</f>
        <v>93.380639654701227</v>
      </c>
      <c r="G12" s="62">
        <v>1000</v>
      </c>
      <c r="H12" s="65">
        <f t="shared" si="0"/>
        <v>93380.639654701226</v>
      </c>
      <c r="I12" s="68">
        <f t="shared" si="1"/>
        <v>0.12936210850806867</v>
      </c>
      <c r="J12" s="71">
        <f xml:space="preserve"> MDURATION($D$2, C12, D12, E12, 2 )</f>
        <v>7.6929927454806935</v>
      </c>
      <c r="K12" s="74" cm="1">
        <f t="array" ref="K12">J12*E12*Vol_Dinamica(Portafolio!J5:J256)</f>
        <v>0.27232832974517551</v>
      </c>
      <c r="L12" s="77">
        <f t="shared" si="2"/>
        <v>-3726.6967505501279</v>
      </c>
      <c r="M12" s="80">
        <f t="shared" si="3"/>
        <v>-3.9908665911162544E-2</v>
      </c>
    </row>
    <row r="13" spans="1:14" ht="15.75" thickBot="1" x14ac:dyDescent="0.3">
      <c r="A13" s="1"/>
      <c r="H13" s="16">
        <f xml:space="preserve"> SUM(H9:H12)</f>
        <v>721854.65072932711</v>
      </c>
      <c r="I13" s="47">
        <f xml:space="preserve"> SUM(I9:I12)</f>
        <v>1</v>
      </c>
    </row>
    <row r="14" spans="1:14" ht="15.75" thickTop="1" x14ac:dyDescent="0.25"/>
    <row r="15" spans="1:14" x14ac:dyDescent="0.25">
      <c r="D15" s="3" t="s">
        <v>15</v>
      </c>
      <c r="K15" s="8"/>
    </row>
    <row r="16" spans="1:14" ht="18.75" x14ac:dyDescent="0.25">
      <c r="B16" s="105" t="s">
        <v>14</v>
      </c>
      <c r="C16" s="106"/>
      <c r="D16" s="81" cm="1">
        <f t="array" ref="D16" xml:space="preserve"> SQRT(MMULT(MMULT(TRANSPOSE(I9:I12),MMULT(MMULT(E30:H33,E23:H26),E30:H33)),I9:I12))</f>
        <v>0.14514341346893186</v>
      </c>
      <c r="E16" s="2" t="s">
        <v>3</v>
      </c>
      <c r="F16" s="2" t="s">
        <v>16</v>
      </c>
    </row>
    <row r="17" spans="1:8" ht="18.75" x14ac:dyDescent="0.25">
      <c r="D17" s="82" t="s">
        <v>5</v>
      </c>
      <c r="E17" s="83">
        <f>-NORMSINV(0.99)*H13*D16*SQRT(1/252)</f>
        <v>-15353.997981947479</v>
      </c>
      <c r="F17" s="84">
        <f xml:space="preserve"> E17 / H13</f>
        <v>-2.1270207189819364E-2</v>
      </c>
    </row>
    <row r="21" spans="1:8" ht="15.75" x14ac:dyDescent="0.25">
      <c r="C21" s="107" t="s">
        <v>17</v>
      </c>
      <c r="D21" s="107"/>
    </row>
    <row r="22" spans="1:8" x14ac:dyDescent="0.25">
      <c r="A22" s="1"/>
      <c r="E22" s="3" t="s">
        <v>25</v>
      </c>
      <c r="F22" s="3" t="s">
        <v>26</v>
      </c>
      <c r="G22" s="3" t="s">
        <v>21</v>
      </c>
      <c r="H22" s="3" t="s">
        <v>27</v>
      </c>
    </row>
    <row r="23" spans="1:8" x14ac:dyDescent="0.25">
      <c r="A23" s="1"/>
      <c r="D23" s="85" t="s">
        <v>25</v>
      </c>
      <c r="E23" s="17">
        <f xml:space="preserve"> CORREL(Portafolio!$G$5:$G$256, Portafolio!G5:G256)</f>
        <v>1</v>
      </c>
      <c r="F23" s="17">
        <f xml:space="preserve"> CORREL(Portafolio!$G$5:$G$256, Portafolio!H5:H256)</f>
        <v>0.92628574664100194</v>
      </c>
      <c r="G23" s="17">
        <f xml:space="preserve"> CORREL(Portafolio!$G$5:$G$256, Portafolio!I5:I256)</f>
        <v>0.93450648761668387</v>
      </c>
      <c r="H23" s="17">
        <f xml:space="preserve"> CORREL(Portafolio!$G$5:$G$256, Portafolio!J5:J256)</f>
        <v>0.92303175447933827</v>
      </c>
    </row>
    <row r="24" spans="1:8" x14ac:dyDescent="0.25">
      <c r="A24" s="1"/>
      <c r="D24" s="85" t="s">
        <v>26</v>
      </c>
      <c r="E24" s="17">
        <f xml:space="preserve"> CORREL(Portafolio!$H$5:$H$256, Portafolio!G5:G256)</f>
        <v>0.92628574664100194</v>
      </c>
      <c r="F24" s="17">
        <f xml:space="preserve"> CORREL(Portafolio!$H$5:$H$256, Portafolio!H5:H256)</f>
        <v>1.0000000000000002</v>
      </c>
      <c r="G24" s="17">
        <f xml:space="preserve"> CORREL(Portafolio!$H$5:$H$256, Portafolio!I5:I256)</f>
        <v>0.9630298512076424</v>
      </c>
      <c r="H24" s="17">
        <f xml:space="preserve"> CORREL(Portafolio!$H$5:$H$256, Portafolio!J5:J256)</f>
        <v>0.95088121566992645</v>
      </c>
    </row>
    <row r="25" spans="1:8" x14ac:dyDescent="0.25">
      <c r="A25" s="1"/>
      <c r="D25" s="85" t="s">
        <v>21</v>
      </c>
      <c r="E25" s="17">
        <f xml:space="preserve"> CORREL(Portafolio!$I$5:$I$256, Portafolio!G5:G256)</f>
        <v>0.93450648761668387</v>
      </c>
      <c r="F25" s="17">
        <f xml:space="preserve"> CORREL(Portafolio!$I$5:$I$256, Portafolio!H5:H256)</f>
        <v>0.9630298512076424</v>
      </c>
      <c r="G25" s="17">
        <f xml:space="preserve"> CORREL(Portafolio!$I$5:$I$256, Portafolio!I5:I256)</f>
        <v>0.99999999999999978</v>
      </c>
      <c r="H25" s="17">
        <f xml:space="preserve"> CORREL(Portafolio!$I$5:$I$256, Portafolio!J5:J256)</f>
        <v>0.96557053982893304</v>
      </c>
    </row>
    <row r="26" spans="1:8" x14ac:dyDescent="0.25">
      <c r="A26" s="1"/>
      <c r="D26" s="85" t="s">
        <v>27</v>
      </c>
      <c r="E26" s="17">
        <f xml:space="preserve"> CORREL(Portafolio!$J$5:$J$256, Portafolio!G5:G256)</f>
        <v>0.92303175447933827</v>
      </c>
      <c r="F26" s="17">
        <f xml:space="preserve"> CORREL(Portafolio!$J$5:$J$256, Portafolio!H5:H256)</f>
        <v>0.95088121566992645</v>
      </c>
      <c r="G26" s="17">
        <f xml:space="preserve"> CORREL(Portafolio!$J$5:$J$256, Portafolio!I5:I256)</f>
        <v>0.96557053982893304</v>
      </c>
      <c r="H26" s="17">
        <f xml:space="preserve"> CORREL(Portafolio!$J$5:$J$256, Portafolio!J5:J256)</f>
        <v>1</v>
      </c>
    </row>
    <row r="27" spans="1:8" x14ac:dyDescent="0.25">
      <c r="A27" s="1"/>
    </row>
    <row r="28" spans="1:8" ht="15.75" x14ac:dyDescent="0.25">
      <c r="A28" s="1"/>
      <c r="C28" s="107" t="s">
        <v>18</v>
      </c>
      <c r="D28" s="107"/>
    </row>
    <row r="29" spans="1:8" x14ac:dyDescent="0.25">
      <c r="A29" s="1"/>
      <c r="E29" s="3" t="s">
        <v>25</v>
      </c>
      <c r="F29" s="3" t="s">
        <v>26</v>
      </c>
      <c r="G29" s="3" t="s">
        <v>21</v>
      </c>
      <c r="H29" s="3" t="s">
        <v>27</v>
      </c>
    </row>
    <row r="30" spans="1:8" x14ac:dyDescent="0.25">
      <c r="A30" s="1"/>
      <c r="D30" s="85" t="s">
        <v>25</v>
      </c>
      <c r="E30" s="18">
        <f xml:space="preserve"> K9</f>
        <v>9.057945335856063E-2</v>
      </c>
      <c r="F30" s="19">
        <v>0</v>
      </c>
      <c r="G30" s="19">
        <v>0</v>
      </c>
      <c r="H30" s="19">
        <v>0</v>
      </c>
    </row>
    <row r="31" spans="1:8" x14ac:dyDescent="0.25">
      <c r="A31" s="1"/>
      <c r="D31" s="85" t="s">
        <v>26</v>
      </c>
      <c r="E31" s="19">
        <v>0</v>
      </c>
      <c r="F31" s="18">
        <f xml:space="preserve"> K10</f>
        <v>0.14198003396830197</v>
      </c>
      <c r="G31" s="19">
        <v>0</v>
      </c>
      <c r="H31" s="19">
        <v>0</v>
      </c>
    </row>
    <row r="32" spans="1:8" x14ac:dyDescent="0.25">
      <c r="A32" s="1"/>
      <c r="D32" s="85" t="s">
        <v>21</v>
      </c>
      <c r="E32" s="19">
        <v>0</v>
      </c>
      <c r="F32" s="19">
        <v>0</v>
      </c>
      <c r="G32" s="18">
        <f xml:space="preserve"> K11</f>
        <v>0.18249892104591781</v>
      </c>
      <c r="H32" s="19">
        <v>0</v>
      </c>
    </row>
    <row r="33" spans="1:15" x14ac:dyDescent="0.25">
      <c r="A33" s="1"/>
      <c r="D33" s="85" t="s">
        <v>27</v>
      </c>
      <c r="E33" s="19">
        <v>0</v>
      </c>
      <c r="F33" s="19">
        <v>0</v>
      </c>
      <c r="G33" s="19">
        <v>0</v>
      </c>
      <c r="H33" s="18">
        <f xml:space="preserve"> K12</f>
        <v>0.27232832974517551</v>
      </c>
    </row>
    <row r="34" spans="1:15" x14ac:dyDescent="0.25">
      <c r="A34" s="1"/>
    </row>
    <row r="35" spans="1:15" x14ac:dyDescent="0.25">
      <c r="A35" s="1"/>
    </row>
    <row r="36" spans="1:15" x14ac:dyDescent="0.25">
      <c r="A36" s="1"/>
      <c r="J36" s="20"/>
      <c r="K36" s="20"/>
      <c r="L36" s="20"/>
    </row>
    <row r="37" spans="1:15" x14ac:dyDescent="0.25">
      <c r="A37" s="1"/>
      <c r="J37" s="20"/>
      <c r="K37" s="20"/>
      <c r="L37" s="20"/>
    </row>
    <row r="38" spans="1:15" x14ac:dyDescent="0.25">
      <c r="A38" s="1"/>
      <c r="J38" s="20"/>
      <c r="K38" s="20"/>
      <c r="L38" s="20"/>
    </row>
    <row r="39" spans="1:15" x14ac:dyDescent="0.25">
      <c r="A39" s="1"/>
      <c r="J39" s="20"/>
      <c r="K39" s="20"/>
      <c r="L39" s="20"/>
    </row>
    <row r="40" spans="1:15" x14ac:dyDescent="0.25">
      <c r="A40" s="1"/>
      <c r="J40" s="20"/>
      <c r="K40" s="20"/>
      <c r="L40" s="20"/>
    </row>
    <row r="41" spans="1:15" x14ac:dyDescent="0.25">
      <c r="A41" s="1"/>
      <c r="J41" s="20"/>
      <c r="K41" s="20"/>
      <c r="L41" s="20"/>
    </row>
    <row r="42" spans="1:15" x14ac:dyDescent="0.25">
      <c r="A42" s="1"/>
      <c r="J42" s="20"/>
      <c r="K42" s="20"/>
      <c r="L42" s="20"/>
    </row>
    <row r="43" spans="1:15" x14ac:dyDescent="0.25">
      <c r="A43" s="1"/>
      <c r="J43" s="20"/>
      <c r="K43" s="20"/>
      <c r="L43" s="20"/>
      <c r="M43" s="21"/>
      <c r="N43" s="21"/>
      <c r="O43" s="21"/>
    </row>
    <row r="44" spans="1:15" x14ac:dyDescent="0.25">
      <c r="A44" s="1"/>
    </row>
    <row r="45" spans="1:15" x14ac:dyDescent="0.25">
      <c r="A45" s="1"/>
    </row>
    <row r="46" spans="1:15" x14ac:dyDescent="0.25">
      <c r="A46" s="1"/>
    </row>
    <row r="47" spans="1:15" x14ac:dyDescent="0.25">
      <c r="A47" s="1"/>
    </row>
    <row r="48" spans="1:15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  <row r="115" spans="1:1" x14ac:dyDescent="0.25">
      <c r="A115" s="1"/>
    </row>
    <row r="116" spans="1:1" x14ac:dyDescent="0.25">
      <c r="A116" s="1"/>
    </row>
    <row r="117" spans="1:1" x14ac:dyDescent="0.25">
      <c r="A117" s="1"/>
    </row>
    <row r="118" spans="1:1" x14ac:dyDescent="0.25">
      <c r="A118" s="1"/>
    </row>
    <row r="119" spans="1:1" x14ac:dyDescent="0.25">
      <c r="A119" s="1"/>
    </row>
    <row r="120" spans="1:1" x14ac:dyDescent="0.25">
      <c r="A120" s="1"/>
    </row>
    <row r="121" spans="1:1" x14ac:dyDescent="0.25">
      <c r="A121" s="1"/>
    </row>
    <row r="122" spans="1:1" x14ac:dyDescent="0.25">
      <c r="A122" s="1"/>
    </row>
    <row r="123" spans="1:1" x14ac:dyDescent="0.25">
      <c r="A123" s="1"/>
    </row>
    <row r="124" spans="1:1" x14ac:dyDescent="0.25">
      <c r="A124" s="1"/>
    </row>
    <row r="125" spans="1:1" x14ac:dyDescent="0.25">
      <c r="A125" s="1"/>
    </row>
    <row r="126" spans="1:1" x14ac:dyDescent="0.25">
      <c r="A126" s="1"/>
    </row>
    <row r="127" spans="1:1" x14ac:dyDescent="0.25">
      <c r="A127" s="1"/>
    </row>
    <row r="128" spans="1:1" x14ac:dyDescent="0.25">
      <c r="A128" s="1"/>
    </row>
    <row r="129" spans="1:1" x14ac:dyDescent="0.25">
      <c r="A129" s="1"/>
    </row>
    <row r="130" spans="1:1" x14ac:dyDescent="0.25">
      <c r="A130" s="1"/>
    </row>
    <row r="131" spans="1:1" x14ac:dyDescent="0.25">
      <c r="A131" s="1"/>
    </row>
    <row r="132" spans="1:1" x14ac:dyDescent="0.25">
      <c r="A132" s="1"/>
    </row>
    <row r="133" spans="1:1" x14ac:dyDescent="0.25">
      <c r="A133" s="1"/>
    </row>
    <row r="134" spans="1:1" x14ac:dyDescent="0.25">
      <c r="A134" s="1"/>
    </row>
    <row r="135" spans="1:1" x14ac:dyDescent="0.25">
      <c r="A135" s="1"/>
    </row>
    <row r="136" spans="1:1" x14ac:dyDescent="0.25">
      <c r="A136" s="1"/>
    </row>
    <row r="137" spans="1:1" x14ac:dyDescent="0.25">
      <c r="A137" s="1"/>
    </row>
    <row r="138" spans="1:1" x14ac:dyDescent="0.25">
      <c r="A138" s="1"/>
    </row>
    <row r="139" spans="1:1" x14ac:dyDescent="0.25">
      <c r="A139" s="1"/>
    </row>
    <row r="140" spans="1:1" x14ac:dyDescent="0.25">
      <c r="A140" s="1"/>
    </row>
    <row r="141" spans="1:1" x14ac:dyDescent="0.25">
      <c r="A141" s="1"/>
    </row>
    <row r="142" spans="1:1" x14ac:dyDescent="0.25">
      <c r="A142" s="1"/>
    </row>
    <row r="143" spans="1:1" x14ac:dyDescent="0.25">
      <c r="A143" s="1"/>
    </row>
    <row r="144" spans="1:1" x14ac:dyDescent="0.25">
      <c r="A144" s="1"/>
    </row>
    <row r="145" spans="1:1" x14ac:dyDescent="0.25">
      <c r="A145" s="1"/>
    </row>
    <row r="146" spans="1:1" x14ac:dyDescent="0.25">
      <c r="A146" s="1"/>
    </row>
    <row r="147" spans="1:1" x14ac:dyDescent="0.25">
      <c r="A147" s="1"/>
    </row>
    <row r="148" spans="1:1" x14ac:dyDescent="0.25">
      <c r="A148" s="1"/>
    </row>
    <row r="149" spans="1:1" x14ac:dyDescent="0.25">
      <c r="A149" s="1"/>
    </row>
    <row r="150" spans="1:1" x14ac:dyDescent="0.25">
      <c r="A150" s="1"/>
    </row>
    <row r="151" spans="1:1" x14ac:dyDescent="0.25">
      <c r="A151" s="1"/>
    </row>
    <row r="152" spans="1:1" x14ac:dyDescent="0.25">
      <c r="A152" s="1"/>
    </row>
    <row r="153" spans="1:1" x14ac:dyDescent="0.25">
      <c r="A153" s="1"/>
    </row>
    <row r="154" spans="1:1" x14ac:dyDescent="0.25">
      <c r="A154" s="1"/>
    </row>
    <row r="155" spans="1:1" x14ac:dyDescent="0.25">
      <c r="A155" s="1"/>
    </row>
    <row r="156" spans="1:1" x14ac:dyDescent="0.25">
      <c r="A156" s="1"/>
    </row>
    <row r="157" spans="1:1" x14ac:dyDescent="0.25">
      <c r="A157" s="1"/>
    </row>
    <row r="158" spans="1:1" x14ac:dyDescent="0.25">
      <c r="A158" s="1"/>
    </row>
    <row r="159" spans="1:1" x14ac:dyDescent="0.25">
      <c r="A159" s="1"/>
    </row>
    <row r="160" spans="1:1" x14ac:dyDescent="0.25">
      <c r="A160" s="1"/>
    </row>
    <row r="161" spans="1:1" x14ac:dyDescent="0.25">
      <c r="A161" s="1"/>
    </row>
    <row r="162" spans="1:1" x14ac:dyDescent="0.25">
      <c r="A162" s="1"/>
    </row>
    <row r="163" spans="1:1" x14ac:dyDescent="0.25">
      <c r="A163" s="1"/>
    </row>
    <row r="164" spans="1:1" x14ac:dyDescent="0.25">
      <c r="A164" s="1"/>
    </row>
    <row r="165" spans="1:1" x14ac:dyDescent="0.25">
      <c r="A165" s="1"/>
    </row>
    <row r="166" spans="1:1" x14ac:dyDescent="0.25">
      <c r="A166" s="1"/>
    </row>
    <row r="167" spans="1:1" x14ac:dyDescent="0.25">
      <c r="A167" s="1"/>
    </row>
    <row r="168" spans="1:1" x14ac:dyDescent="0.25">
      <c r="A168" s="1"/>
    </row>
    <row r="169" spans="1:1" x14ac:dyDescent="0.25">
      <c r="A169" s="1"/>
    </row>
    <row r="170" spans="1:1" x14ac:dyDescent="0.25">
      <c r="A170" s="1"/>
    </row>
    <row r="171" spans="1:1" x14ac:dyDescent="0.25">
      <c r="A171" s="1"/>
    </row>
    <row r="172" spans="1:1" x14ac:dyDescent="0.25">
      <c r="A172" s="1"/>
    </row>
    <row r="173" spans="1:1" x14ac:dyDescent="0.25">
      <c r="A173" s="1"/>
    </row>
    <row r="174" spans="1:1" x14ac:dyDescent="0.25">
      <c r="A174" s="1"/>
    </row>
    <row r="175" spans="1:1" x14ac:dyDescent="0.25">
      <c r="A175" s="1"/>
    </row>
    <row r="176" spans="1:1" x14ac:dyDescent="0.25">
      <c r="A176" s="1"/>
    </row>
    <row r="177" spans="1:1" x14ac:dyDescent="0.25">
      <c r="A177" s="1"/>
    </row>
    <row r="178" spans="1:1" x14ac:dyDescent="0.25">
      <c r="A178" s="1"/>
    </row>
    <row r="179" spans="1:1" x14ac:dyDescent="0.25">
      <c r="A179" s="1"/>
    </row>
    <row r="180" spans="1:1" x14ac:dyDescent="0.25">
      <c r="A180" s="1"/>
    </row>
    <row r="181" spans="1:1" x14ac:dyDescent="0.25">
      <c r="A181" s="1"/>
    </row>
    <row r="182" spans="1:1" x14ac:dyDescent="0.25">
      <c r="A182" s="1"/>
    </row>
    <row r="183" spans="1:1" x14ac:dyDescent="0.25">
      <c r="A183" s="1"/>
    </row>
    <row r="184" spans="1:1" x14ac:dyDescent="0.25">
      <c r="A184" s="1"/>
    </row>
    <row r="185" spans="1:1" x14ac:dyDescent="0.25">
      <c r="A185" s="1"/>
    </row>
    <row r="186" spans="1:1" x14ac:dyDescent="0.25">
      <c r="A186" s="1"/>
    </row>
    <row r="187" spans="1:1" x14ac:dyDescent="0.25">
      <c r="A187" s="1"/>
    </row>
    <row r="188" spans="1:1" x14ac:dyDescent="0.25">
      <c r="A188" s="1"/>
    </row>
    <row r="189" spans="1:1" x14ac:dyDescent="0.25">
      <c r="A189" s="1"/>
    </row>
    <row r="190" spans="1:1" x14ac:dyDescent="0.25">
      <c r="A190" s="1"/>
    </row>
    <row r="191" spans="1:1" x14ac:dyDescent="0.25">
      <c r="A191" s="1"/>
    </row>
    <row r="192" spans="1:1" x14ac:dyDescent="0.25">
      <c r="A192" s="1"/>
    </row>
    <row r="193" spans="1:1" x14ac:dyDescent="0.25">
      <c r="A193" s="1"/>
    </row>
    <row r="194" spans="1:1" x14ac:dyDescent="0.25">
      <c r="A194" s="1"/>
    </row>
    <row r="195" spans="1:1" x14ac:dyDescent="0.25">
      <c r="A195" s="1"/>
    </row>
    <row r="196" spans="1:1" x14ac:dyDescent="0.25">
      <c r="A196" s="1"/>
    </row>
    <row r="197" spans="1:1" x14ac:dyDescent="0.25">
      <c r="A197" s="1"/>
    </row>
    <row r="198" spans="1:1" x14ac:dyDescent="0.25">
      <c r="A198" s="1"/>
    </row>
    <row r="199" spans="1:1" x14ac:dyDescent="0.25">
      <c r="A199" s="1"/>
    </row>
    <row r="200" spans="1:1" x14ac:dyDescent="0.25">
      <c r="A200" s="1"/>
    </row>
    <row r="201" spans="1:1" x14ac:dyDescent="0.25">
      <c r="A201" s="1"/>
    </row>
    <row r="202" spans="1:1" x14ac:dyDescent="0.25">
      <c r="A202" s="1"/>
    </row>
    <row r="203" spans="1:1" x14ac:dyDescent="0.25">
      <c r="A203" s="1"/>
    </row>
    <row r="204" spans="1:1" x14ac:dyDescent="0.25">
      <c r="A204" s="1"/>
    </row>
    <row r="205" spans="1:1" x14ac:dyDescent="0.25">
      <c r="A205" s="1"/>
    </row>
    <row r="206" spans="1:1" x14ac:dyDescent="0.25">
      <c r="A206" s="1"/>
    </row>
    <row r="207" spans="1:1" x14ac:dyDescent="0.25">
      <c r="A207" s="1"/>
    </row>
    <row r="208" spans="1:1" x14ac:dyDescent="0.25">
      <c r="A208" s="1"/>
    </row>
    <row r="209" spans="1:1" x14ac:dyDescent="0.25">
      <c r="A209" s="1"/>
    </row>
    <row r="210" spans="1:1" x14ac:dyDescent="0.25">
      <c r="A210" s="1"/>
    </row>
    <row r="211" spans="1:1" x14ac:dyDescent="0.25">
      <c r="A211" s="1"/>
    </row>
    <row r="212" spans="1:1" x14ac:dyDescent="0.25">
      <c r="A212" s="1"/>
    </row>
    <row r="213" spans="1:1" x14ac:dyDescent="0.25">
      <c r="A213" s="1"/>
    </row>
    <row r="214" spans="1:1" x14ac:dyDescent="0.25">
      <c r="A214" s="1"/>
    </row>
    <row r="215" spans="1:1" x14ac:dyDescent="0.25">
      <c r="A215" s="1"/>
    </row>
    <row r="216" spans="1:1" x14ac:dyDescent="0.25">
      <c r="A216" s="1"/>
    </row>
    <row r="217" spans="1:1" x14ac:dyDescent="0.25">
      <c r="A217" s="1"/>
    </row>
    <row r="218" spans="1:1" x14ac:dyDescent="0.25">
      <c r="A218" s="1"/>
    </row>
    <row r="219" spans="1:1" x14ac:dyDescent="0.25">
      <c r="A219" s="1"/>
    </row>
    <row r="220" spans="1:1" x14ac:dyDescent="0.25">
      <c r="A220" s="1"/>
    </row>
    <row r="221" spans="1:1" x14ac:dyDescent="0.25">
      <c r="A221" s="1"/>
    </row>
    <row r="222" spans="1:1" x14ac:dyDescent="0.25">
      <c r="A222" s="1"/>
    </row>
    <row r="223" spans="1:1" x14ac:dyDescent="0.25">
      <c r="A223" s="1"/>
    </row>
    <row r="224" spans="1:1" x14ac:dyDescent="0.25">
      <c r="A224" s="1"/>
    </row>
    <row r="225" spans="1:1" x14ac:dyDescent="0.25">
      <c r="A225" s="1"/>
    </row>
    <row r="226" spans="1:1" x14ac:dyDescent="0.25">
      <c r="A226" s="1"/>
    </row>
    <row r="227" spans="1:1" x14ac:dyDescent="0.25">
      <c r="A227" s="1"/>
    </row>
    <row r="228" spans="1:1" x14ac:dyDescent="0.25">
      <c r="A228" s="1"/>
    </row>
    <row r="229" spans="1:1" x14ac:dyDescent="0.25">
      <c r="A229" s="1"/>
    </row>
    <row r="230" spans="1:1" x14ac:dyDescent="0.25">
      <c r="A230" s="1"/>
    </row>
    <row r="231" spans="1:1" x14ac:dyDescent="0.25">
      <c r="A231" s="1"/>
    </row>
    <row r="232" spans="1:1" x14ac:dyDescent="0.25">
      <c r="A232" s="1"/>
    </row>
    <row r="233" spans="1:1" x14ac:dyDescent="0.25">
      <c r="A233" s="1"/>
    </row>
    <row r="234" spans="1:1" x14ac:dyDescent="0.25">
      <c r="A234" s="1"/>
    </row>
    <row r="235" spans="1:1" x14ac:dyDescent="0.25">
      <c r="A235" s="1"/>
    </row>
    <row r="236" spans="1:1" x14ac:dyDescent="0.25">
      <c r="A236" s="1"/>
    </row>
    <row r="237" spans="1:1" x14ac:dyDescent="0.25">
      <c r="A237" s="1"/>
    </row>
    <row r="238" spans="1:1" x14ac:dyDescent="0.25">
      <c r="A238" s="1"/>
    </row>
    <row r="239" spans="1:1" x14ac:dyDescent="0.25">
      <c r="A239" s="1"/>
    </row>
    <row r="240" spans="1:1" x14ac:dyDescent="0.25">
      <c r="A240" s="1"/>
    </row>
    <row r="241" spans="1:1" x14ac:dyDescent="0.25">
      <c r="A241" s="1"/>
    </row>
    <row r="242" spans="1:1" x14ac:dyDescent="0.25">
      <c r="A242" s="1"/>
    </row>
    <row r="243" spans="1:1" x14ac:dyDescent="0.25">
      <c r="A243" s="1"/>
    </row>
    <row r="244" spans="1:1" x14ac:dyDescent="0.25">
      <c r="A244" s="1"/>
    </row>
    <row r="245" spans="1:1" x14ac:dyDescent="0.25">
      <c r="A245" s="1"/>
    </row>
    <row r="246" spans="1:1" x14ac:dyDescent="0.25">
      <c r="A246" s="1"/>
    </row>
    <row r="247" spans="1:1" x14ac:dyDescent="0.25">
      <c r="A247" s="1"/>
    </row>
    <row r="248" spans="1:1" x14ac:dyDescent="0.25">
      <c r="A248" s="1"/>
    </row>
    <row r="249" spans="1:1" x14ac:dyDescent="0.25">
      <c r="A249" s="1"/>
    </row>
    <row r="250" spans="1:1" x14ac:dyDescent="0.25">
      <c r="A250" s="1"/>
    </row>
    <row r="251" spans="1:1" x14ac:dyDescent="0.25">
      <c r="A251" s="1"/>
    </row>
    <row r="252" spans="1:1" x14ac:dyDescent="0.25">
      <c r="A252" s="1"/>
    </row>
    <row r="253" spans="1:1" x14ac:dyDescent="0.25">
      <c r="A253" s="1"/>
    </row>
    <row r="254" spans="1:1" x14ac:dyDescent="0.25">
      <c r="A254" s="1"/>
    </row>
    <row r="255" spans="1:1" x14ac:dyDescent="0.25">
      <c r="A255" s="1"/>
    </row>
    <row r="256" spans="1:1" x14ac:dyDescent="0.25">
      <c r="A256" s="1"/>
    </row>
    <row r="257" spans="1:1" x14ac:dyDescent="0.25">
      <c r="A257" s="1"/>
    </row>
    <row r="258" spans="1:1" x14ac:dyDescent="0.25">
      <c r="A258" s="1"/>
    </row>
    <row r="259" spans="1:1" x14ac:dyDescent="0.25">
      <c r="A259" s="1"/>
    </row>
    <row r="260" spans="1:1" x14ac:dyDescent="0.25">
      <c r="A260" s="1"/>
    </row>
    <row r="261" spans="1:1" x14ac:dyDescent="0.25">
      <c r="A261" s="1"/>
    </row>
    <row r="262" spans="1:1" x14ac:dyDescent="0.25">
      <c r="A262" s="1"/>
    </row>
    <row r="263" spans="1:1" x14ac:dyDescent="0.25">
      <c r="A263" s="1"/>
    </row>
    <row r="264" spans="1:1" x14ac:dyDescent="0.25">
      <c r="A264" s="1"/>
    </row>
    <row r="265" spans="1:1" x14ac:dyDescent="0.25">
      <c r="A265" s="1"/>
    </row>
    <row r="266" spans="1:1" x14ac:dyDescent="0.25">
      <c r="A266" s="1"/>
    </row>
    <row r="267" spans="1:1" x14ac:dyDescent="0.25">
      <c r="A267" s="1"/>
    </row>
    <row r="268" spans="1:1" x14ac:dyDescent="0.25">
      <c r="A268" s="1"/>
    </row>
    <row r="269" spans="1:1" x14ac:dyDescent="0.25">
      <c r="A269" s="1"/>
    </row>
    <row r="270" spans="1:1" x14ac:dyDescent="0.25">
      <c r="A270" s="1"/>
    </row>
    <row r="271" spans="1:1" x14ac:dyDescent="0.25">
      <c r="A271" s="1"/>
    </row>
    <row r="272" spans="1:1" x14ac:dyDescent="0.25">
      <c r="A272" s="1"/>
    </row>
    <row r="273" spans="1:1" x14ac:dyDescent="0.25">
      <c r="A273" s="1"/>
    </row>
    <row r="274" spans="1:1" x14ac:dyDescent="0.25">
      <c r="A274" s="1"/>
    </row>
    <row r="275" spans="1:1" x14ac:dyDescent="0.25">
      <c r="A275" s="1"/>
    </row>
    <row r="276" spans="1:1" x14ac:dyDescent="0.25">
      <c r="A276" s="1"/>
    </row>
    <row r="277" spans="1:1" x14ac:dyDescent="0.25">
      <c r="A277" s="1"/>
    </row>
    <row r="278" spans="1:1" x14ac:dyDescent="0.25">
      <c r="A278" s="1"/>
    </row>
    <row r="279" spans="1:1" x14ac:dyDescent="0.25">
      <c r="A279" s="1"/>
    </row>
    <row r="280" spans="1:1" x14ac:dyDescent="0.25">
      <c r="A280" s="1"/>
    </row>
    <row r="281" spans="1:1" x14ac:dyDescent="0.25">
      <c r="A281" s="1"/>
    </row>
    <row r="282" spans="1:1" x14ac:dyDescent="0.25">
      <c r="A282" s="1"/>
    </row>
    <row r="283" spans="1:1" x14ac:dyDescent="0.25">
      <c r="A283" s="1"/>
    </row>
    <row r="284" spans="1:1" x14ac:dyDescent="0.25">
      <c r="A284" s="1"/>
    </row>
    <row r="285" spans="1:1" x14ac:dyDescent="0.25">
      <c r="A285" s="1"/>
    </row>
    <row r="286" spans="1:1" x14ac:dyDescent="0.25">
      <c r="A286" s="1"/>
    </row>
    <row r="287" spans="1:1" x14ac:dyDescent="0.25">
      <c r="A287" s="1"/>
    </row>
    <row r="288" spans="1:1" x14ac:dyDescent="0.25">
      <c r="A288" s="1"/>
    </row>
    <row r="289" spans="1:1" x14ac:dyDescent="0.25">
      <c r="A289" s="1"/>
    </row>
    <row r="290" spans="1:1" x14ac:dyDescent="0.25">
      <c r="A290" s="1"/>
    </row>
    <row r="291" spans="1:1" x14ac:dyDescent="0.25">
      <c r="A291" s="1"/>
    </row>
    <row r="292" spans="1:1" x14ac:dyDescent="0.25">
      <c r="A292" s="1"/>
    </row>
    <row r="293" spans="1:1" x14ac:dyDescent="0.25">
      <c r="A293" s="1"/>
    </row>
    <row r="294" spans="1:1" x14ac:dyDescent="0.25">
      <c r="A294" s="1"/>
    </row>
    <row r="295" spans="1:1" x14ac:dyDescent="0.25">
      <c r="A295" s="1"/>
    </row>
    <row r="296" spans="1:1" x14ac:dyDescent="0.25">
      <c r="A296" s="1"/>
    </row>
    <row r="297" spans="1:1" x14ac:dyDescent="0.25">
      <c r="A297" s="1"/>
    </row>
    <row r="298" spans="1:1" x14ac:dyDescent="0.25">
      <c r="A298" s="1"/>
    </row>
    <row r="299" spans="1:1" x14ac:dyDescent="0.25">
      <c r="A299" s="1"/>
    </row>
    <row r="300" spans="1:1" x14ac:dyDescent="0.25">
      <c r="A300" s="1"/>
    </row>
    <row r="301" spans="1:1" x14ac:dyDescent="0.25">
      <c r="A301" s="1"/>
    </row>
    <row r="302" spans="1:1" x14ac:dyDescent="0.25">
      <c r="A302" s="1"/>
    </row>
    <row r="303" spans="1:1" x14ac:dyDescent="0.25">
      <c r="A303" s="1"/>
    </row>
    <row r="304" spans="1:1" x14ac:dyDescent="0.25">
      <c r="A304" s="1"/>
    </row>
    <row r="305" spans="1:1" x14ac:dyDescent="0.25">
      <c r="A305" s="1"/>
    </row>
    <row r="306" spans="1:1" x14ac:dyDescent="0.25">
      <c r="A306" s="1"/>
    </row>
    <row r="307" spans="1:1" x14ac:dyDescent="0.25">
      <c r="A307" s="1"/>
    </row>
    <row r="308" spans="1:1" x14ac:dyDescent="0.25">
      <c r="A308" s="1"/>
    </row>
    <row r="309" spans="1:1" x14ac:dyDescent="0.25">
      <c r="A309" s="1"/>
    </row>
    <row r="310" spans="1:1" x14ac:dyDescent="0.25">
      <c r="A310" s="1"/>
    </row>
    <row r="311" spans="1:1" x14ac:dyDescent="0.25">
      <c r="A311" s="1"/>
    </row>
    <row r="312" spans="1:1" x14ac:dyDescent="0.25">
      <c r="A312" s="1"/>
    </row>
    <row r="313" spans="1:1" x14ac:dyDescent="0.25">
      <c r="A313" s="1"/>
    </row>
    <row r="314" spans="1:1" x14ac:dyDescent="0.25">
      <c r="A314" s="1"/>
    </row>
    <row r="315" spans="1:1" x14ac:dyDescent="0.25">
      <c r="A315" s="1"/>
    </row>
    <row r="316" spans="1:1" x14ac:dyDescent="0.25">
      <c r="A316" s="1"/>
    </row>
    <row r="317" spans="1:1" x14ac:dyDescent="0.25">
      <c r="A317" s="1"/>
    </row>
    <row r="318" spans="1:1" x14ac:dyDescent="0.25">
      <c r="A318" s="1"/>
    </row>
    <row r="319" spans="1:1" x14ac:dyDescent="0.25">
      <c r="A319" s="1"/>
    </row>
    <row r="320" spans="1:1" x14ac:dyDescent="0.25">
      <c r="A320" s="1"/>
    </row>
    <row r="321" spans="1:1" x14ac:dyDescent="0.25">
      <c r="A321" s="1"/>
    </row>
    <row r="322" spans="1:1" x14ac:dyDescent="0.25">
      <c r="A322" s="1"/>
    </row>
    <row r="323" spans="1:1" x14ac:dyDescent="0.25">
      <c r="A323" s="1"/>
    </row>
    <row r="324" spans="1:1" x14ac:dyDescent="0.25">
      <c r="A324" s="1"/>
    </row>
    <row r="325" spans="1:1" x14ac:dyDescent="0.25">
      <c r="A325" s="1"/>
    </row>
    <row r="326" spans="1:1" x14ac:dyDescent="0.25">
      <c r="A326" s="1"/>
    </row>
    <row r="327" spans="1:1" x14ac:dyDescent="0.25">
      <c r="A327" s="1"/>
    </row>
    <row r="328" spans="1:1" x14ac:dyDescent="0.25">
      <c r="A328" s="1"/>
    </row>
    <row r="329" spans="1:1" x14ac:dyDescent="0.25">
      <c r="A329" s="1"/>
    </row>
    <row r="330" spans="1:1" x14ac:dyDescent="0.25">
      <c r="A330" s="1"/>
    </row>
    <row r="331" spans="1:1" x14ac:dyDescent="0.25">
      <c r="A331" s="1"/>
    </row>
    <row r="332" spans="1:1" x14ac:dyDescent="0.25">
      <c r="A332" s="1"/>
    </row>
    <row r="333" spans="1:1" x14ac:dyDescent="0.25">
      <c r="A333" s="1"/>
    </row>
    <row r="334" spans="1:1" x14ac:dyDescent="0.25">
      <c r="A334" s="1"/>
    </row>
    <row r="335" spans="1:1" x14ac:dyDescent="0.25">
      <c r="A335" s="1"/>
    </row>
    <row r="336" spans="1:1" x14ac:dyDescent="0.25">
      <c r="A336" s="1"/>
    </row>
    <row r="337" spans="1:1" x14ac:dyDescent="0.25">
      <c r="A337" s="1"/>
    </row>
    <row r="338" spans="1:1" x14ac:dyDescent="0.25">
      <c r="A338" s="1"/>
    </row>
    <row r="339" spans="1:1" x14ac:dyDescent="0.25">
      <c r="A339" s="1"/>
    </row>
    <row r="340" spans="1:1" x14ac:dyDescent="0.25">
      <c r="A340" s="1"/>
    </row>
    <row r="341" spans="1:1" x14ac:dyDescent="0.25">
      <c r="A341" s="1"/>
    </row>
    <row r="342" spans="1:1" x14ac:dyDescent="0.25">
      <c r="A342" s="1"/>
    </row>
    <row r="343" spans="1:1" x14ac:dyDescent="0.25">
      <c r="A343" s="1"/>
    </row>
    <row r="344" spans="1:1" x14ac:dyDescent="0.25">
      <c r="A344" s="1"/>
    </row>
    <row r="345" spans="1:1" x14ac:dyDescent="0.25">
      <c r="A345" s="1"/>
    </row>
    <row r="346" spans="1:1" x14ac:dyDescent="0.25">
      <c r="A346" s="1"/>
    </row>
    <row r="347" spans="1:1" x14ac:dyDescent="0.25">
      <c r="A347" s="1"/>
    </row>
    <row r="348" spans="1:1" x14ac:dyDescent="0.25">
      <c r="A348" s="1"/>
    </row>
    <row r="349" spans="1:1" x14ac:dyDescent="0.25">
      <c r="A349" s="1"/>
    </row>
    <row r="350" spans="1:1" x14ac:dyDescent="0.25">
      <c r="A350" s="1"/>
    </row>
    <row r="351" spans="1:1" x14ac:dyDescent="0.25">
      <c r="A351" s="1"/>
    </row>
    <row r="352" spans="1:1" x14ac:dyDescent="0.25">
      <c r="A352" s="1"/>
    </row>
    <row r="353" spans="1:1" x14ac:dyDescent="0.25">
      <c r="A353" s="1"/>
    </row>
    <row r="354" spans="1:1" x14ac:dyDescent="0.25">
      <c r="A354" s="1"/>
    </row>
    <row r="355" spans="1:1" x14ac:dyDescent="0.25">
      <c r="A355" s="1"/>
    </row>
    <row r="356" spans="1:1" x14ac:dyDescent="0.25">
      <c r="A356" s="1"/>
    </row>
    <row r="357" spans="1:1" x14ac:dyDescent="0.25">
      <c r="A357" s="1"/>
    </row>
    <row r="358" spans="1:1" x14ac:dyDescent="0.25">
      <c r="A358" s="1"/>
    </row>
    <row r="359" spans="1:1" x14ac:dyDescent="0.25">
      <c r="A359" s="1"/>
    </row>
    <row r="360" spans="1:1" x14ac:dyDescent="0.25">
      <c r="A360" s="1"/>
    </row>
    <row r="361" spans="1:1" x14ac:dyDescent="0.25">
      <c r="A361" s="1"/>
    </row>
    <row r="362" spans="1:1" x14ac:dyDescent="0.25">
      <c r="A362" s="1"/>
    </row>
    <row r="363" spans="1:1" x14ac:dyDescent="0.25">
      <c r="A363" s="1"/>
    </row>
    <row r="364" spans="1:1" x14ac:dyDescent="0.25">
      <c r="A364" s="1"/>
    </row>
    <row r="365" spans="1:1" x14ac:dyDescent="0.25">
      <c r="A365" s="1"/>
    </row>
    <row r="366" spans="1:1" x14ac:dyDescent="0.25">
      <c r="A366" s="1"/>
    </row>
    <row r="367" spans="1:1" x14ac:dyDescent="0.25">
      <c r="A367" s="1"/>
    </row>
    <row r="368" spans="1:1" x14ac:dyDescent="0.25">
      <c r="A368" s="1"/>
    </row>
    <row r="369" spans="1:1" x14ac:dyDescent="0.25">
      <c r="A369" s="1"/>
    </row>
    <row r="370" spans="1:1" x14ac:dyDescent="0.25">
      <c r="A370" s="1"/>
    </row>
    <row r="371" spans="1:1" x14ac:dyDescent="0.25">
      <c r="A371" s="1"/>
    </row>
    <row r="372" spans="1:1" x14ac:dyDescent="0.25">
      <c r="A372" s="1"/>
    </row>
    <row r="373" spans="1:1" x14ac:dyDescent="0.25">
      <c r="A373" s="1"/>
    </row>
    <row r="374" spans="1:1" x14ac:dyDescent="0.25">
      <c r="A374" s="1"/>
    </row>
    <row r="375" spans="1:1" x14ac:dyDescent="0.25">
      <c r="A375" s="1"/>
    </row>
    <row r="376" spans="1:1" x14ac:dyDescent="0.25">
      <c r="A376" s="1"/>
    </row>
    <row r="377" spans="1:1" x14ac:dyDescent="0.25">
      <c r="A377" s="1"/>
    </row>
    <row r="378" spans="1:1" x14ac:dyDescent="0.25">
      <c r="A378" s="1"/>
    </row>
    <row r="379" spans="1:1" x14ac:dyDescent="0.25">
      <c r="A379" s="1"/>
    </row>
    <row r="380" spans="1:1" x14ac:dyDescent="0.25">
      <c r="A380" s="1"/>
    </row>
    <row r="381" spans="1:1" x14ac:dyDescent="0.25">
      <c r="A381" s="1"/>
    </row>
    <row r="382" spans="1:1" x14ac:dyDescent="0.25">
      <c r="A382" s="1"/>
    </row>
    <row r="383" spans="1:1" x14ac:dyDescent="0.25">
      <c r="A383" s="1"/>
    </row>
    <row r="384" spans="1:1" x14ac:dyDescent="0.25">
      <c r="A384" s="1"/>
    </row>
    <row r="385" spans="1:1" x14ac:dyDescent="0.25">
      <c r="A385" s="1"/>
    </row>
    <row r="386" spans="1:1" x14ac:dyDescent="0.25">
      <c r="A386" s="1"/>
    </row>
    <row r="387" spans="1:1" x14ac:dyDescent="0.25">
      <c r="A387" s="1"/>
    </row>
    <row r="388" spans="1:1" x14ac:dyDescent="0.25">
      <c r="A388" s="1"/>
    </row>
    <row r="389" spans="1:1" x14ac:dyDescent="0.25">
      <c r="A389" s="1"/>
    </row>
    <row r="390" spans="1:1" x14ac:dyDescent="0.25">
      <c r="A390" s="1"/>
    </row>
    <row r="391" spans="1:1" x14ac:dyDescent="0.25">
      <c r="A391" s="1"/>
    </row>
    <row r="392" spans="1:1" x14ac:dyDescent="0.25">
      <c r="A392" s="1"/>
    </row>
    <row r="393" spans="1:1" x14ac:dyDescent="0.25">
      <c r="A393" s="1"/>
    </row>
    <row r="394" spans="1:1" x14ac:dyDescent="0.25">
      <c r="A394" s="1"/>
    </row>
    <row r="395" spans="1:1" x14ac:dyDescent="0.25">
      <c r="A395" s="1"/>
    </row>
    <row r="396" spans="1:1" x14ac:dyDescent="0.25">
      <c r="A396" s="1"/>
    </row>
    <row r="397" spans="1:1" x14ac:dyDescent="0.25">
      <c r="A397" s="1"/>
    </row>
    <row r="398" spans="1:1" x14ac:dyDescent="0.25">
      <c r="A398" s="1"/>
    </row>
    <row r="399" spans="1:1" x14ac:dyDescent="0.25">
      <c r="A399" s="1"/>
    </row>
    <row r="400" spans="1:1" x14ac:dyDescent="0.25">
      <c r="A400" s="1"/>
    </row>
    <row r="401" spans="1:1" x14ac:dyDescent="0.25">
      <c r="A401" s="1"/>
    </row>
    <row r="402" spans="1:1" x14ac:dyDescent="0.25">
      <c r="A402" s="1"/>
    </row>
    <row r="403" spans="1:1" x14ac:dyDescent="0.25">
      <c r="A403" s="1"/>
    </row>
    <row r="404" spans="1:1" x14ac:dyDescent="0.25">
      <c r="A404" s="1"/>
    </row>
    <row r="405" spans="1:1" x14ac:dyDescent="0.25">
      <c r="A405" s="1"/>
    </row>
    <row r="406" spans="1:1" x14ac:dyDescent="0.25">
      <c r="A406" s="1"/>
    </row>
    <row r="407" spans="1:1" x14ac:dyDescent="0.25">
      <c r="A407" s="1"/>
    </row>
    <row r="408" spans="1:1" x14ac:dyDescent="0.25">
      <c r="A408" s="1"/>
    </row>
    <row r="409" spans="1:1" x14ac:dyDescent="0.25">
      <c r="A409" s="1"/>
    </row>
    <row r="410" spans="1:1" x14ac:dyDescent="0.25">
      <c r="A410" s="1"/>
    </row>
    <row r="411" spans="1:1" x14ac:dyDescent="0.25">
      <c r="A411" s="1"/>
    </row>
    <row r="412" spans="1:1" x14ac:dyDescent="0.25">
      <c r="A412" s="1"/>
    </row>
    <row r="413" spans="1:1" x14ac:dyDescent="0.25">
      <c r="A413" s="1"/>
    </row>
    <row r="414" spans="1:1" x14ac:dyDescent="0.25">
      <c r="A414" s="1"/>
    </row>
    <row r="415" spans="1:1" x14ac:dyDescent="0.25">
      <c r="A415" s="1"/>
    </row>
    <row r="416" spans="1:1" x14ac:dyDescent="0.25">
      <c r="A416" s="1"/>
    </row>
    <row r="417" spans="1:1" x14ac:dyDescent="0.25">
      <c r="A417" s="1"/>
    </row>
    <row r="418" spans="1:1" x14ac:dyDescent="0.25">
      <c r="A418" s="1"/>
    </row>
    <row r="419" spans="1:1" x14ac:dyDescent="0.25">
      <c r="A419" s="1"/>
    </row>
    <row r="420" spans="1:1" x14ac:dyDescent="0.25">
      <c r="A420" s="1"/>
    </row>
    <row r="421" spans="1:1" x14ac:dyDescent="0.25">
      <c r="A421" s="1"/>
    </row>
    <row r="422" spans="1:1" x14ac:dyDescent="0.25">
      <c r="A422" s="1"/>
    </row>
    <row r="423" spans="1:1" x14ac:dyDescent="0.25">
      <c r="A423" s="1"/>
    </row>
    <row r="424" spans="1:1" x14ac:dyDescent="0.25">
      <c r="A424" s="1"/>
    </row>
    <row r="425" spans="1:1" x14ac:dyDescent="0.25">
      <c r="A425" s="1"/>
    </row>
    <row r="426" spans="1:1" x14ac:dyDescent="0.25">
      <c r="A426" s="1"/>
    </row>
    <row r="427" spans="1:1" x14ac:dyDescent="0.25">
      <c r="A427" s="1"/>
    </row>
    <row r="428" spans="1:1" x14ac:dyDescent="0.25">
      <c r="A428" s="1"/>
    </row>
    <row r="429" spans="1:1" x14ac:dyDescent="0.25">
      <c r="A429" s="1"/>
    </row>
    <row r="430" spans="1:1" x14ac:dyDescent="0.25">
      <c r="A430" s="1"/>
    </row>
    <row r="431" spans="1:1" x14ac:dyDescent="0.25">
      <c r="A431" s="1"/>
    </row>
    <row r="432" spans="1:1" x14ac:dyDescent="0.25">
      <c r="A432" s="1"/>
    </row>
    <row r="433" spans="1:1" x14ac:dyDescent="0.25">
      <c r="A433" s="1"/>
    </row>
    <row r="434" spans="1:1" x14ac:dyDescent="0.25">
      <c r="A434" s="1"/>
    </row>
    <row r="435" spans="1:1" x14ac:dyDescent="0.25">
      <c r="A435" s="1"/>
    </row>
    <row r="436" spans="1:1" x14ac:dyDescent="0.25">
      <c r="A436" s="1"/>
    </row>
    <row r="437" spans="1:1" x14ac:dyDescent="0.25">
      <c r="A437" s="1"/>
    </row>
    <row r="438" spans="1:1" x14ac:dyDescent="0.25">
      <c r="A438" s="1"/>
    </row>
    <row r="439" spans="1:1" x14ac:dyDescent="0.25">
      <c r="A439" s="1"/>
    </row>
    <row r="440" spans="1:1" x14ac:dyDescent="0.25">
      <c r="A440" s="1"/>
    </row>
    <row r="441" spans="1:1" x14ac:dyDescent="0.25">
      <c r="A441" s="1"/>
    </row>
    <row r="442" spans="1:1" x14ac:dyDescent="0.25">
      <c r="A442" s="1"/>
    </row>
    <row r="443" spans="1:1" x14ac:dyDescent="0.25">
      <c r="A443" s="1"/>
    </row>
    <row r="444" spans="1:1" x14ac:dyDescent="0.25">
      <c r="A444" s="1"/>
    </row>
    <row r="445" spans="1:1" x14ac:dyDescent="0.25">
      <c r="A445" s="1"/>
    </row>
    <row r="446" spans="1:1" x14ac:dyDescent="0.25">
      <c r="A446" s="1"/>
    </row>
    <row r="447" spans="1:1" x14ac:dyDescent="0.25">
      <c r="A447" s="1"/>
    </row>
    <row r="448" spans="1:1" x14ac:dyDescent="0.25">
      <c r="A448" s="1"/>
    </row>
    <row r="449" spans="1:1" x14ac:dyDescent="0.25">
      <c r="A449" s="1"/>
    </row>
    <row r="450" spans="1:1" x14ac:dyDescent="0.25">
      <c r="A450" s="1"/>
    </row>
    <row r="451" spans="1:1" x14ac:dyDescent="0.25">
      <c r="A451" s="1"/>
    </row>
    <row r="452" spans="1:1" x14ac:dyDescent="0.25">
      <c r="A452" s="1"/>
    </row>
    <row r="453" spans="1:1" x14ac:dyDescent="0.25">
      <c r="A453" s="1"/>
    </row>
    <row r="454" spans="1:1" x14ac:dyDescent="0.25">
      <c r="A454" s="1"/>
    </row>
    <row r="455" spans="1:1" x14ac:dyDescent="0.25">
      <c r="A455" s="1"/>
    </row>
    <row r="456" spans="1:1" x14ac:dyDescent="0.25">
      <c r="A456" s="1"/>
    </row>
    <row r="457" spans="1:1" x14ac:dyDescent="0.25">
      <c r="A457" s="1"/>
    </row>
    <row r="458" spans="1:1" x14ac:dyDescent="0.25">
      <c r="A458" s="1"/>
    </row>
    <row r="459" spans="1:1" x14ac:dyDescent="0.25">
      <c r="A459" s="1"/>
    </row>
    <row r="460" spans="1:1" x14ac:dyDescent="0.25">
      <c r="A460" s="1"/>
    </row>
    <row r="461" spans="1:1" x14ac:dyDescent="0.25">
      <c r="A461" s="1"/>
    </row>
    <row r="462" spans="1:1" x14ac:dyDescent="0.25">
      <c r="A462" s="1"/>
    </row>
    <row r="463" spans="1:1" x14ac:dyDescent="0.25">
      <c r="A463" s="1"/>
    </row>
    <row r="464" spans="1:1" x14ac:dyDescent="0.25">
      <c r="A464" s="1"/>
    </row>
    <row r="465" spans="1:1" x14ac:dyDescent="0.25">
      <c r="A465" s="1"/>
    </row>
    <row r="466" spans="1:1" x14ac:dyDescent="0.25">
      <c r="A466" s="1"/>
    </row>
    <row r="467" spans="1:1" x14ac:dyDescent="0.25">
      <c r="A467" s="1"/>
    </row>
    <row r="468" spans="1:1" x14ac:dyDescent="0.25">
      <c r="A468" s="1"/>
    </row>
    <row r="469" spans="1:1" x14ac:dyDescent="0.25">
      <c r="A469" s="1"/>
    </row>
    <row r="470" spans="1:1" x14ac:dyDescent="0.25">
      <c r="A470" s="1"/>
    </row>
    <row r="471" spans="1:1" x14ac:dyDescent="0.25">
      <c r="A471" s="1"/>
    </row>
    <row r="472" spans="1:1" x14ac:dyDescent="0.25">
      <c r="A472" s="1"/>
    </row>
    <row r="473" spans="1:1" x14ac:dyDescent="0.25">
      <c r="A473" s="1"/>
    </row>
    <row r="474" spans="1:1" x14ac:dyDescent="0.25">
      <c r="A474" s="1"/>
    </row>
    <row r="475" spans="1:1" x14ac:dyDescent="0.25">
      <c r="A475" s="1"/>
    </row>
    <row r="476" spans="1:1" x14ac:dyDescent="0.25">
      <c r="A476" s="1"/>
    </row>
    <row r="477" spans="1:1" x14ac:dyDescent="0.25">
      <c r="A477" s="1"/>
    </row>
    <row r="478" spans="1:1" x14ac:dyDescent="0.25">
      <c r="A478" s="1"/>
    </row>
    <row r="479" spans="1:1" x14ac:dyDescent="0.25">
      <c r="A479" s="1"/>
    </row>
    <row r="480" spans="1:1" x14ac:dyDescent="0.25">
      <c r="A480" s="1"/>
    </row>
    <row r="481" spans="1:1" x14ac:dyDescent="0.25">
      <c r="A481" s="1"/>
    </row>
    <row r="482" spans="1:1" x14ac:dyDescent="0.25">
      <c r="A482" s="1"/>
    </row>
    <row r="483" spans="1:1" x14ac:dyDescent="0.25">
      <c r="A483" s="1"/>
    </row>
    <row r="484" spans="1:1" x14ac:dyDescent="0.25">
      <c r="A484" s="1"/>
    </row>
    <row r="485" spans="1:1" x14ac:dyDescent="0.25">
      <c r="A485" s="1"/>
    </row>
    <row r="486" spans="1:1" x14ac:dyDescent="0.25">
      <c r="A486" s="1"/>
    </row>
    <row r="487" spans="1:1" x14ac:dyDescent="0.25">
      <c r="A487" s="1"/>
    </row>
    <row r="488" spans="1:1" x14ac:dyDescent="0.25">
      <c r="A488" s="1"/>
    </row>
    <row r="489" spans="1:1" x14ac:dyDescent="0.25">
      <c r="A489" s="1"/>
    </row>
    <row r="490" spans="1:1" x14ac:dyDescent="0.25">
      <c r="A490" s="1"/>
    </row>
    <row r="491" spans="1:1" x14ac:dyDescent="0.25">
      <c r="A491" s="1"/>
    </row>
    <row r="492" spans="1:1" x14ac:dyDescent="0.25">
      <c r="A492" s="1"/>
    </row>
    <row r="493" spans="1:1" x14ac:dyDescent="0.25">
      <c r="A493" s="1"/>
    </row>
    <row r="494" spans="1:1" x14ac:dyDescent="0.25">
      <c r="A494" s="1"/>
    </row>
    <row r="495" spans="1:1" x14ac:dyDescent="0.25">
      <c r="A495" s="1"/>
    </row>
    <row r="496" spans="1:1" x14ac:dyDescent="0.25">
      <c r="A496" s="1"/>
    </row>
    <row r="497" spans="1:1" x14ac:dyDescent="0.25">
      <c r="A497" s="1"/>
    </row>
    <row r="498" spans="1:1" x14ac:dyDescent="0.25">
      <c r="A498" s="1"/>
    </row>
    <row r="499" spans="1:1" x14ac:dyDescent="0.25">
      <c r="A499" s="1"/>
    </row>
    <row r="500" spans="1:1" x14ac:dyDescent="0.25">
      <c r="A500" s="1"/>
    </row>
    <row r="501" spans="1:1" x14ac:dyDescent="0.25">
      <c r="A501" s="1"/>
    </row>
    <row r="502" spans="1:1" x14ac:dyDescent="0.25">
      <c r="A502" s="1"/>
    </row>
    <row r="503" spans="1:1" x14ac:dyDescent="0.25">
      <c r="A503" s="1"/>
    </row>
    <row r="504" spans="1:1" x14ac:dyDescent="0.25">
      <c r="A504" s="1"/>
    </row>
    <row r="505" spans="1:1" x14ac:dyDescent="0.25">
      <c r="A505" s="1"/>
    </row>
    <row r="506" spans="1:1" x14ac:dyDescent="0.25">
      <c r="A506" s="1"/>
    </row>
    <row r="507" spans="1:1" x14ac:dyDescent="0.25">
      <c r="A507" s="1"/>
    </row>
    <row r="508" spans="1:1" x14ac:dyDescent="0.25">
      <c r="A508" s="1"/>
    </row>
    <row r="509" spans="1:1" x14ac:dyDescent="0.25">
      <c r="A509" s="1"/>
    </row>
    <row r="510" spans="1:1" x14ac:dyDescent="0.25">
      <c r="A510" s="1"/>
    </row>
    <row r="511" spans="1:1" x14ac:dyDescent="0.25">
      <c r="A511" s="1"/>
    </row>
    <row r="512" spans="1:1" x14ac:dyDescent="0.25">
      <c r="A512" s="1"/>
    </row>
    <row r="513" spans="1:1" x14ac:dyDescent="0.25">
      <c r="A513" s="1"/>
    </row>
    <row r="514" spans="1:1" x14ac:dyDescent="0.25">
      <c r="A514" s="1"/>
    </row>
    <row r="515" spans="1:1" x14ac:dyDescent="0.25">
      <c r="A515" s="1"/>
    </row>
    <row r="516" spans="1:1" x14ac:dyDescent="0.25">
      <c r="A516" s="1"/>
    </row>
    <row r="517" spans="1:1" x14ac:dyDescent="0.25">
      <c r="A517" s="1"/>
    </row>
    <row r="518" spans="1:1" x14ac:dyDescent="0.25">
      <c r="A518" s="1"/>
    </row>
    <row r="519" spans="1:1" x14ac:dyDescent="0.25">
      <c r="A519" s="1"/>
    </row>
    <row r="520" spans="1:1" x14ac:dyDescent="0.25">
      <c r="A520" s="1"/>
    </row>
    <row r="521" spans="1:1" x14ac:dyDescent="0.25">
      <c r="A521" s="1"/>
    </row>
    <row r="522" spans="1:1" x14ac:dyDescent="0.25">
      <c r="A522" s="1"/>
    </row>
    <row r="523" spans="1:1" x14ac:dyDescent="0.25">
      <c r="A523" s="1"/>
    </row>
    <row r="524" spans="1:1" x14ac:dyDescent="0.25">
      <c r="A524" s="1"/>
    </row>
    <row r="525" spans="1:1" x14ac:dyDescent="0.25">
      <c r="A525" s="1"/>
    </row>
    <row r="526" spans="1:1" x14ac:dyDescent="0.25">
      <c r="A526" s="1"/>
    </row>
    <row r="527" spans="1:1" x14ac:dyDescent="0.25">
      <c r="A527" s="1"/>
    </row>
    <row r="528" spans="1:1" x14ac:dyDescent="0.25">
      <c r="A528" s="1"/>
    </row>
    <row r="529" spans="1:1" x14ac:dyDescent="0.25">
      <c r="A529" s="1"/>
    </row>
    <row r="530" spans="1:1" x14ac:dyDescent="0.25">
      <c r="A530" s="1"/>
    </row>
    <row r="531" spans="1:1" x14ac:dyDescent="0.25">
      <c r="A531" s="1"/>
    </row>
    <row r="532" spans="1:1" x14ac:dyDescent="0.25">
      <c r="A532" s="1"/>
    </row>
    <row r="533" spans="1:1" x14ac:dyDescent="0.25">
      <c r="A533" s="1"/>
    </row>
    <row r="534" spans="1:1" x14ac:dyDescent="0.25">
      <c r="A534" s="1"/>
    </row>
    <row r="535" spans="1:1" x14ac:dyDescent="0.25">
      <c r="A535" s="1"/>
    </row>
    <row r="536" spans="1:1" x14ac:dyDescent="0.25">
      <c r="A536" s="1"/>
    </row>
    <row r="537" spans="1:1" x14ac:dyDescent="0.25">
      <c r="A537" s="1"/>
    </row>
    <row r="538" spans="1:1" x14ac:dyDescent="0.25">
      <c r="A538" s="1"/>
    </row>
    <row r="539" spans="1:1" x14ac:dyDescent="0.25">
      <c r="A539" s="1"/>
    </row>
    <row r="540" spans="1:1" x14ac:dyDescent="0.25">
      <c r="A540" s="1"/>
    </row>
    <row r="541" spans="1:1" x14ac:dyDescent="0.25">
      <c r="A541" s="1"/>
    </row>
    <row r="542" spans="1:1" x14ac:dyDescent="0.25">
      <c r="A542" s="1"/>
    </row>
    <row r="543" spans="1:1" x14ac:dyDescent="0.25">
      <c r="A543" s="1"/>
    </row>
    <row r="544" spans="1:1" x14ac:dyDescent="0.25">
      <c r="A544" s="1"/>
    </row>
    <row r="545" spans="1:1" x14ac:dyDescent="0.25">
      <c r="A545" s="1"/>
    </row>
    <row r="546" spans="1:1" x14ac:dyDescent="0.25">
      <c r="A546" s="1"/>
    </row>
    <row r="547" spans="1:1" x14ac:dyDescent="0.25">
      <c r="A547" s="1"/>
    </row>
    <row r="548" spans="1:1" x14ac:dyDescent="0.25">
      <c r="A548" s="1"/>
    </row>
    <row r="549" spans="1:1" x14ac:dyDescent="0.25">
      <c r="A549" s="1"/>
    </row>
    <row r="550" spans="1:1" x14ac:dyDescent="0.25">
      <c r="A550" s="1"/>
    </row>
    <row r="551" spans="1:1" x14ac:dyDescent="0.25">
      <c r="A551" s="1"/>
    </row>
    <row r="552" spans="1:1" x14ac:dyDescent="0.25">
      <c r="A552" s="1"/>
    </row>
    <row r="553" spans="1:1" x14ac:dyDescent="0.25">
      <c r="A553" s="1"/>
    </row>
    <row r="554" spans="1:1" x14ac:dyDescent="0.25">
      <c r="A554" s="1"/>
    </row>
    <row r="555" spans="1:1" x14ac:dyDescent="0.25">
      <c r="A555" s="1"/>
    </row>
    <row r="556" spans="1:1" x14ac:dyDescent="0.25">
      <c r="A556" s="1"/>
    </row>
    <row r="557" spans="1:1" x14ac:dyDescent="0.25">
      <c r="A557" s="1"/>
    </row>
    <row r="558" spans="1:1" x14ac:dyDescent="0.25">
      <c r="A558" s="1"/>
    </row>
    <row r="559" spans="1:1" x14ac:dyDescent="0.25">
      <c r="A559" s="1"/>
    </row>
    <row r="560" spans="1:1" x14ac:dyDescent="0.25">
      <c r="A560" s="1"/>
    </row>
    <row r="561" spans="1:1" x14ac:dyDescent="0.25">
      <c r="A561" s="1"/>
    </row>
  </sheetData>
  <mergeCells count="5">
    <mergeCell ref="B5:N5"/>
    <mergeCell ref="L7:M7"/>
    <mergeCell ref="B16:C16"/>
    <mergeCell ref="C21:D21"/>
    <mergeCell ref="C28:D28"/>
  </mergeCells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CC2EC4-0077-4803-8F3B-2F7B0593729E}">
  <sheetPr codeName="Hoja5">
    <tabColor theme="3" tint="0.39997558519241921"/>
  </sheetPr>
  <dimension ref="A1:Z259"/>
  <sheetViews>
    <sheetView zoomScale="124" zoomScaleNormal="130" workbookViewId="0">
      <pane xSplit="2" ySplit="4" topLeftCell="S5" activePane="bottomRight" state="frozen"/>
      <selection pane="topRight" activeCell="E1" sqref="E1"/>
      <selection pane="bottomLeft" activeCell="A5" sqref="A5"/>
      <selection pane="bottomRight" activeCell="Z12" sqref="Z12"/>
    </sheetView>
  </sheetViews>
  <sheetFormatPr baseColWidth="10" defaultColWidth="8.85546875" defaultRowHeight="15" x14ac:dyDescent="0.25"/>
  <cols>
    <col min="1" max="1" width="4.28515625" bestFit="1" customWidth="1"/>
    <col min="2" max="2" width="13" bestFit="1" customWidth="1"/>
    <col min="3" max="10" width="13.140625" customWidth="1"/>
    <col min="11" max="18" width="12.85546875" bestFit="1" customWidth="1"/>
    <col min="19" max="19" width="14" customWidth="1"/>
    <col min="20" max="20" width="17.5703125" bestFit="1" customWidth="1"/>
    <col min="21" max="21" width="16.28515625" bestFit="1" customWidth="1"/>
    <col min="22" max="22" width="17" bestFit="1" customWidth="1"/>
    <col min="23" max="23" width="10.85546875" bestFit="1" customWidth="1"/>
    <col min="24" max="24" width="17.140625" bestFit="1" customWidth="1"/>
    <col min="25" max="28" width="10.28515625" bestFit="1" customWidth="1"/>
    <col min="29" max="29" width="11.28515625" bestFit="1" customWidth="1"/>
  </cols>
  <sheetData>
    <row r="1" spans="1:26" x14ac:dyDescent="0.25">
      <c r="B1" s="2" t="s">
        <v>39</v>
      </c>
      <c r="C1" s="86">
        <v>46450</v>
      </c>
      <c r="D1" s="86">
        <v>47269</v>
      </c>
      <c r="E1" s="86">
        <v>47997</v>
      </c>
      <c r="F1" s="86">
        <v>50727</v>
      </c>
      <c r="N1" s="88" t="s">
        <v>29</v>
      </c>
      <c r="O1" s="89">
        <f>+O2*C5</f>
        <v>295527.01660370955</v>
      </c>
      <c r="P1" s="89">
        <f>+P2*D5</f>
        <v>147314.83425994316</v>
      </c>
      <c r="Q1" s="89">
        <f>+Q2*E5</f>
        <v>185632.1602109732</v>
      </c>
      <c r="R1" s="89">
        <f>+R2*F5</f>
        <v>93380.639654701226</v>
      </c>
      <c r="T1" s="2" t="s">
        <v>42</v>
      </c>
      <c r="U1" s="91">
        <f>+SUM(O1:R1)</f>
        <v>721854.65072932711</v>
      </c>
    </row>
    <row r="2" spans="1:26" x14ac:dyDescent="0.25">
      <c r="B2" s="2" t="s">
        <v>38</v>
      </c>
      <c r="C2" s="87">
        <v>5.5E-2</v>
      </c>
      <c r="D2" s="87">
        <v>8.5000000000000006E-2</v>
      </c>
      <c r="E2" s="87">
        <v>7.7499999999999999E-2</v>
      </c>
      <c r="F2" s="87">
        <v>8.5000000000000006E-2</v>
      </c>
      <c r="N2" s="88" t="s">
        <v>30</v>
      </c>
      <c r="O2" s="90">
        <v>3300</v>
      </c>
      <c r="P2" s="90">
        <v>1500</v>
      </c>
      <c r="Q2" s="90">
        <v>2000</v>
      </c>
      <c r="R2" s="90">
        <v>1000</v>
      </c>
    </row>
    <row r="3" spans="1:26" x14ac:dyDescent="0.25">
      <c r="C3" s="94" t="s">
        <v>31</v>
      </c>
      <c r="D3" s="95"/>
      <c r="E3" s="95"/>
      <c r="F3" s="95"/>
      <c r="G3" s="97" t="s">
        <v>32</v>
      </c>
      <c r="H3" s="98"/>
      <c r="I3" s="98"/>
      <c r="J3" s="98"/>
      <c r="K3" s="108" t="s">
        <v>37</v>
      </c>
      <c r="L3" s="109"/>
      <c r="M3" s="109"/>
      <c r="N3" s="109"/>
      <c r="O3" s="110" t="s">
        <v>33</v>
      </c>
      <c r="P3" s="110"/>
      <c r="Q3" s="110"/>
      <c r="R3" s="110"/>
    </row>
    <row r="4" spans="1:26" x14ac:dyDescent="0.25">
      <c r="A4" s="2" t="s">
        <v>2</v>
      </c>
      <c r="B4" s="2" t="s">
        <v>0</v>
      </c>
      <c r="C4" s="4" t="s">
        <v>25</v>
      </c>
      <c r="D4" s="4" t="s">
        <v>26</v>
      </c>
      <c r="E4" s="4" t="s">
        <v>21</v>
      </c>
      <c r="F4" s="4" t="s">
        <v>27</v>
      </c>
      <c r="G4" s="3" t="str">
        <f t="shared" ref="G4:R4" si="0">+C4</f>
        <v>BONOM_2027</v>
      </c>
      <c r="H4" s="3" t="str">
        <f t="shared" si="0"/>
        <v>BONOM_2029</v>
      </c>
      <c r="I4" s="3" t="str">
        <f t="shared" si="0"/>
        <v>BONOM_2031</v>
      </c>
      <c r="J4" s="3" t="str">
        <f t="shared" si="0"/>
        <v>BONOM_2038</v>
      </c>
      <c r="K4" s="3" t="str">
        <f t="shared" si="0"/>
        <v>BONOM_2027</v>
      </c>
      <c r="L4" s="3" t="str">
        <f t="shared" si="0"/>
        <v>BONOM_2029</v>
      </c>
      <c r="M4" s="3" t="str">
        <f t="shared" si="0"/>
        <v>BONOM_2031</v>
      </c>
      <c r="N4" s="3" t="str">
        <f t="shared" si="0"/>
        <v>BONOM_2038</v>
      </c>
      <c r="O4" s="3" t="str">
        <f t="shared" si="0"/>
        <v>BONOM_2027</v>
      </c>
      <c r="P4" s="3" t="str">
        <f t="shared" si="0"/>
        <v>BONOM_2029</v>
      </c>
      <c r="Q4" s="3" t="str">
        <f t="shared" si="0"/>
        <v>BONOM_2031</v>
      </c>
      <c r="R4" s="3" t="str">
        <f t="shared" si="0"/>
        <v>BONOM_2038</v>
      </c>
      <c r="S4" s="92" t="s">
        <v>34</v>
      </c>
      <c r="T4" s="25"/>
    </row>
    <row r="5" spans="1:26" ht="15" customHeight="1" x14ac:dyDescent="0.25">
      <c r="A5" s="6">
        <f t="shared" ref="A5:A68" si="1">+A6-1</f>
        <v>0</v>
      </c>
      <c r="B5" s="23">
        <v>45379</v>
      </c>
      <c r="C5" s="26" cm="1">
        <f t="array" ref="C5" xml:space="preserve"> BonoM(100,C$2,C$1 - $B5,Portafolio!C5)</f>
        <v>89.553641395063494</v>
      </c>
      <c r="D5" s="26" cm="1">
        <f t="array" ref="D5" xml:space="preserve"> BonoM(100,D$2,D$1 - $B5,Portafolio!D5)</f>
        <v>98.209889506628784</v>
      </c>
      <c r="E5" s="26" cm="1">
        <f t="array" ref="E5" xml:space="preserve"> BonoM(100,E$2,E$1 - $B5,Portafolio!E5)</f>
        <v>92.816080105486606</v>
      </c>
      <c r="F5" s="26" cm="1">
        <f t="array" ref="F5" xml:space="preserve"> BonoM(100,F$2,F$1 - $B5,Portafolio!F5)</f>
        <v>93.380639654701227</v>
      </c>
      <c r="G5" s="5">
        <f xml:space="preserve"> C5/C6 - 1</f>
        <v>-8.1186756973297136E-3</v>
      </c>
      <c r="H5" s="5">
        <f t="shared" ref="H5:J5" si="2" xml:space="preserve"> D5/D6 - 1</f>
        <v>-1.4240455825010101E-2</v>
      </c>
      <c r="I5" s="5">
        <f t="shared" si="2"/>
        <v>-1.8060264465159737E-2</v>
      </c>
      <c r="J5" s="5">
        <f t="shared" si="2"/>
        <v>-2.6792782280400829E-2</v>
      </c>
      <c r="K5" s="10">
        <f xml:space="preserve"> C$5 * (1 + G5)</f>
        <v>88.826584423062016</v>
      </c>
      <c r="L5" s="10">
        <f t="shared" ref="L5:N5" si="3" xml:space="preserve"> D$5 * (1 + H5)</f>
        <v>96.811335913530513</v>
      </c>
      <c r="M5" s="10">
        <f t="shared" si="3"/>
        <v>91.13979715216206</v>
      </c>
      <c r="N5" s="10">
        <f t="shared" si="3"/>
        <v>90.878712507228258</v>
      </c>
      <c r="O5" s="11">
        <f xml:space="preserve"> (C$5 - K5) * O$2</f>
        <v>2399.2880076048764</v>
      </c>
      <c r="P5" s="11">
        <f t="shared" ref="P5:R5" si="4" xml:space="preserve"> (D$5 - L5) * P$2</f>
        <v>2097.8303896474058</v>
      </c>
      <c r="Q5" s="11">
        <f t="shared" si="4"/>
        <v>3352.5659066490903</v>
      </c>
      <c r="R5" s="11">
        <f t="shared" si="4"/>
        <v>2501.9271474729694</v>
      </c>
      <c r="S5" s="27">
        <f xml:space="preserve"> SUM(O5:R5)</f>
        <v>10351.611451374341</v>
      </c>
      <c r="T5" s="111" t="s">
        <v>35</v>
      </c>
      <c r="U5" s="111"/>
      <c r="V5" s="111"/>
      <c r="W5" s="111"/>
      <c r="X5" s="111"/>
      <c r="Z5" s="93"/>
    </row>
    <row r="6" spans="1:26" x14ac:dyDescent="0.25">
      <c r="A6" s="6">
        <f t="shared" si="1"/>
        <v>1</v>
      </c>
      <c r="B6" s="24">
        <v>45378</v>
      </c>
      <c r="C6" s="32" cm="1">
        <f t="array" ref="C6" xml:space="preserve"> BonoM(100,C$2,C$1 - $B6,Portafolio!C6)</f>
        <v>90.286649421515278</v>
      </c>
      <c r="D6" s="32" cm="1">
        <f t="array" ref="D6" xml:space="preserve"> BonoM(100,D$2,D$1 - $B6,Portafolio!D6)</f>
        <v>99.628646851016214</v>
      </c>
      <c r="E6" s="32" cm="1">
        <f t="array" ref="E6" xml:space="preserve"> BonoM(100,E$2,E$1 - $B6,Portafolio!E6)</f>
        <v>94.523193986983117</v>
      </c>
      <c r="F6" s="32" cm="1">
        <f t="array" ref="F6" xml:space="preserve"> BonoM(100,F$2,F$1 - $B6,Portafolio!F6)</f>
        <v>95.951445852928401</v>
      </c>
      <c r="G6" s="5">
        <f t="shared" ref="G6:G69" si="5" xml:space="preserve"> C6/C7 - 1</f>
        <v>1.8435844368180909E-3</v>
      </c>
      <c r="H6" s="5">
        <f t="shared" ref="H6:H69" si="6" xml:space="preserve"> D6/D7 - 1</f>
        <v>1.8652841529640529E-3</v>
      </c>
      <c r="I6" s="5">
        <f t="shared" ref="I6:I69" si="7" xml:space="preserve"> E6/E7 - 1</f>
        <v>1.2997343897012126E-3</v>
      </c>
      <c r="J6" s="5">
        <f t="shared" ref="J6:J69" si="8" xml:space="preserve"> F6/F7 - 1</f>
        <v>3.4126762077641981E-3</v>
      </c>
      <c r="K6" s="10">
        <f t="shared" ref="K6:K69" si="9" xml:space="preserve"> C$5 * (1 + G6)</f>
        <v>89.718741094599821</v>
      </c>
      <c r="L6" s="10">
        <f t="shared" ref="L6:L69" si="10" xml:space="preserve"> D$5 * (1 + H6)</f>
        <v>98.393078857189849</v>
      </c>
      <c r="M6" s="10">
        <f t="shared" ref="M6:M69" si="11" xml:space="preserve"> E$5 * (1 + I6)</f>
        <v>92.936716356716971</v>
      </c>
      <c r="N6" s="10">
        <f t="shared" ref="N6:N69" si="12" xml:space="preserve"> F$5 * (1 + J6)</f>
        <v>93.699317541916628</v>
      </c>
      <c r="O6" s="11">
        <f t="shared" ref="O6:O69" si="13" xml:space="preserve"> (C$5 - K6) * O$2</f>
        <v>-544.82900846987968</v>
      </c>
      <c r="P6" s="11">
        <f t="shared" ref="P6:P69" si="14" xml:space="preserve"> (D$5 - L6) * P$2</f>
        <v>-274.78402584159767</v>
      </c>
      <c r="Q6" s="11">
        <f t="shared" ref="Q6:Q69" si="15" xml:space="preserve"> (E$5 - M6) * Q$2</f>
        <v>-241.27250246073118</v>
      </c>
      <c r="R6" s="11">
        <f t="shared" ref="R6:R69" si="16" xml:space="preserve"> (F$5 - N6) * R$2</f>
        <v>-318.6778872154008</v>
      </c>
      <c r="S6" s="27">
        <f t="shared" ref="S6:S69" si="17" xml:space="preserve"> SUM(O6:R6)</f>
        <v>-1379.5634239876094</v>
      </c>
    </row>
    <row r="7" spans="1:26" x14ac:dyDescent="0.25">
      <c r="A7" s="6">
        <f t="shared" si="1"/>
        <v>2</v>
      </c>
      <c r="B7" s="24">
        <v>45377</v>
      </c>
      <c r="C7" s="32" cm="1">
        <f t="array" ref="C7" xml:space="preserve"> BonoM(100,C$2,C$1 - $B7,Portafolio!C7)</f>
        <v>90.120504661682801</v>
      </c>
      <c r="D7" s="32" cm="1">
        <f t="array" ref="D7" xml:space="preserve"> BonoM(100,D$2,D$1 - $B7,Portafolio!D7)</f>
        <v>99.443157105945787</v>
      </c>
      <c r="E7" s="32" cm="1">
        <f t="array" ref="E7" xml:space="preserve"> BonoM(100,E$2,E$1 - $B7,Portafolio!E7)</f>
        <v>94.40049841279108</v>
      </c>
      <c r="F7" s="32" cm="1">
        <f t="array" ref="F7" xml:space="preserve"> BonoM(100,F$2,F$1 - $B7,Portafolio!F7)</f>
        <v>95.6251083208968</v>
      </c>
      <c r="G7" s="5">
        <f t="shared" si="5"/>
        <v>1.3164720830352028E-3</v>
      </c>
      <c r="H7" s="5">
        <f t="shared" si="6"/>
        <v>1.8666994064890918E-3</v>
      </c>
      <c r="I7" s="5">
        <f t="shared" si="7"/>
        <v>2.3498914075748001E-3</v>
      </c>
      <c r="J7" s="5">
        <f t="shared" si="8"/>
        <v>4.1996603652230124E-3</v>
      </c>
      <c r="K7" s="10">
        <f t="shared" si="9"/>
        <v>89.671536263894239</v>
      </c>
      <c r="L7" s="10">
        <f t="shared" si="10"/>
        <v>98.393217849082163</v>
      </c>
      <c r="M7" s="10">
        <f t="shared" si="11"/>
        <v>93.034187814611258</v>
      </c>
      <c r="N7" s="10">
        <f t="shared" si="12"/>
        <v>93.772806625938244</v>
      </c>
      <c r="O7" s="11">
        <f t="shared" si="13"/>
        <v>-389.05306714146093</v>
      </c>
      <c r="P7" s="11">
        <f t="shared" si="14"/>
        <v>-274.99251368006838</v>
      </c>
      <c r="Q7" s="11">
        <f t="shared" si="15"/>
        <v>-436.21541824930432</v>
      </c>
      <c r="R7" s="11">
        <f t="shared" si="16"/>
        <v>-392.16697123701749</v>
      </c>
      <c r="S7" s="27">
        <f t="shared" si="17"/>
        <v>-1492.427970307851</v>
      </c>
      <c r="V7" s="2" t="s">
        <v>3</v>
      </c>
      <c r="W7" s="2" t="s">
        <v>4</v>
      </c>
      <c r="X7" s="30"/>
    </row>
    <row r="8" spans="1:26" ht="18.75" x14ac:dyDescent="0.25">
      <c r="A8" s="6">
        <f t="shared" si="1"/>
        <v>3</v>
      </c>
      <c r="B8" s="24">
        <v>45376</v>
      </c>
      <c r="C8" s="32" cm="1">
        <f t="array" ref="C8" xml:space="preserve"> BonoM(100,C$2,C$1 - $B8,Portafolio!C8)</f>
        <v>90.002019515573764</v>
      </c>
      <c r="D8" s="32" cm="1">
        <f t="array" ref="D8" xml:space="preserve"> BonoM(100,D$2,D$1 - $B8,Portafolio!D8)</f>
        <v>99.257872494271368</v>
      </c>
      <c r="E8" s="32" cm="1">
        <f t="array" ref="E8" xml:space="preserve"> BonoM(100,E$2,E$1 - $B8,Portafolio!E8)</f>
        <v>94.17918754919684</v>
      </c>
      <c r="F8" s="32" cm="1">
        <f t="array" ref="F8" xml:space="preserve"> BonoM(100,F$2,F$1 - $B8,Portafolio!F8)</f>
        <v>95.22519484433839</v>
      </c>
      <c r="G8" s="5">
        <f t="shared" si="5"/>
        <v>7.9356974945015146E-3</v>
      </c>
      <c r="H8" s="5">
        <f t="shared" si="6"/>
        <v>9.7474118044420521E-3</v>
      </c>
      <c r="I8" s="5">
        <f t="shared" si="7"/>
        <v>1.304337348156559E-2</v>
      </c>
      <c r="J8" s="5">
        <f t="shared" si="8"/>
        <v>2.204836267069421E-2</v>
      </c>
      <c r="K8" s="10">
        <f t="shared" si="9"/>
        <v>90.264312002705793</v>
      </c>
      <c r="L8" s="10">
        <f t="shared" si="10"/>
        <v>99.167181742918643</v>
      </c>
      <c r="M8" s="10">
        <f t="shared" si="11"/>
        <v>94.026714903397377</v>
      </c>
      <c r="N8" s="10">
        <f t="shared" si="12"/>
        <v>95.439529864229485</v>
      </c>
      <c r="O8" s="11">
        <f t="shared" si="13"/>
        <v>-2345.2130052195885</v>
      </c>
      <c r="P8" s="11">
        <f t="shared" si="14"/>
        <v>-1435.9383544347893</v>
      </c>
      <c r="Q8" s="11">
        <f t="shared" si="15"/>
        <v>-2421.2695958215418</v>
      </c>
      <c r="R8" s="11">
        <f t="shared" si="16"/>
        <v>-2058.8902095282579</v>
      </c>
      <c r="S8" s="27">
        <f t="shared" si="17"/>
        <v>-8261.3111650041774</v>
      </c>
      <c r="U8" s="82" t="s">
        <v>5</v>
      </c>
      <c r="V8" s="29">
        <f xml:space="preserve"> PERCENTILE(S5:S257, 0.01)</f>
        <v>-14894.895550827054</v>
      </c>
      <c r="W8" s="7">
        <f xml:space="preserve"> V8 / U1</f>
        <v>-2.0634203209438314E-2</v>
      </c>
    </row>
    <row r="9" spans="1:26" x14ac:dyDescent="0.25">
      <c r="A9" s="6">
        <f t="shared" si="1"/>
        <v>4</v>
      </c>
      <c r="B9" s="24">
        <v>45374</v>
      </c>
      <c r="C9" s="32" cm="1">
        <f t="array" ref="C9" xml:space="preserve"> BonoM(100,C$2,C$1 - $B9,Portafolio!C9)</f>
        <v>89.293413993867148</v>
      </c>
      <c r="D9" s="32" cm="1">
        <f t="array" ref="D9" xml:space="preserve"> BonoM(100,D$2,D$1 - $B9,Portafolio!D9)</f>
        <v>98.299704791414371</v>
      </c>
      <c r="E9" s="32" cm="1">
        <f t="array" ref="E9" xml:space="preserve"> BonoM(100,E$2,E$1 - $B9,Portafolio!E9)</f>
        <v>92.96658959973999</v>
      </c>
      <c r="F9" s="32" cm="1">
        <f t="array" ref="F9" xml:space="preserve"> BonoM(100,F$2,F$1 - $B9,Portafolio!F9)</f>
        <v>93.170928424078994</v>
      </c>
      <c r="G9" s="5">
        <f t="shared" si="5"/>
        <v>-7.8927915967323958E-3</v>
      </c>
      <c r="H9" s="5">
        <f t="shared" si="6"/>
        <v>-1.3300521514298502E-2</v>
      </c>
      <c r="I9" s="5">
        <f t="shared" si="7"/>
        <v>-1.8329744545150795E-2</v>
      </c>
      <c r="J9" s="5">
        <f t="shared" si="8"/>
        <v>-2.5441582027821541E-2</v>
      </c>
      <c r="K9" s="10">
        <f t="shared" si="9"/>
        <v>88.846813166803756</v>
      </c>
      <c r="L9" s="10">
        <f t="shared" si="10"/>
        <v>96.903646758328989</v>
      </c>
      <c r="M9" s="10">
        <f t="shared" si="11"/>
        <v>91.114785067470777</v>
      </c>
      <c r="N9" s="10">
        <f t="shared" si="12"/>
        <v>91.004888451115704</v>
      </c>
      <c r="O9" s="11">
        <f t="shared" si="13"/>
        <v>2332.5331532571354</v>
      </c>
      <c r="P9" s="11">
        <f t="shared" si="14"/>
        <v>1959.3641224496921</v>
      </c>
      <c r="Q9" s="11">
        <f t="shared" si="15"/>
        <v>3402.5900760316572</v>
      </c>
      <c r="R9" s="11">
        <f t="shared" si="16"/>
        <v>2375.7512035855229</v>
      </c>
      <c r="S9" s="27">
        <f t="shared" si="17"/>
        <v>10070.238555324007</v>
      </c>
      <c r="U9" s="2" t="s">
        <v>36</v>
      </c>
      <c r="V9" s="29">
        <f xml:space="preserve"> AVERAGEIF(S5:S257, "&lt;" &amp; V8, S5:S257)</f>
        <v>-18832.988753641621</v>
      </c>
      <c r="W9" s="7">
        <f xml:space="preserve"> V9 / U1</f>
        <v>-2.6089724205023375E-2</v>
      </c>
    </row>
    <row r="10" spans="1:26" x14ac:dyDescent="0.25">
      <c r="A10" s="6">
        <f t="shared" si="1"/>
        <v>5</v>
      </c>
      <c r="B10" s="24">
        <v>45373</v>
      </c>
      <c r="C10" s="32" cm="1">
        <f t="array" ref="C10" xml:space="preserve"> BonoM(100,C$2,C$1 - $B10,Portafolio!C10)</f>
        <v>90.003795192234435</v>
      </c>
      <c r="D10" s="32" cm="1">
        <f t="array" ref="D10" xml:space="preserve"> BonoM(100,D$2,D$1 - $B10,Portafolio!D10)</f>
        <v>99.624766136773488</v>
      </c>
      <c r="E10" s="32" cm="1">
        <f t="array" ref="E10" xml:space="preserve"> BonoM(100,E$2,E$1 - $B10,Portafolio!E10)</f>
        <v>94.702461527332972</v>
      </c>
      <c r="F10" s="32" cm="1">
        <f t="array" ref="F10" xml:space="preserve"> BonoM(100,F$2,F$1 - $B10,Portafolio!F10)</f>
        <v>95.603225733707447</v>
      </c>
      <c r="G10" s="5">
        <f t="shared" si="5"/>
        <v>-2.660757790816537E-3</v>
      </c>
      <c r="H10" s="5">
        <f t="shared" si="6"/>
        <v>-1.7733751456383562E-3</v>
      </c>
      <c r="I10" s="5">
        <f t="shared" si="7"/>
        <v>-2.3769619368950723E-3</v>
      </c>
      <c r="J10" s="5">
        <f t="shared" si="8"/>
        <v>-5.2650031971074318E-3</v>
      </c>
      <c r="K10" s="10">
        <f t="shared" si="9"/>
        <v>89.315360846025584</v>
      </c>
      <c r="L10" s="10">
        <f t="shared" si="10"/>
        <v>98.035726529521838</v>
      </c>
      <c r="M10" s="10">
        <f t="shared" si="11"/>
        <v>92.595459815944054</v>
      </c>
      <c r="N10" s="10">
        <f t="shared" si="12"/>
        <v>92.888990288371289</v>
      </c>
      <c r="O10" s="11">
        <f t="shared" si="13"/>
        <v>786.32581182510251</v>
      </c>
      <c r="P10" s="11">
        <f t="shared" si="14"/>
        <v>261.24446566041826</v>
      </c>
      <c r="Q10" s="11">
        <f t="shared" si="15"/>
        <v>441.24057908510395</v>
      </c>
      <c r="R10" s="11">
        <f t="shared" si="16"/>
        <v>491.64936632993772</v>
      </c>
      <c r="S10" s="27">
        <f t="shared" si="17"/>
        <v>1980.4602229005625</v>
      </c>
    </row>
    <row r="11" spans="1:26" x14ac:dyDescent="0.25">
      <c r="A11" s="6">
        <f t="shared" si="1"/>
        <v>6</v>
      </c>
      <c r="B11" s="24">
        <v>45372</v>
      </c>
      <c r="C11" s="32" cm="1">
        <f t="array" ref="C11" xml:space="preserve"> BonoM(100,C$2,C$1 - $B11,Portafolio!C11)</f>
        <v>90.243912385187087</v>
      </c>
      <c r="D11" s="32" cm="1">
        <f t="array" ref="D11" xml:space="preserve"> BonoM(100,D$2,D$1 - $B11,Portafolio!D11)</f>
        <v>99.801752083409369</v>
      </c>
      <c r="E11" s="32" cm="1">
        <f t="array" ref="E11" xml:space="preserve"> BonoM(100,E$2,E$1 - $B11,Portafolio!E11)</f>
        <v>94.928102012558512</v>
      </c>
      <c r="F11" s="32" cm="1">
        <f t="array" ref="F11" xml:space="preserve"> BonoM(100,F$2,F$1 - $B11,Portafolio!F11)</f>
        <v>96.109241195875299</v>
      </c>
      <c r="G11" s="5">
        <f t="shared" si="5"/>
        <v>6.1219653828166187E-3</v>
      </c>
      <c r="H11" s="5">
        <f t="shared" si="6"/>
        <v>4.7150854449262702E-3</v>
      </c>
      <c r="I11" s="5">
        <f t="shared" si="7"/>
        <v>6.0517162288851178E-3</v>
      </c>
      <c r="J11" s="5">
        <f t="shared" si="8"/>
        <v>5.8040808736659066E-3</v>
      </c>
      <c r="K11" s="10">
        <f t="shared" si="9"/>
        <v>90.101885687589245</v>
      </c>
      <c r="L11" s="10">
        <f t="shared" si="10"/>
        <v>98.672957527189311</v>
      </c>
      <c r="M11" s="10">
        <f t="shared" si="11"/>
        <v>93.377776683762477</v>
      </c>
      <c r="N11" s="10">
        <f t="shared" si="12"/>
        <v>93.922628439291771</v>
      </c>
      <c r="O11" s="11">
        <f t="shared" si="13"/>
        <v>-1809.2061653349801</v>
      </c>
      <c r="P11" s="11">
        <f t="shared" si="14"/>
        <v>-694.60203084079103</v>
      </c>
      <c r="Q11" s="11">
        <f t="shared" si="15"/>
        <v>-1123.3931565517423</v>
      </c>
      <c r="R11" s="11">
        <f t="shared" si="16"/>
        <v>-541.98878459054356</v>
      </c>
      <c r="S11" s="27">
        <f t="shared" si="17"/>
        <v>-4169.1901373180572</v>
      </c>
    </row>
    <row r="12" spans="1:26" x14ac:dyDescent="0.25">
      <c r="A12" s="6">
        <f t="shared" si="1"/>
        <v>7</v>
      </c>
      <c r="B12" s="24">
        <v>45371</v>
      </c>
      <c r="C12" s="32" cm="1">
        <f t="array" ref="C12" xml:space="preserve"> BonoM(100,C$2,C$1 - $B12,Portafolio!C12)</f>
        <v>89.694803900688555</v>
      </c>
      <c r="D12" s="32" cm="1">
        <f t="array" ref="D12" xml:space="preserve"> BonoM(100,D$2,D$1 - $B12,Portafolio!D12)</f>
        <v>99.333386677690157</v>
      </c>
      <c r="E12" s="32" cm="1">
        <f t="array" ref="E12" xml:space="preserve"> BonoM(100,E$2,E$1 - $B12,Portafolio!E12)</f>
        <v>94.35707974177501</v>
      </c>
      <c r="F12" s="32" cm="1">
        <f t="array" ref="F12" xml:space="preserve"> BonoM(100,F$2,F$1 - $B12,Portafolio!F12)</f>
        <v>95.554634370137435</v>
      </c>
      <c r="G12" s="5">
        <f t="shared" si="5"/>
        <v>2.608554680916253E-4</v>
      </c>
      <c r="H12" s="5">
        <f t="shared" si="6"/>
        <v>6.5654961401584444E-4</v>
      </c>
      <c r="I12" s="5">
        <f t="shared" si="7"/>
        <v>1.3034540917331583E-3</v>
      </c>
      <c r="J12" s="5">
        <f t="shared" si="8"/>
        <v>1.835122267756395E-3</v>
      </c>
      <c r="K12" s="10">
        <f t="shared" si="9"/>
        <v>89.577001952108915</v>
      </c>
      <c r="L12" s="10">
        <f t="shared" si="10"/>
        <v>98.274369171676895</v>
      </c>
      <c r="M12" s="10">
        <f t="shared" si="11"/>
        <v>92.937061604878735</v>
      </c>
      <c r="N12" s="10">
        <f t="shared" si="12"/>
        <v>93.5520045459089</v>
      </c>
      <c r="O12" s="11">
        <f t="shared" si="13"/>
        <v>-77.089838249891329</v>
      </c>
      <c r="P12" s="11">
        <f t="shared" si="14"/>
        <v>-96.719497572166802</v>
      </c>
      <c r="Q12" s="11">
        <f t="shared" si="15"/>
        <v>-241.96299878425975</v>
      </c>
      <c r="R12" s="11">
        <f t="shared" si="16"/>
        <v>-171.36489120767351</v>
      </c>
      <c r="S12" s="27">
        <f t="shared" si="17"/>
        <v>-587.13722581399134</v>
      </c>
    </row>
    <row r="13" spans="1:26" x14ac:dyDescent="0.25">
      <c r="A13" s="6">
        <f t="shared" si="1"/>
        <v>8</v>
      </c>
      <c r="B13" s="24">
        <v>45370</v>
      </c>
      <c r="C13" s="32" cm="1">
        <f t="array" ref="C13" xml:space="preserve"> BonoM(100,C$2,C$1 - $B13,Portafolio!C13)</f>
        <v>89.671412622374518</v>
      </c>
      <c r="D13" s="32" cm="1">
        <f t="array" ref="D13" xml:space="preserve"> BonoM(100,D$2,D$1 - $B13,Portafolio!D13)</f>
        <v>99.268212171305038</v>
      </c>
      <c r="E13" s="32" cm="1">
        <f t="array" ref="E13" xml:space="preserve"> BonoM(100,E$2,E$1 - $B13,Portafolio!E13)</f>
        <v>94.234249723391656</v>
      </c>
      <c r="F13" s="32" cm="1">
        <f t="array" ref="F13" xml:space="preserve"> BonoM(100,F$2,F$1 - $B13,Portafolio!F13)</f>
        <v>95.379601140195348</v>
      </c>
      <c r="G13" s="5">
        <f t="shared" si="5"/>
        <v>9.8363258599252212E-3</v>
      </c>
      <c r="H13" s="5">
        <f t="shared" si="6"/>
        <v>1.5412856983582524E-2</v>
      </c>
      <c r="I13" s="5">
        <f t="shared" si="7"/>
        <v>1.9740716372963707E-2</v>
      </c>
      <c r="J13" s="5">
        <f t="shared" si="8"/>
        <v>2.8637086868122053E-2</v>
      </c>
      <c r="K13" s="10">
        <f t="shared" si="9"/>
        <v>90.434520193768222</v>
      </c>
      <c r="L13" s="10">
        <f t="shared" si="10"/>
        <v>99.723584487967898</v>
      </c>
      <c r="M13" s="10">
        <f t="shared" si="11"/>
        <v>94.648336017699293</v>
      </c>
      <c r="N13" s="10">
        <f t="shared" si="12"/>
        <v>96.054789144293707</v>
      </c>
      <c r="O13" s="11">
        <f t="shared" si="13"/>
        <v>-2906.9000357256032</v>
      </c>
      <c r="P13" s="11">
        <f t="shared" si="14"/>
        <v>-2270.5424720086712</v>
      </c>
      <c r="Q13" s="11">
        <f t="shared" si="15"/>
        <v>-3664.5118244253754</v>
      </c>
      <c r="R13" s="11">
        <f t="shared" si="16"/>
        <v>-2674.1494895924802</v>
      </c>
      <c r="S13" s="27">
        <f t="shared" si="17"/>
        <v>-11516.103821752131</v>
      </c>
    </row>
    <row r="14" spans="1:26" x14ac:dyDescent="0.25">
      <c r="A14" s="6">
        <f t="shared" si="1"/>
        <v>9</v>
      </c>
      <c r="B14" s="24">
        <v>45367</v>
      </c>
      <c r="C14" s="32" cm="1">
        <f t="array" ref="C14" xml:space="preserve"> BonoM(100,C$2,C$1 - $B14,Portafolio!C14)</f>
        <v>88.797966884400708</v>
      </c>
      <c r="D14" s="32" cm="1">
        <f t="array" ref="D14" xml:space="preserve"> BonoM(100,D$2,D$1 - $B14,Portafolio!D14)</f>
        <v>97.761429243858814</v>
      </c>
      <c r="E14" s="32" cm="1">
        <f t="array" ref="E14" xml:space="preserve"> BonoM(100,E$2,E$1 - $B14,Portafolio!E14)</f>
        <v>92.410009927392252</v>
      </c>
      <c r="F14" s="32" cm="1">
        <f t="array" ref="F14" xml:space="preserve"> BonoM(100,F$2,F$1 - $B14,Portafolio!F14)</f>
        <v>92.724248773293183</v>
      </c>
      <c r="G14" s="5">
        <f t="shared" si="5"/>
        <v>-8.7068522075748334E-3</v>
      </c>
      <c r="H14" s="5">
        <f t="shared" si="6"/>
        <v>-1.4587787759502757E-2</v>
      </c>
      <c r="I14" s="5">
        <f t="shared" si="7"/>
        <v>-1.8887209530605631E-2</v>
      </c>
      <c r="J14" s="5">
        <f t="shared" si="8"/>
        <v>-2.6848794847082358E-2</v>
      </c>
      <c r="K14" s="10">
        <f t="shared" si="9"/>
        <v>88.773911074786525</v>
      </c>
      <c r="L14" s="10">
        <f t="shared" si="10"/>
        <v>96.777224482621861</v>
      </c>
      <c r="M14" s="10">
        <f t="shared" si="11"/>
        <v>91.063043352724804</v>
      </c>
      <c r="N14" s="10">
        <f t="shared" si="12"/>
        <v>90.873482017922825</v>
      </c>
      <c r="O14" s="11">
        <f t="shared" si="13"/>
        <v>2573.1100569139953</v>
      </c>
      <c r="P14" s="11">
        <f t="shared" si="14"/>
        <v>2148.997536010384</v>
      </c>
      <c r="Q14" s="11">
        <f t="shared" si="15"/>
        <v>3506.0735055236023</v>
      </c>
      <c r="R14" s="11">
        <f t="shared" si="16"/>
        <v>2507.1576367784019</v>
      </c>
      <c r="S14" s="27">
        <f t="shared" si="17"/>
        <v>10735.338735226384</v>
      </c>
    </row>
    <row r="15" spans="1:26" x14ac:dyDescent="0.25">
      <c r="A15" s="6">
        <f t="shared" si="1"/>
        <v>10</v>
      </c>
      <c r="B15" s="24">
        <v>45366</v>
      </c>
      <c r="C15" s="32" cm="1">
        <f t="array" ref="C15" xml:space="preserve"> BonoM(100,C$2,C$1 - $B15,Portafolio!C15)</f>
        <v>89.577908494727964</v>
      </c>
      <c r="D15" s="32" cm="1">
        <f t="array" ref="D15" xml:space="preserve"> BonoM(100,D$2,D$1 - $B15,Portafolio!D15)</f>
        <v>99.208664180832585</v>
      </c>
      <c r="E15" s="32" cm="1">
        <f t="array" ref="E15" xml:space="preserve"> BonoM(100,E$2,E$1 - $B15,Portafolio!E15)</f>
        <v>94.188976868990238</v>
      </c>
      <c r="F15" s="32" cm="1">
        <f t="array" ref="F15" xml:space="preserve"> BonoM(100,F$2,F$1 - $B15,Portafolio!F15)</f>
        <v>95.282468214919191</v>
      </c>
      <c r="G15" s="5">
        <f t="shared" si="5"/>
        <v>-1.8758945668392313E-3</v>
      </c>
      <c r="H15" s="5">
        <f t="shared" si="6"/>
        <v>-3.402383894828942E-3</v>
      </c>
      <c r="I15" s="5">
        <f t="shared" si="7"/>
        <v>-2.9076133609075017E-3</v>
      </c>
      <c r="J15" s="5">
        <f t="shared" si="8"/>
        <v>-8.4248939511487597E-3</v>
      </c>
      <c r="K15" s="10">
        <f t="shared" si="9"/>
        <v>89.385648205729822</v>
      </c>
      <c r="L15" s="10">
        <f t="shared" si="10"/>
        <v>97.875741760258506</v>
      </c>
      <c r="M15" s="10">
        <f t="shared" si="11"/>
        <v>92.546206830864833</v>
      </c>
      <c r="N15" s="10">
        <f t="shared" si="12"/>
        <v>92.593917668519936</v>
      </c>
      <c r="O15" s="11">
        <f t="shared" si="13"/>
        <v>554.3775248011159</v>
      </c>
      <c r="P15" s="11">
        <f t="shared" si="14"/>
        <v>501.221619555416</v>
      </c>
      <c r="Q15" s="11">
        <f t="shared" si="15"/>
        <v>539.74654924354581</v>
      </c>
      <c r="R15" s="11">
        <f t="shared" si="16"/>
        <v>786.7219861812913</v>
      </c>
      <c r="S15" s="27">
        <f t="shared" si="17"/>
        <v>2382.067679781369</v>
      </c>
    </row>
    <row r="16" spans="1:26" x14ac:dyDescent="0.25">
      <c r="A16" s="6">
        <f t="shared" si="1"/>
        <v>11</v>
      </c>
      <c r="B16" s="24">
        <v>45365</v>
      </c>
      <c r="C16" s="32" cm="1">
        <f t="array" ref="C16" xml:space="preserve"> BonoM(100,C$2,C$1 - $B16,Portafolio!C16)</f>
        <v>89.746263021924918</v>
      </c>
      <c r="D16" s="32" cm="1">
        <f t="array" ref="D16" xml:space="preserve"> BonoM(100,D$2,D$1 - $B16,Portafolio!D16)</f>
        <v>99.547362523856449</v>
      </c>
      <c r="E16" s="32" cm="1">
        <f t="array" ref="E16" xml:space="preserve"> BonoM(100,E$2,E$1 - $B16,Portafolio!E16)</f>
        <v>94.463640612555267</v>
      </c>
      <c r="F16" s="32" cm="1">
        <f t="array" ref="F16" xml:space="preserve"> BonoM(100,F$2,F$1 - $B16,Portafolio!F16)</f>
        <v>96.092033405914265</v>
      </c>
      <c r="G16" s="5">
        <f t="shared" si="5"/>
        <v>-1.3465164608759128E-3</v>
      </c>
      <c r="H16" s="5">
        <f t="shared" si="6"/>
        <v>-1.3788081949154263E-3</v>
      </c>
      <c r="I16" s="5">
        <f t="shared" si="7"/>
        <v>-3.4402512757639725E-3</v>
      </c>
      <c r="J16" s="5">
        <f t="shared" si="8"/>
        <v>-2.9231954886193012E-3</v>
      </c>
      <c r="K16" s="10">
        <f t="shared" si="9"/>
        <v>89.433055942793658</v>
      </c>
      <c r="L16" s="10">
        <f t="shared" si="10"/>
        <v>98.074476906155311</v>
      </c>
      <c r="M16" s="10">
        <f t="shared" si="11"/>
        <v>92.4967694674923</v>
      </c>
      <c r="N16" s="10">
        <f t="shared" si="12"/>
        <v>93.107669790138218</v>
      </c>
      <c r="O16" s="11">
        <f t="shared" si="13"/>
        <v>397.9319924904587</v>
      </c>
      <c r="P16" s="11">
        <f t="shared" si="14"/>
        <v>203.11890071020855</v>
      </c>
      <c r="Q16" s="11">
        <f t="shared" si="15"/>
        <v>638.62127598861207</v>
      </c>
      <c r="R16" s="11">
        <f t="shared" si="16"/>
        <v>272.96986456300942</v>
      </c>
      <c r="S16" s="27">
        <f t="shared" si="17"/>
        <v>1512.6420337522889</v>
      </c>
    </row>
    <row r="17" spans="1:19" x14ac:dyDescent="0.25">
      <c r="A17" s="6">
        <f t="shared" si="1"/>
        <v>12</v>
      </c>
      <c r="B17" s="24">
        <v>45364</v>
      </c>
      <c r="C17" s="32" cm="1">
        <f t="array" ref="C17" xml:space="preserve"> BonoM(100,C$2,C$1 - $B17,Portafolio!C17)</f>
        <v>89.867270781325971</v>
      </c>
      <c r="D17" s="32" cm="1">
        <f t="array" ref="D17" xml:space="preserve"> BonoM(100,D$2,D$1 - $B17,Portafolio!D17)</f>
        <v>99.684808755076531</v>
      </c>
      <c r="E17" s="32" cm="1">
        <f t="array" ref="E17" xml:space="preserve"> BonoM(100,E$2,E$1 - $B17,Portafolio!E17)</f>
        <v>94.789741140443013</v>
      </c>
      <c r="F17" s="32" cm="1">
        <f t="array" ref="F17" xml:space="preserve"> BonoM(100,F$2,F$1 - $B17,Portafolio!F17)</f>
        <v>96.373752725101596</v>
      </c>
      <c r="G17" s="5">
        <f t="shared" si="5"/>
        <v>1.0616053486849353E-3</v>
      </c>
      <c r="H17" s="5">
        <f t="shared" si="6"/>
        <v>1.8792993134819636E-3</v>
      </c>
      <c r="I17" s="5">
        <f t="shared" si="7"/>
        <v>1.8351080341985071E-3</v>
      </c>
      <c r="J17" s="5">
        <f t="shared" si="8"/>
        <v>1.8432169717983449E-3</v>
      </c>
      <c r="K17" s="10">
        <f t="shared" si="9"/>
        <v>89.648712019762712</v>
      </c>
      <c r="L17" s="10">
        <f t="shared" si="10"/>
        <v>98.394455284555733</v>
      </c>
      <c r="M17" s="10">
        <f t="shared" si="11"/>
        <v>92.986407639790997</v>
      </c>
      <c r="N17" s="10">
        <f t="shared" si="12"/>
        <v>93.552760434550152</v>
      </c>
      <c r="O17" s="11">
        <f t="shared" si="13"/>
        <v>-313.73306150742053</v>
      </c>
      <c r="P17" s="11">
        <f t="shared" si="14"/>
        <v>-276.84866689042309</v>
      </c>
      <c r="Q17" s="11">
        <f t="shared" si="15"/>
        <v>-340.65506860878259</v>
      </c>
      <c r="R17" s="11">
        <f t="shared" si="16"/>
        <v>-172.1207798489246</v>
      </c>
      <c r="S17" s="27">
        <f t="shared" si="17"/>
        <v>-1103.3575768555506</v>
      </c>
    </row>
    <row r="18" spans="1:19" x14ac:dyDescent="0.25">
      <c r="A18" s="6">
        <f t="shared" si="1"/>
        <v>13</v>
      </c>
      <c r="B18" s="24">
        <v>45363</v>
      </c>
      <c r="C18" s="32" cm="1">
        <f t="array" ref="C18" xml:space="preserve"> BonoM(100,C$2,C$1 - $B18,Portafolio!C18)</f>
        <v>89.771968379532282</v>
      </c>
      <c r="D18" s="32" cm="1">
        <f t="array" ref="D18" xml:space="preserve"> BonoM(100,D$2,D$1 - $B18,Portafolio!D18)</f>
        <v>99.497822565436351</v>
      </c>
      <c r="E18" s="32" cm="1">
        <f t="array" ref="E18" xml:space="preserve"> BonoM(100,E$2,E$1 - $B18,Portafolio!E18)</f>
        <v>94.616110356163801</v>
      </c>
      <c r="F18" s="32" cm="1">
        <f t="array" ref="F18" xml:space="preserve"> BonoM(100,F$2,F$1 - $B18,Portafolio!F18)</f>
        <v>96.196441810929088</v>
      </c>
      <c r="G18" s="5">
        <f t="shared" si="5"/>
        <v>-1.0827971178750673E-3</v>
      </c>
      <c r="H18" s="5">
        <f t="shared" si="6"/>
        <v>-1.5872543267614336E-4</v>
      </c>
      <c r="I18" s="5">
        <f t="shared" si="7"/>
        <v>-8.0812583242684255E-4</v>
      </c>
      <c r="J18" s="5">
        <f t="shared" si="8"/>
        <v>-5.3094128428766707E-3</v>
      </c>
      <c r="K18" s="10">
        <f t="shared" si="9"/>
        <v>89.4566729702657</v>
      </c>
      <c r="L18" s="10">
        <f t="shared" si="10"/>
        <v>98.194301099423768</v>
      </c>
      <c r="M18" s="10">
        <f t="shared" si="11"/>
        <v>92.74107303348876</v>
      </c>
      <c r="N18" s="10">
        <f t="shared" si="12"/>
        <v>92.884843287242518</v>
      </c>
      <c r="O18" s="11">
        <f t="shared" si="13"/>
        <v>319.99580183271945</v>
      </c>
      <c r="P18" s="11">
        <f t="shared" si="14"/>
        <v>23.382610807523463</v>
      </c>
      <c r="Q18" s="11">
        <f t="shared" si="15"/>
        <v>150.01414399569057</v>
      </c>
      <c r="R18" s="11">
        <f t="shared" si="16"/>
        <v>495.79636745870914</v>
      </c>
      <c r="S18" s="27">
        <f t="shared" si="17"/>
        <v>989.18892409464263</v>
      </c>
    </row>
    <row r="19" spans="1:19" x14ac:dyDescent="0.25">
      <c r="A19" s="6">
        <f t="shared" si="1"/>
        <v>14</v>
      </c>
      <c r="B19" s="24">
        <v>45362</v>
      </c>
      <c r="C19" s="32" cm="1">
        <f t="array" ref="C19" xml:space="preserve"> BonoM(100,C$2,C$1 - $B19,Portafolio!C19)</f>
        <v>89.869278575359189</v>
      </c>
      <c r="D19" s="32" cm="1">
        <f t="array" ref="D19" xml:space="preserve"> BonoM(100,D$2,D$1 - $B19,Portafolio!D19)</f>
        <v>99.513617907495885</v>
      </c>
      <c r="E19" s="32" cm="1">
        <f t="array" ref="E19" xml:space="preserve"> BonoM(100,E$2,E$1 - $B19,Portafolio!E19)</f>
        <v>94.692633919774906</v>
      </c>
      <c r="F19" s="32" cm="1">
        <f t="array" ref="F19" xml:space="preserve"> BonoM(100,F$2,F$1 - $B19,Portafolio!F19)</f>
        <v>96.709914673932374</v>
      </c>
      <c r="G19" s="5">
        <f t="shared" si="5"/>
        <v>9.5281222266052623E-3</v>
      </c>
      <c r="H19" s="5">
        <f t="shared" si="6"/>
        <v>1.4824346125905441E-2</v>
      </c>
      <c r="I19" s="5">
        <f t="shared" si="7"/>
        <v>1.8777948720805737E-2</v>
      </c>
      <c r="J19" s="5">
        <f t="shared" si="8"/>
        <v>2.7837086578898385E-2</v>
      </c>
      <c r="K19" s="10">
        <f t="shared" si="9"/>
        <v>90.406919436113242</v>
      </c>
      <c r="L19" s="10">
        <f t="shared" si="10"/>
        <v>99.665786901661974</v>
      </c>
      <c r="M19" s="10">
        <f t="shared" si="11"/>
        <v>94.558975698173626</v>
      </c>
      <c r="N19" s="10">
        <f t="shared" si="12"/>
        <v>95.980084605562055</v>
      </c>
      <c r="O19" s="11">
        <f t="shared" si="13"/>
        <v>-2815.8175354641685</v>
      </c>
      <c r="P19" s="11">
        <f t="shared" si="14"/>
        <v>-2183.8460925497857</v>
      </c>
      <c r="Q19" s="11">
        <f t="shared" si="15"/>
        <v>-3485.7911853740407</v>
      </c>
      <c r="R19" s="11">
        <f t="shared" si="16"/>
        <v>-2599.4449508608286</v>
      </c>
      <c r="S19" s="27">
        <f t="shared" si="17"/>
        <v>-11084.899764248823</v>
      </c>
    </row>
    <row r="20" spans="1:19" x14ac:dyDescent="0.25">
      <c r="A20" s="6">
        <f t="shared" si="1"/>
        <v>15</v>
      </c>
      <c r="B20" s="24">
        <v>45360</v>
      </c>
      <c r="C20" s="32" cm="1">
        <f t="array" ref="C20" xml:space="preserve"> BonoM(100,C$2,C$1 - $B20,Portafolio!C20)</f>
        <v>89.02107489303458</v>
      </c>
      <c r="D20" s="32" cm="1">
        <f t="array" ref="D20" xml:space="preserve"> BonoM(100,D$2,D$1 - $B20,Portafolio!D20)</f>
        <v>98.059943365952321</v>
      </c>
      <c r="E20" s="32" cm="1">
        <f t="array" ref="E20" xml:space="preserve"> BonoM(100,E$2,E$1 - $B20,Portafolio!E20)</f>
        <v>92.947274760582047</v>
      </c>
      <c r="F20" s="32" cm="1">
        <f t="array" ref="F20" xml:space="preserve"> BonoM(100,F$2,F$1 - $B20,Portafolio!F20)</f>
        <v>94.090703611236904</v>
      </c>
      <c r="G20" s="5">
        <f t="shared" si="5"/>
        <v>-1.043481973653515E-2</v>
      </c>
      <c r="H20" s="5">
        <f t="shared" si="6"/>
        <v>-1.6930187032380917E-2</v>
      </c>
      <c r="I20" s="5">
        <f t="shared" si="7"/>
        <v>-1.9571578739238871E-2</v>
      </c>
      <c r="J20" s="5">
        <f t="shared" si="8"/>
        <v>-3.3181727655477555E-2</v>
      </c>
      <c r="K20" s="10">
        <f t="shared" si="9"/>
        <v>88.619165290355696</v>
      </c>
      <c r="L20" s="10">
        <f t="shared" si="10"/>
        <v>96.547177708852089</v>
      </c>
      <c r="M20" s="10">
        <f t="shared" si="11"/>
        <v>90.999522885434573</v>
      </c>
      <c r="N20" s="10">
        <f t="shared" si="12"/>
        <v>90.282108701384644</v>
      </c>
      <c r="O20" s="11">
        <f t="shared" si="13"/>
        <v>3083.7711455357335</v>
      </c>
      <c r="P20" s="11">
        <f t="shared" si="14"/>
        <v>2494.0676966650417</v>
      </c>
      <c r="Q20" s="11">
        <f t="shared" si="15"/>
        <v>3633.114440104066</v>
      </c>
      <c r="R20" s="11">
        <f t="shared" si="16"/>
        <v>3098.5309533165832</v>
      </c>
      <c r="S20" s="27">
        <f t="shared" si="17"/>
        <v>12309.484235621425</v>
      </c>
    </row>
    <row r="21" spans="1:19" x14ac:dyDescent="0.25">
      <c r="A21" s="6">
        <f t="shared" si="1"/>
        <v>16</v>
      </c>
      <c r="B21" s="24">
        <v>45359</v>
      </c>
      <c r="C21" s="32" cm="1">
        <f t="array" ref="C21" xml:space="preserve"> BonoM(100,C$2,C$1 - $B21,Portafolio!C21)</f>
        <v>89.959789075574932</v>
      </c>
      <c r="D21" s="32" cm="1">
        <f t="array" ref="D21" xml:space="preserve"> BonoM(100,D$2,D$1 - $B21,Portafolio!D21)</f>
        <v>99.748707642579475</v>
      </c>
      <c r="E21" s="32" cm="1">
        <f t="array" ref="E21" xml:space="preserve"> BonoM(100,E$2,E$1 - $B21,Portafolio!E21)</f>
        <v>94.802713533190385</v>
      </c>
      <c r="F21" s="32" cm="1">
        <f t="array" ref="F21" xml:space="preserve"> BonoM(100,F$2,F$1 - $B21,Portafolio!F21)</f>
        <v>97.319947608218143</v>
      </c>
      <c r="G21" s="5">
        <f t="shared" si="5"/>
        <v>3.1151018081434501E-3</v>
      </c>
      <c r="H21" s="5">
        <f t="shared" si="6"/>
        <v>3.3597228893682551E-3</v>
      </c>
      <c r="I21" s="5">
        <f t="shared" si="7"/>
        <v>1.0960613449830792E-3</v>
      </c>
      <c r="J21" s="5">
        <f t="shared" si="8"/>
        <v>3.2947763318305068E-3</v>
      </c>
      <c r="K21" s="10">
        <f t="shared" si="9"/>
        <v>89.832610105299082</v>
      </c>
      <c r="L21" s="10">
        <f t="shared" si="10"/>
        <v>98.539847520366536</v>
      </c>
      <c r="M21" s="10">
        <f t="shared" si="11"/>
        <v>92.917812223083089</v>
      </c>
      <c r="N21" s="10">
        <f t="shared" si="12"/>
        <v>93.688307976086733</v>
      </c>
      <c r="O21" s="11">
        <f t="shared" si="13"/>
        <v>-920.59674377744182</v>
      </c>
      <c r="P21" s="11">
        <f t="shared" si="14"/>
        <v>-494.9370206066277</v>
      </c>
      <c r="Q21" s="11">
        <f t="shared" si="15"/>
        <v>-203.46423519296764</v>
      </c>
      <c r="R21" s="11">
        <f t="shared" si="16"/>
        <v>-307.66832138550626</v>
      </c>
      <c r="S21" s="27">
        <f t="shared" si="17"/>
        <v>-1926.6663209625433</v>
      </c>
    </row>
    <row r="22" spans="1:19" x14ac:dyDescent="0.25">
      <c r="A22" s="6">
        <f t="shared" si="1"/>
        <v>17</v>
      </c>
      <c r="B22" s="24">
        <v>45358</v>
      </c>
      <c r="C22" s="32" cm="1">
        <f t="array" ref="C22" xml:space="preserve"> BonoM(100,C$2,C$1 - $B22,Portafolio!C22)</f>
        <v>89.680425420193416</v>
      </c>
      <c r="D22" s="32" cm="1">
        <f t="array" ref="D22" xml:space="preserve"> BonoM(100,D$2,D$1 - $B22,Portafolio!D22)</f>
        <v>99.414701793424385</v>
      </c>
      <c r="E22" s="32" cm="1">
        <f t="array" ref="E22" xml:space="preserve"> BonoM(100,E$2,E$1 - $B22,Portafolio!E22)</f>
        <v>94.698917710076628</v>
      </c>
      <c r="F22" s="32" cm="1">
        <f t="array" ref="F22" xml:space="preserve"> BonoM(100,F$2,F$1 - $B22,Portafolio!F22)</f>
        <v>97.000353140511592</v>
      </c>
      <c r="G22" s="5">
        <f t="shared" si="5"/>
        <v>-3.2357002693586323E-2</v>
      </c>
      <c r="H22" s="5">
        <f t="shared" si="6"/>
        <v>-1.6036271088049059E-4</v>
      </c>
      <c r="I22" s="5">
        <f t="shared" si="7"/>
        <v>2.4785671255234121E-4</v>
      </c>
      <c r="J22" s="5">
        <f t="shared" si="8"/>
        <v>2.651120288716502E-3</v>
      </c>
      <c r="K22" s="10">
        <f t="shared" si="9"/>
        <v>86.655953979222957</v>
      </c>
      <c r="L22" s="10">
        <f t="shared" si="10"/>
        <v>98.194140302512224</v>
      </c>
      <c r="M22" s="10">
        <f t="shared" si="11"/>
        <v>92.839085193973546</v>
      </c>
      <c r="N22" s="10">
        <f t="shared" si="12"/>
        <v>93.628202963063131</v>
      </c>
      <c r="O22" s="11">
        <f t="shared" si="13"/>
        <v>9562.3684722737707</v>
      </c>
      <c r="P22" s="11">
        <f t="shared" si="14"/>
        <v>23.623806174839501</v>
      </c>
      <c r="Q22" s="11">
        <f t="shared" si="15"/>
        <v>-46.010176973879879</v>
      </c>
      <c r="R22" s="11">
        <f t="shared" si="16"/>
        <v>-247.56330836190443</v>
      </c>
      <c r="S22" s="27">
        <f t="shared" si="17"/>
        <v>9292.4187931128254</v>
      </c>
    </row>
    <row r="23" spans="1:19" x14ac:dyDescent="0.25">
      <c r="A23" s="6">
        <f t="shared" si="1"/>
        <v>18</v>
      </c>
      <c r="B23" s="24">
        <v>45357</v>
      </c>
      <c r="C23" s="32" cm="1">
        <f t="array" ref="C23" xml:space="preserve"> BonoM(100,C$2,C$1 - $B23,Portafolio!C23)</f>
        <v>92.679248100624889</v>
      </c>
      <c r="D23" s="32" cm="1">
        <f t="array" ref="D23" xml:space="preserve"> BonoM(100,D$2,D$1 - $B23,Portafolio!D23)</f>
        <v>99.430646761483658</v>
      </c>
      <c r="E23" s="32" cm="1">
        <f t="array" ref="E23" xml:space="preserve"> BonoM(100,E$2,E$1 - $B23,Portafolio!E23)</f>
        <v>94.675451763843029</v>
      </c>
      <c r="F23" s="32" cm="1">
        <f t="array" ref="F23" xml:space="preserve"> BonoM(100,F$2,F$1 - $B23,Portafolio!F23)</f>
        <v>96.743873494680813</v>
      </c>
      <c r="G23" s="5">
        <f t="shared" si="5"/>
        <v>1.8277642022657137E-3</v>
      </c>
      <c r="H23" s="5">
        <f t="shared" si="6"/>
        <v>1.8869214397587708E-3</v>
      </c>
      <c r="I23" s="5">
        <f t="shared" si="7"/>
        <v>3.9672358946365449E-3</v>
      </c>
      <c r="J23" s="5">
        <f t="shared" si="8"/>
        <v>2.6499987416517268E-3</v>
      </c>
      <c r="K23" s="10">
        <f t="shared" si="9"/>
        <v>89.717324334987936</v>
      </c>
      <c r="L23" s="10">
        <f t="shared" si="10"/>
        <v>98.395203852735179</v>
      </c>
      <c r="M23" s="10">
        <f t="shared" si="11"/>
        <v>93.184303390080558</v>
      </c>
      <c r="N23" s="10">
        <f t="shared" si="12"/>
        <v>93.62809823228082</v>
      </c>
      <c r="O23" s="11">
        <f t="shared" si="13"/>
        <v>-540.15370175065846</v>
      </c>
      <c r="P23" s="11">
        <f t="shared" si="14"/>
        <v>-277.97151915959262</v>
      </c>
      <c r="Q23" s="11">
        <f t="shared" si="15"/>
        <v>-736.44656918790474</v>
      </c>
      <c r="R23" s="11">
        <f t="shared" si="16"/>
        <v>-247.458577579593</v>
      </c>
      <c r="S23" s="27">
        <f t="shared" si="17"/>
        <v>-1802.0303676777489</v>
      </c>
    </row>
    <row r="24" spans="1:19" x14ac:dyDescent="0.25">
      <c r="A24" s="6">
        <f t="shared" si="1"/>
        <v>19</v>
      </c>
      <c r="B24" s="24">
        <v>45356</v>
      </c>
      <c r="C24" s="32" cm="1">
        <f t="array" ref="C24" xml:space="preserve"> BonoM(100,C$2,C$1 - $B24,Portafolio!C24)</f>
        <v>92.510161339382933</v>
      </c>
      <c r="D24" s="32" cm="1">
        <f t="array" ref="D24" xml:space="preserve"> BonoM(100,D$2,D$1 - $B24,Portafolio!D24)</f>
        <v>99.243382295675772</v>
      </c>
      <c r="E24" s="32" cm="1">
        <f t="array" ref="E24" xml:space="preserve"> BonoM(100,E$2,E$1 - $B24,Portafolio!E24)</f>
        <v>94.301336118282393</v>
      </c>
      <c r="F24" s="32" cm="1">
        <f t="array" ref="F24" xml:space="preserve"> BonoM(100,F$2,F$1 - $B24,Portafolio!F24)</f>
        <v>96.488179939257506</v>
      </c>
      <c r="G24" s="5">
        <f t="shared" si="5"/>
        <v>1.5678975100259507E-3</v>
      </c>
      <c r="H24" s="5">
        <f t="shared" si="6"/>
        <v>1.8883331796606395E-3</v>
      </c>
      <c r="I24" s="5">
        <f t="shared" si="7"/>
        <v>1.3107963509990661E-3</v>
      </c>
      <c r="J24" s="5">
        <f t="shared" si="8"/>
        <v>2.6488779204052459E-3</v>
      </c>
      <c r="K24" s="10">
        <f t="shared" si="9"/>
        <v>89.694052326420575</v>
      </c>
      <c r="L24" s="10">
        <f t="shared" si="10"/>
        <v>98.395342499554957</v>
      </c>
      <c r="M24" s="10">
        <f t="shared" si="11"/>
        <v>92.937743084602914</v>
      </c>
      <c r="N24" s="10">
        <f t="shared" si="12"/>
        <v>93.627993569275887</v>
      </c>
      <c r="O24" s="11">
        <f t="shared" si="13"/>
        <v>-463.35607347836856</v>
      </c>
      <c r="P24" s="11">
        <f t="shared" si="14"/>
        <v>-278.17948938925952</v>
      </c>
      <c r="Q24" s="11">
        <f t="shared" si="15"/>
        <v>-243.32595823261727</v>
      </c>
      <c r="R24" s="11">
        <f t="shared" si="16"/>
        <v>-247.35391457465994</v>
      </c>
      <c r="S24" s="27">
        <f t="shared" si="17"/>
        <v>-1232.2154356749052</v>
      </c>
    </row>
    <row r="25" spans="1:19" x14ac:dyDescent="0.25">
      <c r="A25" s="6">
        <f t="shared" si="1"/>
        <v>20</v>
      </c>
      <c r="B25" s="24">
        <v>45355</v>
      </c>
      <c r="C25" s="32" cm="1">
        <f t="array" ref="C25" xml:space="preserve"> BonoM(100,C$2,C$1 - $B25,Portafolio!C25)</f>
        <v>92.365341949727252</v>
      </c>
      <c r="D25" s="32" cm="1">
        <f t="array" ref="D25" xml:space="preserve"> BonoM(100,D$2,D$1 - $B25,Portafolio!D25)</f>
        <v>99.056330939307642</v>
      </c>
      <c r="E25" s="32" cm="1">
        <f t="array" ref="E25" xml:space="preserve"> BonoM(100,E$2,E$1 - $B25,Portafolio!E25)</f>
        <v>94.177888086234162</v>
      </c>
      <c r="F25" s="32" cm="1">
        <f t="array" ref="F25" xml:space="preserve"> BonoM(100,F$2,F$1 - $B25,Portafolio!F25)</f>
        <v>96.233269755792989</v>
      </c>
      <c r="G25" s="5">
        <f t="shared" si="5"/>
        <v>7.3090155099722054E-3</v>
      </c>
      <c r="H25" s="5">
        <f t="shared" si="6"/>
        <v>1.3309586317300504E-2</v>
      </c>
      <c r="I25" s="5">
        <f t="shared" si="7"/>
        <v>1.6623850795724371E-2</v>
      </c>
      <c r="J25" s="5">
        <f t="shared" si="8"/>
        <v>2.5594336422310793E-2</v>
      </c>
      <c r="K25" s="10">
        <f t="shared" si="9"/>
        <v>90.208190348994506</v>
      </c>
      <c r="L25" s="10">
        <f t="shared" si="10"/>
        <v>99.5170225082298</v>
      </c>
      <c r="M25" s="10">
        <f t="shared" si="11"/>
        <v>94.359040772604217</v>
      </c>
      <c r="N25" s="10">
        <f t="shared" si="12"/>
        <v>95.770655161354227</v>
      </c>
      <c r="O25" s="11">
        <f t="shared" si="13"/>
        <v>-2160.0115479723413</v>
      </c>
      <c r="P25" s="11">
        <f t="shared" si="14"/>
        <v>-1960.6995024015248</v>
      </c>
      <c r="Q25" s="11">
        <f t="shared" si="15"/>
        <v>-3085.9213342352232</v>
      </c>
      <c r="R25" s="11">
        <f t="shared" si="16"/>
        <v>-2390.0155066530006</v>
      </c>
      <c r="S25" s="27">
        <f t="shared" si="17"/>
        <v>-9596.6478912620896</v>
      </c>
    </row>
    <row r="26" spans="1:19" x14ac:dyDescent="0.25">
      <c r="A26" s="6">
        <f t="shared" si="1"/>
        <v>21</v>
      </c>
      <c r="B26" s="24">
        <v>45353</v>
      </c>
      <c r="C26" s="32" cm="1">
        <f t="array" ref="C26" xml:space="preserve"> BonoM(100,C$2,C$1 - $B26,Portafolio!C26)</f>
        <v>91.695140743841435</v>
      </c>
      <c r="D26" s="32" cm="1">
        <f t="array" ref="D26" xml:space="preserve"> BonoM(100,D$2,D$1 - $B26,Portafolio!D26)</f>
        <v>97.755249014578894</v>
      </c>
      <c r="E26" s="32" cm="1">
        <f t="array" ref="E26" xml:space="preserve"> BonoM(100,E$2,E$1 - $B26,Portafolio!E26)</f>
        <v>92.637889630977995</v>
      </c>
      <c r="F26" s="32" cm="1">
        <f t="array" ref="F26" xml:space="preserve"> BonoM(100,F$2,F$1 - $B26,Portafolio!F26)</f>
        <v>93.83170941787148</v>
      </c>
      <c r="G26" s="5">
        <f t="shared" si="5"/>
        <v>-7.270539393942177E-3</v>
      </c>
      <c r="H26" s="5">
        <f t="shared" si="6"/>
        <v>-1.5224297718225754E-2</v>
      </c>
      <c r="I26" s="5">
        <f t="shared" si="7"/>
        <v>-1.9266394486924132E-2</v>
      </c>
      <c r="J26" s="5">
        <f t="shared" si="8"/>
        <v>-2.733824252649053E-2</v>
      </c>
      <c r="K26" s="10">
        <f t="shared" si="9"/>
        <v>88.902538117429714</v>
      </c>
      <c r="L26" s="10">
        <f t="shared" si="10"/>
        <v>96.714712909905813</v>
      </c>
      <c r="M26" s="10">
        <f t="shared" si="11"/>
        <v>91.02784889144435</v>
      </c>
      <c r="N26" s="10">
        <f t="shared" si="12"/>
        <v>90.827777080542191</v>
      </c>
      <c r="O26" s="11">
        <f t="shared" si="13"/>
        <v>2148.6408161914737</v>
      </c>
      <c r="P26" s="11">
        <f t="shared" si="14"/>
        <v>2242.7648950844555</v>
      </c>
      <c r="Q26" s="11">
        <f t="shared" si="15"/>
        <v>3576.462428084511</v>
      </c>
      <c r="R26" s="11">
        <f t="shared" si="16"/>
        <v>2552.8625741590358</v>
      </c>
      <c r="S26" s="27">
        <f t="shared" si="17"/>
        <v>10520.730713519475</v>
      </c>
    </row>
    <row r="27" spans="1:19" x14ac:dyDescent="0.25">
      <c r="A27" s="6">
        <f t="shared" si="1"/>
        <v>22</v>
      </c>
      <c r="B27" s="24">
        <v>45352</v>
      </c>
      <c r="C27" s="32" cm="1">
        <f t="array" ref="C27" xml:space="preserve"> BonoM(100,C$2,C$1 - $B27,Portafolio!C27)</f>
        <v>92.366696449062644</v>
      </c>
      <c r="D27" s="32" cm="1">
        <f t="array" ref="D27" xml:space="preserve"> BonoM(100,D$2,D$1 - $B27,Portafolio!D27)</f>
        <v>99.266511945892987</v>
      </c>
      <c r="E27" s="32" cm="1">
        <f t="array" ref="E27" xml:space="preserve"> BonoM(100,E$2,E$1 - $B27,Portafolio!E27)</f>
        <v>94.457749902955555</v>
      </c>
      <c r="F27" s="32" cm="1">
        <f t="array" ref="F27" xml:space="preserve"> BonoM(100,F$2,F$1 - $B27,Portafolio!F27)</f>
        <v>96.469002401821058</v>
      </c>
      <c r="G27" s="5">
        <f t="shared" si="5"/>
        <v>-4.2688383152422738E-4</v>
      </c>
      <c r="H27" s="5">
        <f t="shared" si="6"/>
        <v>6.5938616714267262E-4</v>
      </c>
      <c r="I27" s="5">
        <f t="shared" si="7"/>
        <v>7.8029216058617124E-4</v>
      </c>
      <c r="J27" s="5">
        <f t="shared" si="8"/>
        <v>1.8512850081062737E-3</v>
      </c>
      <c r="K27" s="10">
        <f t="shared" si="9"/>
        <v>89.515412393497826</v>
      </c>
      <c r="L27" s="10">
        <f t="shared" si="10"/>
        <v>98.274647749246071</v>
      </c>
      <c r="M27" s="10">
        <f t="shared" si="11"/>
        <v>92.888503765169261</v>
      </c>
      <c r="N27" s="10">
        <f t="shared" si="12"/>
        <v>93.553513832941348</v>
      </c>
      <c r="O27" s="11">
        <f t="shared" si="13"/>
        <v>126.15570516670402</v>
      </c>
      <c r="P27" s="11">
        <f t="shared" si="14"/>
        <v>-97.137363925931197</v>
      </c>
      <c r="Q27" s="11">
        <f t="shared" si="15"/>
        <v>-144.84731936531148</v>
      </c>
      <c r="R27" s="11">
        <f t="shared" si="16"/>
        <v>-172.87417824012152</v>
      </c>
      <c r="S27" s="27">
        <f t="shared" si="17"/>
        <v>-288.70315636466017</v>
      </c>
    </row>
    <row r="28" spans="1:19" x14ac:dyDescent="0.25">
      <c r="A28" s="6">
        <f t="shared" si="1"/>
        <v>23</v>
      </c>
      <c r="B28" s="24">
        <v>45351</v>
      </c>
      <c r="C28" s="32" cm="1">
        <f t="array" ref="C28" xml:space="preserve"> BonoM(100,C$2,C$1 - $B28,Portafolio!C28)</f>
        <v>92.406143137501559</v>
      </c>
      <c r="D28" s="32" cm="1">
        <f t="array" ref="D28" xml:space="preserve"> BonoM(100,D$2,D$1 - $B28,Portafolio!D28)</f>
        <v>99.20110011271332</v>
      </c>
      <c r="E28" s="32" cm="1">
        <f t="array" ref="E28" xml:space="preserve"> BonoM(100,E$2,E$1 - $B28,Portafolio!E28)</f>
        <v>94.384102727513323</v>
      </c>
      <c r="F28" s="32" cm="1">
        <f t="array" ref="F28" xml:space="preserve"> BonoM(100,F$2,F$1 - $B28,Portafolio!F28)</f>
        <v>96.290740796964187</v>
      </c>
      <c r="G28" s="5">
        <f t="shared" si="5"/>
        <v>9.4164123996187676E-4</v>
      </c>
      <c r="H28" s="5">
        <f t="shared" si="6"/>
        <v>2.3049283825360423E-3</v>
      </c>
      <c r="I28" s="5">
        <f t="shared" si="7"/>
        <v>2.3782270837706676E-3</v>
      </c>
      <c r="J28" s="5">
        <f t="shared" si="8"/>
        <v>6.6627446462173001E-3</v>
      </c>
      <c r="K28" s="10">
        <f t="shared" si="9"/>
        <v>89.637968796989838</v>
      </c>
      <c r="L28" s="10">
        <f t="shared" si="10"/>
        <v>98.436256268398338</v>
      </c>
      <c r="M28" s="10">
        <f t="shared" si="11"/>
        <v>93.036817821002899</v>
      </c>
      <c r="N28" s="10">
        <f t="shared" si="12"/>
        <v>94.002811011620935</v>
      </c>
      <c r="O28" s="11">
        <f t="shared" si="13"/>
        <v>-278.28042635693748</v>
      </c>
      <c r="P28" s="11">
        <f t="shared" si="14"/>
        <v>-339.55014265433192</v>
      </c>
      <c r="Q28" s="11">
        <f t="shared" si="15"/>
        <v>-441.47543103258613</v>
      </c>
      <c r="R28" s="11">
        <f t="shared" si="16"/>
        <v>-622.17135691970782</v>
      </c>
      <c r="S28" s="27">
        <f t="shared" si="17"/>
        <v>-1681.4773569635631</v>
      </c>
    </row>
    <row r="29" spans="1:19" x14ac:dyDescent="0.25">
      <c r="A29" s="6">
        <f t="shared" si="1"/>
        <v>24</v>
      </c>
      <c r="B29" s="24">
        <v>45350</v>
      </c>
      <c r="C29" s="32" cm="1">
        <f t="array" ref="C29" xml:space="preserve"> BonoM(100,C$2,C$1 - $B29,Portafolio!C29)</f>
        <v>92.31921156065529</v>
      </c>
      <c r="D29" s="32" cm="1">
        <f t="array" ref="D29" xml:space="preserve"> BonoM(100,D$2,D$1 - $B29,Portafolio!D29)</f>
        <v>98.972974494696473</v>
      </c>
      <c r="E29" s="32" cm="1">
        <f t="array" ref="E29" xml:space="preserve"> BonoM(100,E$2,E$1 - $B29,Portafolio!E29)</f>
        <v>94.160168464658256</v>
      </c>
      <c r="F29" s="32" cm="1">
        <f t="array" ref="F29" xml:space="preserve"> BonoM(100,F$2,F$1 - $B29,Portafolio!F29)</f>
        <v>95.653426442045117</v>
      </c>
      <c r="G29" s="5">
        <f t="shared" si="5"/>
        <v>7.846174474657186E-4</v>
      </c>
      <c r="H29" s="5">
        <f t="shared" si="6"/>
        <v>2.7180843058891568E-3</v>
      </c>
      <c r="I29" s="5">
        <f t="shared" si="7"/>
        <v>2.9119091320894963E-3</v>
      </c>
      <c r="J29" s="5">
        <f t="shared" si="8"/>
        <v>4.2467970602579896E-3</v>
      </c>
      <c r="K29" s="10">
        <f t="shared" si="9"/>
        <v>89.623906744586151</v>
      </c>
      <c r="L29" s="10">
        <f t="shared" si="10"/>
        <v>98.476832265979866</v>
      </c>
      <c r="M29" s="10">
        <f t="shared" si="11"/>
        <v>93.086352096750517</v>
      </c>
      <c r="N29" s="10">
        <f t="shared" si="12"/>
        <v>93.777208280671829</v>
      </c>
      <c r="O29" s="11">
        <f t="shared" si="13"/>
        <v>-231.8756534247683</v>
      </c>
      <c r="P29" s="11">
        <f t="shared" si="14"/>
        <v>-400.41413902662271</v>
      </c>
      <c r="Q29" s="11">
        <f t="shared" si="15"/>
        <v>-540.54398252782221</v>
      </c>
      <c r="R29" s="11">
        <f t="shared" si="16"/>
        <v>-396.56862597060183</v>
      </c>
      <c r="S29" s="27">
        <f t="shared" si="17"/>
        <v>-1569.4024009498148</v>
      </c>
    </row>
    <row r="30" spans="1:19" x14ac:dyDescent="0.25">
      <c r="A30" s="6">
        <f t="shared" si="1"/>
        <v>25</v>
      </c>
      <c r="B30" s="24">
        <v>45349</v>
      </c>
      <c r="C30" s="32" cm="1">
        <f t="array" ref="C30" xml:space="preserve"> BonoM(100,C$2,C$1 - $B30,Portafolio!C30)</f>
        <v>92.246833085942612</v>
      </c>
      <c r="D30" s="32" cm="1">
        <f t="array" ref="D30" xml:space="preserve"> BonoM(100,D$2,D$1 - $B30,Portafolio!D30)</f>
        <v>98.704686834493941</v>
      </c>
      <c r="E30" s="32" cm="1">
        <f t="array" ref="E30" xml:space="preserve"> BonoM(100,E$2,E$1 - $B30,Portafolio!E30)</f>
        <v>93.886778696389769</v>
      </c>
      <c r="F30" s="32" cm="1">
        <f t="array" ref="F30" xml:space="preserve"> BonoM(100,F$2,F$1 - $B30,Portafolio!F30)</f>
        <v>95.248923593336201</v>
      </c>
      <c r="G30" s="5">
        <f t="shared" si="5"/>
        <v>-2.9055775118992377E-3</v>
      </c>
      <c r="H30" s="5">
        <f t="shared" si="6"/>
        <v>-3.8512757959751065E-3</v>
      </c>
      <c r="I30" s="5">
        <f t="shared" si="7"/>
        <v>-3.4665779282938569E-3</v>
      </c>
      <c r="J30" s="5">
        <f t="shared" si="8"/>
        <v>-1.3396236766052283E-3</v>
      </c>
      <c r="K30" s="10">
        <f t="shared" si="9"/>
        <v>89.293436348517304</v>
      </c>
      <c r="L30" s="10">
        <f t="shared" si="10"/>
        <v>97.831656136246508</v>
      </c>
      <c r="M30" s="10">
        <f t="shared" si="11"/>
        <v>92.494325930802177</v>
      </c>
      <c r="N30" s="10">
        <f t="shared" si="12"/>
        <v>93.255544738883245</v>
      </c>
      <c r="O30" s="11">
        <f t="shared" si="13"/>
        <v>858.67665360242711</v>
      </c>
      <c r="P30" s="11">
        <f t="shared" si="14"/>
        <v>567.35005557341367</v>
      </c>
      <c r="Q30" s="11">
        <f t="shared" si="15"/>
        <v>643.50834936885803</v>
      </c>
      <c r="R30" s="11">
        <f t="shared" si="16"/>
        <v>125.09491581798216</v>
      </c>
      <c r="S30" s="27">
        <f t="shared" si="17"/>
        <v>2194.6299743626805</v>
      </c>
    </row>
    <row r="31" spans="1:19" x14ac:dyDescent="0.25">
      <c r="A31" s="6">
        <f t="shared" si="1"/>
        <v>26</v>
      </c>
      <c r="B31" s="24">
        <v>45348</v>
      </c>
      <c r="C31" s="32" cm="1">
        <f t="array" ref="C31" xml:space="preserve"> BonoM(100,C$2,C$1 - $B31,Portafolio!C31)</f>
        <v>92.515644461990235</v>
      </c>
      <c r="D31" s="32" cm="1">
        <f t="array" ref="D31" xml:space="preserve"> BonoM(100,D$2,D$1 - $B31,Portafolio!D31)</f>
        <v>99.086295486012062</v>
      </c>
      <c r="E31" s="32" cm="1">
        <f t="array" ref="E31" xml:space="preserve"> BonoM(100,E$2,E$1 - $B31,Portafolio!E31)</f>
        <v>94.213376708637966</v>
      </c>
      <c r="F31" s="32" cm="1">
        <f t="array" ref="F31" xml:space="preserve"> BonoM(100,F$2,F$1 - $B31,Portafolio!F31)</f>
        <v>95.37669246876365</v>
      </c>
      <c r="G31" s="5">
        <f t="shared" si="5"/>
        <v>1.0819670302159023E-2</v>
      </c>
      <c r="H31" s="5">
        <f t="shared" si="6"/>
        <v>1.566181458403193E-2</v>
      </c>
      <c r="I31" s="5">
        <f t="shared" si="7"/>
        <v>1.9657135889113997E-2</v>
      </c>
      <c r="J31" s="5">
        <f t="shared" si="8"/>
        <v>2.7675588731139955E-2</v>
      </c>
      <c r="K31" s="10">
        <f t="shared" si="9"/>
        <v>90.522582269315862</v>
      </c>
      <c r="L31" s="10">
        <f t="shared" si="10"/>
        <v>99.748034586399868</v>
      </c>
      <c r="M31" s="10">
        <f t="shared" si="11"/>
        <v>94.640578404815045</v>
      </c>
      <c r="N31" s="10">
        <f t="shared" si="12"/>
        <v>95.965003833235514</v>
      </c>
      <c r="O31" s="11">
        <f t="shared" si="13"/>
        <v>-3197.5048850328149</v>
      </c>
      <c r="P31" s="11">
        <f t="shared" si="14"/>
        <v>-2307.2176196566261</v>
      </c>
      <c r="Q31" s="11">
        <f t="shared" si="15"/>
        <v>-3648.9965986568791</v>
      </c>
      <c r="R31" s="11">
        <f t="shared" si="16"/>
        <v>-2584.364178534287</v>
      </c>
      <c r="S31" s="27">
        <f t="shared" si="17"/>
        <v>-11738.083281880608</v>
      </c>
    </row>
    <row r="32" spans="1:19" x14ac:dyDescent="0.25">
      <c r="A32" s="6">
        <f t="shared" si="1"/>
        <v>27</v>
      </c>
      <c r="B32" s="24">
        <v>45346</v>
      </c>
      <c r="C32" s="32" cm="1">
        <f t="array" ref="C32" xml:space="preserve"> BonoM(100,C$2,C$1 - $B32,Portafolio!C32)</f>
        <v>91.525370132869512</v>
      </c>
      <c r="D32" s="32" cm="1">
        <f t="array" ref="D32" xml:space="preserve"> BonoM(100,D$2,D$1 - $B32,Portafolio!D32)</f>
        <v>97.558354624755893</v>
      </c>
      <c r="E32" s="32" cm="1">
        <f t="array" ref="E32" xml:space="preserve"> BonoM(100,E$2,E$1 - $B32,Portafolio!E32)</f>
        <v>92.397114081378348</v>
      </c>
      <c r="F32" s="32" cm="1">
        <f t="array" ref="F32" xml:space="preserve"> BonoM(100,F$2,F$1 - $B32,Portafolio!F32)</f>
        <v>92.808171678500443</v>
      </c>
      <c r="G32" s="5">
        <f t="shared" si="5"/>
        <v>-9.9483603543656374E-3</v>
      </c>
      <c r="H32" s="5">
        <f t="shared" si="6"/>
        <v>-1.4684095160520605E-2</v>
      </c>
      <c r="I32" s="5">
        <f t="shared" si="7"/>
        <v>-1.8544857262095649E-2</v>
      </c>
      <c r="J32" s="5">
        <f t="shared" si="8"/>
        <v>-2.6191820750638417E-2</v>
      </c>
      <c r="K32" s="10">
        <f t="shared" si="9"/>
        <v>88.662729499419768</v>
      </c>
      <c r="L32" s="10">
        <f t="shared" si="10"/>
        <v>96.767766143409233</v>
      </c>
      <c r="M32" s="10">
        <f t="shared" si="11"/>
        <v>91.094819148303117</v>
      </c>
      <c r="N32" s="10">
        <f t="shared" si="12"/>
        <v>90.934830679285341</v>
      </c>
      <c r="O32" s="11">
        <f t="shared" si="13"/>
        <v>2940.0092556242939</v>
      </c>
      <c r="P32" s="11">
        <f t="shared" si="14"/>
        <v>2163.1850448293262</v>
      </c>
      <c r="Q32" s="11">
        <f t="shared" si="15"/>
        <v>3442.5219143669779</v>
      </c>
      <c r="R32" s="11">
        <f t="shared" si="16"/>
        <v>2445.8089754158864</v>
      </c>
      <c r="S32" s="27">
        <f t="shared" si="17"/>
        <v>10991.525190236485</v>
      </c>
    </row>
    <row r="33" spans="1:19" x14ac:dyDescent="0.25">
      <c r="A33" s="6">
        <f t="shared" si="1"/>
        <v>28</v>
      </c>
      <c r="B33" s="24">
        <v>45345</v>
      </c>
      <c r="C33" s="32" cm="1">
        <f t="array" ref="C33" xml:space="preserve"> BonoM(100,C$2,C$1 - $B33,Portafolio!C33)</f>
        <v>92.445046771124851</v>
      </c>
      <c r="D33" s="32" cm="1">
        <f t="array" ref="D33" xml:space="preserve"> BonoM(100,D$2,D$1 - $B33,Portafolio!D33)</f>
        <v>99.012260073736854</v>
      </c>
      <c r="E33" s="32" cm="1">
        <f t="array" ref="E33" xml:space="preserve"> BonoM(100,E$2,E$1 - $B33,Portafolio!E33)</f>
        <v>94.142982249421877</v>
      </c>
      <c r="F33" s="32" cm="1">
        <f t="array" ref="F33" xml:space="preserve"> BonoM(100,F$2,F$1 - $B33,Portafolio!F33)</f>
        <v>95.30436656430588</v>
      </c>
      <c r="G33" s="5">
        <f t="shared" si="5"/>
        <v>5.197089235089436E-4</v>
      </c>
      <c r="H33" s="5">
        <f t="shared" si="6"/>
        <v>2.3129515922573063E-3</v>
      </c>
      <c r="I33" s="5">
        <f t="shared" si="7"/>
        <v>2.3844999057525129E-3</v>
      </c>
      <c r="J33" s="5">
        <f t="shared" si="8"/>
        <v>3.4496885881234451E-3</v>
      </c>
      <c r="K33" s="10">
        <f t="shared" si="9"/>
        <v>89.600183221629223</v>
      </c>
      <c r="L33" s="10">
        <f t="shared" si="10"/>
        <v>98.437044226938553</v>
      </c>
      <c r="M33" s="10">
        <f t="shared" si="11"/>
        <v>93.037400039750452</v>
      </c>
      <c r="N33" s="10">
        <f t="shared" si="12"/>
        <v>93.70277378166972</v>
      </c>
      <c r="O33" s="11">
        <f t="shared" si="13"/>
        <v>-153.58802766690616</v>
      </c>
      <c r="P33" s="11">
        <f t="shared" si="14"/>
        <v>-340.73208046465453</v>
      </c>
      <c r="Q33" s="11">
        <f t="shared" si="15"/>
        <v>-442.63986852769222</v>
      </c>
      <c r="R33" s="11">
        <f t="shared" si="16"/>
        <v>-322.13412696849275</v>
      </c>
      <c r="S33" s="27">
        <f t="shared" si="17"/>
        <v>-1259.0941036277457</v>
      </c>
    </row>
    <row r="34" spans="1:19" x14ac:dyDescent="0.25">
      <c r="A34" s="6">
        <f t="shared" si="1"/>
        <v>29</v>
      </c>
      <c r="B34" s="24">
        <v>45344</v>
      </c>
      <c r="C34" s="32" cm="1">
        <f t="array" ref="C34" xml:space="preserve"> BonoM(100,C$2,C$1 - $B34,Portafolio!C34)</f>
        <v>92.397027211577296</v>
      </c>
      <c r="D34" s="32" cm="1">
        <f t="array" ref="D34" xml:space="preserve"> BonoM(100,D$2,D$1 - $B34,Portafolio!D34)</f>
        <v>98.783777977175347</v>
      </c>
      <c r="E34" s="32" cm="1">
        <f t="array" ref="E34" xml:space="preserve"> BonoM(100,E$2,E$1 - $B34,Portafolio!E34)</f>
        <v>93.919032325692896</v>
      </c>
      <c r="F34" s="32" cm="1">
        <f t="array" ref="F34" xml:space="preserve"> BonoM(100,F$2,F$1 - $B34,Portafolio!F34)</f>
        <v>94.976726434985778</v>
      </c>
      <c r="G34" s="5">
        <f t="shared" si="5"/>
        <v>1.768602917587625E-3</v>
      </c>
      <c r="H34" s="5">
        <f t="shared" si="6"/>
        <v>-2.8560894818596694E-4</v>
      </c>
      <c r="I34" s="5">
        <f t="shared" si="7"/>
        <v>2.5024653241767503E-4</v>
      </c>
      <c r="J34" s="5">
        <f t="shared" si="8"/>
        <v>-6.9107248685337241E-3</v>
      </c>
      <c r="K34" s="10">
        <f t="shared" si="9"/>
        <v>89.712026226515405</v>
      </c>
      <c r="L34" s="10">
        <f t="shared" si="10"/>
        <v>98.181839883385337</v>
      </c>
      <c r="M34" s="10">
        <f t="shared" si="11"/>
        <v>92.839307007685605</v>
      </c>
      <c r="N34" s="10">
        <f t="shared" si="12"/>
        <v>92.735311745999894</v>
      </c>
      <c r="O34" s="11">
        <f t="shared" si="13"/>
        <v>-522.66994379130836</v>
      </c>
      <c r="P34" s="11">
        <f t="shared" si="14"/>
        <v>42.074434865170929</v>
      </c>
      <c r="Q34" s="11">
        <f t="shared" si="15"/>
        <v>-46.45380439799851</v>
      </c>
      <c r="R34" s="11">
        <f t="shared" si="16"/>
        <v>645.32790870133283</v>
      </c>
      <c r="S34" s="27">
        <f t="shared" si="17"/>
        <v>118.27859537719689</v>
      </c>
    </row>
    <row r="35" spans="1:19" x14ac:dyDescent="0.25">
      <c r="A35" s="6">
        <f t="shared" si="1"/>
        <v>30</v>
      </c>
      <c r="B35" s="24">
        <v>45343</v>
      </c>
      <c r="C35" s="32" cm="1">
        <f t="array" ref="C35" xml:space="preserve"> BonoM(100,C$2,C$1 - $B35,Portafolio!C35)</f>
        <v>92.233902063287672</v>
      </c>
      <c r="D35" s="32" cm="1">
        <f t="array" ref="D35" xml:space="preserve"> BonoM(100,D$2,D$1 - $B35,Portafolio!D35)</f>
        <v>98.811999568440243</v>
      </c>
      <c r="E35" s="32" cm="1">
        <f t="array" ref="E35" xml:space="preserve"> BonoM(100,E$2,E$1 - $B35,Portafolio!E35)</f>
        <v>93.895535293576174</v>
      </c>
      <c r="F35" s="32" cm="1">
        <f t="array" ref="F35" xml:space="preserve"> BonoM(100,F$2,F$1 - $B35,Portafolio!F35)</f>
        <v>95.637651934578244</v>
      </c>
      <c r="G35" s="5">
        <f t="shared" si="5"/>
        <v>3.2609032171513341E-3</v>
      </c>
      <c r="H35" s="5">
        <f t="shared" si="6"/>
        <v>2.8533348219474952E-3</v>
      </c>
      <c r="I35" s="5">
        <f t="shared" si="7"/>
        <v>3.9906607244826198E-3</v>
      </c>
      <c r="J35" s="5">
        <f t="shared" si="8"/>
        <v>5.8637979789248895E-3</v>
      </c>
      <c r="K35" s="10">
        <f t="shared" si="9"/>
        <v>89.845667152396274</v>
      </c>
      <c r="L35" s="10">
        <f t="shared" si="10"/>
        <v>98.490115204217659</v>
      </c>
      <c r="M35" s="10">
        <f t="shared" si="11"/>
        <v>93.186477590964003</v>
      </c>
      <c r="N35" s="10">
        <f t="shared" si="12"/>
        <v>93.928204860779175</v>
      </c>
      <c r="O35" s="11">
        <f t="shared" si="13"/>
        <v>-963.68499919817486</v>
      </c>
      <c r="P35" s="11">
        <f t="shared" si="14"/>
        <v>-420.33854638331292</v>
      </c>
      <c r="Q35" s="11">
        <f t="shared" si="15"/>
        <v>-740.79497095479496</v>
      </c>
      <c r="R35" s="11">
        <f t="shared" si="16"/>
        <v>-547.56520607794812</v>
      </c>
      <c r="S35" s="27">
        <f t="shared" si="17"/>
        <v>-2672.3837226142309</v>
      </c>
    </row>
    <row r="36" spans="1:19" x14ac:dyDescent="0.25">
      <c r="A36" s="6">
        <f t="shared" si="1"/>
        <v>31</v>
      </c>
      <c r="B36" s="24">
        <v>45342</v>
      </c>
      <c r="C36" s="32" cm="1">
        <f t="array" ref="C36" xml:space="preserve"> BonoM(100,C$2,C$1 - $B36,Portafolio!C36)</f>
        <v>91.934113815779838</v>
      </c>
      <c r="D36" s="32" cm="1">
        <f t="array" ref="D36" xml:space="preserve"> BonoM(100,D$2,D$1 - $B36,Portafolio!D36)</f>
        <v>98.530858040157895</v>
      </c>
      <c r="E36" s="32" cm="1">
        <f t="array" ref="E36" xml:space="preserve"> BonoM(100,E$2,E$1 - $B36,Portafolio!E36)</f>
        <v>93.522319446498514</v>
      </c>
      <c r="F36" s="32" cm="1">
        <f t="array" ref="F36" xml:space="preserve"> BonoM(100,F$2,F$1 - $B36,Portafolio!F36)</f>
        <v>95.080121311396539</v>
      </c>
      <c r="G36" s="5">
        <f t="shared" si="5"/>
        <v>5.2495374015193441E-4</v>
      </c>
      <c r="H36" s="5">
        <f t="shared" si="6"/>
        <v>6.6469125861168266E-4</v>
      </c>
      <c r="I36" s="5">
        <f t="shared" si="7"/>
        <v>1.3191774216783081E-3</v>
      </c>
      <c r="J36" s="5">
        <f t="shared" si="8"/>
        <v>1.0523187406414891E-3</v>
      </c>
      <c r="K36" s="10">
        <f t="shared" si="9"/>
        <v>89.60065291405806</v>
      </c>
      <c r="L36" s="10">
        <f t="shared" si="10"/>
        <v>98.275168761693052</v>
      </c>
      <c r="M36" s="10">
        <f t="shared" si="11"/>
        <v>92.938520982730452</v>
      </c>
      <c r="N36" s="10">
        <f t="shared" si="12"/>
        <v>93.478905851822958</v>
      </c>
      <c r="O36" s="11">
        <f t="shared" si="13"/>
        <v>-155.13801268206748</v>
      </c>
      <c r="P36" s="11">
        <f t="shared" si="14"/>
        <v>-97.918882596403023</v>
      </c>
      <c r="Q36" s="11">
        <f t="shared" si="15"/>
        <v>-244.88175448769312</v>
      </c>
      <c r="R36" s="11">
        <f t="shared" si="16"/>
        <v>-98.266197121731125</v>
      </c>
      <c r="S36" s="27">
        <f t="shared" si="17"/>
        <v>-596.20484688789475</v>
      </c>
    </row>
    <row r="37" spans="1:19" x14ac:dyDescent="0.25">
      <c r="A37" s="6">
        <f t="shared" si="1"/>
        <v>32</v>
      </c>
      <c r="B37" s="24">
        <v>45341</v>
      </c>
      <c r="C37" s="32" cm="1">
        <f t="array" ref="C37" xml:space="preserve"> BonoM(100,C$2,C$1 - $B37,Portafolio!C37)</f>
        <v>91.885877980466844</v>
      </c>
      <c r="D37" s="32" cm="1">
        <f t="array" ref="D37" xml:space="preserve"> BonoM(100,D$2,D$1 - $B37,Portafolio!D37)</f>
        <v>98.465408943557478</v>
      </c>
      <c r="E37" s="32" cm="1">
        <f t="array" ref="E37" xml:space="preserve"> BonoM(100,E$2,E$1 - $B37,Portafolio!E37)</f>
        <v>93.399109450107062</v>
      </c>
      <c r="F37" s="32" cm="1">
        <f t="array" ref="F37" xml:space="preserve"> BonoM(100,F$2,F$1 - $B37,Portafolio!F37)</f>
        <v>94.980171896520488</v>
      </c>
      <c r="G37" s="5">
        <f t="shared" si="5"/>
        <v>9.4679143157490042E-3</v>
      </c>
      <c r="H37" s="5">
        <f t="shared" si="6"/>
        <v>1.517512593226078E-2</v>
      </c>
      <c r="I37" s="5">
        <f t="shared" si="7"/>
        <v>1.8557660792953623E-2</v>
      </c>
      <c r="J37" s="5">
        <f t="shared" si="8"/>
        <v>2.6576086163495383E-2</v>
      </c>
      <c r="K37" s="10">
        <f t="shared" si="9"/>
        <v>90.401527598455274</v>
      </c>
      <c r="L37" s="10">
        <f t="shared" si="10"/>
        <v>99.700236947685298</v>
      </c>
      <c r="M37" s="10">
        <f t="shared" si="11"/>
        <v>94.538529436215839</v>
      </c>
      <c r="N37" s="10">
        <f t="shared" si="12"/>
        <v>95.862331580166881</v>
      </c>
      <c r="O37" s="11">
        <f t="shared" si="13"/>
        <v>-2798.0244711928763</v>
      </c>
      <c r="P37" s="11">
        <f t="shared" si="14"/>
        <v>-2235.5211615847707</v>
      </c>
      <c r="Q37" s="11">
        <f t="shared" si="15"/>
        <v>-3444.8986614584669</v>
      </c>
      <c r="R37" s="11">
        <f t="shared" si="16"/>
        <v>-2481.6919254656541</v>
      </c>
      <c r="S37" s="27">
        <f t="shared" si="17"/>
        <v>-10960.136219701766</v>
      </c>
    </row>
    <row r="38" spans="1:19" x14ac:dyDescent="0.25">
      <c r="A38" s="6">
        <f t="shared" si="1"/>
        <v>33</v>
      </c>
      <c r="B38" s="24">
        <v>45339</v>
      </c>
      <c r="C38" s="32" cm="1">
        <f t="array" ref="C38" xml:space="preserve"> BonoM(100,C$2,C$1 - $B38,Portafolio!C38)</f>
        <v>91.024069886114361</v>
      </c>
      <c r="D38" s="32" cm="1">
        <f t="array" ref="D38" xml:space="preserve"> BonoM(100,D$2,D$1 - $B38,Portafolio!D38)</f>
        <v>96.993520062003313</v>
      </c>
      <c r="E38" s="32" cm="1">
        <f t="array" ref="E38" xml:space="preserve"> BonoM(100,E$2,E$1 - $B38,Portafolio!E38)</f>
        <v>91.697419837179623</v>
      </c>
      <c r="F38" s="32" cm="1">
        <f t="array" ref="F38" xml:space="preserve"> BonoM(100,F$2,F$1 - $B38,Portafolio!F38)</f>
        <v>92.521317393510458</v>
      </c>
      <c r="G38" s="5">
        <f t="shared" si="5"/>
        <v>-8.6076245849217026E-3</v>
      </c>
      <c r="H38" s="5">
        <f t="shared" si="6"/>
        <v>-1.4203087897735611E-2</v>
      </c>
      <c r="I38" s="5">
        <f t="shared" si="7"/>
        <v>-1.7475263335996805E-2</v>
      </c>
      <c r="J38" s="5">
        <f t="shared" si="8"/>
        <v>-2.8259549219538438E-2</v>
      </c>
      <c r="K38" s="10">
        <f t="shared" si="9"/>
        <v>88.782797269722082</v>
      </c>
      <c r="L38" s="10">
        <f t="shared" si="10"/>
        <v>96.81500581353923</v>
      </c>
      <c r="M38" s="10">
        <f t="shared" si="11"/>
        <v>91.194094663828253</v>
      </c>
      <c r="N38" s="10">
        <f t="shared" si="12"/>
        <v>90.741744872227216</v>
      </c>
      <c r="O38" s="11">
        <f t="shared" si="13"/>
        <v>2543.7856136266605</v>
      </c>
      <c r="P38" s="11">
        <f t="shared" si="14"/>
        <v>2092.3255396343307</v>
      </c>
      <c r="Q38" s="11">
        <f t="shared" si="15"/>
        <v>3243.970883316706</v>
      </c>
      <c r="R38" s="11">
        <f t="shared" si="16"/>
        <v>2638.8947824740117</v>
      </c>
      <c r="S38" s="27">
        <f t="shared" si="17"/>
        <v>10518.97681905171</v>
      </c>
    </row>
    <row r="39" spans="1:19" x14ac:dyDescent="0.25">
      <c r="A39" s="6">
        <f t="shared" si="1"/>
        <v>34</v>
      </c>
      <c r="B39" s="24">
        <v>45338</v>
      </c>
      <c r="C39" s="32" cm="1">
        <f t="array" ref="C39" xml:space="preserve"> BonoM(100,C$2,C$1 - $B39,Portafolio!C39)</f>
        <v>91.814373545090262</v>
      </c>
      <c r="D39" s="32" cm="1">
        <f t="array" ref="D39" xml:space="preserve"> BonoM(100,D$2,D$1 - $B39,Portafolio!D39)</f>
        <v>98.390975738764965</v>
      </c>
      <c r="E39" s="32" cm="1">
        <f t="array" ref="E39" xml:space="preserve"> BonoM(100,E$2,E$1 - $B39,Portafolio!E39)</f>
        <v>93.32835746051822</v>
      </c>
      <c r="F39" s="32" cm="1">
        <f t="array" ref="F39" xml:space="preserve"> BonoM(100,F$2,F$1 - $B39,Portafolio!F39)</f>
        <v>95.211964593221552</v>
      </c>
      <c r="G39" s="5">
        <f t="shared" si="5"/>
        <v>-2.6710104195207807E-3</v>
      </c>
      <c r="H39" s="5">
        <f t="shared" si="6"/>
        <v>-3.0543048264858319E-3</v>
      </c>
      <c r="I39" s="5">
        <f t="shared" si="7"/>
        <v>-4.5471762581469344E-3</v>
      </c>
      <c r="J39" s="5">
        <f t="shared" si="8"/>
        <v>-2.9473740005071525E-3</v>
      </c>
      <c r="K39" s="10">
        <f t="shared" si="9"/>
        <v>89.314442685791249</v>
      </c>
      <c r="L39" s="10">
        <f t="shared" si="10"/>
        <v>97.909926567100044</v>
      </c>
      <c r="M39" s="10">
        <f t="shared" si="11"/>
        <v>92.394029029656679</v>
      </c>
      <c r="N39" s="10">
        <f t="shared" si="12"/>
        <v>93.105411985232237</v>
      </c>
      <c r="O39" s="11">
        <f t="shared" si="13"/>
        <v>789.3557405984069</v>
      </c>
      <c r="P39" s="11">
        <f t="shared" si="14"/>
        <v>449.94440929310997</v>
      </c>
      <c r="Q39" s="11">
        <f t="shared" si="15"/>
        <v>844.10215165985392</v>
      </c>
      <c r="R39" s="11">
        <f t="shared" si="16"/>
        <v>275.22766946898969</v>
      </c>
      <c r="S39" s="27">
        <f t="shared" si="17"/>
        <v>2358.6299710203602</v>
      </c>
    </row>
    <row r="40" spans="1:19" x14ac:dyDescent="0.25">
      <c r="A40" s="6">
        <f t="shared" si="1"/>
        <v>35</v>
      </c>
      <c r="B40" s="24">
        <v>45337</v>
      </c>
      <c r="C40" s="32" cm="1">
        <f t="array" ref="C40" xml:space="preserve"> BonoM(100,C$2,C$1 - $B40,Portafolio!C40)</f>
        <v>92.060267478749878</v>
      </c>
      <c r="D40" s="32" cm="1">
        <f t="array" ref="D40" xml:space="preserve"> BonoM(100,D$2,D$1 - $B40,Portafolio!D40)</f>
        <v>98.692412450449908</v>
      </c>
      <c r="E40" s="32" cm="1">
        <f t="array" ref="E40" xml:space="preserve"> BonoM(100,E$2,E$1 - $B40,Portafolio!E40)</f>
        <v>93.75467649958739</v>
      </c>
      <c r="F40" s="32" cm="1">
        <f t="array" ref="F40" xml:space="preserve"> BonoM(100,F$2,F$1 - $B40,Portafolio!F40)</f>
        <v>95.493419414824331</v>
      </c>
      <c r="G40" s="5">
        <f t="shared" si="5"/>
        <v>1.3257117345544245E-3</v>
      </c>
      <c r="H40" s="5">
        <f t="shared" si="6"/>
        <v>1.9087156402417538E-3</v>
      </c>
      <c r="I40" s="5">
        <f t="shared" si="7"/>
        <v>1.8568419679974024E-3</v>
      </c>
      <c r="J40" s="5">
        <f t="shared" si="8"/>
        <v>5.0706346099576027E-3</v>
      </c>
      <c r="K40" s="10">
        <f t="shared" si="9"/>
        <v>89.672363708333009</v>
      </c>
      <c r="L40" s="10">
        <f t="shared" si="10"/>
        <v>98.397344258756505</v>
      </c>
      <c r="M40" s="10">
        <f t="shared" si="11"/>
        <v>92.988424898331488</v>
      </c>
      <c r="N40" s="10">
        <f t="shared" si="12"/>
        <v>93.854138758034338</v>
      </c>
      <c r="O40" s="11">
        <f t="shared" si="13"/>
        <v>-391.7836337894002</v>
      </c>
      <c r="P40" s="11">
        <f t="shared" si="14"/>
        <v>-281.18212819158117</v>
      </c>
      <c r="Q40" s="11">
        <f t="shared" si="15"/>
        <v>-344.68958568976404</v>
      </c>
      <c r="R40" s="11">
        <f t="shared" si="16"/>
        <v>-473.49910333311129</v>
      </c>
      <c r="S40" s="27">
        <f t="shared" si="17"/>
        <v>-1491.1544510038566</v>
      </c>
    </row>
    <row r="41" spans="1:19" x14ac:dyDescent="0.25">
      <c r="A41" s="6">
        <f t="shared" si="1"/>
        <v>36</v>
      </c>
      <c r="B41" s="24">
        <v>45336</v>
      </c>
      <c r="C41" s="32" cm="1">
        <f t="array" ref="C41" xml:space="preserve"> BonoM(100,C$2,C$1 - $B41,Portafolio!C41)</f>
        <v>91.938383684643185</v>
      </c>
      <c r="D41" s="32" cm="1">
        <f t="array" ref="D41" xml:space="preserve"> BonoM(100,D$2,D$1 - $B41,Portafolio!D41)</f>
        <v>98.504395569992894</v>
      </c>
      <c r="E41" s="32" cm="1">
        <f t="array" ref="E41" xml:space="preserve"> BonoM(100,E$2,E$1 - $B41,Portafolio!E41)</f>
        <v>93.580911535644546</v>
      </c>
      <c r="F41" s="32" cm="1">
        <f t="array" ref="F41" xml:space="preserve"> BonoM(100,F$2,F$1 - $B41,Portafolio!F41)</f>
        <v>95.011650053712785</v>
      </c>
      <c r="G41" s="5">
        <f t="shared" si="5"/>
        <v>2.398267675530974E-3</v>
      </c>
      <c r="H41" s="5">
        <f t="shared" si="6"/>
        <v>2.325209908521142E-3</v>
      </c>
      <c r="I41" s="5">
        <f t="shared" si="7"/>
        <v>4.5396054748285675E-3</v>
      </c>
      <c r="J41" s="5">
        <f t="shared" si="8"/>
        <v>5.8657638369319365E-3</v>
      </c>
      <c r="K41" s="10">
        <f t="shared" si="9"/>
        <v>89.768414998447369</v>
      </c>
      <c r="L41" s="10">
        <f t="shared" si="10"/>
        <v>98.438248114824361</v>
      </c>
      <c r="M41" s="10">
        <f t="shared" si="11"/>
        <v>93.237428490885605</v>
      </c>
      <c r="N41" s="10">
        <f t="shared" si="12"/>
        <v>93.92838843385735</v>
      </c>
      <c r="O41" s="11">
        <f t="shared" si="13"/>
        <v>-708.75289116678891</v>
      </c>
      <c r="P41" s="11">
        <f t="shared" si="14"/>
        <v>-342.53791229336628</v>
      </c>
      <c r="Q41" s="11">
        <f t="shared" si="15"/>
        <v>-842.69677079799976</v>
      </c>
      <c r="R41" s="11">
        <f t="shared" si="16"/>
        <v>-547.74877915612308</v>
      </c>
      <c r="S41" s="27">
        <f t="shared" si="17"/>
        <v>-2441.7363534142778</v>
      </c>
    </row>
    <row r="42" spans="1:19" x14ac:dyDescent="0.25">
      <c r="A42" s="6">
        <f t="shared" si="1"/>
        <v>37</v>
      </c>
      <c r="B42" s="24">
        <v>45335</v>
      </c>
      <c r="C42" s="32" cm="1">
        <f t="array" ref="C42" xml:space="preserve"> BonoM(100,C$2,C$1 - $B42,Portafolio!C42)</f>
        <v>91.718418366623695</v>
      </c>
      <c r="D42" s="32" cm="1">
        <f t="array" ref="D42" xml:space="preserve"> BonoM(100,D$2,D$1 - $B42,Portafolio!D42)</f>
        <v>98.275883511882398</v>
      </c>
      <c r="E42" s="32" cm="1">
        <f t="array" ref="E42" xml:space="preserve"> BonoM(100,E$2,E$1 - $B42,Portafolio!E42)</f>
        <v>93.158010919251367</v>
      </c>
      <c r="F42" s="32" cm="1">
        <f t="array" ref="F42" xml:space="preserve"> BonoM(100,F$2,F$1 - $B42,Portafolio!F42)</f>
        <v>94.45758417235065</v>
      </c>
      <c r="G42" s="5">
        <f t="shared" si="5"/>
        <v>-4.8127192422062759E-3</v>
      </c>
      <c r="H42" s="5">
        <f t="shared" si="6"/>
        <v>-7.1891273056806648E-3</v>
      </c>
      <c r="I42" s="5">
        <f t="shared" si="7"/>
        <v>-9.3412206386247476E-3</v>
      </c>
      <c r="J42" s="5">
        <f t="shared" si="8"/>
        <v>-6.9202537470178793E-3</v>
      </c>
      <c r="K42" s="10">
        <f t="shared" si="9"/>
        <v>89.122644861911837</v>
      </c>
      <c r="L42" s="10">
        <f t="shared" si="10"/>
        <v>97.503846108288798</v>
      </c>
      <c r="M42" s="10">
        <f t="shared" si="11"/>
        <v>91.949064622408983</v>
      </c>
      <c r="N42" s="10">
        <f t="shared" si="12"/>
        <v>92.734421933231857</v>
      </c>
      <c r="O42" s="11">
        <f t="shared" si="13"/>
        <v>1422.2885594004665</v>
      </c>
      <c r="P42" s="11">
        <f t="shared" si="14"/>
        <v>1059.0650975099791</v>
      </c>
      <c r="Q42" s="11">
        <f t="shared" si="15"/>
        <v>1734.0309661552453</v>
      </c>
      <c r="R42" s="11">
        <f t="shared" si="16"/>
        <v>646.21772146936962</v>
      </c>
      <c r="S42" s="27">
        <f t="shared" si="17"/>
        <v>4861.6023445350602</v>
      </c>
    </row>
    <row r="43" spans="1:19" x14ac:dyDescent="0.25">
      <c r="A43" s="6">
        <f t="shared" si="1"/>
        <v>38</v>
      </c>
      <c r="B43" s="24">
        <v>45334</v>
      </c>
      <c r="C43" s="32" cm="1">
        <f t="array" ref="C43" xml:space="preserve"> BonoM(100,C$2,C$1 - $B43,Portafolio!C43)</f>
        <v>92.161968043626857</v>
      </c>
      <c r="D43" s="32" cm="1">
        <f t="array" ref="D43" xml:space="preserve"> BonoM(100,D$2,D$1 - $B43,Portafolio!D43)</f>
        <v>98.987517375971535</v>
      </c>
      <c r="E43" s="32" cm="1">
        <f t="array" ref="E43" xml:space="preserve"> BonoM(100,E$2,E$1 - $B43,Portafolio!E43)</f>
        <v>94.036425921855113</v>
      </c>
      <c r="F43" s="32" cm="1">
        <f t="array" ref="F43" xml:space="preserve"> BonoM(100,F$2,F$1 - $B43,Portafolio!F43)</f>
        <v>95.115809710903164</v>
      </c>
      <c r="G43" s="5">
        <f t="shared" si="5"/>
        <v>1.0559273665796898E-2</v>
      </c>
      <c r="H43" s="5">
        <f t="shared" si="6"/>
        <v>1.5343963073642275E-2</v>
      </c>
      <c r="I43" s="5">
        <f t="shared" si="7"/>
        <v>1.9745065104928683E-2</v>
      </c>
      <c r="J43" s="5">
        <f t="shared" si="8"/>
        <v>2.9931077080570079E-2</v>
      </c>
      <c r="K43" s="10">
        <f t="shared" si="9"/>
        <v>90.499262802322605</v>
      </c>
      <c r="L43" s="10">
        <f t="shared" si="10"/>
        <v>99.716818424684988</v>
      </c>
      <c r="M43" s="10">
        <f t="shared" si="11"/>
        <v>94.648739649953711</v>
      </c>
      <c r="N43" s="10">
        <f t="shared" si="12"/>
        <v>96.175622778039028</v>
      </c>
      <c r="O43" s="11">
        <f t="shared" si="13"/>
        <v>-3120.5506439550659</v>
      </c>
      <c r="P43" s="11">
        <f t="shared" si="14"/>
        <v>-2260.3933770843055</v>
      </c>
      <c r="Q43" s="11">
        <f t="shared" si="15"/>
        <v>-3665.3190889342113</v>
      </c>
      <c r="R43" s="11">
        <f t="shared" si="16"/>
        <v>-2794.9831233378009</v>
      </c>
      <c r="S43" s="27">
        <f t="shared" si="17"/>
        <v>-11841.246233311384</v>
      </c>
    </row>
    <row r="44" spans="1:19" x14ac:dyDescent="0.25">
      <c r="A44" s="6">
        <f t="shared" si="1"/>
        <v>39</v>
      </c>
      <c r="B44" s="24">
        <v>45332</v>
      </c>
      <c r="C44" s="32" cm="1">
        <f t="array" ref="C44" xml:space="preserve"> BonoM(100,C$2,C$1 - $B44,Portafolio!C44)</f>
        <v>91.198973128325221</v>
      </c>
      <c r="D44" s="32" cm="1">
        <f t="array" ref="D44" xml:space="preserve"> BonoM(100,D$2,D$1 - $B44,Portafolio!D44)</f>
        <v>97.491609716491737</v>
      </c>
      <c r="E44" s="32" cm="1">
        <f t="array" ref="E44" xml:space="preserve"> BonoM(100,E$2,E$1 - $B44,Portafolio!E44)</f>
        <v>92.21562245283242</v>
      </c>
      <c r="F44" s="32" cm="1">
        <f t="array" ref="F44" xml:space="preserve"> BonoM(100,F$2,F$1 - $B44,Portafolio!F44)</f>
        <v>92.351626072413765</v>
      </c>
      <c r="G44" s="5">
        <f t="shared" si="5"/>
        <v>-9.1604547101190592E-3</v>
      </c>
      <c r="H44" s="5">
        <f t="shared" si="6"/>
        <v>-1.4380354191076195E-2</v>
      </c>
      <c r="I44" s="5">
        <f t="shared" si="7"/>
        <v>-1.8104751624872684E-2</v>
      </c>
      <c r="J44" s="5">
        <f t="shared" si="8"/>
        <v>-2.7545657051477934E-2</v>
      </c>
      <c r="K44" s="10">
        <f t="shared" si="9"/>
        <v>88.733289318937764</v>
      </c>
      <c r="L44" s="10">
        <f t="shared" si="10"/>
        <v>96.797596510456998</v>
      </c>
      <c r="M44" s="10">
        <f t="shared" si="11"/>
        <v>91.135668028382483</v>
      </c>
      <c r="N44" s="10">
        <f t="shared" si="12"/>
        <v>90.808408579525192</v>
      </c>
      <c r="O44" s="11">
        <f t="shared" si="13"/>
        <v>2707.1618512149071</v>
      </c>
      <c r="P44" s="11">
        <f t="shared" si="14"/>
        <v>2118.4394942576787</v>
      </c>
      <c r="Q44" s="11">
        <f t="shared" si="15"/>
        <v>3360.8241542082451</v>
      </c>
      <c r="R44" s="11">
        <f t="shared" si="16"/>
        <v>2572.2310751760347</v>
      </c>
      <c r="S44" s="27">
        <f t="shared" si="17"/>
        <v>10758.656574856865</v>
      </c>
    </row>
    <row r="45" spans="1:19" x14ac:dyDescent="0.25">
      <c r="A45" s="6">
        <f t="shared" si="1"/>
        <v>40</v>
      </c>
      <c r="B45" s="24">
        <v>45331</v>
      </c>
      <c r="C45" s="32" cm="1">
        <f t="array" ref="C45" xml:space="preserve"> BonoM(100,C$2,C$1 - $B45,Portafolio!C45)</f>
        <v>92.042120807404757</v>
      </c>
      <c r="D45" s="32" cm="1">
        <f t="array" ref="D45" xml:space="preserve"> BonoM(100,D$2,D$1 - $B45,Portafolio!D45)</f>
        <v>98.914028480507639</v>
      </c>
      <c r="E45" s="32" cm="1">
        <f t="array" ref="E45" xml:space="preserve"> BonoM(100,E$2,E$1 - $B45,Portafolio!E45)</f>
        <v>93.915947353278142</v>
      </c>
      <c r="F45" s="32" cm="1">
        <f t="array" ref="F45" xml:space="preserve"> BonoM(100,F$2,F$1 - $B45,Portafolio!F45)</f>
        <v>94.967570191932907</v>
      </c>
      <c r="G45" s="5">
        <f t="shared" si="5"/>
        <v>1.8693591361793604E-3</v>
      </c>
      <c r="H45" s="5">
        <f t="shared" si="6"/>
        <v>3.1657260699882173E-3</v>
      </c>
      <c r="I45" s="5">
        <f t="shared" si="7"/>
        <v>3.4761934704687913E-3</v>
      </c>
      <c r="J45" s="5">
        <f t="shared" si="8"/>
        <v>2.6611580444972915E-3</v>
      </c>
      <c r="K45" s="10">
        <f t="shared" si="9"/>
        <v>89.721049312783492</v>
      </c>
      <c r="L45" s="10">
        <f t="shared" si="10"/>
        <v>98.520795114170582</v>
      </c>
      <c r="M45" s="10">
        <f t="shared" si="11"/>
        <v>93.138726757103811</v>
      </c>
      <c r="N45" s="10">
        <f t="shared" si="12"/>
        <v>93.629140295118631</v>
      </c>
      <c r="O45" s="11">
        <f t="shared" si="13"/>
        <v>-552.44612847599512</v>
      </c>
      <c r="P45" s="11">
        <f t="shared" si="14"/>
        <v>-466.35841131269729</v>
      </c>
      <c r="Q45" s="11">
        <f t="shared" si="15"/>
        <v>-645.29330323441059</v>
      </c>
      <c r="R45" s="11">
        <f t="shared" si="16"/>
        <v>-248.50064041740438</v>
      </c>
      <c r="S45" s="27">
        <f t="shared" si="17"/>
        <v>-1912.5984834405074</v>
      </c>
    </row>
    <row r="46" spans="1:19" x14ac:dyDescent="0.25">
      <c r="A46" s="6">
        <f t="shared" si="1"/>
        <v>41</v>
      </c>
      <c r="B46" s="24">
        <v>45330</v>
      </c>
      <c r="C46" s="32" cm="1">
        <f t="array" ref="C46" xml:space="preserve"> BonoM(100,C$2,C$1 - $B46,Portafolio!C46)</f>
        <v>91.870382069339144</v>
      </c>
      <c r="D46" s="32" cm="1">
        <f t="array" ref="D46" xml:space="preserve"> BonoM(100,D$2,D$1 - $B46,Portafolio!D46)</f>
        <v>98.601881932324588</v>
      </c>
      <c r="E46" s="32" cm="1">
        <f t="array" ref="E46" xml:space="preserve"> BonoM(100,E$2,E$1 - $B46,Portafolio!E46)</f>
        <v>93.590608291836858</v>
      </c>
      <c r="F46" s="32" cm="1">
        <f t="array" ref="F46" xml:space="preserve"> BonoM(100,F$2,F$1 - $B46,Portafolio!F46)</f>
        <v>94.715517231314081</v>
      </c>
      <c r="G46" s="5">
        <f t="shared" si="5"/>
        <v>2.6801255857749062E-3</v>
      </c>
      <c r="H46" s="5">
        <f t="shared" si="6"/>
        <v>2.3329456928149472E-3</v>
      </c>
      <c r="I46" s="5">
        <f t="shared" si="7"/>
        <v>2.9382501473871336E-3</v>
      </c>
      <c r="J46" s="5">
        <f t="shared" si="8"/>
        <v>5.0694486627560487E-3</v>
      </c>
      <c r="K46" s="10">
        <f t="shared" si="9"/>
        <v>89.793656400665711</v>
      </c>
      <c r="L46" s="10">
        <f t="shared" si="10"/>
        <v>98.439007845345103</v>
      </c>
      <c r="M46" s="10">
        <f t="shared" si="11"/>
        <v>93.088796966536449</v>
      </c>
      <c r="N46" s="10">
        <f t="shared" si="12"/>
        <v>93.854028013526062</v>
      </c>
      <c r="O46" s="11">
        <f t="shared" si="13"/>
        <v>-792.04951848731616</v>
      </c>
      <c r="P46" s="11">
        <f t="shared" si="14"/>
        <v>-343.67750807447806</v>
      </c>
      <c r="Q46" s="11">
        <f t="shared" si="15"/>
        <v>-545.43372209968766</v>
      </c>
      <c r="R46" s="11">
        <f t="shared" si="16"/>
        <v>-473.38835882483465</v>
      </c>
      <c r="S46" s="27">
        <f t="shared" si="17"/>
        <v>-2154.5491074863166</v>
      </c>
    </row>
    <row r="47" spans="1:19" x14ac:dyDescent="0.25">
      <c r="A47" s="6">
        <f t="shared" si="1"/>
        <v>42</v>
      </c>
      <c r="B47" s="24">
        <v>45329</v>
      </c>
      <c r="C47" s="32" cm="1">
        <f t="array" ref="C47" xml:space="preserve"> BonoM(100,C$2,C$1 - $B47,Portafolio!C47)</f>
        <v>91.624816055536783</v>
      </c>
      <c r="D47" s="32" cm="1">
        <f t="array" ref="D47" xml:space="preserve"> BonoM(100,D$2,D$1 - $B47,Portafolio!D47)</f>
        <v>98.372384501609616</v>
      </c>
      <c r="E47" s="32" cm="1">
        <f t="array" ref="E47" xml:space="preserve"> BonoM(100,E$2,E$1 - $B47,Portafolio!E47)</f>
        <v>93.316421303189131</v>
      </c>
      <c r="F47" s="32" cm="1">
        <f t="array" ref="F47" xml:space="preserve"> BonoM(100,F$2,F$1 - $B47,Portafolio!F47)</f>
        <v>94.237783625134554</v>
      </c>
      <c r="G47" s="5">
        <f t="shared" si="5"/>
        <v>2.4138606823600472E-3</v>
      </c>
      <c r="H47" s="5">
        <f t="shared" si="6"/>
        <v>1.0838725882813538E-3</v>
      </c>
      <c r="I47" s="5">
        <f t="shared" si="7"/>
        <v>2.5157376369278062E-4</v>
      </c>
      <c r="J47" s="5">
        <f t="shared" si="8"/>
        <v>-3.7407854922058004E-3</v>
      </c>
      <c r="K47" s="10">
        <f t="shared" si="9"/>
        <v>89.769811408989213</v>
      </c>
      <c r="L47" s="10">
        <f t="shared" si="10"/>
        <v>98.316336513763162</v>
      </c>
      <c r="M47" s="10">
        <f t="shared" si="11"/>
        <v>92.83943019608995</v>
      </c>
      <c r="N47" s="10">
        <f t="shared" si="12"/>
        <v>93.031322712628025</v>
      </c>
      <c r="O47" s="11">
        <f t="shared" si="13"/>
        <v>-713.36104595487336</v>
      </c>
      <c r="P47" s="11">
        <f t="shared" si="14"/>
        <v>-159.67051070156657</v>
      </c>
      <c r="Q47" s="11">
        <f t="shared" si="15"/>
        <v>-46.700181206688285</v>
      </c>
      <c r="R47" s="11">
        <f t="shared" si="16"/>
        <v>349.31694207320163</v>
      </c>
      <c r="S47" s="27">
        <f t="shared" si="17"/>
        <v>-570.41479578992664</v>
      </c>
    </row>
    <row r="48" spans="1:19" x14ac:dyDescent="0.25">
      <c r="A48" s="6">
        <f t="shared" si="1"/>
        <v>43</v>
      </c>
      <c r="B48" s="24">
        <v>45328</v>
      </c>
      <c r="C48" s="32" cm="1">
        <f t="array" ref="C48" xml:space="preserve"> BonoM(100,C$2,C$1 - $B48,Portafolio!C48)</f>
        <v>91.404179101400516</v>
      </c>
      <c r="D48" s="32" cm="1">
        <f t="array" ref="D48" xml:space="preserve"> BonoM(100,D$2,D$1 - $B48,Portafolio!D48)</f>
        <v>98.265876811370333</v>
      </c>
      <c r="E48" s="32" cm="1">
        <f t="array" ref="E48" xml:space="preserve"> BonoM(100,E$2,E$1 - $B48,Portafolio!E48)</f>
        <v>93.292951244318587</v>
      </c>
      <c r="F48" s="32" cm="1">
        <f t="array" ref="F48" xml:space="preserve"> BonoM(100,F$2,F$1 - $B48,Portafolio!F48)</f>
        <v>94.591630624659373</v>
      </c>
      <c r="G48" s="5">
        <f t="shared" si="5"/>
        <v>9.1774354683673565E-3</v>
      </c>
      <c r="H48" s="5">
        <f t="shared" si="6"/>
        <v>1.337439941321561E-2</v>
      </c>
      <c r="I48" s="5">
        <f t="shared" si="7"/>
        <v>1.753349496742973E-2</v>
      </c>
      <c r="J48" s="5">
        <f t="shared" si="8"/>
        <v>2.7764763724065222E-2</v>
      </c>
      <c r="K48" s="10">
        <f t="shared" si="9"/>
        <v>90.375514159923995</v>
      </c>
      <c r="L48" s="10">
        <f t="shared" si="10"/>
        <v>99.523387795218213</v>
      </c>
      <c r="M48" s="10">
        <f t="shared" si="11"/>
        <v>94.443470378912707</v>
      </c>
      <c r="N48" s="10">
        <f t="shared" si="12"/>
        <v>95.973331051116077</v>
      </c>
      <c r="O48" s="11">
        <f t="shared" si="13"/>
        <v>-2712.1801240396535</v>
      </c>
      <c r="P48" s="11">
        <f t="shared" si="14"/>
        <v>-1970.2474328841433</v>
      </c>
      <c r="Q48" s="11">
        <f t="shared" si="15"/>
        <v>-3254.7805468522029</v>
      </c>
      <c r="R48" s="11">
        <f t="shared" si="16"/>
        <v>-2592.6913964148498</v>
      </c>
      <c r="S48" s="27">
        <f t="shared" si="17"/>
        <v>-10529.89950019085</v>
      </c>
    </row>
    <row r="49" spans="1:19" x14ac:dyDescent="0.25">
      <c r="A49" s="6">
        <f t="shared" si="1"/>
        <v>44</v>
      </c>
      <c r="B49" s="24">
        <v>45325</v>
      </c>
      <c r="C49" s="32" cm="1">
        <f t="array" ref="C49" xml:space="preserve"> BonoM(100,C$2,C$1 - $B49,Portafolio!C49)</f>
        <v>90.572951682157949</v>
      </c>
      <c r="D49" s="32" cm="1">
        <f t="array" ref="D49" xml:space="preserve"> BonoM(100,D$2,D$1 - $B49,Portafolio!D49)</f>
        <v>96.968975008911045</v>
      </c>
      <c r="E49" s="32" cm="1">
        <f t="array" ref="E49" xml:space="preserve"> BonoM(100,E$2,E$1 - $B49,Portafolio!E49)</f>
        <v>91.685385990467864</v>
      </c>
      <c r="F49" s="32" cm="1">
        <f t="array" ref="F49" xml:space="preserve"> BonoM(100,F$2,F$1 - $B49,Portafolio!F49)</f>
        <v>92.036265460113967</v>
      </c>
      <c r="G49" s="5">
        <f t="shared" si="5"/>
        <v>-1.073259403340765E-2</v>
      </c>
      <c r="H49" s="5">
        <f t="shared" si="6"/>
        <v>-1.3441550649775147E-2</v>
      </c>
      <c r="I49" s="5">
        <f t="shared" si="7"/>
        <v>-1.7828519891931016E-2</v>
      </c>
      <c r="J49" s="5">
        <f t="shared" si="8"/>
        <v>-2.9929447377720964E-2</v>
      </c>
      <c r="K49" s="10">
        <f t="shared" si="9"/>
        <v>88.592498517756908</v>
      </c>
      <c r="L49" s="10">
        <f t="shared" si="10"/>
        <v>96.889796302516615</v>
      </c>
      <c r="M49" s="10">
        <f t="shared" si="11"/>
        <v>91.161306775034873</v>
      </c>
      <c r="N49" s="10">
        <f t="shared" si="12"/>
        <v>90.585808714057919</v>
      </c>
      <c r="O49" s="11">
        <f t="shared" si="13"/>
        <v>3171.7714951117314</v>
      </c>
      <c r="P49" s="11">
        <f t="shared" si="14"/>
        <v>1980.1398061682535</v>
      </c>
      <c r="Q49" s="11">
        <f t="shared" si="15"/>
        <v>3309.5466609034647</v>
      </c>
      <c r="R49" s="11">
        <f t="shared" si="16"/>
        <v>2794.8309406433082</v>
      </c>
      <c r="S49" s="27">
        <f t="shared" si="17"/>
        <v>11256.288902826756</v>
      </c>
    </row>
    <row r="50" spans="1:19" x14ac:dyDescent="0.25">
      <c r="A50" s="6">
        <f t="shared" si="1"/>
        <v>45</v>
      </c>
      <c r="B50" s="24">
        <v>45324</v>
      </c>
      <c r="C50" s="32" cm="1">
        <f t="array" ref="C50" xml:space="preserve"> BonoM(100,C$2,C$1 - $B50,Portafolio!C50)</f>
        <v>91.555580559799225</v>
      </c>
      <c r="D50" s="32" cm="1">
        <f t="array" ref="D50" xml:space="preserve"> BonoM(100,D$2,D$1 - $B50,Portafolio!D50)</f>
        <v>98.290146998160665</v>
      </c>
      <c r="E50" s="32" cm="1">
        <f t="array" ref="E50" xml:space="preserve"> BonoM(100,E$2,E$1 - $B50,Portafolio!E50)</f>
        <v>93.349672483240568</v>
      </c>
      <c r="F50" s="32" cm="1">
        <f t="array" ref="F50" xml:space="preserve"> BonoM(100,F$2,F$1 - $B50,Portafolio!F50)</f>
        <v>94.875847134337832</v>
      </c>
      <c r="G50" s="5">
        <f t="shared" si="5"/>
        <v>-5.8398774165157041E-3</v>
      </c>
      <c r="H50" s="5">
        <f t="shared" si="6"/>
        <v>-8.9096114519999769E-3</v>
      </c>
      <c r="I50" s="5">
        <f t="shared" si="7"/>
        <v>-1.0477693690671863E-2</v>
      </c>
      <c r="J50" s="5">
        <f t="shared" si="8"/>
        <v>-1.25733686878301E-2</v>
      </c>
      <c r="K50" s="10">
        <f t="shared" si="9"/>
        <v>89.030659107113721</v>
      </c>
      <c r="L50" s="10">
        <f t="shared" si="10"/>
        <v>97.334877550380867</v>
      </c>
      <c r="M50" s="10">
        <f t="shared" si="11"/>
        <v>91.843581648572453</v>
      </c>
      <c r="N50" s="10">
        <f t="shared" si="12"/>
        <v>92.206530444017261</v>
      </c>
      <c r="O50" s="11">
        <f t="shared" si="13"/>
        <v>1725.8415502342516</v>
      </c>
      <c r="P50" s="11">
        <f t="shared" si="14"/>
        <v>1312.5179343718755</v>
      </c>
      <c r="Q50" s="11">
        <f t="shared" si="15"/>
        <v>1944.9969138283052</v>
      </c>
      <c r="R50" s="11">
        <f t="shared" si="16"/>
        <v>1174.109210683966</v>
      </c>
      <c r="S50" s="27">
        <f t="shared" si="17"/>
        <v>6157.4656091183979</v>
      </c>
    </row>
    <row r="51" spans="1:19" x14ac:dyDescent="0.25">
      <c r="A51" s="6">
        <f t="shared" si="1"/>
        <v>46</v>
      </c>
      <c r="B51" s="24">
        <v>45323</v>
      </c>
      <c r="C51" s="32" cm="1">
        <f t="array" ref="C51" xml:space="preserve"> BonoM(100,C$2,C$1 - $B51,Portafolio!C51)</f>
        <v>92.093394695692865</v>
      </c>
      <c r="D51" s="32" cm="1">
        <f t="array" ref="D51" xml:space="preserve"> BonoM(100,D$2,D$1 - $B51,Portafolio!D51)</f>
        <v>99.17374654612577</v>
      </c>
      <c r="E51" s="32" cm="1">
        <f t="array" ref="E51" xml:space="preserve"> BonoM(100,E$2,E$1 - $B51,Portafolio!E51)</f>
        <v>94.338118391096813</v>
      </c>
      <c r="F51" s="32" cm="1">
        <f t="array" ref="F51" xml:space="preserve"> BonoM(100,F$2,F$1 - $B51,Portafolio!F51)</f>
        <v>96.083946012534994</v>
      </c>
      <c r="G51" s="5">
        <f t="shared" si="5"/>
        <v>2.8582934970822205E-3</v>
      </c>
      <c r="H51" s="5">
        <f t="shared" si="6"/>
        <v>3.6012191994461151E-3</v>
      </c>
      <c r="I51" s="5">
        <f t="shared" si="7"/>
        <v>7.2884117866709452E-3</v>
      </c>
      <c r="J51" s="5">
        <f t="shared" si="8"/>
        <v>9.1740509983047058E-3</v>
      </c>
      <c r="K51" s="10">
        <f t="shared" si="9"/>
        <v>89.809611985903032</v>
      </c>
      <c r="L51" s="10">
        <f t="shared" si="10"/>
        <v>98.563564846295534</v>
      </c>
      <c r="M51" s="10">
        <f t="shared" si="11"/>
        <v>93.492561917720025</v>
      </c>
      <c r="N51" s="10">
        <f t="shared" si="12"/>
        <v>94.237318405147775</v>
      </c>
      <c r="O51" s="11">
        <f t="shared" si="13"/>
        <v>-844.70294977047752</v>
      </c>
      <c r="P51" s="11">
        <f t="shared" si="14"/>
        <v>-530.51300950012603</v>
      </c>
      <c r="Q51" s="11">
        <f t="shared" si="15"/>
        <v>-1352.9636244668382</v>
      </c>
      <c r="R51" s="11">
        <f t="shared" si="16"/>
        <v>-856.67875044654807</v>
      </c>
      <c r="S51" s="27">
        <f t="shared" si="17"/>
        <v>-3584.8583341839894</v>
      </c>
    </row>
    <row r="52" spans="1:19" x14ac:dyDescent="0.25">
      <c r="A52" s="6">
        <f t="shared" si="1"/>
        <v>47</v>
      </c>
      <c r="B52" s="24">
        <v>45322</v>
      </c>
      <c r="C52" s="32" cm="1">
        <f t="array" ref="C52" xml:space="preserve"> BonoM(100,C$2,C$1 - $B52,Portafolio!C52)</f>
        <v>91.830914988549992</v>
      </c>
      <c r="D52" s="32" cm="1">
        <f t="array" ref="D52" xml:space="preserve"> BonoM(100,D$2,D$1 - $B52,Portafolio!D52)</f>
        <v>98.817881693323173</v>
      </c>
      <c r="E52" s="32" cm="1">
        <f t="array" ref="E52" xml:space="preserve"> BonoM(100,E$2,E$1 - $B52,Portafolio!E52)</f>
        <v>93.655518406853531</v>
      </c>
      <c r="F52" s="32" cm="1">
        <f t="array" ref="F52" xml:space="preserve"> BonoM(100,F$2,F$1 - $B52,Portafolio!F52)</f>
        <v>95.21048021150159</v>
      </c>
      <c r="G52" s="5">
        <f t="shared" si="5"/>
        <v>3.5141068943729259E-3</v>
      </c>
      <c r="H52" s="5">
        <f t="shared" si="6"/>
        <v>5.2836148060404486E-3</v>
      </c>
      <c r="I52" s="5">
        <f t="shared" si="7"/>
        <v>6.1973427056205566E-3</v>
      </c>
      <c r="J52" s="5">
        <f t="shared" si="8"/>
        <v>6.7139257591075641E-3</v>
      </c>
      <c r="K52" s="10">
        <f t="shared" si="9"/>
        <v>89.868342463706085</v>
      </c>
      <c r="L52" s="10">
        <f t="shared" si="10"/>
        <v>98.728792732925598</v>
      </c>
      <c r="M52" s="10">
        <f t="shared" si="11"/>
        <v>93.39129316249263</v>
      </c>
      <c r="N52" s="10">
        <f t="shared" si="12"/>
        <v>94.007590336680863</v>
      </c>
      <c r="O52" s="11">
        <f t="shared" si="13"/>
        <v>-1038.513526520552</v>
      </c>
      <c r="P52" s="11">
        <f t="shared" si="14"/>
        <v>-778.35483944522116</v>
      </c>
      <c r="Q52" s="11">
        <f t="shared" si="15"/>
        <v>-1150.4261140120491</v>
      </c>
      <c r="R52" s="11">
        <f t="shared" si="16"/>
        <v>-626.95068197963622</v>
      </c>
      <c r="S52" s="27">
        <f t="shared" si="17"/>
        <v>-3594.2451619574585</v>
      </c>
    </row>
    <row r="53" spans="1:19" x14ac:dyDescent="0.25">
      <c r="A53" s="6">
        <f t="shared" si="1"/>
        <v>48</v>
      </c>
      <c r="B53" s="24">
        <v>45321</v>
      </c>
      <c r="C53" s="32" cm="1">
        <f t="array" ref="C53" xml:space="preserve"> BonoM(100,C$2,C$1 - $B53,Portafolio!C53)</f>
        <v>91.509341381103141</v>
      </c>
      <c r="D53" s="32" cm="1">
        <f t="array" ref="D53" xml:space="preserve"> BonoM(100,D$2,D$1 - $B53,Portafolio!D53)</f>
        <v>98.298510229264124</v>
      </c>
      <c r="E53" s="32" cm="1">
        <f t="array" ref="E53" xml:space="preserve"> BonoM(100,E$2,E$1 - $B53,Portafolio!E53)</f>
        <v>93.078677941066658</v>
      </c>
      <c r="F53" s="32" cm="1">
        <f t="array" ref="F53" xml:space="preserve"> BonoM(100,F$2,F$1 - $B53,Portafolio!F53)</f>
        <v>94.575507277013784</v>
      </c>
      <c r="G53" s="5">
        <f t="shared" si="5"/>
        <v>-1.6391562143351912E-3</v>
      </c>
      <c r="H53" s="5">
        <f t="shared" si="6"/>
        <v>-1.8417822906100501E-3</v>
      </c>
      <c r="I53" s="5">
        <f t="shared" si="7"/>
        <v>-1.3641774447468169E-3</v>
      </c>
      <c r="J53" s="5">
        <f t="shared" si="8"/>
        <v>-5.5068661267132502E-4</v>
      </c>
      <c r="K53" s="10">
        <f t="shared" si="9"/>
        <v>89.406848987254435</v>
      </c>
      <c r="L53" s="10">
        <f t="shared" si="10"/>
        <v>98.029008271372703</v>
      </c>
      <c r="M53" s="10">
        <f t="shared" si="11"/>
        <v>92.68946250249688</v>
      </c>
      <c r="N53" s="10">
        <f t="shared" si="12"/>
        <v>93.3292161865607</v>
      </c>
      <c r="O53" s="11">
        <f t="shared" si="13"/>
        <v>484.4149457698947</v>
      </c>
      <c r="P53" s="11">
        <f t="shared" si="14"/>
        <v>271.32185288412103</v>
      </c>
      <c r="Q53" s="11">
        <f t="shared" si="15"/>
        <v>253.23520597945048</v>
      </c>
      <c r="R53" s="11">
        <f t="shared" si="16"/>
        <v>51.423468140527007</v>
      </c>
      <c r="S53" s="27">
        <f t="shared" si="17"/>
        <v>1060.3954727739933</v>
      </c>
    </row>
    <row r="54" spans="1:19" x14ac:dyDescent="0.25">
      <c r="A54" s="6">
        <f t="shared" si="1"/>
        <v>49</v>
      </c>
      <c r="B54" s="24">
        <v>45320</v>
      </c>
      <c r="C54" s="32" cm="1">
        <f t="array" ref="C54" xml:space="preserve"> BonoM(100,C$2,C$1 - $B54,Portafolio!C54)</f>
        <v>91.659585760706193</v>
      </c>
      <c r="D54" s="32" cm="1">
        <f t="array" ref="D54" xml:space="preserve"> BonoM(100,D$2,D$1 - $B54,Portafolio!D54)</f>
        <v>98.479888744334687</v>
      </c>
      <c r="E54" s="32" cm="1">
        <f t="array" ref="E54" xml:space="preserve"> BonoM(100,E$2,E$1 - $B54,Portafolio!E54)</f>
        <v>93.20582722829046</v>
      </c>
      <c r="F54" s="32" cm="1">
        <f t="array" ref="F54" xml:space="preserve"> BonoM(100,F$2,F$1 - $B54,Portafolio!F54)</f>
        <v>94.627617439126496</v>
      </c>
      <c r="G54" s="5">
        <f t="shared" si="5"/>
        <v>1.0286945210479237E-2</v>
      </c>
      <c r="H54" s="5">
        <f t="shared" si="6"/>
        <v>1.5346252066920307E-2</v>
      </c>
      <c r="I54" s="5">
        <f t="shared" si="7"/>
        <v>2.007492109121678E-2</v>
      </c>
      <c r="J54" s="5">
        <f t="shared" si="8"/>
        <v>3.0703156518608665E-2</v>
      </c>
      <c r="K54" s="10">
        <f t="shared" si="9"/>
        <v>90.474874797493413</v>
      </c>
      <c r="L54" s="10">
        <f t="shared" si="10"/>
        <v>99.717043226461897</v>
      </c>
      <c r="M54" s="10">
        <f t="shared" si="11"/>
        <v>94.679355589600306</v>
      </c>
      <c r="N54" s="10">
        <f t="shared" si="12"/>
        <v>96.247720049827308</v>
      </c>
      <c r="O54" s="11">
        <f t="shared" si="13"/>
        <v>-3040.0702280187347</v>
      </c>
      <c r="P54" s="11">
        <f t="shared" si="14"/>
        <v>-2260.7305797496692</v>
      </c>
      <c r="Q54" s="11">
        <f t="shared" si="15"/>
        <v>-3726.5509682274001</v>
      </c>
      <c r="R54" s="11">
        <f t="shared" si="16"/>
        <v>-2867.0803951260809</v>
      </c>
      <c r="S54" s="27">
        <f t="shared" si="17"/>
        <v>-11894.432171121885</v>
      </c>
    </row>
    <row r="55" spans="1:19" x14ac:dyDescent="0.25">
      <c r="A55" s="6">
        <f t="shared" si="1"/>
        <v>50</v>
      </c>
      <c r="B55" s="24">
        <v>45318</v>
      </c>
      <c r="C55" s="32" cm="1">
        <f t="array" ref="C55" xml:space="preserve"> BonoM(100,C$2,C$1 - $B55,Portafolio!C55)</f>
        <v>90.726289392574699</v>
      </c>
      <c r="D55" s="32" cm="1">
        <f t="array" ref="D55" xml:space="preserve"> BonoM(100,D$2,D$1 - $B55,Portafolio!D55)</f>
        <v>96.991433753619646</v>
      </c>
      <c r="E55" s="32" cm="1">
        <f t="array" ref="E55" xml:space="preserve"> BonoM(100,E$2,E$1 - $B55,Portafolio!E55)</f>
        <v>91.371550560800273</v>
      </c>
      <c r="F55" s="32" cm="1">
        <f t="array" ref="F55" xml:space="preserve"> BonoM(100,F$2,F$1 - $B55,Portafolio!F55)</f>
        <v>91.808797557920414</v>
      </c>
      <c r="G55" s="5">
        <f t="shared" si="5"/>
        <v>-9.4200015882286436E-3</v>
      </c>
      <c r="H55" s="5">
        <f t="shared" si="6"/>
        <v>-1.3552054207279007E-2</v>
      </c>
      <c r="I55" s="5">
        <f t="shared" si="7"/>
        <v>-1.8941357031696748E-2</v>
      </c>
      <c r="J55" s="5">
        <f t="shared" si="8"/>
        <v>-2.7487235425689205E-2</v>
      </c>
      <c r="K55" s="10">
        <f t="shared" si="9"/>
        <v>88.710045950890333</v>
      </c>
      <c r="L55" s="10">
        <f t="shared" si="10"/>
        <v>96.878943760344072</v>
      </c>
      <c r="M55" s="10">
        <f t="shared" si="11"/>
        <v>91.058017593926024</v>
      </c>
      <c r="N55" s="10">
        <f t="shared" si="12"/>
        <v>90.813864028311002</v>
      </c>
      <c r="O55" s="11">
        <f t="shared" si="13"/>
        <v>2783.8649657714313</v>
      </c>
      <c r="P55" s="11">
        <f t="shared" si="14"/>
        <v>1996.4186194270681</v>
      </c>
      <c r="Q55" s="11">
        <f t="shared" si="15"/>
        <v>3516.1250231211625</v>
      </c>
      <c r="R55" s="11">
        <f t="shared" si="16"/>
        <v>2566.7756263902247</v>
      </c>
      <c r="S55" s="27">
        <f t="shared" si="17"/>
        <v>10863.184234709886</v>
      </c>
    </row>
    <row r="56" spans="1:19" x14ac:dyDescent="0.25">
      <c r="A56" s="6">
        <f t="shared" si="1"/>
        <v>51</v>
      </c>
      <c r="B56" s="24">
        <v>45317</v>
      </c>
      <c r="C56" s="32" cm="1">
        <f t="array" ref="C56" xml:space="preserve"> BonoM(100,C$2,C$1 - $B56,Portafolio!C56)</f>
        <v>91.58905846881531</v>
      </c>
      <c r="D56" s="32" cm="1">
        <f t="array" ref="D56" xml:space="preserve"> BonoM(100,D$2,D$1 - $B56,Portafolio!D56)</f>
        <v>98.323924913925595</v>
      </c>
      <c r="E56" s="32" cm="1">
        <f t="array" ref="E56" xml:space="preserve"> BonoM(100,E$2,E$1 - $B56,Portafolio!E56)</f>
        <v>93.135666471828202</v>
      </c>
      <c r="F56" s="32" cm="1">
        <f t="array" ref="F56" xml:space="preserve"> BonoM(100,F$2,F$1 - $B56,Portafolio!F56)</f>
        <v>94.403694123343513</v>
      </c>
      <c r="G56" s="5">
        <f t="shared" si="5"/>
        <v>-2.8821667440448451E-4</v>
      </c>
      <c r="H56" s="5">
        <f t="shared" si="6"/>
        <v>-1.0098509451219595E-3</v>
      </c>
      <c r="I56" s="5">
        <f t="shared" si="7"/>
        <v>2.5104290943289698E-4</v>
      </c>
      <c r="J56" s="5">
        <f t="shared" si="8"/>
        <v>-2.1598953999691917E-3</v>
      </c>
      <c r="K56" s="10">
        <f t="shared" si="9"/>
        <v>89.527830542359794</v>
      </c>
      <c r="L56" s="10">
        <f t="shared" si="10"/>
        <v>98.110712156890187</v>
      </c>
      <c r="M56" s="10">
        <f t="shared" si="11"/>
        <v>92.839380924278444</v>
      </c>
      <c r="N56" s="10">
        <f t="shared" si="12"/>
        <v>93.178947240664854</v>
      </c>
      <c r="O56" s="11">
        <f t="shared" si="13"/>
        <v>85.175813922208476</v>
      </c>
      <c r="P56" s="11">
        <f t="shared" si="14"/>
        <v>148.76602460789456</v>
      </c>
      <c r="Q56" s="11">
        <f t="shared" si="15"/>
        <v>-46.601637583677302</v>
      </c>
      <c r="R56" s="11">
        <f t="shared" si="16"/>
        <v>201.69241403637272</v>
      </c>
      <c r="S56" s="27">
        <f t="shared" si="17"/>
        <v>389.03261498279846</v>
      </c>
    </row>
    <row r="57" spans="1:19" x14ac:dyDescent="0.25">
      <c r="A57" s="6">
        <f t="shared" si="1"/>
        <v>52</v>
      </c>
      <c r="B57" s="24">
        <v>45316</v>
      </c>
      <c r="C57" s="32" cm="1">
        <f t="array" ref="C57" xml:space="preserve"> BonoM(100,C$2,C$1 - $B57,Portafolio!C57)</f>
        <v>91.615463573050363</v>
      </c>
      <c r="D57" s="32" cm="1">
        <f t="array" ref="D57" xml:space="preserve"> BonoM(100,D$2,D$1 - $B57,Portafolio!D57)</f>
        <v>98.423317794422331</v>
      </c>
      <c r="E57" s="32" cm="1">
        <f t="array" ref="E57" xml:space="preserve"> BonoM(100,E$2,E$1 - $B57,Portafolio!E57)</f>
        <v>93.112291291318456</v>
      </c>
      <c r="F57" s="32" cm="1">
        <f t="array" ref="F57" xml:space="preserve"> BonoM(100,F$2,F$1 - $B57,Portafolio!F57)</f>
        <v>94.60803758853109</v>
      </c>
      <c r="G57" s="5">
        <f t="shared" si="5"/>
        <v>1.3476245551151678E-3</v>
      </c>
      <c r="H57" s="5">
        <f t="shared" si="6"/>
        <v>-1.431664569637392E-3</v>
      </c>
      <c r="I57" s="5">
        <f t="shared" si="7"/>
        <v>-3.527675101504868E-3</v>
      </c>
      <c r="J57" s="5">
        <f t="shared" si="8"/>
        <v>-5.5314448976495623E-4</v>
      </c>
      <c r="K57" s="10">
        <f t="shared" si="9"/>
        <v>89.674326081207454</v>
      </c>
      <c r="L57" s="10">
        <f t="shared" si="10"/>
        <v>98.069285887434134</v>
      </c>
      <c r="M57" s="10">
        <f t="shared" si="11"/>
        <v>92.488655130679206</v>
      </c>
      <c r="N57" s="10">
        <f t="shared" si="12"/>
        <v>93.3289866684255</v>
      </c>
      <c r="O57" s="11">
        <f t="shared" si="13"/>
        <v>-398.25946427506835</v>
      </c>
      <c r="P57" s="11">
        <f t="shared" si="14"/>
        <v>210.90542879197471</v>
      </c>
      <c r="Q57" s="11">
        <f t="shared" si="15"/>
        <v>654.8499496147997</v>
      </c>
      <c r="R57" s="11">
        <f t="shared" si="16"/>
        <v>51.652986275726676</v>
      </c>
      <c r="S57" s="27">
        <f t="shared" si="17"/>
        <v>519.14890040743273</v>
      </c>
    </row>
    <row r="58" spans="1:19" x14ac:dyDescent="0.25">
      <c r="A58" s="6">
        <f t="shared" si="1"/>
        <v>53</v>
      </c>
      <c r="B58" s="24">
        <v>45315</v>
      </c>
      <c r="C58" s="32" cm="1">
        <f t="array" ref="C58" xml:space="preserve"> BonoM(100,C$2,C$1 - $B58,Portafolio!C58)</f>
        <v>91.492166482897332</v>
      </c>
      <c r="D58" s="32" cm="1">
        <f t="array" ref="D58" xml:space="preserve"> BonoM(100,D$2,D$1 - $B58,Portafolio!D58)</f>
        <v>98.564428995241357</v>
      </c>
      <c r="E58" s="32" cm="1">
        <f t="array" ref="E58" xml:space="preserve"> BonoM(100,E$2,E$1 - $B58,Portafolio!E58)</f>
        <v>93.441924040191751</v>
      </c>
      <c r="F58" s="32" cm="1">
        <f t="array" ref="F58" xml:space="preserve"> BonoM(100,F$2,F$1 - $B58,Portafolio!F58)</f>
        <v>94.660398466341704</v>
      </c>
      <c r="G58" s="5">
        <f t="shared" si="5"/>
        <v>-2.6138761489269413E-4</v>
      </c>
      <c r="H58" s="5">
        <f t="shared" si="6"/>
        <v>1.3837546766848341E-3</v>
      </c>
      <c r="I58" s="5">
        <f t="shared" si="7"/>
        <v>3.1757664241052197E-3</v>
      </c>
      <c r="J58" s="5">
        <f t="shared" si="8"/>
        <v>-5.0645339224720809E-3</v>
      </c>
      <c r="K58" s="10">
        <f t="shared" si="9"/>
        <v>89.530233182334285</v>
      </c>
      <c r="L58" s="10">
        <f t="shared" si="10"/>
        <v>98.345787900530283</v>
      </c>
      <c r="M58" s="10">
        <f t="shared" si="11"/>
        <v>93.110842296302664</v>
      </c>
      <c r="N58" s="10">
        <f t="shared" si="12"/>
        <v>92.907710237467853</v>
      </c>
      <c r="O58" s="11">
        <f t="shared" si="13"/>
        <v>77.247102006387536</v>
      </c>
      <c r="P58" s="11">
        <f t="shared" si="14"/>
        <v>-203.84759085224857</v>
      </c>
      <c r="Q58" s="11">
        <f t="shared" si="15"/>
        <v>-589.52438163211696</v>
      </c>
      <c r="R58" s="11">
        <f t="shared" si="16"/>
        <v>472.92941723337378</v>
      </c>
      <c r="S58" s="27">
        <f t="shared" si="17"/>
        <v>-243.19545324460421</v>
      </c>
    </row>
    <row r="59" spans="1:19" x14ac:dyDescent="0.25">
      <c r="A59" s="6">
        <f t="shared" si="1"/>
        <v>54</v>
      </c>
      <c r="B59" s="24">
        <v>45314</v>
      </c>
      <c r="C59" s="32" cm="1">
        <f t="array" ref="C59" xml:space="preserve"> BonoM(100,C$2,C$1 - $B59,Portafolio!C59)</f>
        <v>91.516087654773727</v>
      </c>
      <c r="D59" s="32" cm="1">
        <f t="array" ref="D59" xml:space="preserve"> BonoM(100,D$2,D$1 - $B59,Portafolio!D59)</f>
        <v>98.428228473772975</v>
      </c>
      <c r="E59" s="32" cm="1">
        <f t="array" ref="E59" xml:space="preserve"> BonoM(100,E$2,E$1 - $B59,Portafolio!E59)</f>
        <v>93.146113739641521</v>
      </c>
      <c r="F59" s="32" cm="1">
        <f t="array" ref="F59" xml:space="preserve"> BonoM(100,F$2,F$1 - $B59,Portafolio!F59)</f>
        <v>95.142249616987243</v>
      </c>
      <c r="G59" s="5">
        <f t="shared" si="5"/>
        <v>-3.4440612185571151E-4</v>
      </c>
      <c r="H59" s="5">
        <f t="shared" si="6"/>
        <v>-8.4576236227307255E-4</v>
      </c>
      <c r="I59" s="5">
        <f t="shared" si="7"/>
        <v>-2.7228657781037668E-3</v>
      </c>
      <c r="J59" s="5">
        <f t="shared" si="8"/>
        <v>4.3004880732366857E-3</v>
      </c>
      <c r="K59" s="10">
        <f t="shared" si="9"/>
        <v>89.522798572732569</v>
      </c>
      <c r="L59" s="10">
        <f t="shared" si="10"/>
        <v>98.126827278481073</v>
      </c>
      <c r="M59" s="10">
        <f t="shared" si="11"/>
        <v>92.563354377309636</v>
      </c>
      <c r="N59" s="10">
        <f t="shared" si="12"/>
        <v>93.782221981807481</v>
      </c>
      <c r="O59" s="11">
        <f t="shared" si="13"/>
        <v>101.78131369205232</v>
      </c>
      <c r="P59" s="11">
        <f t="shared" si="14"/>
        <v>124.59334222156571</v>
      </c>
      <c r="Q59" s="11">
        <f t="shared" si="15"/>
        <v>505.45145635393851</v>
      </c>
      <c r="R59" s="11">
        <f t="shared" si="16"/>
        <v>-401.58232710625441</v>
      </c>
      <c r="S59" s="27">
        <f t="shared" si="17"/>
        <v>330.24378516130207</v>
      </c>
    </row>
    <row r="60" spans="1:19" x14ac:dyDescent="0.25">
      <c r="A60" s="6">
        <f t="shared" si="1"/>
        <v>55</v>
      </c>
      <c r="B60" s="24">
        <v>45313</v>
      </c>
      <c r="C60" s="32" cm="1">
        <f t="array" ref="C60" xml:space="preserve"> BonoM(100,C$2,C$1 - $B60,Portafolio!C60)</f>
        <v>91.547617214583738</v>
      </c>
      <c r="D60" s="32" cm="1">
        <f t="array" ref="D60" xml:space="preserve"> BonoM(100,D$2,D$1 - $B60,Portafolio!D60)</f>
        <v>98.511545831486586</v>
      </c>
      <c r="E60" s="32" cm="1">
        <f t="array" ref="E60" xml:space="preserve"> BonoM(100,E$2,E$1 - $B60,Portafolio!E60)</f>
        <v>93.4004305757163</v>
      </c>
      <c r="F60" s="32" cm="1">
        <f t="array" ref="F60" xml:space="preserve"> BonoM(100,F$2,F$1 - $B60,Portafolio!F60)</f>
        <v>94.734843552171185</v>
      </c>
      <c r="G60" s="5">
        <f t="shared" si="5"/>
        <v>1.1265173104917814E-2</v>
      </c>
      <c r="H60" s="5">
        <f t="shared" si="6"/>
        <v>1.6868054148079681E-2</v>
      </c>
      <c r="I60" s="5">
        <f t="shared" si="7"/>
        <v>2.2692663651377121E-2</v>
      </c>
      <c r="J60" s="5">
        <f t="shared" si="8"/>
        <v>3.295016366760084E-2</v>
      </c>
      <c r="K60" s="10">
        <f t="shared" si="9"/>
        <v>90.562478667554615</v>
      </c>
      <c r="L60" s="10">
        <f t="shared" si="10"/>
        <v>99.866499240703519</v>
      </c>
      <c r="M60" s="10">
        <f t="shared" si="11"/>
        <v>94.922324192759689</v>
      </c>
      <c r="N60" s="10">
        <f t="shared" si="12"/>
        <v>96.457547014708894</v>
      </c>
      <c r="O60" s="11">
        <f t="shared" si="13"/>
        <v>-3329.162999220699</v>
      </c>
      <c r="P60" s="11">
        <f t="shared" si="14"/>
        <v>-2484.914601112102</v>
      </c>
      <c r="Q60" s="11">
        <f t="shared" si="15"/>
        <v>-4212.4881745461662</v>
      </c>
      <c r="R60" s="11">
        <f t="shared" si="16"/>
        <v>-3076.9073600076667</v>
      </c>
      <c r="S60" s="27">
        <f t="shared" si="17"/>
        <v>-13103.473134886633</v>
      </c>
    </row>
    <row r="61" spans="1:19" x14ac:dyDescent="0.25">
      <c r="A61" s="6">
        <f t="shared" si="1"/>
        <v>56</v>
      </c>
      <c r="B61" s="24">
        <v>45311</v>
      </c>
      <c r="C61" s="32" cm="1">
        <f t="array" ref="C61" xml:space="preserve"> BonoM(100,C$2,C$1 - $B61,Portafolio!C61)</f>
        <v>90.527805811310941</v>
      </c>
      <c r="D61" s="32" cm="1">
        <f t="array" ref="D61" xml:space="preserve"> BonoM(100,D$2,D$1 - $B61,Portafolio!D61)</f>
        <v>96.877412393507072</v>
      </c>
      <c r="E61" s="32" cm="1">
        <f t="array" ref="E61" xml:space="preserve"> BonoM(100,E$2,E$1 - $B61,Portafolio!E61)</f>
        <v>91.327955988501472</v>
      </c>
      <c r="F61" s="32" cm="1">
        <f t="array" ref="F61" xml:space="preserve"> BonoM(100,F$2,F$1 - $B61,Portafolio!F61)</f>
        <v>91.712888854003296</v>
      </c>
      <c r="G61" s="5">
        <f t="shared" si="5"/>
        <v>-1.0244272765709272E-2</v>
      </c>
      <c r="H61" s="5">
        <f t="shared" si="6"/>
        <v>-1.5028077729754341E-2</v>
      </c>
      <c r="I61" s="5">
        <f t="shared" si="7"/>
        <v>-1.9067869407105809E-2</v>
      </c>
      <c r="J61" s="5">
        <f t="shared" si="8"/>
        <v>-3.0618261738173058E-2</v>
      </c>
      <c r="K61" s="10">
        <f t="shared" si="9"/>
        <v>88.636229465449944</v>
      </c>
      <c r="L61" s="10">
        <f t="shared" si="10"/>
        <v>96.733983653292583</v>
      </c>
      <c r="M61" s="10">
        <f t="shared" si="11"/>
        <v>91.046275211155717</v>
      </c>
      <c r="N61" s="10">
        <f t="shared" si="12"/>
        <v>90.521486788475556</v>
      </c>
      <c r="O61" s="11">
        <f t="shared" si="13"/>
        <v>3027.4593677247153</v>
      </c>
      <c r="P61" s="11">
        <f t="shared" si="14"/>
        <v>2213.8587800043015</v>
      </c>
      <c r="Q61" s="11">
        <f t="shared" si="15"/>
        <v>3539.6097886617781</v>
      </c>
      <c r="R61" s="11">
        <f t="shared" si="16"/>
        <v>2859.1528662256706</v>
      </c>
      <c r="S61" s="27">
        <f t="shared" si="17"/>
        <v>11640.080802616467</v>
      </c>
    </row>
    <row r="62" spans="1:19" x14ac:dyDescent="0.25">
      <c r="A62" s="6">
        <f t="shared" si="1"/>
        <v>57</v>
      </c>
      <c r="B62" s="24">
        <v>45310</v>
      </c>
      <c r="C62" s="32" cm="1">
        <f t="array" ref="C62" xml:space="preserve"> BonoM(100,C$2,C$1 - $B62,Portafolio!C62)</f>
        <v>91.464796131340378</v>
      </c>
      <c r="D62" s="32" cm="1">
        <f t="array" ref="D62" xml:space="preserve"> BonoM(100,D$2,D$1 - $B62,Portafolio!D62)</f>
        <v>98.355506591716761</v>
      </c>
      <c r="E62" s="32" cm="1">
        <f t="array" ref="E62" xml:space="preserve"> BonoM(100,E$2,E$1 - $B62,Portafolio!E62)</f>
        <v>93.1032363404195</v>
      </c>
      <c r="F62" s="32" cm="1">
        <f t="array" ref="F62" xml:space="preserve"> BonoM(100,F$2,F$1 - $B62,Portafolio!F62)</f>
        <v>94.609672571768556</v>
      </c>
      <c r="G62" s="5">
        <f t="shared" si="5"/>
        <v>3.9337563828834021E-4</v>
      </c>
      <c r="H62" s="5">
        <f t="shared" si="6"/>
        <v>-3.4272374544896955E-4</v>
      </c>
      <c r="I62" s="5">
        <f t="shared" si="7"/>
        <v>-1.8090722102996892E-3</v>
      </c>
      <c r="J62" s="5">
        <f t="shared" si="8"/>
        <v>-2.7362136341748666E-3</v>
      </c>
      <c r="K62" s="10">
        <f t="shared" si="9"/>
        <v>89.588869615908322</v>
      </c>
      <c r="L62" s="10">
        <f t="shared" si="10"/>
        <v>98.17623064545694</v>
      </c>
      <c r="M62" s="10">
        <f t="shared" si="11"/>
        <v>92.648169114298824</v>
      </c>
      <c r="N62" s="10">
        <f t="shared" si="12"/>
        <v>93.12513027531007</v>
      </c>
      <c r="O62" s="11">
        <f t="shared" si="13"/>
        <v>-116.25312878793466</v>
      </c>
      <c r="P62" s="11">
        <f t="shared" si="14"/>
        <v>50.488291757766035</v>
      </c>
      <c r="Q62" s="11">
        <f t="shared" si="15"/>
        <v>335.82198237556327</v>
      </c>
      <c r="R62" s="11">
        <f t="shared" si="16"/>
        <v>255.5093793911567</v>
      </c>
      <c r="S62" s="27">
        <f t="shared" si="17"/>
        <v>525.5665247365514</v>
      </c>
    </row>
    <row r="63" spans="1:19" x14ac:dyDescent="0.25">
      <c r="A63" s="6">
        <f t="shared" si="1"/>
        <v>58</v>
      </c>
      <c r="B63" s="24">
        <v>45309</v>
      </c>
      <c r="C63" s="32" cm="1">
        <f t="array" ref="C63" xml:space="preserve"> BonoM(100,C$2,C$1 - $B63,Portafolio!C63)</f>
        <v>91.428830256880119</v>
      </c>
      <c r="D63" s="32" cm="1">
        <f t="array" ref="D63" xml:space="preserve"> BonoM(100,D$2,D$1 - $B63,Portafolio!D63)</f>
        <v>98.389226916077263</v>
      </c>
      <c r="E63" s="32" cm="1">
        <f t="array" ref="E63" xml:space="preserve"> BonoM(100,E$2,E$1 - $B63,Portafolio!E63)</f>
        <v>93.271972073096791</v>
      </c>
      <c r="F63" s="32" cm="1">
        <f t="array" ref="F63" xml:space="preserve"> BonoM(100,F$2,F$1 - $B63,Portafolio!F63)</f>
        <v>94.869255121094909</v>
      </c>
      <c r="G63" s="5">
        <f t="shared" si="5"/>
        <v>1.190232648471401E-4</v>
      </c>
      <c r="H63" s="5">
        <f t="shared" si="6"/>
        <v>-5.967904013670644E-4</v>
      </c>
      <c r="I63" s="5">
        <f t="shared" si="7"/>
        <v>-3.8166336454450445E-3</v>
      </c>
      <c r="J63" s="5">
        <f t="shared" si="8"/>
        <v>-5.5817252271717077E-4</v>
      </c>
      <c r="K63" s="10">
        <f t="shared" si="9"/>
        <v>89.564300361841291</v>
      </c>
      <c r="L63" s="10">
        <f t="shared" si="10"/>
        <v>98.151278787251911</v>
      </c>
      <c r="M63" s="10">
        <f t="shared" si="11"/>
        <v>92.461835131317684</v>
      </c>
      <c r="N63" s="10">
        <f t="shared" si="12"/>
        <v>93.328517147492221</v>
      </c>
      <c r="O63" s="11">
        <f t="shared" si="13"/>
        <v>-35.174590366729319</v>
      </c>
      <c r="P63" s="11">
        <f t="shared" si="14"/>
        <v>87.91607906530885</v>
      </c>
      <c r="Q63" s="11">
        <f t="shared" si="15"/>
        <v>708.48994833784218</v>
      </c>
      <c r="R63" s="11">
        <f t="shared" si="16"/>
        <v>52.12250720900613</v>
      </c>
      <c r="S63" s="27">
        <f t="shared" si="17"/>
        <v>813.3539442454279</v>
      </c>
    </row>
    <row r="64" spans="1:19" x14ac:dyDescent="0.25">
      <c r="A64" s="6">
        <f t="shared" si="1"/>
        <v>59</v>
      </c>
      <c r="B64" s="24">
        <v>45308</v>
      </c>
      <c r="C64" s="32" cm="1">
        <f t="array" ref="C64" xml:space="preserve"> BonoM(100,C$2,C$1 - $B64,Portafolio!C64)</f>
        <v>91.41794939407761</v>
      </c>
      <c r="D64" s="32" cm="1">
        <f t="array" ref="D64" xml:space="preserve"> BonoM(100,D$2,D$1 - $B64,Portafolio!D64)</f>
        <v>98.447979725411372</v>
      </c>
      <c r="E64" s="32" cm="1">
        <f t="array" ref="E64" xml:space="preserve"> BonoM(100,E$2,E$1 - $B64,Portafolio!E64)</f>
        <v>93.629320889403459</v>
      </c>
      <c r="F64" s="32" cm="1">
        <f t="array" ref="F64" xml:space="preserve"> BonoM(100,F$2,F$1 - $B64,Portafolio!F64)</f>
        <v>94.922238106200609</v>
      </c>
      <c r="G64" s="5">
        <f t="shared" si="5"/>
        <v>-5.0932780456539595E-3</v>
      </c>
      <c r="H64" s="5">
        <f t="shared" si="6"/>
        <v>-5.7831520712885442E-3</v>
      </c>
      <c r="I64" s="5">
        <f t="shared" si="7"/>
        <v>-4.6381887898100382E-3</v>
      </c>
      <c r="J64" s="5">
        <f t="shared" si="8"/>
        <v>-3.7960667293207573E-3</v>
      </c>
      <c r="K64" s="10">
        <f t="shared" si="9"/>
        <v>89.097519799437649</v>
      </c>
      <c r="L64" s="10">
        <f t="shared" si="10"/>
        <v>97.641926780707507</v>
      </c>
      <c r="M64" s="10">
        <f t="shared" si="11"/>
        <v>92.385581603227223</v>
      </c>
      <c r="N64" s="10">
        <f t="shared" si="12"/>
        <v>93.026160515345325</v>
      </c>
      <c r="O64" s="11">
        <f t="shared" si="13"/>
        <v>1505.2012655652888</v>
      </c>
      <c r="P64" s="11">
        <f t="shared" si="14"/>
        <v>851.94408888191469</v>
      </c>
      <c r="Q64" s="11">
        <f t="shared" si="15"/>
        <v>860.99700451876515</v>
      </c>
      <c r="R64" s="11">
        <f t="shared" si="16"/>
        <v>354.47913935590236</v>
      </c>
      <c r="S64" s="27">
        <f t="shared" si="17"/>
        <v>3572.6214983218706</v>
      </c>
    </row>
    <row r="65" spans="1:19" x14ac:dyDescent="0.25">
      <c r="A65" s="6">
        <f t="shared" si="1"/>
        <v>60</v>
      </c>
      <c r="B65" s="24">
        <v>45307</v>
      </c>
      <c r="C65" s="32" cm="1">
        <f t="array" ref="C65" xml:space="preserve"> BonoM(100,C$2,C$1 - $B65,Portafolio!C65)</f>
        <v>91.885950086356502</v>
      </c>
      <c r="D65" s="32" cm="1">
        <f t="array" ref="D65" xml:space="preserve"> BonoM(100,D$2,D$1 - $B65,Portafolio!D65)</f>
        <v>99.020631093218412</v>
      </c>
      <c r="E65" s="32" cm="1">
        <f t="array" ref="E65" xml:space="preserve"> BonoM(100,E$2,E$1 - $B65,Portafolio!E65)</f>
        <v>94.065614970265131</v>
      </c>
      <c r="F65" s="32" cm="1">
        <f t="array" ref="F65" xml:space="preserve"> BonoM(100,F$2,F$1 - $B65,Portafolio!F65)</f>
        <v>95.283942309439993</v>
      </c>
      <c r="G65" s="5">
        <f t="shared" si="5"/>
        <v>3.0624711096605139E-5</v>
      </c>
      <c r="H65" s="5">
        <f t="shared" si="6"/>
        <v>-3.4366513092657369E-3</v>
      </c>
      <c r="I65" s="5">
        <f t="shared" si="7"/>
        <v>-6.493941799401548E-3</v>
      </c>
      <c r="J65" s="5">
        <f t="shared" si="8"/>
        <v>-1.3504160925314146E-2</v>
      </c>
      <c r="K65" s="10">
        <f t="shared" si="9"/>
        <v>89.556383949458862</v>
      </c>
      <c r="L65" s="10">
        <f t="shared" si="10"/>
        <v>97.872376361272984</v>
      </c>
      <c r="M65" s="10">
        <f t="shared" si="11"/>
        <v>92.213337883232981</v>
      </c>
      <c r="N65" s="10">
        <f t="shared" si="12"/>
        <v>92.119612469495365</v>
      </c>
      <c r="O65" s="11">
        <f t="shared" si="13"/>
        <v>-9.050429504715396</v>
      </c>
      <c r="P65" s="11">
        <f t="shared" si="14"/>
        <v>506.26971803369969</v>
      </c>
      <c r="Q65" s="11">
        <f t="shared" si="15"/>
        <v>1205.484444507249</v>
      </c>
      <c r="R65" s="11">
        <f t="shared" si="16"/>
        <v>1261.0271852058618</v>
      </c>
      <c r="S65" s="27">
        <f t="shared" si="17"/>
        <v>2963.730918242095</v>
      </c>
    </row>
    <row r="66" spans="1:19" x14ac:dyDescent="0.25">
      <c r="A66" s="6">
        <f t="shared" si="1"/>
        <v>61</v>
      </c>
      <c r="B66" s="24">
        <v>45306</v>
      </c>
      <c r="C66" s="32" cm="1">
        <f t="array" ref="C66" xml:space="preserve"> BonoM(100,C$2,C$1 - $B66,Portafolio!C66)</f>
        <v>91.883136191855968</v>
      </c>
      <c r="D66" s="32" cm="1">
        <f t="array" ref="D66" xml:space="preserve"> BonoM(100,D$2,D$1 - $B66,Portafolio!D66)</f>
        <v>99.362103998014589</v>
      </c>
      <c r="E66" s="32" cm="1">
        <f t="array" ref="E66" xml:space="preserve"> BonoM(100,E$2,E$1 - $B66,Portafolio!E66)</f>
        <v>94.680464395590406</v>
      </c>
      <c r="F66" s="32" cm="1">
        <f t="array" ref="F66" xml:space="preserve"> BonoM(100,F$2,F$1 - $B66,Portafolio!F66)</f>
        <v>96.588286068002574</v>
      </c>
      <c r="G66" s="5">
        <f t="shared" si="5"/>
        <v>1.059094534753946E-2</v>
      </c>
      <c r="H66" s="5">
        <f t="shared" si="6"/>
        <v>1.5167222632667565E-2</v>
      </c>
      <c r="I66" s="5">
        <f t="shared" si="7"/>
        <v>2.0297188367236707E-2</v>
      </c>
      <c r="J66" s="5">
        <f t="shared" si="8"/>
        <v>2.9675026426156936E-2</v>
      </c>
      <c r="K66" s="10">
        <f t="shared" si="9"/>
        <v>90.502099116751765</v>
      </c>
      <c r="L66" s="10">
        <f t="shared" si="10"/>
        <v>99.699460765505506</v>
      </c>
      <c r="M66" s="10">
        <f t="shared" si="11"/>
        <v>94.699985566896203</v>
      </c>
      <c r="N66" s="10">
        <f t="shared" si="12"/>
        <v>96.151712604145928</v>
      </c>
      <c r="O66" s="11">
        <f t="shared" si="13"/>
        <v>-3129.9104815712953</v>
      </c>
      <c r="P66" s="11">
        <f t="shared" si="14"/>
        <v>-2234.3568883150838</v>
      </c>
      <c r="Q66" s="11">
        <f t="shared" si="15"/>
        <v>-3767.8109228191943</v>
      </c>
      <c r="R66" s="11">
        <f t="shared" si="16"/>
        <v>-2771.072949444701</v>
      </c>
      <c r="S66" s="27">
        <f t="shared" si="17"/>
        <v>-11903.151242150274</v>
      </c>
    </row>
    <row r="67" spans="1:19" x14ac:dyDescent="0.25">
      <c r="A67" s="6">
        <f t="shared" si="1"/>
        <v>62</v>
      </c>
      <c r="B67" s="24">
        <v>45304</v>
      </c>
      <c r="C67" s="32" cm="1">
        <f t="array" ref="C67" xml:space="preserve"> BonoM(100,C$2,C$1 - $B67,Portafolio!C67)</f>
        <v>90.920205266887294</v>
      </c>
      <c r="D67" s="32" cm="1">
        <f t="array" ref="D67" xml:space="preserve"> BonoM(100,D$2,D$1 - $B67,Portafolio!D67)</f>
        <v>97.877573056718163</v>
      </c>
      <c r="E67" s="32" cm="1">
        <f t="array" ref="E67" xml:space="preserve"> BonoM(100,E$2,E$1 - $B67,Portafolio!E67)</f>
        <v>92.796947276808481</v>
      </c>
      <c r="F67" s="32" cm="1">
        <f t="array" ref="F67" xml:space="preserve"> BonoM(100,F$2,F$1 - $B67,Portafolio!F67)</f>
        <v>93.804631159449997</v>
      </c>
      <c r="G67" s="5">
        <f t="shared" si="5"/>
        <v>-9.2153625987569932E-3</v>
      </c>
      <c r="H67" s="5">
        <f t="shared" si="6"/>
        <v>-1.3265509035700673E-2</v>
      </c>
      <c r="I67" s="5">
        <f t="shared" si="7"/>
        <v>-1.6338960330402275E-2</v>
      </c>
      <c r="J67" s="5">
        <f t="shared" si="8"/>
        <v>-2.6037101770444937E-2</v>
      </c>
      <c r="K67" s="10">
        <f t="shared" si="9"/>
        <v>88.728372117568924</v>
      </c>
      <c r="L67" s="10">
        <f t="shared" si="10"/>
        <v>96.907085329983431</v>
      </c>
      <c r="M67" s="10">
        <f t="shared" si="11"/>
        <v>91.299561854619625</v>
      </c>
      <c r="N67" s="10">
        <f t="shared" si="12"/>
        <v>90.949278436622521</v>
      </c>
      <c r="O67" s="11">
        <f t="shared" si="13"/>
        <v>2723.3886157320812</v>
      </c>
      <c r="P67" s="11">
        <f t="shared" si="14"/>
        <v>1954.206264968029</v>
      </c>
      <c r="Q67" s="11">
        <f t="shared" si="15"/>
        <v>3033.03650173396</v>
      </c>
      <c r="R67" s="11">
        <f t="shared" si="16"/>
        <v>2431.3612180787059</v>
      </c>
      <c r="S67" s="27">
        <f t="shared" si="17"/>
        <v>10141.992600512776</v>
      </c>
    </row>
    <row r="68" spans="1:19" x14ac:dyDescent="0.25">
      <c r="A68" s="6">
        <f t="shared" si="1"/>
        <v>63</v>
      </c>
      <c r="B68" s="24">
        <v>45303</v>
      </c>
      <c r="C68" s="32" cm="1">
        <f t="array" ref="C68" xml:space="preserve"> BonoM(100,C$2,C$1 - $B68,Portafolio!C68)</f>
        <v>91.765860949726132</v>
      </c>
      <c r="D68" s="32" cm="1">
        <f t="array" ref="D68" xml:space="preserve"> BonoM(100,D$2,D$1 - $B68,Portafolio!D68)</f>
        <v>99.19342432336181</v>
      </c>
      <c r="E68" s="32" cm="1">
        <f t="array" ref="E68" xml:space="preserve"> BonoM(100,E$2,E$1 - $B68,Portafolio!E68)</f>
        <v>94.338337633030662</v>
      </c>
      <c r="F68" s="32" cm="1">
        <f t="array" ref="F68" xml:space="preserve"> BonoM(100,F$2,F$1 - $B68,Portafolio!F68)</f>
        <v>96.312324966346935</v>
      </c>
      <c r="G68" s="5">
        <f t="shared" si="5"/>
        <v>3.8514016341419932E-3</v>
      </c>
      <c r="H68" s="5">
        <f t="shared" si="6"/>
        <v>6.2033983948956983E-3</v>
      </c>
      <c r="I68" s="5">
        <f t="shared" si="7"/>
        <v>7.3651044513500796E-3</v>
      </c>
      <c r="J68" s="5">
        <f t="shared" si="8"/>
        <v>8.4394014642288351E-3</v>
      </c>
      <c r="K68" s="10">
        <f t="shared" si="9"/>
        <v>89.89854843587581</v>
      </c>
      <c r="L68" s="10">
        <f t="shared" si="10"/>
        <v>98.819124577557091</v>
      </c>
      <c r="M68" s="10">
        <f t="shared" si="11"/>
        <v>93.499680230228392</v>
      </c>
      <c r="N68" s="10">
        <f t="shared" si="12"/>
        <v>94.168716361733743</v>
      </c>
      <c r="O68" s="11">
        <f t="shared" si="13"/>
        <v>-1138.1932346806436</v>
      </c>
      <c r="P68" s="11">
        <f t="shared" si="14"/>
        <v>-913.85260639246007</v>
      </c>
      <c r="Q68" s="11">
        <f t="shared" si="15"/>
        <v>-1367.2002494835738</v>
      </c>
      <c r="R68" s="11">
        <f t="shared" si="16"/>
        <v>-788.07670703251631</v>
      </c>
      <c r="S68" s="27">
        <f t="shared" si="17"/>
        <v>-4207.3227975891932</v>
      </c>
    </row>
    <row r="69" spans="1:19" x14ac:dyDescent="0.25">
      <c r="A69" s="6">
        <f t="shared" ref="A69:A132" si="18">+A70-1</f>
        <v>64</v>
      </c>
      <c r="B69" s="24">
        <v>45302</v>
      </c>
      <c r="C69" s="32" cm="1">
        <f t="array" ref="C69" xml:space="preserve"> BonoM(100,C$2,C$1 - $B69,Portafolio!C69)</f>
        <v>91.413789730574692</v>
      </c>
      <c r="D69" s="32" cm="1">
        <f t="array" ref="D69" xml:space="preserve"> BonoM(100,D$2,D$1 - $B69,Portafolio!D69)</f>
        <v>98.581881637048753</v>
      </c>
      <c r="E69" s="32" cm="1">
        <f t="array" ref="E69" xml:space="preserve"> BonoM(100,E$2,E$1 - $B69,Portafolio!E69)</f>
        <v>93.64860586908155</v>
      </c>
      <c r="F69" s="32" cm="1">
        <f t="array" ref="F69" xml:space="preserve"> BonoM(100,F$2,F$1 - $B69,Portafolio!F69)</f>
        <v>95.506308883314006</v>
      </c>
      <c r="G69" s="5">
        <f t="shared" si="5"/>
        <v>2.192225994134045E-3</v>
      </c>
      <c r="H69" s="5">
        <f t="shared" si="6"/>
        <v>2.7948492474401121E-3</v>
      </c>
      <c r="I69" s="5">
        <f t="shared" si="7"/>
        <v>2.4308536755266452E-3</v>
      </c>
      <c r="J69" s="5">
        <f t="shared" si="8"/>
        <v>1.0635936711307359E-3</v>
      </c>
      <c r="K69" s="10">
        <f t="shared" si="9"/>
        <v>89.749963215599109</v>
      </c>
      <c r="L69" s="10">
        <f t="shared" si="10"/>
        <v>98.484371342407556</v>
      </c>
      <c r="M69" s="10">
        <f t="shared" si="11"/>
        <v>93.041702414959005</v>
      </c>
      <c r="N69" s="10">
        <f t="shared" si="12"/>
        <v>93.479958712044109</v>
      </c>
      <c r="O69" s="11">
        <f t="shared" si="13"/>
        <v>-647.86200776753162</v>
      </c>
      <c r="P69" s="11">
        <f t="shared" si="14"/>
        <v>-411.72275366815825</v>
      </c>
      <c r="Q69" s="11">
        <f t="shared" si="15"/>
        <v>-451.2446189447985</v>
      </c>
      <c r="R69" s="11">
        <f t="shared" si="16"/>
        <v>-99.319057342881933</v>
      </c>
      <c r="S69" s="27">
        <f t="shared" si="17"/>
        <v>-1610.1484377233703</v>
      </c>
    </row>
    <row r="70" spans="1:19" x14ac:dyDescent="0.25">
      <c r="A70" s="6">
        <f t="shared" si="18"/>
        <v>65</v>
      </c>
      <c r="B70" s="24">
        <v>45301</v>
      </c>
      <c r="C70" s="32" cm="1">
        <f t="array" ref="C70" xml:space="preserve"> BonoM(100,C$2,C$1 - $B70,Portafolio!C70)</f>
        <v>91.213828404920946</v>
      </c>
      <c r="D70" s="32" cm="1">
        <f t="array" ref="D70" xml:space="preserve"> BonoM(100,D$2,D$1 - $B70,Portafolio!D70)</f>
        <v>98.307128034244244</v>
      </c>
      <c r="E70" s="32" cm="1">
        <f t="array" ref="E70" xml:space="preserve"> BonoM(100,E$2,E$1 - $B70,Portafolio!E70)</f>
        <v>93.421511843643174</v>
      </c>
      <c r="F70" s="32" cm="1">
        <f t="array" ref="F70" xml:space="preserve"> BonoM(100,F$2,F$1 - $B70,Portafolio!F70)</f>
        <v>95.404836902589153</v>
      </c>
      <c r="G70" s="5">
        <f t="shared" ref="G70:G133" si="19" xml:space="preserve"> C70/C71 - 1</f>
        <v>1.3639344148852484E-3</v>
      </c>
      <c r="H70" s="5">
        <f t="shared" ref="H70:H133" si="20" xml:space="preserve"> D70/D71 - 1</f>
        <v>2.3711346361967589E-3</v>
      </c>
      <c r="I70" s="5">
        <f t="shared" ref="I70:I133" si="21" xml:space="preserve"> E70/E71 - 1</f>
        <v>1.8853352527976597E-3</v>
      </c>
      <c r="J70" s="5">
        <f t="shared" ref="J70:J133" si="22" xml:space="preserve"> F70/F71 - 1</f>
        <v>1.8790881452432906E-3</v>
      </c>
      <c r="K70" s="10">
        <f t="shared" ref="K70:K133" si="23" xml:space="preserve"> C$5 * (1 + G70)</f>
        <v>89.675786688540512</v>
      </c>
      <c r="L70" s="10">
        <f t="shared" ref="L70:L133" si="24" xml:space="preserve"> D$5 * (1 + H70)</f>
        <v>98.442758377255004</v>
      </c>
      <c r="M70" s="10">
        <f t="shared" ref="M70:M133" si="25" xml:space="preserve"> E$5 * (1 + I70)</f>
        <v>92.991069533335974</v>
      </c>
      <c r="N70" s="10">
        <f t="shared" ref="N70:N133" si="26" xml:space="preserve"> F$5 * (1 + J70)</f>
        <v>93.556110107671614</v>
      </c>
      <c r="O70" s="11">
        <f t="shared" ref="O70:O133" si="27" xml:space="preserve"> (C$5 - K70) * O$2</f>
        <v>-403.07946847416076</v>
      </c>
      <c r="P70" s="11">
        <f t="shared" ref="P70:P133" si="28" xml:space="preserve"> (D$5 - L70) * P$2</f>
        <v>-349.30330593932979</v>
      </c>
      <c r="Q70" s="11">
        <f t="shared" ref="Q70:Q133" si="29" xml:space="preserve"> (E$5 - M70) * Q$2</f>
        <v>-349.97885569873688</v>
      </c>
      <c r="R70" s="11">
        <f t="shared" ref="R70:R133" si="30" xml:space="preserve"> (F$5 - N70) * R$2</f>
        <v>-175.47045297038721</v>
      </c>
      <c r="S70" s="27">
        <f t="shared" ref="S70:S133" si="31" xml:space="preserve"> SUM(O70:R70)</f>
        <v>-1277.8320830826146</v>
      </c>
    </row>
    <row r="71" spans="1:19" x14ac:dyDescent="0.25">
      <c r="A71" s="6">
        <f t="shared" si="18"/>
        <v>66</v>
      </c>
      <c r="B71" s="24">
        <v>45300</v>
      </c>
      <c r="C71" s="32" cm="1">
        <f t="array" ref="C71" xml:space="preserve"> BonoM(100,C$2,C$1 - $B71,Portafolio!C71)</f>
        <v>91.089588180763471</v>
      </c>
      <c r="D71" s="32" cm="1">
        <f t="array" ref="D71" xml:space="preserve"> BonoM(100,D$2,D$1 - $B71,Portafolio!D71)</f>
        <v>98.074580000674189</v>
      </c>
      <c r="E71" s="32" cm="1">
        <f t="array" ref="E71" xml:space="preserve"> BonoM(100,E$2,E$1 - $B71,Portafolio!E71)</f>
        <v>93.245712414855205</v>
      </c>
      <c r="F71" s="32" cm="1">
        <f t="array" ref="F71" xml:space="preserve"> BonoM(100,F$2,F$1 - $B71,Portafolio!F71)</f>
        <v>95.225899044574362</v>
      </c>
      <c r="G71" s="5">
        <f t="shared" si="19"/>
        <v>-1.1261252171514968E-3</v>
      </c>
      <c r="H71" s="5">
        <f t="shared" si="20"/>
        <v>-2.7205673830633659E-3</v>
      </c>
      <c r="I71" s="5">
        <f t="shared" si="21"/>
        <v>-2.4769695084165821E-3</v>
      </c>
      <c r="J71" s="5">
        <f t="shared" si="22"/>
        <v>-3.817958733957405E-3</v>
      </c>
      <c r="K71" s="10">
        <f t="shared" si="23"/>
        <v>89.45279278120077</v>
      </c>
      <c r="L71" s="10">
        <f t="shared" si="24"/>
        <v>97.942702884542797</v>
      </c>
      <c r="M71" s="10">
        <f t="shared" si="25"/>
        <v>92.586177505174561</v>
      </c>
      <c r="N71" s="10">
        <f t="shared" si="26"/>
        <v>93.02411622594903</v>
      </c>
      <c r="O71" s="11">
        <f t="shared" si="27"/>
        <v>332.80042574698712</v>
      </c>
      <c r="P71" s="11">
        <f t="shared" si="28"/>
        <v>400.7799331289803</v>
      </c>
      <c r="Q71" s="11">
        <f t="shared" si="29"/>
        <v>459.80520062408914</v>
      </c>
      <c r="R71" s="11">
        <f t="shared" si="30"/>
        <v>356.52342875219745</v>
      </c>
      <c r="S71" s="27">
        <f t="shared" si="31"/>
        <v>1549.9089882522539</v>
      </c>
    </row>
    <row r="72" spans="1:19" x14ac:dyDescent="0.25">
      <c r="A72" s="6">
        <f t="shared" si="18"/>
        <v>67</v>
      </c>
      <c r="B72" s="24">
        <v>45299</v>
      </c>
      <c r="C72" s="32" cm="1">
        <f t="array" ref="C72" xml:space="preserve"> BonoM(100,C$2,C$1 - $B72,Portafolio!C72)</f>
        <v>91.192282109256297</v>
      </c>
      <c r="D72" s="32" cm="1">
        <f t="array" ref="D72" xml:space="preserve"> BonoM(100,D$2,D$1 - $B72,Portafolio!D72)</f>
        <v>98.342126382090399</v>
      </c>
      <c r="E72" s="32" cm="1">
        <f t="array" ref="E72" xml:space="preserve"> BonoM(100,E$2,E$1 - $B72,Portafolio!E72)</f>
        <v>93.477252719572135</v>
      </c>
      <c r="F72" s="32" cm="1">
        <f t="array" ref="F72" xml:space="preserve"> BonoM(100,F$2,F$1 - $B72,Portafolio!F72)</f>
        <v>95.590861007243475</v>
      </c>
      <c r="G72" s="5">
        <f t="shared" si="19"/>
        <v>2.7162296297342792E-3</v>
      </c>
      <c r="H72" s="5">
        <f t="shared" si="20"/>
        <v>3.2967792487883507E-3</v>
      </c>
      <c r="I72" s="5">
        <f t="shared" si="21"/>
        <v>3.4795098806237323E-3</v>
      </c>
      <c r="J72" s="5">
        <f t="shared" si="22"/>
        <v>3.1974819855045133E-3</v>
      </c>
      <c r="K72" s="10">
        <f t="shared" si="23"/>
        <v>89.796889649271364</v>
      </c>
      <c r="L72" s="10">
        <f t="shared" si="24"/>
        <v>98.533665832380038</v>
      </c>
      <c r="M72" s="10">
        <f t="shared" si="25"/>
        <v>93.13903457329441</v>
      </c>
      <c r="N72" s="10">
        <f t="shared" si="26"/>
        <v>93.679222567792024</v>
      </c>
      <c r="O72" s="11">
        <f t="shared" si="27"/>
        <v>-802.71923888597166</v>
      </c>
      <c r="P72" s="11">
        <f t="shared" si="28"/>
        <v>-485.66448862688105</v>
      </c>
      <c r="Q72" s="11">
        <f t="shared" si="29"/>
        <v>-645.90893561560847</v>
      </c>
      <c r="R72" s="11">
        <f t="shared" si="30"/>
        <v>-298.58291309079732</v>
      </c>
      <c r="S72" s="27">
        <f t="shared" si="31"/>
        <v>-2232.8755762192586</v>
      </c>
    </row>
    <row r="73" spans="1:19" x14ac:dyDescent="0.25">
      <c r="A73" s="6">
        <f t="shared" si="18"/>
        <v>68</v>
      </c>
      <c r="B73" s="24">
        <v>45296</v>
      </c>
      <c r="C73" s="32" cm="1">
        <f t="array" ref="C73" xml:space="preserve"> BonoM(100,C$2,C$1 - $B73,Portafolio!C73)</f>
        <v>90.945253915886255</v>
      </c>
      <c r="D73" s="32" cm="1">
        <f t="array" ref="D73" xml:space="preserve"> BonoM(100,D$2,D$1 - $B73,Portafolio!D73)</f>
        <v>98.01897944466981</v>
      </c>
      <c r="E73" s="32" cm="1">
        <f t="array" ref="E73" xml:space="preserve"> BonoM(100,E$2,E$1 - $B73,Portafolio!E73)</f>
        <v>93.153125498987421</v>
      </c>
      <c r="F73" s="32" cm="1">
        <f t="array" ref="F73" xml:space="preserve"> BonoM(100,F$2,F$1 - $B73,Portafolio!F73)</f>
        <v>95.286185146769228</v>
      </c>
      <c r="G73" s="5">
        <f t="shared" si="19"/>
        <v>3.6938121088092579E-4</v>
      </c>
      <c r="H73" s="5">
        <f t="shared" si="20"/>
        <v>-3.0540986497629152E-4</v>
      </c>
      <c r="I73" s="5">
        <f t="shared" si="21"/>
        <v>1.9372147016127883E-4</v>
      </c>
      <c r="J73" s="5">
        <f t="shared" si="22"/>
        <v>8.2024366872790466E-4</v>
      </c>
      <c r="K73" s="10">
        <f t="shared" si="23"/>
        <v>89.586720827560796</v>
      </c>
      <c r="L73" s="10">
        <f t="shared" si="24"/>
        <v>98.179895237535234</v>
      </c>
      <c r="M73" s="10">
        <f t="shared" si="25"/>
        <v>92.834060572979254</v>
      </c>
      <c r="N73" s="10">
        <f t="shared" si="26"/>
        <v>93.457234533159763</v>
      </c>
      <c r="O73" s="11">
        <f t="shared" si="27"/>
        <v>-109.16212724109897</v>
      </c>
      <c r="P73" s="11">
        <f t="shared" si="28"/>
        <v>44.991403640324279</v>
      </c>
      <c r="Q73" s="11">
        <f t="shared" si="29"/>
        <v>-35.960934985297399</v>
      </c>
      <c r="R73" s="11">
        <f t="shared" si="30"/>
        <v>-76.594878458536186</v>
      </c>
      <c r="S73" s="27">
        <f t="shared" si="31"/>
        <v>-176.72653704460828</v>
      </c>
    </row>
    <row r="74" spans="1:19" x14ac:dyDescent="0.25">
      <c r="A74" s="6">
        <f t="shared" si="18"/>
        <v>69</v>
      </c>
      <c r="B74" s="24">
        <v>45295</v>
      </c>
      <c r="C74" s="32" cm="1">
        <f t="array" ref="C74" xml:space="preserve"> BonoM(100,C$2,C$1 - $B74,Portafolio!C74)</f>
        <v>90.911672852084934</v>
      </c>
      <c r="D74" s="32" cm="1">
        <f t="array" ref="D74" xml:space="preserve"> BonoM(100,D$2,D$1 - $B74,Portafolio!D74)</f>
        <v>98.048924553478756</v>
      </c>
      <c r="E74" s="32" cm="1">
        <f t="array" ref="E74" xml:space="preserve"> BonoM(100,E$2,E$1 - $B74,Portafolio!E74)</f>
        <v>93.135083233739792</v>
      </c>
      <c r="F74" s="32" cm="1">
        <f t="array" ref="F74" xml:space="preserve"> BonoM(100,F$2,F$1 - $B74,Portafolio!F74)</f>
        <v>95.208091312658354</v>
      </c>
      <c r="G74" s="5">
        <f t="shared" si="19"/>
        <v>-1.9652998780732567E-3</v>
      </c>
      <c r="H74" s="5">
        <f t="shared" si="20"/>
        <v>-2.6036540830951527E-3</v>
      </c>
      <c r="I74" s="5">
        <f t="shared" si="21"/>
        <v>-4.6108542004729136E-3</v>
      </c>
      <c r="J74" s="5">
        <f t="shared" si="22"/>
        <v>-3.5825687664221562E-3</v>
      </c>
      <c r="K74" s="10">
        <f t="shared" si="23"/>
        <v>89.377641634548766</v>
      </c>
      <c r="L74" s="10">
        <f t="shared" si="24"/>
        <v>97.95418492681452</v>
      </c>
      <c r="M74" s="10">
        <f t="shared" si="25"/>
        <v>92.388118692660797</v>
      </c>
      <c r="N74" s="10">
        <f t="shared" si="26"/>
        <v>93.046097091685766</v>
      </c>
      <c r="O74" s="11">
        <f t="shared" si="27"/>
        <v>580.79920969860132</v>
      </c>
      <c r="P74" s="11">
        <f t="shared" si="28"/>
        <v>383.5568697213958</v>
      </c>
      <c r="Q74" s="11">
        <f t="shared" si="29"/>
        <v>855.92282565161781</v>
      </c>
      <c r="R74" s="11">
        <f t="shared" si="30"/>
        <v>334.54256301546081</v>
      </c>
      <c r="S74" s="27">
        <f t="shared" si="31"/>
        <v>2154.8214680870756</v>
      </c>
    </row>
    <row r="75" spans="1:19" x14ac:dyDescent="0.25">
      <c r="A75" s="6">
        <f t="shared" si="18"/>
        <v>70</v>
      </c>
      <c r="B75" s="24">
        <v>45294</v>
      </c>
      <c r="C75" s="32" cm="1">
        <f t="array" ref="C75" xml:space="preserve"> BonoM(100,C$2,C$1 - $B75,Portafolio!C75)</f>
        <v>91.090693380679596</v>
      </c>
      <c r="D75" s="32" cm="1">
        <f t="array" ref="D75" xml:space="preserve"> BonoM(100,D$2,D$1 - $B75,Portafolio!D75)</f>
        <v>98.304876446426661</v>
      </c>
      <c r="E75" s="32" cm="1">
        <f t="array" ref="E75" xml:space="preserve"> BonoM(100,E$2,E$1 - $B75,Portafolio!E75)</f>
        <v>93.56650474516762</v>
      </c>
      <c r="F75" s="32" cm="1">
        <f t="array" ref="F75" xml:space="preserve"> BonoM(100,F$2,F$1 - $B75,Portafolio!F75)</f>
        <v>95.550407217173515</v>
      </c>
      <c r="G75" s="5">
        <f t="shared" si="19"/>
        <v>9.807493864315564E-4</v>
      </c>
      <c r="H75" s="5">
        <f t="shared" si="20"/>
        <v>-1.8854234540082171E-3</v>
      </c>
      <c r="I75" s="5">
        <f t="shared" si="21"/>
        <v>-1.943992411727713E-3</v>
      </c>
      <c r="J75" s="5">
        <f t="shared" si="22"/>
        <v>-1.3869906253312081E-3</v>
      </c>
      <c r="K75" s="10">
        <f t="shared" si="23"/>
        <v>89.641471073914417</v>
      </c>
      <c r="L75" s="10">
        <f t="shared" si="24"/>
        <v>98.024722277537435</v>
      </c>
      <c r="M75" s="10">
        <f t="shared" si="25"/>
        <v>92.635646350075234</v>
      </c>
      <c r="N75" s="10">
        <f t="shared" si="26"/>
        <v>93.251121582912731</v>
      </c>
      <c r="O75" s="11">
        <f t="shared" si="27"/>
        <v>-289.83794020804652</v>
      </c>
      <c r="P75" s="11">
        <f t="shared" si="28"/>
        <v>277.75084363702263</v>
      </c>
      <c r="Q75" s="11">
        <f t="shared" si="29"/>
        <v>360.86751082274304</v>
      </c>
      <c r="R75" s="11">
        <f t="shared" si="30"/>
        <v>129.51807178849606</v>
      </c>
      <c r="S75" s="27">
        <f t="shared" si="31"/>
        <v>478.29848604021521</v>
      </c>
    </row>
    <row r="76" spans="1:19" x14ac:dyDescent="0.25">
      <c r="A76" s="6">
        <f t="shared" si="18"/>
        <v>71</v>
      </c>
      <c r="B76" s="24">
        <v>45293</v>
      </c>
      <c r="C76" s="32" cm="1">
        <f t="array" ref="C76" xml:space="preserve"> BonoM(100,C$2,C$1 - $B76,Portafolio!C76)</f>
        <v>91.001443770537264</v>
      </c>
      <c r="D76" s="32" cm="1">
        <f t="array" ref="D76" xml:space="preserve"> BonoM(100,D$2,D$1 - $B76,Portafolio!D76)</f>
        <v>98.490572882538103</v>
      </c>
      <c r="E76" s="32" cm="1">
        <f t="array" ref="E76" xml:space="preserve"> BonoM(100,E$2,E$1 - $B76,Portafolio!E76)</f>
        <v>93.748751606900385</v>
      </c>
      <c r="F76" s="32" cm="1">
        <f t="array" ref="F76" xml:space="preserve"> BonoM(100,F$2,F$1 - $B76,Portafolio!F76)</f>
        <v>95.683118805959836</v>
      </c>
      <c r="G76" s="5">
        <f t="shared" si="19"/>
        <v>-4.5566235288104773E-3</v>
      </c>
      <c r="H76" s="5">
        <f t="shared" si="20"/>
        <v>1.3586242888766087E-2</v>
      </c>
      <c r="I76" s="5">
        <f t="shared" si="21"/>
        <v>1.5758231474034989E-2</v>
      </c>
      <c r="J76" s="5">
        <f t="shared" si="22"/>
        <v>2.4996955937647725E-2</v>
      </c>
      <c r="K76" s="10">
        <f t="shared" si="23"/>
        <v>89.145579165592096</v>
      </c>
      <c r="L76" s="10">
        <f t="shared" si="24"/>
        <v>99.544192919544727</v>
      </c>
      <c r="M76" s="10">
        <f t="shared" si="25"/>
        <v>94.278697380301438</v>
      </c>
      <c r="N76" s="10">
        <f t="shared" si="26"/>
        <v>95.714871389579159</v>
      </c>
      <c r="O76" s="11">
        <f t="shared" si="27"/>
        <v>1346.605357255612</v>
      </c>
      <c r="P76" s="11">
        <f t="shared" si="28"/>
        <v>-2001.4551193739153</v>
      </c>
      <c r="Q76" s="11">
        <f t="shared" si="29"/>
        <v>-2925.2345496296639</v>
      </c>
      <c r="R76" s="11">
        <f t="shared" si="30"/>
        <v>-2334.2317348779316</v>
      </c>
      <c r="S76" s="27">
        <f t="shared" si="31"/>
        <v>-5914.3160466258987</v>
      </c>
    </row>
    <row r="77" spans="1:19" x14ac:dyDescent="0.25">
      <c r="A77" s="6">
        <f t="shared" si="18"/>
        <v>72</v>
      </c>
      <c r="B77" s="24">
        <v>45290</v>
      </c>
      <c r="C77" s="32" cm="1">
        <f t="array" ref="C77" xml:space="preserve"> BonoM(100,C$2,C$1 - $B77,Portafolio!C77)</f>
        <v>91.418001185696838</v>
      </c>
      <c r="D77" s="32" cm="1">
        <f t="array" ref="D77" xml:space="preserve"> BonoM(100,D$2,D$1 - $B77,Portafolio!D77)</f>
        <v>97.170392330736036</v>
      </c>
      <c r="E77" s="32" cm="1">
        <f t="array" ref="E77" xml:space="preserve"> BonoM(100,E$2,E$1 - $B77,Portafolio!E77)</f>
        <v>92.294355784698169</v>
      </c>
      <c r="F77" s="32" cm="1">
        <f t="array" ref="F77" xml:space="preserve"> BonoM(100,F$2,F$1 - $B77,Portafolio!F77)</f>
        <v>93.349661432341264</v>
      </c>
      <c r="G77" s="5">
        <f t="shared" si="19"/>
        <v>2.5181263147344701E-4</v>
      </c>
      <c r="H77" s="5">
        <f t="shared" si="20"/>
        <v>-1.8171859526634915E-2</v>
      </c>
      <c r="I77" s="5">
        <f t="shared" si="21"/>
        <v>-2.2696209457939265E-2</v>
      </c>
      <c r="J77" s="5">
        <f t="shared" si="22"/>
        <v>-3.5461660115273741E-2</v>
      </c>
      <c r="K77" s="10">
        <f t="shared" si="23"/>
        <v>89.576192133161214</v>
      </c>
      <c r="L77" s="10">
        <f t="shared" si="24"/>
        <v>96.425233190387985</v>
      </c>
      <c r="M77" s="10">
        <f t="shared" si="25"/>
        <v>90.709506910347613</v>
      </c>
      <c r="N77" s="10">
        <f t="shared" si="26"/>
        <v>90.069207149919364</v>
      </c>
      <c r="O77" s="11">
        <f t="shared" si="27"/>
        <v>-74.417435722477876</v>
      </c>
      <c r="P77" s="11">
        <f t="shared" si="28"/>
        <v>2676.9844743611984</v>
      </c>
      <c r="Q77" s="11">
        <f t="shared" si="29"/>
        <v>4213.1463902779842</v>
      </c>
      <c r="R77" s="11">
        <f t="shared" si="30"/>
        <v>3311.4325047818625</v>
      </c>
      <c r="S77" s="27">
        <f t="shared" si="31"/>
        <v>10127.145933698566</v>
      </c>
    </row>
    <row r="78" spans="1:19" x14ac:dyDescent="0.25">
      <c r="A78" s="6">
        <f t="shared" si="18"/>
        <v>73</v>
      </c>
      <c r="B78" s="24">
        <v>45289</v>
      </c>
      <c r="C78" s="32" cm="1">
        <f t="array" ref="C78" xml:space="preserve"> BonoM(100,C$2,C$1 - $B78,Portafolio!C78)</f>
        <v>91.394986773573905</v>
      </c>
      <c r="D78" s="32" cm="1">
        <f t="array" ref="D78" xml:space="preserve"> BonoM(100,D$2,D$1 - $B78,Portafolio!D78)</f>
        <v>98.968840192223098</v>
      </c>
      <c r="E78" s="32" cm="1">
        <f t="array" ref="E78" xml:space="preserve"> BonoM(100,E$2,E$1 - $B78,Portafolio!E78)</f>
        <v>94.437734385034133</v>
      </c>
      <c r="F78" s="32" cm="1">
        <f t="array" ref="F78" xml:space="preserve"> BonoM(100,F$2,F$1 - $B78,Portafolio!F78)</f>
        <v>96.781701226617542</v>
      </c>
      <c r="G78" s="5">
        <f t="shared" si="19"/>
        <v>1.5134722421075164E-3</v>
      </c>
      <c r="H78" s="5">
        <f t="shared" si="20"/>
        <v>4.5351583216826086E-3</v>
      </c>
      <c r="I78" s="5">
        <f t="shared" si="21"/>
        <v>5.4836633225483489E-3</v>
      </c>
      <c r="J78" s="5">
        <f t="shared" si="22"/>
        <v>3.1306343018864258E-3</v>
      </c>
      <c r="K78" s="10">
        <f t="shared" si="23"/>
        <v>89.689178345494568</v>
      </c>
      <c r="L78" s="10">
        <f t="shared" si="24"/>
        <v>98.655286904296304</v>
      </c>
      <c r="M78" s="10">
        <f t="shared" si="25"/>
        <v>93.325052239703766</v>
      </c>
      <c r="N78" s="10">
        <f t="shared" si="26"/>
        <v>93.672980288336333</v>
      </c>
      <c r="O78" s="11">
        <f t="shared" si="27"/>
        <v>-447.27193642254548</v>
      </c>
      <c r="P78" s="11">
        <f t="shared" si="28"/>
        <v>-668.09609650128004</v>
      </c>
      <c r="Q78" s="11">
        <f t="shared" si="29"/>
        <v>-1017.9442684343201</v>
      </c>
      <c r="R78" s="11">
        <f t="shared" si="30"/>
        <v>-292.34063363510643</v>
      </c>
      <c r="S78" s="27">
        <f t="shared" si="31"/>
        <v>-2425.6529349932516</v>
      </c>
    </row>
    <row r="79" spans="1:19" x14ac:dyDescent="0.25">
      <c r="A79" s="6">
        <f t="shared" si="18"/>
        <v>74</v>
      </c>
      <c r="B79" s="24">
        <v>45288</v>
      </c>
      <c r="C79" s="32" cm="1">
        <f t="array" ref="C79" xml:space="preserve"> BonoM(100,C$2,C$1 - $B79,Portafolio!C79)</f>
        <v>91.256872030853643</v>
      </c>
      <c r="D79" s="32" cm="1">
        <f t="array" ref="D79" xml:space="preserve"> BonoM(100,D$2,D$1 - $B79,Portafolio!D79)</f>
        <v>98.522027200694822</v>
      </c>
      <c r="E79" s="32" cm="1">
        <f t="array" ref="E79" xml:space="preserve"> BonoM(100,E$2,E$1 - $B79,Portafolio!E79)</f>
        <v>93.922693953048864</v>
      </c>
      <c r="F79" s="32" cm="1">
        <f t="array" ref="F79" xml:space="preserve"> BonoM(100,F$2,F$1 - $B79,Portafolio!F79)</f>
        <v>96.479658697664348</v>
      </c>
      <c r="G79" s="5">
        <f t="shared" si="19"/>
        <v>1.5435517012836186E-3</v>
      </c>
      <c r="H79" s="5">
        <f t="shared" si="20"/>
        <v>2.2162694101446334E-3</v>
      </c>
      <c r="I79" s="5">
        <f t="shared" si="21"/>
        <v>2.7772066976874399E-3</v>
      </c>
      <c r="J79" s="5">
        <f t="shared" si="22"/>
        <v>3.2112614211963209E-3</v>
      </c>
      <c r="K79" s="10">
        <f t="shared" si="23"/>
        <v>89.691872070594982</v>
      </c>
      <c r="L79" s="10">
        <f t="shared" si="24"/>
        <v>98.427549080516016</v>
      </c>
      <c r="M79" s="10">
        <f t="shared" si="25"/>
        <v>93.073849544808652</v>
      </c>
      <c r="N79" s="10">
        <f t="shared" si="26"/>
        <v>93.680509300311002</v>
      </c>
      <c r="O79" s="11">
        <f t="shared" si="27"/>
        <v>-456.16122925391238</v>
      </c>
      <c r="P79" s="11">
        <f t="shared" si="28"/>
        <v>-326.48936083084834</v>
      </c>
      <c r="Q79" s="11">
        <f t="shared" si="29"/>
        <v>-515.53887864409376</v>
      </c>
      <c r="R79" s="11">
        <f t="shared" si="30"/>
        <v>-299.86964560977469</v>
      </c>
      <c r="S79" s="27">
        <f t="shared" si="31"/>
        <v>-1598.0591143386291</v>
      </c>
    </row>
    <row r="80" spans="1:19" x14ac:dyDescent="0.25">
      <c r="A80" s="6">
        <f t="shared" si="18"/>
        <v>75</v>
      </c>
      <c r="B80" s="24">
        <v>45287</v>
      </c>
      <c r="C80" s="32" cm="1">
        <f t="array" ref="C80" xml:space="preserve"> BonoM(100,C$2,C$1 - $B80,Portafolio!C80)</f>
        <v>91.116229419917971</v>
      </c>
      <c r="D80" s="32" cm="1">
        <f t="array" ref="D80" xml:space="preserve"> BonoM(100,D$2,D$1 - $B80,Portafolio!D80)</f>
        <v>98.304158700876059</v>
      </c>
      <c r="E80" s="32" cm="1">
        <f t="array" ref="E80" xml:space="preserve"> BonoM(100,E$2,E$1 - $B80,Portafolio!E80)</f>
        <v>93.662573626251387</v>
      </c>
      <c r="F80" s="32" cm="1">
        <f t="array" ref="F80" xml:space="preserve"> BonoM(100,F$2,F$1 - $B80,Portafolio!F80)</f>
        <v>96.170829024573266</v>
      </c>
      <c r="G80" s="5">
        <f t="shared" si="19"/>
        <v>2.7820089604888576E-3</v>
      </c>
      <c r="H80" s="5">
        <f t="shared" si="20"/>
        <v>4.5377137490403285E-3</v>
      </c>
      <c r="I80" s="5">
        <f t="shared" si="21"/>
        <v>6.3102769784471047E-3</v>
      </c>
      <c r="J80" s="5">
        <f t="shared" si="22"/>
        <v>6.0130618862956897E-3</v>
      </c>
      <c r="K80" s="10">
        <f t="shared" si="23"/>
        <v>89.802780427868967</v>
      </c>
      <c r="L80" s="10">
        <f t="shared" si="24"/>
        <v>98.655537872534751</v>
      </c>
      <c r="M80" s="10">
        <f t="shared" si="25"/>
        <v>93.40177527900596</v>
      </c>
      <c r="N80" s="10">
        <f t="shared" si="26"/>
        <v>93.94214321992682</v>
      </c>
      <c r="O80" s="11">
        <f t="shared" si="27"/>
        <v>-822.15880825806244</v>
      </c>
      <c r="P80" s="11">
        <f t="shared" si="28"/>
        <v>-668.47254885895063</v>
      </c>
      <c r="Q80" s="11">
        <f t="shared" si="29"/>
        <v>-1171.3903470387095</v>
      </c>
      <c r="R80" s="11">
        <f t="shared" si="30"/>
        <v>-561.50356522559264</v>
      </c>
      <c r="S80" s="27">
        <f t="shared" si="31"/>
        <v>-3223.5252693813154</v>
      </c>
    </row>
    <row r="81" spans="1:19" x14ac:dyDescent="0.25">
      <c r="A81" s="6">
        <f t="shared" si="18"/>
        <v>76</v>
      </c>
      <c r="B81" s="24">
        <v>45286</v>
      </c>
      <c r="C81" s="32" cm="1">
        <f t="array" ref="C81" xml:space="preserve"> BonoM(100,C$2,C$1 - $B81,Portafolio!C81)</f>
        <v>90.86344649758081</v>
      </c>
      <c r="D81" s="32" cm="1">
        <f t="array" ref="D81" xml:space="preserve"> BonoM(100,D$2,D$1 - $B81,Portafolio!D81)</f>
        <v>97.860097590556961</v>
      </c>
      <c r="E81" s="32" cm="1">
        <f t="array" ref="E81" xml:space="preserve"> BonoM(100,E$2,E$1 - $B81,Portafolio!E81)</f>
        <v>93.075243062689538</v>
      </c>
      <c r="F81" s="32" cm="1">
        <f t="array" ref="F81" xml:space="preserve"> BonoM(100,F$2,F$1 - $B81,Portafolio!F81)</f>
        <v>95.596004334427761</v>
      </c>
      <c r="G81" s="5">
        <f t="shared" si="19"/>
        <v>1.0484762714766171E-2</v>
      </c>
      <c r="H81" s="5">
        <f t="shared" si="20"/>
        <v>1.4069639698142566E-2</v>
      </c>
      <c r="I81" s="5">
        <f t="shared" si="21"/>
        <v>1.9360779989763266E-2</v>
      </c>
      <c r="J81" s="5">
        <f t="shared" si="22"/>
        <v>3.2151832732364216E-2</v>
      </c>
      <c r="K81" s="10">
        <f t="shared" si="23"/>
        <v>90.492590075333993</v>
      </c>
      <c r="L81" s="10">
        <f t="shared" si="24"/>
        <v>99.591667266781442</v>
      </c>
      <c r="M81" s="10">
        <f t="shared" si="25"/>
        <v>94.613071811921174</v>
      </c>
      <c r="N81" s="10">
        <f t="shared" si="26"/>
        <v>96.382998361320361</v>
      </c>
      <c r="O81" s="11">
        <f t="shared" si="27"/>
        <v>-3098.5306448926481</v>
      </c>
      <c r="P81" s="11">
        <f t="shared" si="28"/>
        <v>-2072.6666402289879</v>
      </c>
      <c r="Q81" s="11">
        <f t="shared" si="29"/>
        <v>-3593.9834128691359</v>
      </c>
      <c r="R81" s="11">
        <f t="shared" si="30"/>
        <v>-3002.358706619134</v>
      </c>
      <c r="S81" s="27">
        <f t="shared" si="31"/>
        <v>-11767.539404609906</v>
      </c>
    </row>
    <row r="82" spans="1:19" x14ac:dyDescent="0.25">
      <c r="A82" s="6">
        <f t="shared" si="18"/>
        <v>77</v>
      </c>
      <c r="B82" s="24">
        <v>45283</v>
      </c>
      <c r="C82" s="32" cm="1">
        <f t="array" ref="C82" xml:space="preserve"> BonoM(100,C$2,C$1 - $B82,Portafolio!C82)</f>
        <v>89.920649821049523</v>
      </c>
      <c r="D82" s="32" cm="1">
        <f t="array" ref="D82" xml:space="preserve"> BonoM(100,D$2,D$1 - $B82,Portafolio!D82)</f>
        <v>96.502344375172214</v>
      </c>
      <c r="E82" s="32" cm="1">
        <f t="array" ref="E82" xml:space="preserve"> BonoM(100,E$2,E$1 - $B82,Portafolio!E82)</f>
        <v>91.307459429255488</v>
      </c>
      <c r="F82" s="32" cm="1">
        <f t="array" ref="F82" xml:space="preserve"> BonoM(100,F$2,F$1 - $B82,Portafolio!F82)</f>
        <v>92.618160722886302</v>
      </c>
      <c r="G82" s="5">
        <f t="shared" si="19"/>
        <v>-9.6385262652607384E-3</v>
      </c>
      <c r="H82" s="5">
        <f t="shared" si="20"/>
        <v>-1.3322005615662991E-2</v>
      </c>
      <c r="I82" s="5">
        <f t="shared" si="21"/>
        <v>-2.0126733752461545E-2</v>
      </c>
      <c r="J82" s="5">
        <f t="shared" si="22"/>
        <v>-2.7003137064021021E-2</v>
      </c>
      <c r="K82" s="10">
        <f t="shared" si="23"/>
        <v>88.690476270327437</v>
      </c>
      <c r="L82" s="10">
        <f t="shared" si="24"/>
        <v>96.901536807107831</v>
      </c>
      <c r="M82" s="10">
        <f t="shared" si="25"/>
        <v>90.947995573256335</v>
      </c>
      <c r="N82" s="10">
        <f t="shared" si="26"/>
        <v>90.859069442979376</v>
      </c>
      <c r="O82" s="11">
        <f t="shared" si="27"/>
        <v>2848.4449116289866</v>
      </c>
      <c r="P82" s="11">
        <f t="shared" si="28"/>
        <v>1962.5290492814288</v>
      </c>
      <c r="Q82" s="11">
        <f t="shared" si="29"/>
        <v>3736.1690644605405</v>
      </c>
      <c r="R82" s="11">
        <f t="shared" si="30"/>
        <v>2521.5702117218511</v>
      </c>
      <c r="S82" s="27">
        <f t="shared" si="31"/>
        <v>11068.713237092807</v>
      </c>
    </row>
    <row r="83" spans="1:19" x14ac:dyDescent="0.25">
      <c r="A83" s="6">
        <f t="shared" si="18"/>
        <v>78</v>
      </c>
      <c r="B83" s="24">
        <v>45282</v>
      </c>
      <c r="C83" s="32" cm="1">
        <f t="array" ref="C83" xml:space="preserve"> BonoM(100,C$2,C$1 - $B83,Portafolio!C83)</f>
        <v>90.795787402705528</v>
      </c>
      <c r="D83" s="32" cm="1">
        <f t="array" ref="D83" xml:space="preserve"> BonoM(100,D$2,D$1 - $B83,Portafolio!D83)</f>
        <v>97.805307227295899</v>
      </c>
      <c r="E83" s="32" cm="1">
        <f t="array" ref="E83" xml:space="preserve"> BonoM(100,E$2,E$1 - $B83,Portafolio!E83)</f>
        <v>93.182927399296076</v>
      </c>
      <c r="F83" s="32" cm="1">
        <f t="array" ref="F83" xml:space="preserve"> BonoM(100,F$2,F$1 - $B83,Portafolio!F83)</f>
        <v>95.188550190608751</v>
      </c>
      <c r="G83" s="5">
        <f t="shared" si="19"/>
        <v>-2.5391706408917081E-5</v>
      </c>
      <c r="H83" s="5">
        <f t="shared" si="20"/>
        <v>-6.1172799438358183E-4</v>
      </c>
      <c r="I83" s="5">
        <f t="shared" si="21"/>
        <v>1.2937669369625926E-3</v>
      </c>
      <c r="J83" s="5">
        <f t="shared" si="22"/>
        <v>-5.723671633443006E-4</v>
      </c>
      <c r="K83" s="10">
        <f t="shared" si="23"/>
        <v>89.551367475293347</v>
      </c>
      <c r="L83" s="10">
        <f t="shared" si="24"/>
        <v>98.14981176789226</v>
      </c>
      <c r="M83" s="10">
        <f t="shared" si="25"/>
        <v>92.936162481145558</v>
      </c>
      <c r="N83" s="10">
        <f t="shared" si="26"/>
        <v>93.327191642870787</v>
      </c>
      <c r="O83" s="11">
        <f t="shared" si="27"/>
        <v>7.5039352414847826</v>
      </c>
      <c r="P83" s="11">
        <f t="shared" si="28"/>
        <v>90.116608104786167</v>
      </c>
      <c r="Q83" s="11">
        <f t="shared" si="29"/>
        <v>-240.16475131790571</v>
      </c>
      <c r="R83" s="11">
        <f t="shared" si="30"/>
        <v>53.448011830440123</v>
      </c>
      <c r="S83" s="27">
        <f t="shared" si="31"/>
        <v>-89.096196141194639</v>
      </c>
    </row>
    <row r="84" spans="1:19" x14ac:dyDescent="0.25">
      <c r="A84" s="6">
        <f t="shared" si="18"/>
        <v>79</v>
      </c>
      <c r="B84" s="24">
        <v>45281</v>
      </c>
      <c r="C84" s="32" cm="1">
        <f t="array" ref="C84" xml:space="preserve"> BonoM(100,C$2,C$1 - $B84,Portafolio!C84)</f>
        <v>90.798092921223471</v>
      </c>
      <c r="D84" s="32" cm="1">
        <f t="array" ref="D84" xml:space="preserve"> BonoM(100,D$2,D$1 - $B84,Portafolio!D84)</f>
        <v>97.865174093964399</v>
      </c>
      <c r="E84" s="32" cm="1">
        <f t="array" ref="E84" xml:space="preserve"> BonoM(100,E$2,E$1 - $B84,Portafolio!E84)</f>
        <v>93.062526179854373</v>
      </c>
      <c r="F84" s="32" cm="1">
        <f t="array" ref="F84" xml:space="preserve"> BonoM(100,F$2,F$1 - $B84,Portafolio!F84)</f>
        <v>95.243064193089168</v>
      </c>
      <c r="G84" s="5">
        <f t="shared" si="19"/>
        <v>-8.7165104672093374E-4</v>
      </c>
      <c r="H84" s="5">
        <f t="shared" si="20"/>
        <v>-1.4719165088512565E-3</v>
      </c>
      <c r="I84" s="5">
        <f t="shared" si="21"/>
        <v>-1.4051333869599114E-3</v>
      </c>
      <c r="J84" s="5">
        <f t="shared" si="22"/>
        <v>-3.8537067100331557E-3</v>
      </c>
      <c r="K84" s="10">
        <f t="shared" si="23"/>
        <v>89.475581869803818</v>
      </c>
      <c r="L84" s="10">
        <f t="shared" si="24"/>
        <v>98.065332748931525</v>
      </c>
      <c r="M84" s="10">
        <f t="shared" si="25"/>
        <v>92.685661132483645</v>
      </c>
      <c r="N84" s="10">
        <f t="shared" si="26"/>
        <v>93.020778057076711</v>
      </c>
      <c r="O84" s="11">
        <f t="shared" si="27"/>
        <v>257.59643335692886</v>
      </c>
      <c r="P84" s="11">
        <f t="shared" si="28"/>
        <v>216.83513654588893</v>
      </c>
      <c r="Q84" s="11">
        <f t="shared" si="29"/>
        <v>260.83794600592114</v>
      </c>
      <c r="R84" s="11">
        <f t="shared" si="30"/>
        <v>359.86159762451564</v>
      </c>
      <c r="S84" s="27">
        <f t="shared" si="31"/>
        <v>1095.1311135332544</v>
      </c>
    </row>
    <row r="85" spans="1:19" x14ac:dyDescent="0.25">
      <c r="A85" s="6">
        <f t="shared" si="18"/>
        <v>80</v>
      </c>
      <c r="B85" s="24">
        <v>45280</v>
      </c>
      <c r="C85" s="32" cm="1">
        <f t="array" ref="C85" xml:space="preserve"> BonoM(100,C$2,C$1 - $B85,Portafolio!C85)</f>
        <v>90.877306220313585</v>
      </c>
      <c r="D85" s="32" cm="1">
        <f t="array" ref="D85" xml:space="preserve"> BonoM(100,D$2,D$1 - $B85,Portafolio!D85)</f>
        <v>98.00943580054242</v>
      </c>
      <c r="E85" s="32" cm="1">
        <f t="array" ref="E85" xml:space="preserve"> BonoM(100,E$2,E$1 - $B85,Portafolio!E85)</f>
        <v>93.193475443647074</v>
      </c>
      <c r="F85" s="32" cm="1">
        <f t="array" ref="F85" xml:space="preserve"> BonoM(100,F$2,F$1 - $B85,Portafolio!F85)</f>
        <v>95.611522960679224</v>
      </c>
      <c r="G85" s="5">
        <f t="shared" si="19"/>
        <v>2.5161348603897071E-3</v>
      </c>
      <c r="H85" s="5">
        <f t="shared" si="20"/>
        <v>4.9876193455939966E-3</v>
      </c>
      <c r="I85" s="5">
        <f t="shared" si="21"/>
        <v>4.1127392397475315E-3</v>
      </c>
      <c r="J85" s="5">
        <f t="shared" si="22"/>
        <v>4.3663080386742159E-3</v>
      </c>
      <c r="K85" s="10">
        <f t="shared" si="23"/>
        <v>89.778970434052454</v>
      </c>
      <c r="L85" s="10">
        <f t="shared" si="24"/>
        <v>98.699723051460694</v>
      </c>
      <c r="M85" s="10">
        <f t="shared" si="25"/>
        <v>93.197808440215994</v>
      </c>
      <c r="N85" s="10">
        <f t="shared" si="26"/>
        <v>93.788368292282087</v>
      </c>
      <c r="O85" s="11">
        <f t="shared" si="27"/>
        <v>-743.58582866356778</v>
      </c>
      <c r="P85" s="11">
        <f t="shared" si="28"/>
        <v>-734.75031724786527</v>
      </c>
      <c r="Q85" s="11">
        <f t="shared" si="29"/>
        <v>-763.4566694587761</v>
      </c>
      <c r="R85" s="11">
        <f t="shared" si="30"/>
        <v>-407.72863758085975</v>
      </c>
      <c r="S85" s="27">
        <f t="shared" si="31"/>
        <v>-2649.521452951069</v>
      </c>
    </row>
    <row r="86" spans="1:19" x14ac:dyDescent="0.25">
      <c r="A86" s="6">
        <f t="shared" si="18"/>
        <v>81</v>
      </c>
      <c r="B86" s="24">
        <v>45279</v>
      </c>
      <c r="C86" s="32" cm="1">
        <f t="array" ref="C86" xml:space="preserve"> BonoM(100,C$2,C$1 - $B86,Portafolio!C86)</f>
        <v>90.649220556404458</v>
      </c>
      <c r="D86" s="32" cm="1">
        <f t="array" ref="D86" xml:space="preserve"> BonoM(100,D$2,D$1 - $B86,Portafolio!D86)</f>
        <v>97.523028059153688</v>
      </c>
      <c r="E86" s="32" cm="1">
        <f t="array" ref="E86" xml:space="preserve"> BonoM(100,E$2,E$1 - $B86,Portafolio!E86)</f>
        <v>92.811764856411898</v>
      </c>
      <c r="F86" s="32" cm="1">
        <f t="array" ref="F86" xml:space="preserve"> BonoM(100,F$2,F$1 - $B86,Portafolio!F86)</f>
        <v>95.19586847490865</v>
      </c>
      <c r="G86" s="5">
        <f t="shared" si="19"/>
        <v>-8.1595466420814056E-4</v>
      </c>
      <c r="H86" s="5">
        <f t="shared" si="20"/>
        <v>-4.0456705448227437E-3</v>
      </c>
      <c r="I86" s="5">
        <f t="shared" si="21"/>
        <v>-4.7043093775577249E-3</v>
      </c>
      <c r="J86" s="5">
        <f t="shared" si="22"/>
        <v>-4.6760742711887682E-3</v>
      </c>
      <c r="K86" s="10">
        <f t="shared" si="23"/>
        <v>89.480569683670367</v>
      </c>
      <c r="L86" s="10">
        <f t="shared" si="24"/>
        <v>97.812564649441526</v>
      </c>
      <c r="M86" s="10">
        <f t="shared" si="25"/>
        <v>92.379444549458213</v>
      </c>
      <c r="N86" s="10">
        <f t="shared" si="26"/>
        <v>92.943984848184726</v>
      </c>
      <c r="O86" s="11">
        <f t="shared" si="27"/>
        <v>241.13664759731677</v>
      </c>
      <c r="P86" s="11">
        <f t="shared" si="28"/>
        <v>595.98728578088617</v>
      </c>
      <c r="Q86" s="11">
        <f t="shared" si="29"/>
        <v>873.2711120567842</v>
      </c>
      <c r="R86" s="11">
        <f t="shared" si="30"/>
        <v>436.65480651650057</v>
      </c>
      <c r="S86" s="27">
        <f t="shared" si="31"/>
        <v>2147.0498519514877</v>
      </c>
    </row>
    <row r="87" spans="1:19" x14ac:dyDescent="0.25">
      <c r="A87" s="6">
        <f t="shared" si="18"/>
        <v>82</v>
      </c>
      <c r="B87" s="24">
        <v>45278</v>
      </c>
      <c r="C87" s="32" cm="1">
        <f t="array" ref="C87" xml:space="preserve"> BonoM(100,C$2,C$1 - $B87,Portafolio!C87)</f>
        <v>90.723246612630135</v>
      </c>
      <c r="D87" s="32" cm="1">
        <f t="array" ref="D87" xml:space="preserve"> BonoM(100,D$2,D$1 - $B87,Portafolio!D87)</f>
        <v>97.919176788460049</v>
      </c>
      <c r="E87" s="32" cm="1">
        <f t="array" ref="E87" xml:space="preserve"> BonoM(100,E$2,E$1 - $B87,Portafolio!E87)</f>
        <v>93.250443793611609</v>
      </c>
      <c r="F87" s="32" cm="1">
        <f t="array" ref="F87" xml:space="preserve"> BonoM(100,F$2,F$1 - $B87,Portafolio!F87)</f>
        <v>95.64310272678604</v>
      </c>
      <c r="G87" s="5">
        <f t="shared" si="19"/>
        <v>9.2635127445375165E-3</v>
      </c>
      <c r="H87" s="5">
        <f t="shared" si="20"/>
        <v>1.4971720066378147E-2</v>
      </c>
      <c r="I87" s="5">
        <f t="shared" si="21"/>
        <v>1.8907703341627613E-2</v>
      </c>
      <c r="J87" s="5">
        <f t="shared" si="22"/>
        <v>2.8736074485679497E-2</v>
      </c>
      <c r="K87" s="10">
        <f t="shared" si="23"/>
        <v>90.383222693446413</v>
      </c>
      <c r="L87" s="10">
        <f t="shared" si="24"/>
        <v>99.680260480071965</v>
      </c>
      <c r="M87" s="10">
        <f t="shared" si="25"/>
        <v>94.571019013453892</v>
      </c>
      <c r="N87" s="10">
        <f t="shared" si="26"/>
        <v>96.06403267133912</v>
      </c>
      <c r="O87" s="11">
        <f t="shared" si="27"/>
        <v>-2737.6182846636339</v>
      </c>
      <c r="P87" s="11">
        <f t="shared" si="28"/>
        <v>-2205.5564601647716</v>
      </c>
      <c r="Q87" s="11">
        <f t="shared" si="29"/>
        <v>-3509.8778159345729</v>
      </c>
      <c r="R87" s="11">
        <f t="shared" si="30"/>
        <v>-2683.3930166378932</v>
      </c>
      <c r="S87" s="27">
        <f t="shared" si="31"/>
        <v>-11136.445577400871</v>
      </c>
    </row>
    <row r="88" spans="1:19" x14ac:dyDescent="0.25">
      <c r="A88" s="6">
        <f t="shared" si="18"/>
        <v>83</v>
      </c>
      <c r="B88" s="24">
        <v>45276</v>
      </c>
      <c r="C88" s="32" cm="1">
        <f t="array" ref="C88" xml:space="preserve"> BonoM(100,C$2,C$1 - $B88,Portafolio!C88)</f>
        <v>89.89054440888502</v>
      </c>
      <c r="D88" s="32" cm="1">
        <f t="array" ref="D88" xml:space="preserve"> BonoM(100,D$2,D$1 - $B88,Portafolio!D88)</f>
        <v>96.47478333884635</v>
      </c>
      <c r="E88" s="32" cm="1">
        <f t="array" ref="E88" xml:space="preserve"> BonoM(100,E$2,E$1 - $B88,Portafolio!E88)</f>
        <v>91.520010583672899</v>
      </c>
      <c r="F88" s="32" cm="1">
        <f t="array" ref="F88" xml:space="preserve"> BonoM(100,F$2,F$1 - $B88,Portafolio!F88)</f>
        <v>92.971467705750641</v>
      </c>
      <c r="G88" s="5">
        <f t="shared" si="19"/>
        <v>-9.3155677082330524E-3</v>
      </c>
      <c r="H88" s="5">
        <f t="shared" si="20"/>
        <v>-1.5724071221468905E-2</v>
      </c>
      <c r="I88" s="5">
        <f t="shared" si="21"/>
        <v>-1.8375841004213855E-2</v>
      </c>
      <c r="J88" s="5">
        <f t="shared" si="22"/>
        <v>-2.5610812975296993E-2</v>
      </c>
      <c r="K88" s="10">
        <f t="shared" si="23"/>
        <v>88.719398385128954</v>
      </c>
      <c r="L88" s="10">
        <f t="shared" si="24"/>
        <v>96.665630209373958</v>
      </c>
      <c r="M88" s="10">
        <f t="shared" si="25"/>
        <v>91.110506574833806</v>
      </c>
      <c r="N88" s="10">
        <f t="shared" si="26"/>
        <v>90.989085556991071</v>
      </c>
      <c r="O88" s="11">
        <f t="shared" si="27"/>
        <v>2753.0019327839796</v>
      </c>
      <c r="P88" s="11">
        <f t="shared" si="28"/>
        <v>2316.3889458822382</v>
      </c>
      <c r="Q88" s="11">
        <f t="shared" si="29"/>
        <v>3411.1470613055985</v>
      </c>
      <c r="R88" s="11">
        <f t="shared" si="30"/>
        <v>2391.5540977101555</v>
      </c>
      <c r="S88" s="27">
        <f t="shared" si="31"/>
        <v>10872.092037681972</v>
      </c>
    </row>
    <row r="89" spans="1:19" x14ac:dyDescent="0.25">
      <c r="A89" s="6">
        <f t="shared" si="18"/>
        <v>84</v>
      </c>
      <c r="B89" s="24">
        <v>45275</v>
      </c>
      <c r="C89" s="32" cm="1">
        <f t="array" ref="C89" xml:space="preserve"> BonoM(100,C$2,C$1 - $B89,Portafolio!C89)</f>
        <v>90.735799896380442</v>
      </c>
      <c r="D89" s="32" cm="1">
        <f t="array" ref="D89" xml:space="preserve"> BonoM(100,D$2,D$1 - $B89,Portafolio!D89)</f>
        <v>98.015993806299662</v>
      </c>
      <c r="E89" s="32" cm="1">
        <f t="array" ref="E89" xml:space="preserve"> BonoM(100,E$2,E$1 - $B89,Portafolio!E89)</f>
        <v>93.233249961267276</v>
      </c>
      <c r="F89" s="32" cm="1">
        <f t="array" ref="F89" xml:space="preserve"> BonoM(100,F$2,F$1 - $B89,Portafolio!F89)</f>
        <v>95.41512666990792</v>
      </c>
      <c r="G89" s="5">
        <f t="shared" si="19"/>
        <v>-4.5587751189978265E-3</v>
      </c>
      <c r="H89" s="5">
        <f t="shared" si="20"/>
        <v>-3.6358605298676405E-3</v>
      </c>
      <c r="I89" s="5">
        <f t="shared" si="21"/>
        <v>-4.1725197865095653E-3</v>
      </c>
      <c r="J89" s="5">
        <f t="shared" si="22"/>
        <v>-2.2236504768213816E-3</v>
      </c>
      <c r="K89" s="10">
        <f t="shared" si="23"/>
        <v>89.145386482856026</v>
      </c>
      <c r="L89" s="10">
        <f t="shared" si="24"/>
        <v>97.852812045728967</v>
      </c>
      <c r="M89" s="10">
        <f t="shared" si="25"/>
        <v>92.42880317474021</v>
      </c>
      <c r="N89" s="10">
        <f t="shared" si="26"/>
        <v>93.172993750807166</v>
      </c>
      <c r="O89" s="11">
        <f t="shared" si="27"/>
        <v>1347.2412102846447</v>
      </c>
      <c r="P89" s="11">
        <f t="shared" si="28"/>
        <v>535.61619134972466</v>
      </c>
      <c r="Q89" s="11">
        <f t="shared" si="29"/>
        <v>774.55386149279093</v>
      </c>
      <c r="R89" s="11">
        <f t="shared" si="30"/>
        <v>207.64590389406123</v>
      </c>
      <c r="S89" s="27">
        <f t="shared" si="31"/>
        <v>2865.0571670212212</v>
      </c>
    </row>
    <row r="90" spans="1:19" x14ac:dyDescent="0.25">
      <c r="A90" s="6">
        <f t="shared" si="18"/>
        <v>85</v>
      </c>
      <c r="B90" s="24">
        <v>45274</v>
      </c>
      <c r="C90" s="32" cm="1">
        <f t="array" ref="C90" xml:space="preserve"> BonoM(100,C$2,C$1 - $B90,Portafolio!C90)</f>
        <v>91.151338349712461</v>
      </c>
      <c r="D90" s="32" cm="1">
        <f t="array" ref="D90" xml:space="preserve"> BonoM(100,D$2,D$1 - $B90,Portafolio!D90)</f>
        <v>98.373666738372066</v>
      </c>
      <c r="E90" s="32" cm="1">
        <f t="array" ref="E90" xml:space="preserve"> BonoM(100,E$2,E$1 - $B90,Portafolio!E90)</f>
        <v>93.623897526185431</v>
      </c>
      <c r="F90" s="32" cm="1">
        <f t="array" ref="F90" xml:space="preserve"> BonoM(100,F$2,F$1 - $B90,Portafolio!F90)</f>
        <v>95.627769404942583</v>
      </c>
      <c r="G90" s="5">
        <f t="shared" si="19"/>
        <v>6.5201148185825009E-3</v>
      </c>
      <c r="H90" s="5">
        <f t="shared" si="20"/>
        <v>7.6148489364689098E-3</v>
      </c>
      <c r="I90" s="5">
        <f t="shared" si="21"/>
        <v>8.0223171999909137E-3</v>
      </c>
      <c r="J90" s="5">
        <f t="shared" si="22"/>
        <v>2.0994203843085923E-2</v>
      </c>
      <c r="K90" s="10">
        <f t="shared" si="23"/>
        <v>90.137541419381463</v>
      </c>
      <c r="L90" s="10">
        <f t="shared" si="24"/>
        <v>98.957742979289065</v>
      </c>
      <c r="M90" s="10">
        <f t="shared" si="25"/>
        <v>93.560680141352591</v>
      </c>
      <c r="N90" s="10">
        <f t="shared" si="26"/>
        <v>95.341091838609771</v>
      </c>
      <c r="O90" s="11">
        <f t="shared" si="27"/>
        <v>-1926.8700802493001</v>
      </c>
      <c r="P90" s="11">
        <f t="shared" si="28"/>
        <v>-1121.7802089904226</v>
      </c>
      <c r="Q90" s="11">
        <f t="shared" si="29"/>
        <v>-1489.2000717319718</v>
      </c>
      <c r="R90" s="11">
        <f t="shared" si="30"/>
        <v>-1960.4521839085437</v>
      </c>
      <c r="S90" s="27">
        <f t="shared" si="31"/>
        <v>-6498.3025448802382</v>
      </c>
    </row>
    <row r="91" spans="1:19" x14ac:dyDescent="0.25">
      <c r="A91" s="6">
        <f t="shared" si="18"/>
        <v>86</v>
      </c>
      <c r="B91" s="24">
        <v>45273</v>
      </c>
      <c r="C91" s="32" cm="1">
        <f t="array" ref="C91" xml:space="preserve"> BonoM(100,C$2,C$1 - $B91,Portafolio!C91)</f>
        <v>90.560871072250535</v>
      </c>
      <c r="D91" s="32" cm="1">
        <f t="array" ref="D91" xml:space="preserve"> BonoM(100,D$2,D$1 - $B91,Portafolio!D91)</f>
        <v>97.630227305805235</v>
      </c>
      <c r="E91" s="32" cm="1">
        <f t="array" ref="E91" xml:space="preserve"> BonoM(100,E$2,E$1 - $B91,Portafolio!E91)</f>
        <v>92.878794376544064</v>
      </c>
      <c r="F91" s="32" cm="1">
        <f t="array" ref="F91" xml:space="preserve"> BonoM(100,F$2,F$1 - $B91,Portafolio!F91)</f>
        <v>93.661422410620645</v>
      </c>
      <c r="G91" s="5">
        <f t="shared" si="19"/>
        <v>1.6466806569219283E-2</v>
      </c>
      <c r="H91" s="5">
        <f t="shared" si="20"/>
        <v>2.6287027129969998E-2</v>
      </c>
      <c r="I91" s="5">
        <f t="shared" si="21"/>
        <v>3.4637288836375735E-2</v>
      </c>
      <c r="J91" s="5">
        <f t="shared" si="22"/>
        <v>3.8096275816685177E-2</v>
      </c>
      <c r="K91" s="10">
        <f t="shared" si="23"/>
        <v>91.028303885485229</v>
      </c>
      <c r="L91" s="10">
        <f t="shared" si="24"/>
        <v>100.7915355365209</v>
      </c>
      <c r="M91" s="10">
        <f t="shared" si="25"/>
        <v>96.030977480760527</v>
      </c>
      <c r="N91" s="10">
        <f t="shared" si="26"/>
        <v>96.938094258925219</v>
      </c>
      <c r="O91" s="11">
        <f t="shared" si="27"/>
        <v>-4866.3862183917272</v>
      </c>
      <c r="P91" s="11">
        <f t="shared" si="28"/>
        <v>-3872.4690448381693</v>
      </c>
      <c r="Q91" s="11">
        <f t="shared" si="29"/>
        <v>-6429.7947505478423</v>
      </c>
      <c r="R91" s="11">
        <f t="shared" si="30"/>
        <v>-3557.4546042239917</v>
      </c>
      <c r="S91" s="27">
        <f t="shared" si="31"/>
        <v>-18726.104618001729</v>
      </c>
    </row>
    <row r="92" spans="1:19" x14ac:dyDescent="0.25">
      <c r="A92" s="6">
        <f t="shared" si="18"/>
        <v>87</v>
      </c>
      <c r="B92" s="24">
        <v>45272</v>
      </c>
      <c r="C92" s="32" cm="1">
        <f t="array" ref="C92" xml:space="preserve"> BonoM(100,C$2,C$1 - $B92,Portafolio!C92)</f>
        <v>89.093781013776308</v>
      </c>
      <c r="D92" s="32" cm="1">
        <f t="array" ref="D92" xml:space="preserve"> BonoM(100,D$2,D$1 - $B92,Portafolio!D92)</f>
        <v>95.129554135386385</v>
      </c>
      <c r="E92" s="32" cm="1">
        <f t="array" ref="E92" xml:space="preserve"> BonoM(100,E$2,E$1 - $B92,Portafolio!E92)</f>
        <v>89.769424878357086</v>
      </c>
      <c r="F92" s="32" cm="1">
        <f t="array" ref="F92" xml:space="preserve"> BonoM(100,F$2,F$1 - $B92,Portafolio!F92)</f>
        <v>90.224215800153857</v>
      </c>
      <c r="G92" s="5">
        <f t="shared" si="19"/>
        <v>-1.0366559005044462E-2</v>
      </c>
      <c r="H92" s="5">
        <f t="shared" si="20"/>
        <v>-1.4982661974259126E-2</v>
      </c>
      <c r="I92" s="5">
        <f t="shared" si="21"/>
        <v>-1.9555613997806254E-2</v>
      </c>
      <c r="J92" s="5">
        <f t="shared" si="22"/>
        <v>-2.751797455574434E-2</v>
      </c>
      <c r="K92" s="10">
        <f t="shared" si="23"/>
        <v>88.625278287424976</v>
      </c>
      <c r="L92" s="10">
        <f t="shared" si="24"/>
        <v>96.738443929621624</v>
      </c>
      <c r="M92" s="10">
        <f t="shared" si="25"/>
        <v>91.001004670154245</v>
      </c>
      <c r="N92" s="10">
        <f t="shared" si="26"/>
        <v>90.810993588684028</v>
      </c>
      <c r="O92" s="11">
        <f t="shared" si="27"/>
        <v>3063.5982552071082</v>
      </c>
      <c r="P92" s="11">
        <f t="shared" si="28"/>
        <v>2207.168365510739</v>
      </c>
      <c r="Q92" s="11">
        <f t="shared" si="29"/>
        <v>3630.150870664721</v>
      </c>
      <c r="R92" s="11">
        <f t="shared" si="30"/>
        <v>2569.6460660171992</v>
      </c>
      <c r="S92" s="27">
        <f t="shared" si="31"/>
        <v>11470.563557399768</v>
      </c>
    </row>
    <row r="93" spans="1:19" x14ac:dyDescent="0.25">
      <c r="A93" s="6">
        <f t="shared" si="18"/>
        <v>88</v>
      </c>
      <c r="B93" s="24">
        <v>45271</v>
      </c>
      <c r="C93" s="32" cm="1">
        <f t="array" ref="C93" xml:space="preserve"> BonoM(100,C$2,C$1 - $B93,Portafolio!C93)</f>
        <v>90.027051757874503</v>
      </c>
      <c r="D93" s="32" cm="1">
        <f t="array" ref="D93" xml:space="preserve"> BonoM(100,D$2,D$1 - $B93,Portafolio!D93)</f>
        <v>96.576527603111515</v>
      </c>
      <c r="E93" s="32" cm="1">
        <f t="array" ref="E93" xml:space="preserve"> BonoM(100,E$2,E$1 - $B93,Portafolio!E93)</f>
        <v>91.559935637344992</v>
      </c>
      <c r="F93" s="32" cm="1">
        <f t="array" ref="F93" xml:space="preserve"> BonoM(100,F$2,F$1 - $B93,Portafolio!F93)</f>
        <v>92.777258025861229</v>
      </c>
      <c r="G93" s="5">
        <f t="shared" si="19"/>
        <v>8.7756709900224106E-3</v>
      </c>
      <c r="H93" s="5">
        <f t="shared" si="20"/>
        <v>1.0300541584242984E-2</v>
      </c>
      <c r="I93" s="5">
        <f t="shared" si="21"/>
        <v>1.4714216025963678E-2</v>
      </c>
      <c r="J93" s="5">
        <f t="shared" si="22"/>
        <v>1.5333252911624129E-2</v>
      </c>
      <c r="K93" s="10">
        <f t="shared" si="23"/>
        <v>90.339534687905029</v>
      </c>
      <c r="L93" s="10">
        <f t="shared" si="24"/>
        <v>99.221504557475726</v>
      </c>
      <c r="M93" s="10">
        <f t="shared" si="25"/>
        <v>94.181795958841889</v>
      </c>
      <c r="N93" s="10">
        <f t="shared" si="26"/>
        <v>94.812468619575995</v>
      </c>
      <c r="O93" s="11">
        <f t="shared" si="27"/>
        <v>-2593.4478663770678</v>
      </c>
      <c r="P93" s="11">
        <f t="shared" si="28"/>
        <v>-1517.4225762704125</v>
      </c>
      <c r="Q93" s="11">
        <f t="shared" si="29"/>
        <v>-2731.4317067105662</v>
      </c>
      <c r="R93" s="11">
        <f t="shared" si="30"/>
        <v>-1431.828964874768</v>
      </c>
      <c r="S93" s="27">
        <f t="shared" si="31"/>
        <v>-8274.1311142328159</v>
      </c>
    </row>
    <row r="94" spans="1:19" x14ac:dyDescent="0.25">
      <c r="A94" s="6">
        <f t="shared" si="18"/>
        <v>89</v>
      </c>
      <c r="B94" s="24">
        <v>45269</v>
      </c>
      <c r="C94" s="32" cm="1">
        <f t="array" ref="C94" xml:space="preserve"> BonoM(100,C$2,C$1 - $B94,Portafolio!C94)</f>
        <v>89.243876856705967</v>
      </c>
      <c r="D94" s="32" cm="1">
        <f t="array" ref="D94" xml:space="preserve"> BonoM(100,D$2,D$1 - $B94,Portafolio!D94)</f>
        <v>95.591879473479011</v>
      </c>
      <c r="E94" s="32" cm="1">
        <f t="array" ref="E94" xml:space="preserve"> BonoM(100,E$2,E$1 - $B94,Portafolio!E94)</f>
        <v>90.232238980479835</v>
      </c>
      <c r="F94" s="32" cm="1">
        <f t="array" ref="F94" xml:space="preserve"> BonoM(100,F$2,F$1 - $B94,Portafolio!F94)</f>
        <v>91.376164190238214</v>
      </c>
      <c r="G94" s="5">
        <f t="shared" si="19"/>
        <v>-1.0743022887491405E-2</v>
      </c>
      <c r="H94" s="5">
        <f t="shared" si="20"/>
        <v>-1.3714092208536255E-2</v>
      </c>
      <c r="I94" s="5">
        <f t="shared" si="21"/>
        <v>-1.9726636946726606E-2</v>
      </c>
      <c r="J94" s="5">
        <f t="shared" si="22"/>
        <v>-2.7160746575424111E-2</v>
      </c>
      <c r="K94" s="10">
        <f t="shared" si="23"/>
        <v>88.591564575898133</v>
      </c>
      <c r="L94" s="10">
        <f t="shared" si="24"/>
        <v>96.863030026144713</v>
      </c>
      <c r="M94" s="10">
        <f t="shared" si="25"/>
        <v>90.985130990427379</v>
      </c>
      <c r="N94" s="10">
        <f t="shared" si="26"/>
        <v>90.84435176598889</v>
      </c>
      <c r="O94" s="11">
        <f t="shared" si="27"/>
        <v>3174.8535032456912</v>
      </c>
      <c r="P94" s="11">
        <f t="shared" si="28"/>
        <v>2020.2892207261059</v>
      </c>
      <c r="Q94" s="11">
        <f t="shared" si="29"/>
        <v>3661.8982301184533</v>
      </c>
      <c r="R94" s="11">
        <f t="shared" si="30"/>
        <v>2536.287888712337</v>
      </c>
      <c r="S94" s="27">
        <f t="shared" si="31"/>
        <v>11393.328842802588</v>
      </c>
    </row>
    <row r="95" spans="1:19" x14ac:dyDescent="0.25">
      <c r="A95" s="6">
        <f t="shared" si="18"/>
        <v>90</v>
      </c>
      <c r="B95" s="24">
        <v>45268</v>
      </c>
      <c r="C95" s="32" cm="1">
        <f t="array" ref="C95" xml:space="preserve"> BonoM(100,C$2,C$1 - $B95,Portafolio!C95)</f>
        <v>90.2130375842234</v>
      </c>
      <c r="D95" s="32" cm="1">
        <f t="array" ref="D95" xml:space="preserve"> BonoM(100,D$2,D$1 - $B95,Portafolio!D95)</f>
        <v>96.92106388048542</v>
      </c>
      <c r="E95" s="32" cm="1">
        <f t="array" ref="E95" xml:space="preserve"> BonoM(100,E$2,E$1 - $B95,Portafolio!E95)</f>
        <v>92.048037191821692</v>
      </c>
      <c r="F95" s="32" cm="1">
        <f t="array" ref="F95" xml:space="preserve"> BonoM(100,F$2,F$1 - $B95,Portafolio!F95)</f>
        <v>93.927299775967143</v>
      </c>
      <c r="G95" s="5">
        <f t="shared" si="19"/>
        <v>-1.7365325802239928E-3</v>
      </c>
      <c r="H95" s="5">
        <f t="shared" si="20"/>
        <v>-4.931208296928169E-3</v>
      </c>
      <c r="I95" s="5">
        <f t="shared" si="21"/>
        <v>-5.2717809268323368E-3</v>
      </c>
      <c r="J95" s="5">
        <f t="shared" si="22"/>
        <v>-5.9757861584827099E-3</v>
      </c>
      <c r="K95" s="10">
        <f t="shared" si="23"/>
        <v>89.398128579103272</v>
      </c>
      <c r="L95" s="10">
        <f t="shared" si="24"/>
        <v>97.725596084653304</v>
      </c>
      <c r="M95" s="10">
        <f t="shared" si="25"/>
        <v>92.326774064683164</v>
      </c>
      <c r="N95" s="10">
        <f t="shared" si="26"/>
        <v>92.822616920782409</v>
      </c>
      <c r="O95" s="11">
        <f t="shared" si="27"/>
        <v>513.19229266873231</v>
      </c>
      <c r="P95" s="11">
        <f t="shared" si="28"/>
        <v>726.4401329632193</v>
      </c>
      <c r="Q95" s="11">
        <f t="shared" si="29"/>
        <v>978.61208160688307</v>
      </c>
      <c r="R95" s="11">
        <f t="shared" si="30"/>
        <v>558.0227339188184</v>
      </c>
      <c r="S95" s="27">
        <f t="shared" si="31"/>
        <v>2776.2672411576532</v>
      </c>
    </row>
    <row r="96" spans="1:19" x14ac:dyDescent="0.25">
      <c r="A96" s="6">
        <f t="shared" si="18"/>
        <v>91</v>
      </c>
      <c r="B96" s="24">
        <v>45267</v>
      </c>
      <c r="C96" s="32" cm="1">
        <f t="array" ref="C96" xml:space="preserve"> BonoM(100,C$2,C$1 - $B96,Portafolio!C96)</f>
        <v>90.369967977890809</v>
      </c>
      <c r="D96" s="32" cm="1">
        <f t="array" ref="D96" xml:space="preserve"> BonoM(100,D$2,D$1 - $B96,Portafolio!D96)</f>
        <v>97.401370325969012</v>
      </c>
      <c r="E96" s="32" cm="1">
        <f t="array" ref="E96" xml:space="preserve"> BonoM(100,E$2,E$1 - $B96,Portafolio!E96)</f>
        <v>92.535866005276219</v>
      </c>
      <c r="F96" s="32" cm="1">
        <f t="array" ref="F96" xml:space="preserve"> BonoM(100,F$2,F$1 - $B96,Portafolio!F96)</f>
        <v>94.49196354380004</v>
      </c>
      <c r="G96" s="5">
        <f t="shared" si="19"/>
        <v>-1.9988252987956923E-4</v>
      </c>
      <c r="H96" s="5">
        <f t="shared" si="20"/>
        <v>-3.9629788612262407E-2</v>
      </c>
      <c r="I96" s="5">
        <f t="shared" si="21"/>
        <v>-3.7317610665588252E-2</v>
      </c>
      <c r="J96" s="5">
        <f t="shared" si="22"/>
        <v>-4.2054864849029761E-2</v>
      </c>
      <c r="K96" s="10">
        <f t="shared" si="23"/>
        <v>89.535741186661525</v>
      </c>
      <c r="L96" s="10">
        <f t="shared" si="24"/>
        <v>94.317852345847442</v>
      </c>
      <c r="M96" s="10">
        <f t="shared" si="25"/>
        <v>89.352405764604001</v>
      </c>
      <c r="N96" s="10">
        <f t="shared" si="26"/>
        <v>89.453529474506823</v>
      </c>
      <c r="O96" s="11">
        <f t="shared" si="27"/>
        <v>59.070687726496374</v>
      </c>
      <c r="P96" s="11">
        <f t="shared" si="28"/>
        <v>5838.0557411720129</v>
      </c>
      <c r="Q96" s="11">
        <f t="shared" si="29"/>
        <v>6927.3486817652101</v>
      </c>
      <c r="R96" s="11">
        <f t="shared" si="30"/>
        <v>3927.1101801944042</v>
      </c>
      <c r="S96" s="27">
        <f t="shared" si="31"/>
        <v>16751.585290858122</v>
      </c>
    </row>
    <row r="97" spans="1:19" x14ac:dyDescent="0.25">
      <c r="A97" s="6">
        <f t="shared" si="18"/>
        <v>92</v>
      </c>
      <c r="B97" s="24">
        <v>45266</v>
      </c>
      <c r="C97" s="32" cm="1">
        <f t="array" ref="C97" xml:space="preserve"> BonoM(100,C$2,C$1 - $B97,Portafolio!C97)</f>
        <v>90.388034966990858</v>
      </c>
      <c r="D97" s="32" cm="1">
        <f t="array" ref="D97" xml:space="preserve"> BonoM(100,D$2,D$1 - $B97,Portafolio!D97)</f>
        <v>101.42064921528934</v>
      </c>
      <c r="E97" s="32" cm="1">
        <f t="array" ref="E97" xml:space="preserve"> BonoM(100,E$2,E$1 - $B97,Portafolio!E97)</f>
        <v>96.122944628970018</v>
      </c>
      <c r="F97" s="32" cm="1">
        <f t="array" ref="F97" xml:space="preserve"> BonoM(100,F$2,F$1 - $B97,Portafolio!F97)</f>
        <v>98.640266625403655</v>
      </c>
      <c r="G97" s="5">
        <f t="shared" si="19"/>
        <v>1.859234379756769E-3</v>
      </c>
      <c r="H97" s="5">
        <f t="shared" si="20"/>
        <v>1.4948342497955736E-3</v>
      </c>
      <c r="I97" s="5">
        <f t="shared" si="21"/>
        <v>3.443205331605137E-3</v>
      </c>
      <c r="J97" s="5">
        <f t="shared" si="22"/>
        <v>7.3474863791327394E-3</v>
      </c>
      <c r="K97" s="10">
        <f t="shared" si="23"/>
        <v>89.720142603977607</v>
      </c>
      <c r="L97" s="10">
        <f t="shared" si="24"/>
        <v>98.356697013131935</v>
      </c>
      <c r="M97" s="10">
        <f t="shared" si="25"/>
        <v>93.135664927364502</v>
      </c>
      <c r="N97" s="10">
        <f t="shared" si="26"/>
        <v>94.066752632638853</v>
      </c>
      <c r="O97" s="11">
        <f t="shared" si="27"/>
        <v>-549.45398941657254</v>
      </c>
      <c r="P97" s="11">
        <f t="shared" si="28"/>
        <v>-220.211259754727</v>
      </c>
      <c r="Q97" s="11">
        <f t="shared" si="29"/>
        <v>-639.16964375579255</v>
      </c>
      <c r="R97" s="11">
        <f t="shared" si="30"/>
        <v>-686.1129779376256</v>
      </c>
      <c r="S97" s="27">
        <f t="shared" si="31"/>
        <v>-2094.9478708647175</v>
      </c>
    </row>
    <row r="98" spans="1:19" x14ac:dyDescent="0.25">
      <c r="A98" s="6">
        <f t="shared" si="18"/>
        <v>93</v>
      </c>
      <c r="B98" s="24">
        <v>45265</v>
      </c>
      <c r="C98" s="32" cm="1">
        <f t="array" ref="C98" xml:space="preserve"> BonoM(100,C$2,C$1 - $B98,Portafolio!C98)</f>
        <v>90.220294294087509</v>
      </c>
      <c r="D98" s="32" cm="1">
        <f t="array" ref="D98" xml:space="preserve"> BonoM(100,D$2,D$1 - $B98,Portafolio!D98)</f>
        <v>101.26926844436697</v>
      </c>
      <c r="E98" s="32" cm="1">
        <f t="array" ref="E98" xml:space="preserve"> BonoM(100,E$2,E$1 - $B98,Portafolio!E98)</f>
        <v>95.793109284351104</v>
      </c>
      <c r="F98" s="32" cm="1">
        <f t="array" ref="F98" xml:space="preserve"> BonoM(100,F$2,F$1 - $B98,Portafolio!F98)</f>
        <v>97.92079491850609</v>
      </c>
      <c r="G98" s="5">
        <f t="shared" si="19"/>
        <v>1.4032934384313744E-3</v>
      </c>
      <c r="H98" s="5">
        <f t="shared" si="20"/>
        <v>3.575465796686883E-3</v>
      </c>
      <c r="I98" s="5">
        <f t="shared" si="21"/>
        <v>5.5748729655427098E-3</v>
      </c>
      <c r="J98" s="5">
        <f t="shared" si="22"/>
        <v>8.901783336985325E-3</v>
      </c>
      <c r="K98" s="10">
        <f t="shared" si="23"/>
        <v>89.679311432420818</v>
      </c>
      <c r="L98" s="10">
        <f t="shared" si="24"/>
        <v>98.561035607456134</v>
      </c>
      <c r="M98" s="10">
        <f t="shared" si="25"/>
        <v>93.333517961234335</v>
      </c>
      <c r="N98" s="10">
        <f t="shared" si="26"/>
        <v>94.211893876776472</v>
      </c>
      <c r="O98" s="11">
        <f t="shared" si="27"/>
        <v>-414.7111232791687</v>
      </c>
      <c r="P98" s="11">
        <f t="shared" si="28"/>
        <v>-526.71915124102497</v>
      </c>
      <c r="Q98" s="11">
        <f t="shared" si="29"/>
        <v>-1034.8757114954594</v>
      </c>
      <c r="R98" s="11">
        <f t="shared" si="30"/>
        <v>-831.2542220752448</v>
      </c>
      <c r="S98" s="27">
        <f t="shared" si="31"/>
        <v>-2807.560208090898</v>
      </c>
    </row>
    <row r="99" spans="1:19" x14ac:dyDescent="0.25">
      <c r="A99" s="6">
        <f t="shared" si="18"/>
        <v>94</v>
      </c>
      <c r="B99" s="24">
        <v>45264</v>
      </c>
      <c r="C99" s="32" cm="1">
        <f t="array" ref="C99" xml:space="preserve"> BonoM(100,C$2,C$1 - $B99,Portafolio!C99)</f>
        <v>90.093866162858262</v>
      </c>
      <c r="D99" s="32" cm="1">
        <f t="array" ref="D99" xml:space="preserve"> BonoM(100,D$2,D$1 - $B99,Portafolio!D99)</f>
        <v>100.9084736482418</v>
      </c>
      <c r="E99" s="32" cm="1">
        <f t="array" ref="E99" xml:space="preserve"> BonoM(100,E$2,E$1 - $B99,Portafolio!E99)</f>
        <v>95.262035537788918</v>
      </c>
      <c r="F99" s="32" cm="1">
        <f t="array" ref="F99" xml:space="preserve"> BonoM(100,F$2,F$1 - $B99,Portafolio!F99)</f>
        <v>97.05681616958681</v>
      </c>
      <c r="G99" s="5">
        <f t="shared" si="19"/>
        <v>9.6956608500622377E-3</v>
      </c>
      <c r="H99" s="5">
        <f t="shared" si="20"/>
        <v>1.0342287789425697E-2</v>
      </c>
      <c r="I99" s="5">
        <f t="shared" si="21"/>
        <v>1.3150327199822787E-2</v>
      </c>
      <c r="J99" s="5">
        <f t="shared" si="22"/>
        <v>2.3072390093117345E-2</v>
      </c>
      <c r="K99" s="10">
        <f t="shared" si="23"/>
        <v>90.421923129918127</v>
      </c>
      <c r="L99" s="10">
        <f t="shared" si="24"/>
        <v>99.225604447674044</v>
      </c>
      <c r="M99" s="10">
        <f t="shared" si="25"/>
        <v>94.036641928278712</v>
      </c>
      <c r="N99" s="10">
        <f t="shared" si="26"/>
        <v>95.535154199959322</v>
      </c>
      <c r="O99" s="11">
        <f t="shared" si="27"/>
        <v>-2865.3297250202913</v>
      </c>
      <c r="P99" s="11">
        <f t="shared" si="28"/>
        <v>-1523.5724115678906</v>
      </c>
      <c r="Q99" s="11">
        <f t="shared" si="29"/>
        <v>-2441.1236455842127</v>
      </c>
      <c r="R99" s="11">
        <f t="shared" si="30"/>
        <v>-2154.5145452580955</v>
      </c>
      <c r="S99" s="27">
        <f t="shared" si="31"/>
        <v>-8984.5403274304899</v>
      </c>
    </row>
    <row r="100" spans="1:19" x14ac:dyDescent="0.25">
      <c r="A100" s="6">
        <f t="shared" si="18"/>
        <v>95</v>
      </c>
      <c r="B100" s="24">
        <v>45262</v>
      </c>
      <c r="C100" s="32" cm="1">
        <f t="array" ref="C100" xml:space="preserve"> BonoM(100,C$2,C$1 - $B100,Portafolio!C100)</f>
        <v>89.22873461396108</v>
      </c>
      <c r="D100" s="32" cm="1">
        <f t="array" ref="D100" xml:space="preserve"> BonoM(100,D$2,D$1 - $B100,Portafolio!D100)</f>
        <v>99.875532151607828</v>
      </c>
      <c r="E100" s="32" cm="1">
        <f t="array" ref="E100" xml:space="preserve"> BonoM(100,E$2,E$1 - $B100,Portafolio!E100)</f>
        <v>94.025568546256281</v>
      </c>
      <c r="F100" s="32" cm="1">
        <f t="array" ref="F100" xml:space="preserve"> BonoM(100,F$2,F$1 - $B100,Portafolio!F100)</f>
        <v>94.86798501204099</v>
      </c>
      <c r="G100" s="5">
        <f t="shared" si="19"/>
        <v>-9.684523942861345E-3</v>
      </c>
      <c r="H100" s="5">
        <f t="shared" si="20"/>
        <v>-1.3598180543256344E-2</v>
      </c>
      <c r="I100" s="5">
        <f t="shared" si="21"/>
        <v>-1.7464590884629594E-2</v>
      </c>
      <c r="J100" s="5">
        <f t="shared" si="22"/>
        <v>-2.5624267413591917E-2</v>
      </c>
      <c r="K100" s="10">
        <f t="shared" si="23"/>
        <v>88.686357010802581</v>
      </c>
      <c r="L100" s="10">
        <f t="shared" si="24"/>
        <v>96.874413697984394</v>
      </c>
      <c r="M100" s="10">
        <f t="shared" si="25"/>
        <v>91.195085238929281</v>
      </c>
      <c r="N100" s="10">
        <f t="shared" si="26"/>
        <v>90.987829172936898</v>
      </c>
      <c r="O100" s="11">
        <f t="shared" si="27"/>
        <v>2862.0384680610114</v>
      </c>
      <c r="P100" s="11">
        <f t="shared" si="28"/>
        <v>2003.2137129665841</v>
      </c>
      <c r="Q100" s="11">
        <f t="shared" si="29"/>
        <v>3241.9897331146503</v>
      </c>
      <c r="R100" s="11">
        <f t="shared" si="30"/>
        <v>2392.8104817643289</v>
      </c>
      <c r="S100" s="27">
        <f t="shared" si="31"/>
        <v>10500.052395906576</v>
      </c>
    </row>
    <row r="101" spans="1:19" x14ac:dyDescent="0.25">
      <c r="A101" s="6">
        <f t="shared" si="18"/>
        <v>96</v>
      </c>
      <c r="B101" s="24">
        <v>45261</v>
      </c>
      <c r="C101" s="32" cm="1">
        <f t="array" ref="C101" xml:space="preserve"> BonoM(100,C$2,C$1 - $B101,Portafolio!C101)</f>
        <v>90.101323034168971</v>
      </c>
      <c r="D101" s="32" cm="1">
        <f t="array" ref="D101" xml:space="preserve"> BonoM(100,D$2,D$1 - $B101,Portafolio!D101)</f>
        <v>101.25238029935288</v>
      </c>
      <c r="E101" s="32" cm="1">
        <f t="array" ref="E101" xml:space="preserve"> BonoM(100,E$2,E$1 - $B101,Portafolio!E101)</f>
        <v>95.696875322704727</v>
      </c>
      <c r="F101" s="32" cm="1">
        <f t="array" ref="F101" xml:space="preserve"> BonoM(100,F$2,F$1 - $B101,Portafolio!F101)</f>
        <v>97.362836367261494</v>
      </c>
      <c r="G101" s="5">
        <f t="shared" si="19"/>
        <v>3.7092877869346896E-3</v>
      </c>
      <c r="H101" s="5">
        <f t="shared" si="20"/>
        <v>5.2547570208085759E-3</v>
      </c>
      <c r="I101" s="5">
        <f t="shared" si="21"/>
        <v>6.6547093028324067E-3</v>
      </c>
      <c r="J101" s="5">
        <f t="shared" si="22"/>
        <v>8.894086350479391E-3</v>
      </c>
      <c r="K101" s="10">
        <f t="shared" si="23"/>
        <v>89.885821623365729</v>
      </c>
      <c r="L101" s="10">
        <f t="shared" si="24"/>
        <v>98.725958613026577</v>
      </c>
      <c r="M101" s="10">
        <f t="shared" si="25"/>
        <v>93.433744137217019</v>
      </c>
      <c r="N101" s="10">
        <f t="shared" si="26"/>
        <v>94.211175127253142</v>
      </c>
      <c r="O101" s="11">
        <f t="shared" si="27"/>
        <v>-1096.1947533973757</v>
      </c>
      <c r="P101" s="11">
        <f t="shared" si="28"/>
        <v>-774.10365959669036</v>
      </c>
      <c r="Q101" s="11">
        <f t="shared" si="29"/>
        <v>-1235.3280634608268</v>
      </c>
      <c r="R101" s="11">
        <f t="shared" si="30"/>
        <v>-830.53547255191518</v>
      </c>
      <c r="S101" s="27">
        <f t="shared" si="31"/>
        <v>-3936.1619490068078</v>
      </c>
    </row>
    <row r="102" spans="1:19" x14ac:dyDescent="0.25">
      <c r="A102" s="6">
        <f t="shared" si="18"/>
        <v>97</v>
      </c>
      <c r="B102" s="24">
        <v>45260</v>
      </c>
      <c r="C102" s="32" cm="1">
        <f t="array" ref="C102" xml:space="preserve"> BonoM(100,C$2,C$1 - $B102,Portafolio!C102)</f>
        <v>89.768346403202244</v>
      </c>
      <c r="D102" s="32" cm="1">
        <f t="array" ref="D102" xml:space="preserve"> BonoM(100,D$2,D$1 - $B102,Portafolio!D102)</f>
        <v>100.72310485694818</v>
      </c>
      <c r="E102" s="32" cm="1">
        <f t="array" ref="E102" xml:space="preserve"> BonoM(100,E$2,E$1 - $B102,Portafolio!E102)</f>
        <v>95.064250371391438</v>
      </c>
      <c r="F102" s="32" cm="1">
        <f t="array" ref="F102" xml:space="preserve"> BonoM(100,F$2,F$1 - $B102,Portafolio!F102)</f>
        <v>96.504516861087694</v>
      </c>
      <c r="G102" s="5">
        <f t="shared" si="19"/>
        <v>-4.6120153793273166E-3</v>
      </c>
      <c r="H102" s="5">
        <f t="shared" si="20"/>
        <v>-3.0721282955584739E-3</v>
      </c>
      <c r="I102" s="5">
        <f t="shared" si="21"/>
        <v>-6.6405985421885694E-3</v>
      </c>
      <c r="J102" s="5">
        <f t="shared" si="22"/>
        <v>-1.3747300513366922E-2</v>
      </c>
      <c r="K102" s="10">
        <f t="shared" si="23"/>
        <v>89.140618623674698</v>
      </c>
      <c r="L102" s="10">
        <f t="shared" si="24"/>
        <v>97.908176126171796</v>
      </c>
      <c r="M102" s="10">
        <f t="shared" si="25"/>
        <v>92.19972577924645</v>
      </c>
      <c r="N102" s="10">
        <f t="shared" si="26"/>
        <v>92.096907939237624</v>
      </c>
      <c r="O102" s="11">
        <f t="shared" si="27"/>
        <v>1362.9751455830274</v>
      </c>
      <c r="P102" s="11">
        <f t="shared" si="28"/>
        <v>452.57007068548205</v>
      </c>
      <c r="Q102" s="11">
        <f t="shared" si="29"/>
        <v>1232.7086524803121</v>
      </c>
      <c r="R102" s="11">
        <f t="shared" si="30"/>
        <v>1283.7317154636025</v>
      </c>
      <c r="S102" s="27">
        <f t="shared" si="31"/>
        <v>4331.9855842124234</v>
      </c>
    </row>
    <row r="103" spans="1:19" x14ac:dyDescent="0.25">
      <c r="A103" s="6">
        <f t="shared" si="18"/>
        <v>98</v>
      </c>
      <c r="B103" s="24">
        <v>45259</v>
      </c>
      <c r="C103" s="32" cm="1">
        <f t="array" ref="C103" xml:space="preserve"> BonoM(100,C$2,C$1 - $B103,Portafolio!C103)</f>
        <v>90.18427767883054</v>
      </c>
      <c r="D103" s="32" cm="1">
        <f t="array" ref="D103" xml:space="preserve"> BonoM(100,D$2,D$1 - $B103,Portafolio!D103)</f>
        <v>101.03349270869768</v>
      </c>
      <c r="E103" s="32" cm="1">
        <f t="array" ref="E103" xml:space="preserve"> BonoM(100,E$2,E$1 - $B103,Portafolio!E103)</f>
        <v>95.699754018413927</v>
      </c>
      <c r="F103" s="32" cm="1">
        <f t="array" ref="F103" xml:space="preserve"> BonoM(100,F$2,F$1 - $B103,Portafolio!F103)</f>
        <v>97.849685898269769</v>
      </c>
      <c r="G103" s="5">
        <f t="shared" si="19"/>
        <v>3.1384624780950166E-3</v>
      </c>
      <c r="H103" s="5">
        <f t="shared" si="20"/>
        <v>3.5879545417814018E-3</v>
      </c>
      <c r="I103" s="5">
        <f t="shared" si="21"/>
        <v>5.5915208756143198E-3</v>
      </c>
      <c r="J103" s="5">
        <f t="shared" si="22"/>
        <v>1.8423075531668998E-2</v>
      </c>
      <c r="K103" s="10">
        <f t="shared" si="23"/>
        <v>89.834702138358679</v>
      </c>
      <c r="L103" s="10">
        <f t="shared" si="24"/>
        <v>98.562262125731948</v>
      </c>
      <c r="M103" s="10">
        <f t="shared" si="25"/>
        <v>93.335063154989129</v>
      </c>
      <c r="N103" s="10">
        <f t="shared" si="26"/>
        <v>95.10099823225535</v>
      </c>
      <c r="O103" s="11">
        <f t="shared" si="27"/>
        <v>-927.50045287411217</v>
      </c>
      <c r="P103" s="11">
        <f t="shared" si="28"/>
        <v>-528.5589286547463</v>
      </c>
      <c r="Q103" s="11">
        <f t="shared" si="29"/>
        <v>-1037.9660990050468</v>
      </c>
      <c r="R103" s="11">
        <f t="shared" si="30"/>
        <v>-1720.3585775541228</v>
      </c>
      <c r="S103" s="27">
        <f t="shared" si="31"/>
        <v>-4214.3840580880278</v>
      </c>
    </row>
    <row r="104" spans="1:19" x14ac:dyDescent="0.25">
      <c r="A104" s="6">
        <f t="shared" si="18"/>
        <v>99</v>
      </c>
      <c r="B104" s="24">
        <v>45258</v>
      </c>
      <c r="C104" s="32" cm="1">
        <f t="array" ref="C104" xml:space="preserve"> BonoM(100,C$2,C$1 - $B104,Portafolio!C104)</f>
        <v>89.902123238345922</v>
      </c>
      <c r="D104" s="32" cm="1">
        <f t="array" ref="D104" xml:space="preserve"> BonoM(100,D$2,D$1 - $B104,Portafolio!D104)</f>
        <v>100.67228512604817</v>
      </c>
      <c r="E104" s="32" cm="1">
        <f t="array" ref="E104" xml:space="preserve"> BonoM(100,E$2,E$1 - $B104,Portafolio!E104)</f>
        <v>95.167622271798578</v>
      </c>
      <c r="F104" s="32" cm="1">
        <f t="array" ref="F104" xml:space="preserve"> BonoM(100,F$2,F$1 - $B104,Portafolio!F104)</f>
        <v>96.079604094975195</v>
      </c>
      <c r="G104" s="5">
        <f t="shared" si="19"/>
        <v>5.4521067191861672E-3</v>
      </c>
      <c r="H104" s="5">
        <f t="shared" si="20"/>
        <v>6.9332391208969391E-3</v>
      </c>
      <c r="I104" s="5">
        <f t="shared" si="21"/>
        <v>9.3331165490015966E-3</v>
      </c>
      <c r="J104" s="5">
        <f t="shared" si="22"/>
        <v>1.5122638400839827E-2</v>
      </c>
      <c r="K104" s="10">
        <f t="shared" si="23"/>
        <v>90.041897405041112</v>
      </c>
      <c r="L104" s="10">
        <f t="shared" si="24"/>
        <v>98.890802154615102</v>
      </c>
      <c r="M104" s="10">
        <f t="shared" si="25"/>
        <v>93.682343398732584</v>
      </c>
      <c r="N104" s="10">
        <f t="shared" si="26"/>
        <v>94.792801301838395</v>
      </c>
      <c r="O104" s="11">
        <f t="shared" si="27"/>
        <v>-1611.244832926141</v>
      </c>
      <c r="P104" s="11">
        <f t="shared" si="28"/>
        <v>-1021.3689719794772</v>
      </c>
      <c r="Q104" s="11">
        <f t="shared" si="29"/>
        <v>-1732.5265864919572</v>
      </c>
      <c r="R104" s="11">
        <f t="shared" si="30"/>
        <v>-1412.1616471371681</v>
      </c>
      <c r="S104" s="27">
        <f t="shared" si="31"/>
        <v>-5777.3020385347436</v>
      </c>
    </row>
    <row r="105" spans="1:19" x14ac:dyDescent="0.25">
      <c r="A105" s="6">
        <f t="shared" si="18"/>
        <v>100</v>
      </c>
      <c r="B105" s="24">
        <v>45257</v>
      </c>
      <c r="C105" s="32" cm="1">
        <f t="array" ref="C105" xml:space="preserve"> BonoM(100,C$2,C$1 - $B105,Portafolio!C105)</f>
        <v>89.414625159719108</v>
      </c>
      <c r="D105" s="32" cm="1">
        <f t="array" ref="D105" xml:space="preserve"> BonoM(100,D$2,D$1 - $B105,Portafolio!D105)</f>
        <v>99.979106076526094</v>
      </c>
      <c r="E105" s="32" cm="1">
        <f t="array" ref="E105" xml:space="preserve"> BonoM(100,E$2,E$1 - $B105,Portafolio!E105)</f>
        <v>94.287624879668101</v>
      </c>
      <c r="F105" s="32" cm="1">
        <f t="array" ref="F105" xml:space="preserve"> BonoM(100,F$2,F$1 - $B105,Portafolio!F105)</f>
        <v>94.648272494772598</v>
      </c>
      <c r="G105" s="5">
        <f t="shared" si="19"/>
        <v>1.455063201387552E-2</v>
      </c>
      <c r="H105" s="5">
        <f t="shared" si="20"/>
        <v>2.0176007000756169E-2</v>
      </c>
      <c r="I105" s="5">
        <f t="shared" si="21"/>
        <v>2.5820756243666532E-2</v>
      </c>
      <c r="J105" s="5">
        <f t="shared" si="22"/>
        <v>3.4396983960413907E-2</v>
      </c>
      <c r="K105" s="10">
        <f t="shared" si="23"/>
        <v>90.856703476505629</v>
      </c>
      <c r="L105" s="10">
        <f t="shared" si="24"/>
        <v>100.19137292485802</v>
      </c>
      <c r="M105" s="10">
        <f t="shared" si="25"/>
        <v>95.212661485382995</v>
      </c>
      <c r="N105" s="10">
        <f t="shared" si="26"/>
        <v>96.592652019117182</v>
      </c>
      <c r="O105" s="11">
        <f t="shared" si="27"/>
        <v>-4300.1048687590464</v>
      </c>
      <c r="P105" s="11">
        <f t="shared" si="28"/>
        <v>-2972.2251273438474</v>
      </c>
      <c r="Q105" s="11">
        <f t="shared" si="29"/>
        <v>-4793.1627597927782</v>
      </c>
      <c r="R105" s="11">
        <f t="shared" si="30"/>
        <v>-3212.0123644159548</v>
      </c>
      <c r="S105" s="27">
        <f t="shared" si="31"/>
        <v>-15277.505120311627</v>
      </c>
    </row>
    <row r="106" spans="1:19" x14ac:dyDescent="0.25">
      <c r="A106" s="6">
        <f t="shared" si="18"/>
        <v>101</v>
      </c>
      <c r="B106" s="24">
        <v>45255</v>
      </c>
      <c r="C106" s="32" cm="1">
        <f t="array" ref="C106" xml:space="preserve"> BonoM(100,C$2,C$1 - $B106,Portafolio!C106)</f>
        <v>88.132245289948457</v>
      </c>
      <c r="D106" s="32" cm="1">
        <f t="array" ref="D106" xml:space="preserve"> BonoM(100,D$2,D$1 - $B106,Portafolio!D106)</f>
        <v>98.001820656866315</v>
      </c>
      <c r="E106" s="32" cm="1">
        <f t="array" ref="E106" xml:space="preserve"> BonoM(100,E$2,E$1 - $B106,Portafolio!E106)</f>
        <v>91.914327435651586</v>
      </c>
      <c r="F106" s="32" cm="1">
        <f t="array" ref="F106" xml:space="preserve"> BonoM(100,F$2,F$1 - $B106,Portafolio!F106)</f>
        <v>91.500916923008702</v>
      </c>
      <c r="G106" s="5">
        <f t="shared" si="19"/>
        <v>-1.1567405893967764E-2</v>
      </c>
      <c r="H106" s="5">
        <f t="shared" si="20"/>
        <v>-1.7387131070821238E-2</v>
      </c>
      <c r="I106" s="5">
        <f t="shared" si="21"/>
        <v>-2.2858906606572749E-2</v>
      </c>
      <c r="J106" s="5">
        <f t="shared" si="22"/>
        <v>-3.5484247773718613E-2</v>
      </c>
      <c r="K106" s="10">
        <f t="shared" si="23"/>
        <v>88.517738075763958</v>
      </c>
      <c r="L106" s="10">
        <f t="shared" si="24"/>
        <v>96.502301285326155</v>
      </c>
      <c r="M106" s="10">
        <f t="shared" si="25"/>
        <v>90.69440599876711</v>
      </c>
      <c r="N106" s="10">
        <f t="shared" si="26"/>
        <v>90.067097899925471</v>
      </c>
      <c r="O106" s="11">
        <f t="shared" si="27"/>
        <v>3418.4809536884673</v>
      </c>
      <c r="P106" s="11">
        <f t="shared" si="28"/>
        <v>2561.3823319539433</v>
      </c>
      <c r="Q106" s="11">
        <f t="shared" si="29"/>
        <v>4243.3482134389924</v>
      </c>
      <c r="R106" s="11">
        <f t="shared" si="30"/>
        <v>3313.5417547757556</v>
      </c>
      <c r="S106" s="27">
        <f t="shared" si="31"/>
        <v>13536.753253857158</v>
      </c>
    </row>
    <row r="107" spans="1:19" x14ac:dyDescent="0.25">
      <c r="A107" s="6">
        <f t="shared" si="18"/>
        <v>102</v>
      </c>
      <c r="B107" s="24">
        <v>45254</v>
      </c>
      <c r="C107" s="32" cm="1">
        <f t="array" ref="C107" xml:space="preserve"> BonoM(100,C$2,C$1 - $B107,Portafolio!C107)</f>
        <v>89.163637273270894</v>
      </c>
      <c r="D107" s="32" cm="1">
        <f t="array" ref="D107" xml:space="preserve"> BonoM(100,D$2,D$1 - $B107,Portafolio!D107)</f>
        <v>99.735942562675447</v>
      </c>
      <c r="E107" s="32" cm="1">
        <f t="array" ref="E107" xml:space="preserve"> BonoM(100,E$2,E$1 - $B107,Portafolio!E107)</f>
        <v>94.064539969811747</v>
      </c>
      <c r="F107" s="32" cm="1">
        <f t="array" ref="F107" xml:space="preserve"> BonoM(100,F$2,F$1 - $B107,Portafolio!F107)</f>
        <v>94.867208453369059</v>
      </c>
      <c r="G107" s="5">
        <f t="shared" si="19"/>
        <v>-9.1577391216279835E-4</v>
      </c>
      <c r="H107" s="5">
        <f t="shared" si="20"/>
        <v>-9.499802135145563E-4</v>
      </c>
      <c r="I107" s="5">
        <f t="shared" si="21"/>
        <v>-2.3440115543769124E-3</v>
      </c>
      <c r="J107" s="5">
        <f t="shared" si="22"/>
        <v>-1.98705774837038E-3</v>
      </c>
      <c r="K107" s="10">
        <f t="shared" si="23"/>
        <v>89.471630506534709</v>
      </c>
      <c r="L107" s="10">
        <f t="shared" si="24"/>
        <v>98.116592054826029</v>
      </c>
      <c r="M107" s="10">
        <f t="shared" si="25"/>
        <v>92.598518141287371</v>
      </c>
      <c r="N107" s="10">
        <f t="shared" si="26"/>
        <v>93.195086931127577</v>
      </c>
      <c r="O107" s="11">
        <f t="shared" si="27"/>
        <v>270.63593214499093</v>
      </c>
      <c r="P107" s="11">
        <f t="shared" si="28"/>
        <v>139.94617770413242</v>
      </c>
      <c r="Q107" s="11">
        <f t="shared" si="29"/>
        <v>435.12392839846825</v>
      </c>
      <c r="R107" s="11">
        <f t="shared" si="30"/>
        <v>185.55272357365027</v>
      </c>
      <c r="S107" s="27">
        <f t="shared" si="31"/>
        <v>1031.2587618212419</v>
      </c>
    </row>
    <row r="108" spans="1:19" x14ac:dyDescent="0.25">
      <c r="A108" s="6">
        <f t="shared" si="18"/>
        <v>103</v>
      </c>
      <c r="B108" s="24">
        <v>45253</v>
      </c>
      <c r="C108" s="32" cm="1">
        <f t="array" ref="C108" xml:space="preserve"> BonoM(100,C$2,C$1 - $B108,Portafolio!C108)</f>
        <v>89.245365851098754</v>
      </c>
      <c r="D108" s="32" cm="1">
        <f t="array" ref="D108" xml:space="preserve"> BonoM(100,D$2,D$1 - $B108,Portafolio!D108)</f>
        <v>99.830779828211973</v>
      </c>
      <c r="E108" s="32" cm="1">
        <f t="array" ref="E108" xml:space="preserve"> BonoM(100,E$2,E$1 - $B108,Portafolio!E108)</f>
        <v>94.28554637993706</v>
      </c>
      <c r="F108" s="32" cm="1">
        <f t="array" ref="F108" xml:space="preserve"> BonoM(100,F$2,F$1 - $B108,Portafolio!F108)</f>
        <v>95.056090394316882</v>
      </c>
      <c r="G108" s="5">
        <f t="shared" si="19"/>
        <v>1.2765722522916079E-3</v>
      </c>
      <c r="H108" s="5">
        <f t="shared" si="20"/>
        <v>1.8842295330017134E-3</v>
      </c>
      <c r="I108" s="5">
        <f t="shared" si="21"/>
        <v>2.8688038928923465E-3</v>
      </c>
      <c r="J108" s="5">
        <f t="shared" si="22"/>
        <v>1.8343810059051613E-4</v>
      </c>
      <c r="K108" s="10">
        <f t="shared" si="23"/>
        <v>89.667963088760104</v>
      </c>
      <c r="L108" s="10">
        <f t="shared" si="24"/>
        <v>98.394939480870008</v>
      </c>
      <c r="M108" s="10">
        <f t="shared" si="25"/>
        <v>93.082351237416233</v>
      </c>
      <c r="N108" s="10">
        <f t="shared" si="26"/>
        <v>93.397769221871414</v>
      </c>
      <c r="O108" s="11">
        <f t="shared" si="27"/>
        <v>-377.26158919881243</v>
      </c>
      <c r="P108" s="11">
        <f t="shared" si="28"/>
        <v>-277.5749613618359</v>
      </c>
      <c r="Q108" s="11">
        <f t="shared" si="29"/>
        <v>-532.54226385925563</v>
      </c>
      <c r="R108" s="11">
        <f t="shared" si="30"/>
        <v>-17.129567170186988</v>
      </c>
      <c r="S108" s="27">
        <f t="shared" si="31"/>
        <v>-1204.5083815900907</v>
      </c>
    </row>
    <row r="109" spans="1:19" x14ac:dyDescent="0.25">
      <c r="A109" s="6">
        <f t="shared" si="18"/>
        <v>104</v>
      </c>
      <c r="B109" s="24">
        <v>45252</v>
      </c>
      <c r="C109" s="32" cm="1">
        <f t="array" ref="C109" xml:space="preserve"> BonoM(100,C$2,C$1 - $B109,Portafolio!C109)</f>
        <v>89.131582945507688</v>
      </c>
      <c r="D109" s="32" cm="1">
        <f t="array" ref="D109" xml:space="preserve"> BonoM(100,D$2,D$1 - $B109,Portafolio!D109)</f>
        <v>99.643029489290484</v>
      </c>
      <c r="E109" s="32" cm="1">
        <f t="array" ref="E109" xml:space="preserve"> BonoM(100,E$2,E$1 - $B109,Portafolio!E109)</f>
        <v>94.01583339111113</v>
      </c>
      <c r="F109" s="32" cm="1">
        <f t="array" ref="F109" xml:space="preserve"> BonoM(100,F$2,F$1 - $B109,Portafolio!F109)</f>
        <v>95.038656683652164</v>
      </c>
      <c r="G109" s="5">
        <f t="shared" si="19"/>
        <v>-2.0437751579077679E-3</v>
      </c>
      <c r="H109" s="5">
        <f t="shared" si="20"/>
        <v>-1.8259730155014697E-3</v>
      </c>
      <c r="I109" s="5">
        <f t="shared" si="21"/>
        <v>-1.8683693809248281E-3</v>
      </c>
      <c r="J109" s="5">
        <f t="shared" si="22"/>
        <v>-2.0697766440392895E-3</v>
      </c>
      <c r="K109" s="10">
        <f t="shared" si="23"/>
        <v>89.370613887480076</v>
      </c>
      <c r="L109" s="10">
        <f t="shared" si="24"/>
        <v>98.030560898534304</v>
      </c>
      <c r="M109" s="10">
        <f t="shared" si="25"/>
        <v>92.642665383360054</v>
      </c>
      <c r="N109" s="10">
        <f t="shared" si="26"/>
        <v>93.187362587738477</v>
      </c>
      <c r="O109" s="11">
        <f t="shared" si="27"/>
        <v>603.99077502527939</v>
      </c>
      <c r="P109" s="11">
        <f t="shared" si="28"/>
        <v>268.99291214171939</v>
      </c>
      <c r="Q109" s="11">
        <f t="shared" si="29"/>
        <v>346.82944425310325</v>
      </c>
      <c r="R109" s="11">
        <f t="shared" si="30"/>
        <v>193.27706696275015</v>
      </c>
      <c r="S109" s="27">
        <f t="shared" si="31"/>
        <v>1413.0901983828521</v>
      </c>
    </row>
    <row r="110" spans="1:19" x14ac:dyDescent="0.25">
      <c r="A110" s="6">
        <f t="shared" si="18"/>
        <v>105</v>
      </c>
      <c r="B110" s="24">
        <v>45251</v>
      </c>
      <c r="C110" s="32" cm="1">
        <f t="array" ref="C110" xml:space="preserve"> BonoM(100,C$2,C$1 - $B110,Portafolio!C110)</f>
        <v>89.314120927108888</v>
      </c>
      <c r="D110" s="32" cm="1">
        <f t="array" ref="D110" xml:space="preserve"> BonoM(100,D$2,D$1 - $B110,Portafolio!D110)</f>
        <v>99.82530780761131</v>
      </c>
      <c r="E110" s="32" cm="1">
        <f t="array" ref="E110" xml:space="preserve"> BonoM(100,E$2,E$1 - $B110,Portafolio!E110)</f>
        <v>94.191818500731529</v>
      </c>
      <c r="F110" s="32" cm="1">
        <f t="array" ref="F110" xml:space="preserve"> BonoM(100,F$2,F$1 - $B110,Portafolio!F110)</f>
        <v>95.235773463243405</v>
      </c>
      <c r="G110" s="5">
        <f t="shared" si="19"/>
        <v>9.2331832757377441E-3</v>
      </c>
      <c r="H110" s="5">
        <f t="shared" si="20"/>
        <v>1.240577793492581E-2</v>
      </c>
      <c r="I110" s="5">
        <f t="shared" si="21"/>
        <v>1.5361349410874636E-2</v>
      </c>
      <c r="J110" s="5">
        <f t="shared" si="22"/>
        <v>2.414009793167704E-2</v>
      </c>
      <c r="K110" s="10">
        <f t="shared" si="23"/>
        <v>90.38050657907381</v>
      </c>
      <c r="L110" s="10">
        <f t="shared" si="24"/>
        <v>99.428259586861614</v>
      </c>
      <c r="M110" s="10">
        <f t="shared" si="25"/>
        <v>94.241860342934714</v>
      </c>
      <c r="N110" s="10">
        <f t="shared" si="26"/>
        <v>95.634857440888354</v>
      </c>
      <c r="O110" s="11">
        <f t="shared" si="27"/>
        <v>-2728.655107234043</v>
      </c>
      <c r="P110" s="11">
        <f t="shared" si="28"/>
        <v>-1827.5551203492455</v>
      </c>
      <c r="Q110" s="11">
        <f t="shared" si="29"/>
        <v>-2851.5604748962178</v>
      </c>
      <c r="R110" s="11">
        <f t="shared" si="30"/>
        <v>-2254.2177861871269</v>
      </c>
      <c r="S110" s="27">
        <f t="shared" si="31"/>
        <v>-9661.9884886666332</v>
      </c>
    </row>
    <row r="111" spans="1:19" x14ac:dyDescent="0.25">
      <c r="A111" s="6">
        <f t="shared" si="18"/>
        <v>106</v>
      </c>
      <c r="B111" s="24">
        <v>45248</v>
      </c>
      <c r="C111" s="32" cm="1">
        <f t="array" ref="C111" xml:space="preserve"> BonoM(100,C$2,C$1 - $B111,Portafolio!C111)</f>
        <v>88.497011797824456</v>
      </c>
      <c r="D111" s="32" cm="1">
        <f t="array" ref="D111" xml:space="preserve"> BonoM(100,D$2,D$1 - $B111,Portafolio!D111)</f>
        <v>98.602072393573167</v>
      </c>
      <c r="E111" s="32" cm="1">
        <f t="array" ref="E111" xml:space="preserve"> BonoM(100,E$2,E$1 - $B111,Portafolio!E111)</f>
        <v>92.766795343729413</v>
      </c>
      <c r="F111" s="32" cm="1">
        <f t="array" ref="F111" xml:space="preserve"> BonoM(100,F$2,F$1 - $B111,Portafolio!F111)</f>
        <v>92.99096252122024</v>
      </c>
      <c r="G111" s="5">
        <f t="shared" si="19"/>
        <v>-1.0516619028537844E-2</v>
      </c>
      <c r="H111" s="5">
        <f t="shared" si="20"/>
        <v>-1.4544374765078527E-2</v>
      </c>
      <c r="I111" s="5">
        <f t="shared" si="21"/>
        <v>-1.9362663960078019E-2</v>
      </c>
      <c r="J111" s="5">
        <f t="shared" si="22"/>
        <v>-2.7878337027016031E-2</v>
      </c>
      <c r="K111" s="10">
        <f t="shared" si="23"/>
        <v>88.611839865893316</v>
      </c>
      <c r="L111" s="10">
        <f t="shared" si="24"/>
        <v>96.78148806800742</v>
      </c>
      <c r="M111" s="10">
        <f t="shared" si="25"/>
        <v>91.018913536312382</v>
      </c>
      <c r="N111" s="10">
        <f t="shared" si="26"/>
        <v>90.777342710609133</v>
      </c>
      <c r="O111" s="11">
        <f t="shared" si="27"/>
        <v>3107.9450462615869</v>
      </c>
      <c r="P111" s="11">
        <f t="shared" si="28"/>
        <v>2142.6021579320463</v>
      </c>
      <c r="Q111" s="11">
        <f t="shared" si="29"/>
        <v>3594.3331383484465</v>
      </c>
      <c r="R111" s="11">
        <f t="shared" si="30"/>
        <v>2603.2969440920938</v>
      </c>
      <c r="S111" s="27">
        <f t="shared" si="31"/>
        <v>11448.177286634174</v>
      </c>
    </row>
    <row r="112" spans="1:19" x14ac:dyDescent="0.25">
      <c r="A112" s="6">
        <f t="shared" si="18"/>
        <v>107</v>
      </c>
      <c r="B112" s="24">
        <v>45247</v>
      </c>
      <c r="C112" s="32" cm="1">
        <f t="array" ref="C112" xml:space="preserve"> BonoM(100,C$2,C$1 - $B112,Portafolio!C112)</f>
        <v>89.437592889068256</v>
      </c>
      <c r="D112" s="32" cm="1">
        <f t="array" ref="D112" xml:space="preserve"> BonoM(100,D$2,D$1 - $B112,Portafolio!D112)</f>
        <v>100.05734390127161</v>
      </c>
      <c r="E112" s="32" cm="1">
        <f t="array" ref="E112" xml:space="preserve"> BonoM(100,E$2,E$1 - $B112,Portafolio!E112)</f>
        <v>94.598473803115382</v>
      </c>
      <c r="F112" s="32" cm="1">
        <f t="array" ref="F112" xml:space="preserve"> BonoM(100,F$2,F$1 - $B112,Portafolio!F112)</f>
        <v>95.657741271633952</v>
      </c>
      <c r="G112" s="5">
        <f t="shared" si="19"/>
        <v>-2.6413210454064862E-3</v>
      </c>
      <c r="H112" s="5">
        <f t="shared" si="20"/>
        <v>-2.6760683378063144E-3</v>
      </c>
      <c r="I112" s="5">
        <f t="shared" si="21"/>
        <v>-2.4163612816409108E-3</v>
      </c>
      <c r="J112" s="5">
        <f t="shared" si="22"/>
        <v>-5.2326159165239083E-4</v>
      </c>
      <c r="K112" s="10">
        <f t="shared" si="23"/>
        <v>89.31710147735393</v>
      </c>
      <c r="L112" s="10">
        <f t="shared" si="24"/>
        <v>97.947073130860645</v>
      </c>
      <c r="M112" s="10">
        <f t="shared" si="25"/>
        <v>92.591802923206032</v>
      </c>
      <c r="N112" s="10">
        <f t="shared" si="26"/>
        <v>93.331777152565991</v>
      </c>
      <c r="O112" s="11">
        <f t="shared" si="27"/>
        <v>780.58172844156104</v>
      </c>
      <c r="P112" s="11">
        <f t="shared" si="28"/>
        <v>394.22456365220881</v>
      </c>
      <c r="Q112" s="11">
        <f t="shared" si="29"/>
        <v>448.55436456114717</v>
      </c>
      <c r="R112" s="11">
        <f t="shared" si="30"/>
        <v>48.862502135236241</v>
      </c>
      <c r="S112" s="27">
        <f t="shared" si="31"/>
        <v>1672.2231587901533</v>
      </c>
    </row>
    <row r="113" spans="1:19" x14ac:dyDescent="0.25">
      <c r="A113" s="6">
        <f t="shared" si="18"/>
        <v>108</v>
      </c>
      <c r="B113" s="24">
        <v>45246</v>
      </c>
      <c r="C113" s="32" cm="1">
        <f t="array" ref="C113" xml:space="preserve"> BonoM(100,C$2,C$1 - $B113,Portafolio!C113)</f>
        <v>89.674451906123195</v>
      </c>
      <c r="D113" s="32" cm="1">
        <f t="array" ref="D113" xml:space="preserve"> BonoM(100,D$2,D$1 - $B113,Portafolio!D113)</f>
        <v>100.32582265875307</v>
      </c>
      <c r="E113" s="32" cm="1">
        <f t="array" ref="E113" xml:space="preserve"> BonoM(100,E$2,E$1 - $B113,Portafolio!E113)</f>
        <v>94.827611572148811</v>
      </c>
      <c r="F113" s="32" cm="1">
        <f t="array" ref="F113" xml:space="preserve"> BonoM(100,F$2,F$1 - $B113,Portafolio!F113)</f>
        <v>95.707821498644918</v>
      </c>
      <c r="G113" s="5">
        <f t="shared" si="19"/>
        <v>1.4242146118472743E-3</v>
      </c>
      <c r="H113" s="5">
        <f t="shared" si="20"/>
        <v>4.8769898855316463E-3</v>
      </c>
      <c r="I113" s="5">
        <f t="shared" si="21"/>
        <v>5.0817300298939827E-3</v>
      </c>
      <c r="J113" s="5">
        <f t="shared" si="22"/>
        <v>8.8831304803556055E-3</v>
      </c>
      <c r="K113" s="10">
        <f t="shared" si="23"/>
        <v>89.681184999682472</v>
      </c>
      <c r="L113" s="10">
        <f t="shared" si="24"/>
        <v>98.688858144411796</v>
      </c>
      <c r="M113" s="10">
        <f t="shared" si="25"/>
        <v>93.2877463670157</v>
      </c>
      <c r="N113" s="10">
        <f t="shared" si="26"/>
        <v>94.210152061093012</v>
      </c>
      <c r="O113" s="11">
        <f t="shared" si="27"/>
        <v>-420.89389524262799</v>
      </c>
      <c r="P113" s="11">
        <f t="shared" si="28"/>
        <v>-718.45295667451842</v>
      </c>
      <c r="Q113" s="11">
        <f t="shared" si="29"/>
        <v>-943.3325230581886</v>
      </c>
      <c r="R113" s="11">
        <f t="shared" si="30"/>
        <v>-829.51240639178536</v>
      </c>
      <c r="S113" s="27">
        <f t="shared" si="31"/>
        <v>-2912.1917813671207</v>
      </c>
    </row>
    <row r="114" spans="1:19" x14ac:dyDescent="0.25">
      <c r="A114" s="6">
        <f t="shared" si="18"/>
        <v>109</v>
      </c>
      <c r="B114" s="24">
        <v>45245</v>
      </c>
      <c r="C114" s="32" cm="1">
        <f t="array" ref="C114" xml:space="preserve"> BonoM(100,C$2,C$1 - $B114,Portafolio!C114)</f>
        <v>89.546917877236552</v>
      </c>
      <c r="D114" s="32" cm="1">
        <f t="array" ref="D114" xml:space="preserve"> BonoM(100,D$2,D$1 - $B114,Portafolio!D114)</f>
        <v>99.838909307876037</v>
      </c>
      <c r="E114" s="32" cm="1">
        <f t="array" ref="E114" xml:space="preserve"> BonoM(100,E$2,E$1 - $B114,Portafolio!E114)</f>
        <v>94.348159695757644</v>
      </c>
      <c r="F114" s="32" cm="1">
        <f t="array" ref="F114" xml:space="preserve"> BonoM(100,F$2,F$1 - $B114,Portafolio!F114)</f>
        <v>94.865122239754299</v>
      </c>
      <c r="G114" s="5">
        <f t="shared" si="19"/>
        <v>-3.0936296280037467E-5</v>
      </c>
      <c r="H114" s="5">
        <f t="shared" si="20"/>
        <v>2.5555354603645775E-4</v>
      </c>
      <c r="I114" s="5">
        <f t="shared" si="21"/>
        <v>-8.1323446827985535E-4</v>
      </c>
      <c r="J114" s="5">
        <f t="shared" si="22"/>
        <v>-5.1798760009280631E-4</v>
      </c>
      <c r="K114" s="10">
        <f t="shared" si="23"/>
        <v>89.550870937080333</v>
      </c>
      <c r="L114" s="10">
        <f t="shared" si="24"/>
        <v>98.234987392148057</v>
      </c>
      <c r="M114" s="10">
        <f t="shared" si="25"/>
        <v>92.740598869934203</v>
      </c>
      <c r="N114" s="10">
        <f t="shared" si="26"/>
        <v>93.332269641271353</v>
      </c>
      <c r="O114" s="11">
        <f t="shared" si="27"/>
        <v>9.1425113444302042</v>
      </c>
      <c r="P114" s="11">
        <f t="shared" si="28"/>
        <v>-37.646828278909084</v>
      </c>
      <c r="Q114" s="11">
        <f t="shared" si="29"/>
        <v>150.96247110480476</v>
      </c>
      <c r="R114" s="11">
        <f t="shared" si="30"/>
        <v>48.370013429874348</v>
      </c>
      <c r="S114" s="27">
        <f t="shared" si="31"/>
        <v>170.82816760020023</v>
      </c>
    </row>
    <row r="115" spans="1:19" x14ac:dyDescent="0.25">
      <c r="A115" s="6">
        <f t="shared" si="18"/>
        <v>110</v>
      </c>
      <c r="B115" s="24">
        <v>45244</v>
      </c>
      <c r="C115" s="32" cm="1">
        <f t="array" ref="C115" xml:space="preserve"> BonoM(100,C$2,C$1 - $B115,Portafolio!C115)</f>
        <v>89.549688212922888</v>
      </c>
      <c r="D115" s="32" cm="1">
        <f t="array" ref="D115" xml:space="preserve"> BonoM(100,D$2,D$1 - $B115,Portafolio!D115)</f>
        <v>99.813401639145198</v>
      </c>
      <c r="E115" s="32" cm="1">
        <f t="array" ref="E115" xml:space="preserve"> BonoM(100,E$2,E$1 - $B115,Portafolio!E115)</f>
        <v>94.424949319209603</v>
      </c>
      <c r="F115" s="32" cm="1">
        <f t="array" ref="F115" xml:space="preserve"> BonoM(100,F$2,F$1 - $B115,Portafolio!F115)</f>
        <v>94.914286663317554</v>
      </c>
      <c r="G115" s="5">
        <f t="shared" si="19"/>
        <v>5.8119242112106839E-3</v>
      </c>
      <c r="H115" s="5">
        <f t="shared" si="20"/>
        <v>8.6739064993326398E-3</v>
      </c>
      <c r="I115" s="5">
        <f t="shared" si="21"/>
        <v>1.1543160810636888E-2</v>
      </c>
      <c r="J115" s="5">
        <f t="shared" si="22"/>
        <v>1.3560113411918095E-2</v>
      </c>
      <c r="K115" s="10">
        <f t="shared" si="23"/>
        <v>90.074120371689546</v>
      </c>
      <c r="L115" s="10">
        <f t="shared" si="24"/>
        <v>99.061752905519072</v>
      </c>
      <c r="M115" s="10">
        <f t="shared" si="25"/>
        <v>93.887471043957191</v>
      </c>
      <c r="N115" s="10">
        <f t="shared" si="26"/>
        <v>94.646891718896427</v>
      </c>
      <c r="O115" s="11">
        <f t="shared" si="27"/>
        <v>-1717.580622865971</v>
      </c>
      <c r="P115" s="11">
        <f t="shared" si="28"/>
        <v>-1277.7950983354317</v>
      </c>
      <c r="Q115" s="11">
        <f t="shared" si="29"/>
        <v>-2142.7818769411715</v>
      </c>
      <c r="R115" s="11">
        <f t="shared" si="30"/>
        <v>-1266.2520641952001</v>
      </c>
      <c r="S115" s="27">
        <f t="shared" si="31"/>
        <v>-6404.4096623377736</v>
      </c>
    </row>
    <row r="116" spans="1:19" x14ac:dyDescent="0.25">
      <c r="A116" s="6">
        <f t="shared" si="18"/>
        <v>111</v>
      </c>
      <c r="B116" s="24">
        <v>45243</v>
      </c>
      <c r="C116" s="32" cm="1">
        <f t="array" ref="C116" xml:space="preserve"> BonoM(100,C$2,C$1 - $B116,Portafolio!C116)</f>
        <v>89.03223958410571</v>
      </c>
      <c r="D116" s="32" cm="1">
        <f t="array" ref="D116" xml:space="preserve"> BonoM(100,D$2,D$1 - $B116,Portafolio!D116)</f>
        <v>98.955074574650183</v>
      </c>
      <c r="E116" s="32" cm="1">
        <f t="array" ref="E116" xml:space="preserve"> BonoM(100,E$2,E$1 - $B116,Portafolio!E116)</f>
        <v>93.347424981390546</v>
      </c>
      <c r="F116" s="32" cm="1">
        <f t="array" ref="F116" xml:space="preserve"> BonoM(100,F$2,F$1 - $B116,Portafolio!F116)</f>
        <v>93.644457203244059</v>
      </c>
      <c r="G116" s="5">
        <f t="shared" si="19"/>
        <v>-3.4490832499534108E-4</v>
      </c>
      <c r="H116" s="5">
        <f t="shared" si="20"/>
        <v>1.4594879387466397E-2</v>
      </c>
      <c r="I116" s="5">
        <f t="shared" si="21"/>
        <v>1.9122787745156744E-2</v>
      </c>
      <c r="J116" s="5">
        <f t="shared" si="22"/>
        <v>2.7679876921186786E-2</v>
      </c>
      <c r="K116" s="10">
        <f t="shared" si="23"/>
        <v>89.522753598612695</v>
      </c>
      <c r="L116" s="10">
        <f t="shared" si="24"/>
        <v>99.643250998634429</v>
      </c>
      <c r="M116" s="10">
        <f t="shared" si="25"/>
        <v>94.59098230468129</v>
      </c>
      <c r="N116" s="10">
        <f t="shared" si="26"/>
        <v>95.965404267165056</v>
      </c>
      <c r="O116" s="11">
        <f t="shared" si="27"/>
        <v>101.92972828763516</v>
      </c>
      <c r="P116" s="11">
        <f t="shared" si="28"/>
        <v>-2150.0422380084674</v>
      </c>
      <c r="Q116" s="11">
        <f t="shared" si="29"/>
        <v>-3549.8043983893695</v>
      </c>
      <c r="R116" s="11">
        <f t="shared" si="30"/>
        <v>-2584.7646124638286</v>
      </c>
      <c r="S116" s="27">
        <f t="shared" si="31"/>
        <v>-8182.6815205740304</v>
      </c>
    </row>
    <row r="117" spans="1:19" x14ac:dyDescent="0.25">
      <c r="A117" s="6">
        <f t="shared" si="18"/>
        <v>112</v>
      </c>
      <c r="B117" s="24">
        <v>45241</v>
      </c>
      <c r="C117" s="32" cm="1">
        <f t="array" ref="C117" xml:space="preserve"> BonoM(100,C$2,C$1 - $B117,Portafolio!C117)</f>
        <v>89.062958139816843</v>
      </c>
      <c r="D117" s="32" cm="1">
        <f t="array" ref="D117" xml:space="preserve"> BonoM(100,D$2,D$1 - $B117,Portafolio!D117)</f>
        <v>97.531612454412908</v>
      </c>
      <c r="E117" s="32" cm="1">
        <f t="array" ref="E117" xml:space="preserve"> BonoM(100,E$2,E$1 - $B117,Portafolio!E117)</f>
        <v>91.59585685246509</v>
      </c>
      <c r="F117" s="32" cm="1">
        <f t="array" ref="F117" xml:space="preserve"> BonoM(100,F$2,F$1 - $B117,Portafolio!F117)</f>
        <v>91.122205762938862</v>
      </c>
      <c r="G117" s="5">
        <f t="shared" si="19"/>
        <v>2.6429899171365179E-4</v>
      </c>
      <c r="H117" s="5">
        <f t="shared" si="20"/>
        <v>-1.4853725222184755E-2</v>
      </c>
      <c r="I117" s="5">
        <f t="shared" si="21"/>
        <v>-1.8518806443091007E-2</v>
      </c>
      <c r="J117" s="5">
        <f t="shared" si="22"/>
        <v>-2.9929980301239278E-2</v>
      </c>
      <c r="K117" s="10">
        <f t="shared" si="23"/>
        <v>89.577310332188489</v>
      </c>
      <c r="L117" s="10">
        <f t="shared" si="24"/>
        <v>96.751106793796197</v>
      </c>
      <c r="M117" s="10">
        <f t="shared" si="25"/>
        <v>91.097237083206664</v>
      </c>
      <c r="N117" s="10">
        <f t="shared" si="26"/>
        <v>90.585758949318901</v>
      </c>
      <c r="O117" s="11">
        <f t="shared" si="27"/>
        <v>-78.1074925124841</v>
      </c>
      <c r="P117" s="11">
        <f t="shared" si="28"/>
        <v>2188.1740692488806</v>
      </c>
      <c r="Q117" s="11">
        <f t="shared" si="29"/>
        <v>3437.6860445598822</v>
      </c>
      <c r="R117" s="11">
        <f t="shared" si="30"/>
        <v>2794.8807053823257</v>
      </c>
      <c r="S117" s="27">
        <f t="shared" si="31"/>
        <v>8342.6333266786041</v>
      </c>
    </row>
    <row r="118" spans="1:19" x14ac:dyDescent="0.25">
      <c r="A118" s="6">
        <f t="shared" si="18"/>
        <v>113</v>
      </c>
      <c r="B118" s="24">
        <v>45240</v>
      </c>
      <c r="C118" s="32" cm="1">
        <f t="array" ref="C118" xml:space="preserve"> BonoM(100,C$2,C$1 - $B118,Portafolio!C118)</f>
        <v>89.039425109537632</v>
      </c>
      <c r="D118" s="32" cm="1">
        <f t="array" ref="D118" xml:space="preserve"> BonoM(100,D$2,D$1 - $B118,Portafolio!D118)</f>
        <v>99.002163385746627</v>
      </c>
      <c r="E118" s="32" cm="1">
        <f t="array" ref="E118" xml:space="preserve"> BonoM(100,E$2,E$1 - $B118,Portafolio!E118)</f>
        <v>93.324107943953294</v>
      </c>
      <c r="F118" s="32" cm="1">
        <f t="array" ref="F118" xml:space="preserve"> BonoM(100,F$2,F$1 - $B118,Portafolio!F118)</f>
        <v>93.933637688581868</v>
      </c>
      <c r="G118" s="5">
        <f t="shared" si="19"/>
        <v>3.7770253446223201E-3</v>
      </c>
      <c r="H118" s="5">
        <f t="shared" si="20"/>
        <v>6.7997840300226819E-4</v>
      </c>
      <c r="I118" s="5">
        <f t="shared" si="21"/>
        <v>1.3308798861202398E-3</v>
      </c>
      <c r="J118" s="5">
        <f t="shared" si="22"/>
        <v>-5.1293407760366616E-4</v>
      </c>
      <c r="K118" s="10">
        <f t="shared" si="23"/>
        <v>89.891887768315868</v>
      </c>
      <c r="L118" s="10">
        <f t="shared" si="24"/>
        <v>98.276670110454532</v>
      </c>
      <c r="M118" s="10">
        <f t="shared" si="25"/>
        <v>92.939607159607519</v>
      </c>
      <c r="N118" s="10">
        <f t="shared" si="26"/>
        <v>93.332741542433908</v>
      </c>
      <c r="O118" s="11">
        <f t="shared" si="27"/>
        <v>-1116.2130317328363</v>
      </c>
      <c r="P118" s="11">
        <f t="shared" si="28"/>
        <v>-100.1709057386222</v>
      </c>
      <c r="Q118" s="11">
        <f t="shared" si="29"/>
        <v>-247.0541082418265</v>
      </c>
      <c r="R118" s="11">
        <f t="shared" si="30"/>
        <v>47.898112267318993</v>
      </c>
      <c r="S118" s="27">
        <f t="shared" si="31"/>
        <v>-1415.539933445966</v>
      </c>
    </row>
    <row r="119" spans="1:19" x14ac:dyDescent="0.25">
      <c r="A119" s="6">
        <f t="shared" si="18"/>
        <v>114</v>
      </c>
      <c r="B119" s="24">
        <v>45239</v>
      </c>
      <c r="C119" s="32" cm="1">
        <f t="array" ref="C119" xml:space="preserve"> BonoM(100,C$2,C$1 - $B119,Portafolio!C119)</f>
        <v>88.704386393948525</v>
      </c>
      <c r="D119" s="32" cm="1">
        <f t="array" ref="D119" xml:space="preserve"> BonoM(100,D$2,D$1 - $B119,Portafolio!D119)</f>
        <v>98.934889797381004</v>
      </c>
      <c r="E119" s="32" cm="1">
        <f t="array" ref="E119" xml:space="preserve"> BonoM(100,E$2,E$1 - $B119,Portafolio!E119)</f>
        <v>93.20006984561077</v>
      </c>
      <c r="F119" s="32" cm="1">
        <f t="array" ref="F119" xml:space="preserve"> BonoM(100,F$2,F$1 - $B119,Portafolio!F119)</f>
        <v>93.981844179137383</v>
      </c>
      <c r="G119" s="5">
        <f t="shared" si="19"/>
        <v>2.608503877836954E-3</v>
      </c>
      <c r="H119" s="5">
        <f t="shared" si="20"/>
        <v>1.100712586197039E-3</v>
      </c>
      <c r="I119" s="5">
        <f t="shared" si="21"/>
        <v>7.9651640710021177E-4</v>
      </c>
      <c r="J119" s="5">
        <f t="shared" si="22"/>
        <v>-2.8446810207862772E-3</v>
      </c>
      <c r="K119" s="10">
        <f t="shared" si="23"/>
        <v>89.787242415916936</v>
      </c>
      <c r="L119" s="10">
        <f t="shared" si="24"/>
        <v>98.317990368097753</v>
      </c>
      <c r="M119" s="10">
        <f t="shared" si="25"/>
        <v>92.890009636133357</v>
      </c>
      <c r="N119" s="10">
        <f t="shared" si="26"/>
        <v>93.115001521366622</v>
      </c>
      <c r="O119" s="11">
        <f t="shared" si="27"/>
        <v>-770.88336881635792</v>
      </c>
      <c r="P119" s="11">
        <f t="shared" si="28"/>
        <v>-162.15129220345403</v>
      </c>
      <c r="Q119" s="11">
        <f t="shared" si="29"/>
        <v>-147.85906129350224</v>
      </c>
      <c r="R119" s="11">
        <f t="shared" si="30"/>
        <v>265.63813333460473</v>
      </c>
      <c r="S119" s="27">
        <f t="shared" si="31"/>
        <v>-815.2555889787094</v>
      </c>
    </row>
    <row r="120" spans="1:19" x14ac:dyDescent="0.25">
      <c r="A120" s="6">
        <f t="shared" si="18"/>
        <v>115</v>
      </c>
      <c r="B120" s="24">
        <v>45238</v>
      </c>
      <c r="C120" s="32" cm="1">
        <f t="array" ref="C120" xml:space="preserve"> BonoM(100,C$2,C$1 - $B120,Portafolio!C120)</f>
        <v>88.473602658328062</v>
      </c>
      <c r="D120" s="32" cm="1">
        <f t="array" ref="D120" xml:space="preserve"> BonoM(100,D$2,D$1 - $B120,Portafolio!D120)</f>
        <v>98.826110653539757</v>
      </c>
      <c r="E120" s="32" cm="1">
        <f t="array" ref="E120" xml:space="preserve"> BonoM(100,E$2,E$1 - $B120,Portafolio!E120)</f>
        <v>93.125893543477517</v>
      </c>
      <c r="F120" s="32" cm="1">
        <f t="array" ref="F120" xml:space="preserve"> BonoM(100,F$2,F$1 - $B120,Portafolio!F120)</f>
        <v>94.249955238012916</v>
      </c>
      <c r="G120" s="5">
        <f t="shared" si="19"/>
        <v>2.6115063933418448E-3</v>
      </c>
      <c r="H120" s="5">
        <f t="shared" si="20"/>
        <v>7.000508964588148E-3</v>
      </c>
      <c r="I120" s="5">
        <f t="shared" si="21"/>
        <v>9.3841842762012462E-3</v>
      </c>
      <c r="J120" s="5">
        <f t="shared" si="22"/>
        <v>8.8517002971120196E-3</v>
      </c>
      <c r="K120" s="10">
        <f t="shared" si="23"/>
        <v>89.787511302113742</v>
      </c>
      <c r="L120" s="10">
        <f t="shared" si="24"/>
        <v>98.897408718531153</v>
      </c>
      <c r="M120" s="10">
        <f t="shared" si="25"/>
        <v>93.687083304991148</v>
      </c>
      <c r="N120" s="10">
        <f t="shared" si="26"/>
        <v>94.207217090477258</v>
      </c>
      <c r="O120" s="11">
        <f t="shared" si="27"/>
        <v>-771.77069326582023</v>
      </c>
      <c r="P120" s="11">
        <f t="shared" si="28"/>
        <v>-1031.2788178535541</v>
      </c>
      <c r="Q120" s="11">
        <f t="shared" si="29"/>
        <v>-1742.0063990090853</v>
      </c>
      <c r="R120" s="11">
        <f t="shared" si="30"/>
        <v>-826.57743577603071</v>
      </c>
      <c r="S120" s="27">
        <f t="shared" si="31"/>
        <v>-4371.6333459044909</v>
      </c>
    </row>
    <row r="121" spans="1:19" x14ac:dyDescent="0.25">
      <c r="A121" s="6">
        <f t="shared" si="18"/>
        <v>116</v>
      </c>
      <c r="B121" s="24">
        <v>45237</v>
      </c>
      <c r="C121" s="32" cm="1">
        <f t="array" ref="C121" xml:space="preserve"> BonoM(100,C$2,C$1 - $B121,Portafolio!C121)</f>
        <v>88.243155094629785</v>
      </c>
      <c r="D121" s="32" cm="1">
        <f t="array" ref="D121" xml:space="preserve"> BonoM(100,D$2,D$1 - $B121,Portafolio!D121)</f>
        <v>98.139087094557809</v>
      </c>
      <c r="E121" s="32" cm="1">
        <f t="array" ref="E121" xml:space="preserve"> BonoM(100,E$2,E$1 - $B121,Portafolio!E121)</f>
        <v>92.260107691557764</v>
      </c>
      <c r="F121" s="32" cm="1">
        <f t="array" ref="F121" xml:space="preserve"> BonoM(100,F$2,F$1 - $B121,Portafolio!F121)</f>
        <v>93.42300281622741</v>
      </c>
      <c r="G121" s="5">
        <f t="shared" si="19"/>
        <v>-8.981008324644435E-4</v>
      </c>
      <c r="H121" s="5">
        <f t="shared" si="20"/>
        <v>-5.7399277058178821E-4</v>
      </c>
      <c r="I121" s="5">
        <f t="shared" si="21"/>
        <v>-1.8667032632495584E-3</v>
      </c>
      <c r="J121" s="5">
        <f t="shared" si="22"/>
        <v>-5.1025254408731957E-4</v>
      </c>
      <c r="K121" s="10">
        <f t="shared" si="23"/>
        <v>89.473213195176371</v>
      </c>
      <c r="L121" s="10">
        <f t="shared" si="24"/>
        <v>98.153517740052337</v>
      </c>
      <c r="M121" s="10">
        <f t="shared" si="25"/>
        <v>92.642820025871657</v>
      </c>
      <c r="N121" s="10">
        <f t="shared" si="26"/>
        <v>93.332991945748915</v>
      </c>
      <c r="O121" s="11">
        <f t="shared" si="27"/>
        <v>265.4130596275067</v>
      </c>
      <c r="P121" s="11">
        <f t="shared" si="28"/>
        <v>84.557649864670736</v>
      </c>
      <c r="Q121" s="11">
        <f t="shared" si="29"/>
        <v>346.52015922989676</v>
      </c>
      <c r="R121" s="11">
        <f t="shared" si="30"/>
        <v>47.647708952311518</v>
      </c>
      <c r="S121" s="27">
        <f t="shared" si="31"/>
        <v>744.13857767438571</v>
      </c>
    </row>
    <row r="122" spans="1:19" x14ac:dyDescent="0.25">
      <c r="A122" s="6">
        <f t="shared" si="18"/>
        <v>117</v>
      </c>
      <c r="B122" s="24">
        <v>45236</v>
      </c>
      <c r="C122" s="32" cm="1">
        <f t="array" ref="C122" xml:space="preserve"> BonoM(100,C$2,C$1 - $B122,Portafolio!C122)</f>
        <v>88.322477585274441</v>
      </c>
      <c r="D122" s="32" cm="1">
        <f t="array" ref="D122" xml:space="preserve"> BonoM(100,D$2,D$1 - $B122,Portafolio!D122)</f>
        <v>98.195450573290898</v>
      </c>
      <c r="E122" s="32" cm="1">
        <f t="array" ref="E122" xml:space="preserve"> BonoM(100,E$2,E$1 - $B122,Portafolio!E122)</f>
        <v>92.432652024723126</v>
      </c>
      <c r="F122" s="32" cm="1">
        <f t="array" ref="F122" xml:space="preserve"> BonoM(100,F$2,F$1 - $B122,Portafolio!F122)</f>
        <v>93.470696476902361</v>
      </c>
      <c r="G122" s="5">
        <f t="shared" si="19"/>
        <v>1.1674636569907415E-2</v>
      </c>
      <c r="H122" s="5">
        <f t="shared" si="20"/>
        <v>1.5744912603417482E-2</v>
      </c>
      <c r="I122" s="5">
        <f t="shared" si="21"/>
        <v>2.0936060073736495E-2</v>
      </c>
      <c r="J122" s="5">
        <f t="shared" si="22"/>
        <v>3.0344665886107069E-2</v>
      </c>
      <c r="K122" s="10">
        <f t="shared" si="23"/>
        <v>90.599147611862676</v>
      </c>
      <c r="L122" s="10">
        <f t="shared" si="24"/>
        <v>99.756195633701935</v>
      </c>
      <c r="M122" s="10">
        <f t="shared" si="25"/>
        <v>94.759283134383807</v>
      </c>
      <c r="N122" s="10">
        <f t="shared" si="26"/>
        <v>96.214243965254099</v>
      </c>
      <c r="O122" s="11">
        <f t="shared" si="27"/>
        <v>-3450.1705154373026</v>
      </c>
      <c r="P122" s="11">
        <f t="shared" si="28"/>
        <v>-2319.4591906097271</v>
      </c>
      <c r="Q122" s="11">
        <f t="shared" si="29"/>
        <v>-3886.4060577944028</v>
      </c>
      <c r="R122" s="11">
        <f t="shared" si="30"/>
        <v>-2833.6043105528715</v>
      </c>
      <c r="S122" s="27">
        <f t="shared" si="31"/>
        <v>-12489.640074394303</v>
      </c>
    </row>
    <row r="123" spans="1:19" x14ac:dyDescent="0.25">
      <c r="A123" s="6">
        <f t="shared" si="18"/>
        <v>118</v>
      </c>
      <c r="B123" s="24">
        <v>45234</v>
      </c>
      <c r="C123" s="32" cm="1">
        <f t="array" ref="C123" xml:space="preserve"> BonoM(100,C$2,C$1 - $B123,Portafolio!C123)</f>
        <v>87.303243940890582</v>
      </c>
      <c r="D123" s="32" cm="1">
        <f t="array" ref="D123" xml:space="preserve"> BonoM(100,D$2,D$1 - $B123,Portafolio!D123)</f>
        <v>96.673337326012145</v>
      </c>
      <c r="E123" s="32" cm="1">
        <f t="array" ref="E123" xml:space="preserve"> BonoM(100,E$2,E$1 - $B123,Portafolio!E123)</f>
        <v>90.537160591670386</v>
      </c>
      <c r="F123" s="32" cm="1">
        <f t="array" ref="F123" xml:space="preserve"> BonoM(100,F$2,F$1 - $B123,Portafolio!F123)</f>
        <v>90.717892343836809</v>
      </c>
      <c r="G123" s="5">
        <f t="shared" si="19"/>
        <v>-1.0446854049145693E-2</v>
      </c>
      <c r="H123" s="5">
        <f t="shared" si="20"/>
        <v>-1.513346143030625E-2</v>
      </c>
      <c r="I123" s="5">
        <f t="shared" si="21"/>
        <v>-1.9726773575908463E-2</v>
      </c>
      <c r="J123" s="5">
        <f t="shared" si="22"/>
        <v>-2.7923370065575992E-2</v>
      </c>
      <c r="K123" s="10">
        <f t="shared" si="23"/>
        <v>88.61808757383973</v>
      </c>
      <c r="L123" s="10">
        <f t="shared" si="24"/>
        <v>96.723633931705578</v>
      </c>
      <c r="M123" s="10">
        <f t="shared" si="25"/>
        <v>90.985118309042292</v>
      </c>
      <c r="N123" s="10">
        <f t="shared" si="26"/>
        <v>90.773137496662798</v>
      </c>
      <c r="O123" s="11">
        <f t="shared" si="27"/>
        <v>3087.3276100384187</v>
      </c>
      <c r="P123" s="11">
        <f t="shared" si="28"/>
        <v>2229.3833623848086</v>
      </c>
      <c r="Q123" s="11">
        <f t="shared" si="29"/>
        <v>3661.9235928886269</v>
      </c>
      <c r="R123" s="11">
        <f t="shared" si="30"/>
        <v>2607.5021580384287</v>
      </c>
      <c r="S123" s="27">
        <f t="shared" si="31"/>
        <v>11586.136723350282</v>
      </c>
    </row>
    <row r="124" spans="1:19" x14ac:dyDescent="0.25">
      <c r="A124" s="6">
        <f t="shared" si="18"/>
        <v>119</v>
      </c>
      <c r="B124" s="24">
        <v>45233</v>
      </c>
      <c r="C124" s="32" cm="1">
        <f t="array" ref="C124" xml:space="preserve"> BonoM(100,C$2,C$1 - $B124,Portafolio!C124)</f>
        <v>88.224916769883578</v>
      </c>
      <c r="D124" s="32" cm="1">
        <f t="array" ref="D124" xml:space="preserve"> BonoM(100,D$2,D$1 - $B124,Portafolio!D124)</f>
        <v>98.158820043179986</v>
      </c>
      <c r="E124" s="32" cm="1">
        <f t="array" ref="E124" xml:space="preserve"> BonoM(100,E$2,E$1 - $B124,Portafolio!E124)</f>
        <v>92.359107798892055</v>
      </c>
      <c r="F124" s="32" cm="1">
        <f t="array" ref="F124" xml:space="preserve"> BonoM(100,F$2,F$1 - $B124,Portafolio!F124)</f>
        <v>93.323807558213403</v>
      </c>
      <c r="G124" s="5">
        <f t="shared" si="19"/>
        <v>2.0457217232373148E-2</v>
      </c>
      <c r="H124" s="5">
        <f t="shared" si="20"/>
        <v>2.8959419165035749E-2</v>
      </c>
      <c r="I124" s="5">
        <f t="shared" si="21"/>
        <v>3.962826552131693E-2</v>
      </c>
      <c r="J124" s="5">
        <f t="shared" si="22"/>
        <v>5.1694479659453396E-2</v>
      </c>
      <c r="K124" s="10">
        <f t="shared" si="23"/>
        <v>91.385659691032359</v>
      </c>
      <c r="L124" s="10">
        <f t="shared" si="24"/>
        <v>101.05399086300309</v>
      </c>
      <c r="M124" s="10">
        <f t="shared" si="25"/>
        <v>96.494220372554651</v>
      </c>
      <c r="N124" s="10">
        <f t="shared" si="26"/>
        <v>98.207903231917925</v>
      </c>
      <c r="O124" s="11">
        <f t="shared" si="27"/>
        <v>-6045.6603766972548</v>
      </c>
      <c r="P124" s="11">
        <f t="shared" si="28"/>
        <v>-4266.1520345614645</v>
      </c>
      <c r="Q124" s="11">
        <f t="shared" si="29"/>
        <v>-7356.28053413609</v>
      </c>
      <c r="R124" s="11">
        <f t="shared" si="30"/>
        <v>-4827.2635772166977</v>
      </c>
      <c r="S124" s="27">
        <f t="shared" si="31"/>
        <v>-22495.356522611506</v>
      </c>
    </row>
    <row r="125" spans="1:19" x14ac:dyDescent="0.25">
      <c r="A125" s="6">
        <f t="shared" si="18"/>
        <v>120</v>
      </c>
      <c r="B125" s="24">
        <v>45232</v>
      </c>
      <c r="C125" s="32" cm="1">
        <f t="array" ref="C125" xml:space="preserve"> BonoM(100,C$2,C$1 - $B125,Portafolio!C125)</f>
        <v>86.456262232298428</v>
      </c>
      <c r="D125" s="32" cm="1">
        <f t="array" ref="D125" xml:space="preserve"> BonoM(100,D$2,D$1 - $B125,Portafolio!D125)</f>
        <v>95.396201458394145</v>
      </c>
      <c r="E125" s="32" cm="1">
        <f t="array" ref="E125" xml:space="preserve"> BonoM(100,E$2,E$1 - $B125,Portafolio!E125)</f>
        <v>88.838588620499834</v>
      </c>
      <c r="F125" s="32" cm="1">
        <f t="array" ref="F125" xml:space="preserve"> BonoM(100,F$2,F$1 - $B125,Portafolio!F125)</f>
        <v>88.736614447603031</v>
      </c>
      <c r="G125" s="5">
        <f t="shared" si="19"/>
        <v>-1.1886004502918768E-2</v>
      </c>
      <c r="H125" s="5">
        <f t="shared" si="20"/>
        <v>-1.611952390712279E-2</v>
      </c>
      <c r="I125" s="5">
        <f t="shared" si="21"/>
        <v>-2.0506815398695588E-2</v>
      </c>
      <c r="J125" s="5">
        <f t="shared" si="22"/>
        <v>-3.0825605548186141E-2</v>
      </c>
      <c r="K125" s="10">
        <f t="shared" si="23"/>
        <v>88.489206410188999</v>
      </c>
      <c r="L125" s="10">
        <f t="shared" si="24"/>
        <v>96.626792844810794</v>
      </c>
      <c r="M125" s="10">
        <f t="shared" si="25"/>
        <v>90.912717884732857</v>
      </c>
      <c r="N125" s="10">
        <f t="shared" si="26"/>
        <v>90.502124890868103</v>
      </c>
      <c r="O125" s="11">
        <f t="shared" si="27"/>
        <v>3512.6354500858342</v>
      </c>
      <c r="P125" s="11">
        <f t="shared" si="28"/>
        <v>2374.644992726985</v>
      </c>
      <c r="Q125" s="11">
        <f t="shared" si="29"/>
        <v>3806.7244415074983</v>
      </c>
      <c r="R125" s="11">
        <f t="shared" si="30"/>
        <v>2878.5147638331237</v>
      </c>
      <c r="S125" s="27">
        <f t="shared" si="31"/>
        <v>12572.519648153442</v>
      </c>
    </row>
    <row r="126" spans="1:19" x14ac:dyDescent="0.25">
      <c r="A126" s="6">
        <f t="shared" si="18"/>
        <v>121</v>
      </c>
      <c r="B126" s="24">
        <v>45231</v>
      </c>
      <c r="C126" s="32" cm="1">
        <f t="array" ref="C126" xml:space="preserve"> BonoM(100,C$2,C$1 - $B126,Portafolio!C126)</f>
        <v>87.496242970231066</v>
      </c>
      <c r="D126" s="32" cm="1">
        <f t="array" ref="D126" xml:space="preserve"> BonoM(100,D$2,D$1 - $B126,Portafolio!D126)</f>
        <v>96.959136578485015</v>
      </c>
      <c r="E126" s="32" cm="1">
        <f t="array" ref="E126" xml:space="preserve"> BonoM(100,E$2,E$1 - $B126,Portafolio!E126)</f>
        <v>90.698526561632931</v>
      </c>
      <c r="F126" s="32" cm="1">
        <f t="array" ref="F126" xml:space="preserve"> BonoM(100,F$2,F$1 - $B126,Portafolio!F126)</f>
        <v>91.558975304743157</v>
      </c>
      <c r="G126" s="5">
        <f t="shared" si="19"/>
        <v>3.1006778614266484E-3</v>
      </c>
      <c r="H126" s="5">
        <f t="shared" si="20"/>
        <v>5.3201843201546861E-3</v>
      </c>
      <c r="I126" s="5">
        <f t="shared" si="21"/>
        <v>5.0755284820760416E-3</v>
      </c>
      <c r="J126" s="5">
        <f t="shared" si="22"/>
        <v>7.2139242742319531E-3</v>
      </c>
      <c r="K126" s="10">
        <f t="shared" si="23"/>
        <v>89.831318388347313</v>
      </c>
      <c r="L126" s="10">
        <f t="shared" si="24"/>
        <v>98.732384220866081</v>
      </c>
      <c r="M126" s="10">
        <f t="shared" si="25"/>
        <v>93.287170763656661</v>
      </c>
      <c r="N126" s="10">
        <f t="shared" si="26"/>
        <v>94.054280517849577</v>
      </c>
      <c r="O126" s="11">
        <f t="shared" si="27"/>
        <v>-916.33407783660346</v>
      </c>
      <c r="P126" s="11">
        <f t="shared" si="28"/>
        <v>-783.74207135594531</v>
      </c>
      <c r="Q126" s="11">
        <f t="shared" si="29"/>
        <v>-942.18131634011115</v>
      </c>
      <c r="R126" s="11">
        <f t="shared" si="30"/>
        <v>-673.64086314834992</v>
      </c>
      <c r="S126" s="27">
        <f t="shared" si="31"/>
        <v>-3315.8983286810098</v>
      </c>
    </row>
    <row r="127" spans="1:19" x14ac:dyDescent="0.25">
      <c r="A127" s="6">
        <f t="shared" si="18"/>
        <v>122</v>
      </c>
      <c r="B127" s="24">
        <v>45230</v>
      </c>
      <c r="C127" s="32" cm="1">
        <f t="array" ref="C127" xml:space="preserve"> BonoM(100,C$2,C$1 - $B127,Portafolio!C127)</f>
        <v>87.225783913106113</v>
      </c>
      <c r="D127" s="32" cm="1">
        <f t="array" ref="D127" xml:space="preserve"> BonoM(100,D$2,D$1 - $B127,Portafolio!D127)</f>
        <v>96.446025943519075</v>
      </c>
      <c r="E127" s="32" cm="1">
        <f t="array" ref="E127" xml:space="preserve"> BonoM(100,E$2,E$1 - $B127,Portafolio!E127)</f>
        <v>90.240508291562094</v>
      </c>
      <c r="F127" s="32" cm="1">
        <f t="array" ref="F127" xml:space="preserve"> BonoM(100,F$2,F$1 - $B127,Portafolio!F127)</f>
        <v>90.903206457076934</v>
      </c>
      <c r="G127" s="5">
        <f t="shared" si="19"/>
        <v>2.8042846992581971E-4</v>
      </c>
      <c r="H127" s="5">
        <f t="shared" si="20"/>
        <v>6.9454517300249208E-4</v>
      </c>
      <c r="I127" s="5">
        <f t="shared" si="21"/>
        <v>2.4062978464574059E-3</v>
      </c>
      <c r="J127" s="5">
        <f t="shared" si="22"/>
        <v>5.6537480585663324E-3</v>
      </c>
      <c r="K127" s="10">
        <f t="shared" si="23"/>
        <v>89.578754785696191</v>
      </c>
      <c r="L127" s="10">
        <f t="shared" si="24"/>
        <v>98.278100711326715</v>
      </c>
      <c r="M127" s="10">
        <f t="shared" si="25"/>
        <v>93.039423239161053</v>
      </c>
      <c r="N127" s="10">
        <f t="shared" si="26"/>
        <v>93.90859026485667</v>
      </c>
      <c r="O127" s="11">
        <f t="shared" si="27"/>
        <v>-82.874189087900163</v>
      </c>
      <c r="P127" s="11">
        <f t="shared" si="28"/>
        <v>-102.31680704689694</v>
      </c>
      <c r="Q127" s="11">
        <f t="shared" si="29"/>
        <v>-446.68626734889472</v>
      </c>
      <c r="R127" s="11">
        <f t="shared" si="30"/>
        <v>-527.9506101554432</v>
      </c>
      <c r="S127" s="27">
        <f t="shared" si="31"/>
        <v>-1159.8278736391351</v>
      </c>
    </row>
    <row r="128" spans="1:19" x14ac:dyDescent="0.25">
      <c r="A128" s="6">
        <f t="shared" si="18"/>
        <v>123</v>
      </c>
      <c r="B128" s="24">
        <v>45229</v>
      </c>
      <c r="C128" s="32" cm="1">
        <f t="array" ref="C128" xml:space="preserve"> BonoM(100,C$2,C$1 - $B128,Portafolio!C128)</f>
        <v>87.201330177508936</v>
      </c>
      <c r="D128" s="32" cm="1">
        <f t="array" ref="D128" xml:space="preserve"> BonoM(100,D$2,D$1 - $B128,Portafolio!D128)</f>
        <v>96.379086314341052</v>
      </c>
      <c r="E128" s="32" cm="1">
        <f t="array" ref="E128" xml:space="preserve"> BonoM(100,E$2,E$1 - $B128,Portafolio!E128)</f>
        <v>90.023884013331084</v>
      </c>
      <c r="F128" s="32" cm="1">
        <f t="array" ref="F128" xml:space="preserve"> BonoM(100,F$2,F$1 - $B128,Portafolio!F128)</f>
        <v>90.392152003179319</v>
      </c>
      <c r="G128" s="5">
        <f t="shared" si="19"/>
        <v>9.6309809508610122E-3</v>
      </c>
      <c r="H128" s="5">
        <f t="shared" si="20"/>
        <v>1.3085072799255304E-2</v>
      </c>
      <c r="I128" s="5">
        <f t="shared" si="21"/>
        <v>1.5537348594787614E-2</v>
      </c>
      <c r="J128" s="5">
        <f t="shared" si="22"/>
        <v>2.3115104251586249E-2</v>
      </c>
      <c r="K128" s="10">
        <f t="shared" si="23"/>
        <v>90.416130809419585</v>
      </c>
      <c r="L128" s="10">
        <f t="shared" si="24"/>
        <v>99.494973060429842</v>
      </c>
      <c r="M128" s="10">
        <f t="shared" si="25"/>
        <v>94.25819589728728</v>
      </c>
      <c r="N128" s="10">
        <f t="shared" si="26"/>
        <v>95.539142875399449</v>
      </c>
      <c r="O128" s="11">
        <f t="shared" si="27"/>
        <v>-2846.2150673750998</v>
      </c>
      <c r="P128" s="11">
        <f t="shared" si="28"/>
        <v>-1927.6253307015877</v>
      </c>
      <c r="Q128" s="11">
        <f t="shared" si="29"/>
        <v>-2884.2315836013486</v>
      </c>
      <c r="R128" s="11">
        <f t="shared" si="30"/>
        <v>-2158.5032206982219</v>
      </c>
      <c r="S128" s="27">
        <f t="shared" si="31"/>
        <v>-9816.5752023762579</v>
      </c>
    </row>
    <row r="129" spans="1:19" x14ac:dyDescent="0.25">
      <c r="A129" s="6">
        <f t="shared" si="18"/>
        <v>124</v>
      </c>
      <c r="B129" s="24">
        <v>45227</v>
      </c>
      <c r="C129" s="32" cm="1">
        <f t="array" ref="C129" xml:space="preserve"> BonoM(100,C$2,C$1 - $B129,Portafolio!C129)</f>
        <v>86.369507099894591</v>
      </c>
      <c r="D129" s="32" cm="1">
        <f t="array" ref="D129" xml:space="preserve"> BonoM(100,D$2,D$1 - $B129,Portafolio!D129)</f>
        <v>95.134247756741701</v>
      </c>
      <c r="E129" s="32" cm="1">
        <f t="array" ref="E129" xml:space="preserve"> BonoM(100,E$2,E$1 - $B129,Portafolio!E129)</f>
        <v>88.646551638793312</v>
      </c>
      <c r="F129" s="32" cm="1">
        <f t="array" ref="F129" xml:space="preserve"> BonoM(100,F$2,F$1 - $B129,Portafolio!F129)</f>
        <v>88.349934066608881</v>
      </c>
      <c r="G129" s="5">
        <f t="shared" si="19"/>
        <v>-1.1505198787880699E-2</v>
      </c>
      <c r="H129" s="5">
        <f t="shared" si="20"/>
        <v>-1.6246336094357328E-2</v>
      </c>
      <c r="I129" s="5">
        <f t="shared" si="21"/>
        <v>-2.0761680454201126E-2</v>
      </c>
      <c r="J129" s="5">
        <f t="shared" si="22"/>
        <v>-3.0008024161940372E-2</v>
      </c>
      <c r="K129" s="10">
        <f t="shared" si="23"/>
        <v>88.523308948634707</v>
      </c>
      <c r="L129" s="10">
        <f t="shared" si="24"/>
        <v>96.6143386339144</v>
      </c>
      <c r="M129" s="10">
        <f t="shared" si="25"/>
        <v>90.889062309324956</v>
      </c>
      <c r="N129" s="10">
        <f t="shared" si="26"/>
        <v>90.578471163685506</v>
      </c>
      <c r="O129" s="11">
        <f t="shared" si="27"/>
        <v>3400.0970732149967</v>
      </c>
      <c r="P129" s="11">
        <f t="shared" si="28"/>
        <v>2393.3263090715755</v>
      </c>
      <c r="Q129" s="11">
        <f t="shared" si="29"/>
        <v>3854.0355923232992</v>
      </c>
      <c r="R129" s="11">
        <f t="shared" si="30"/>
        <v>2802.1684910157205</v>
      </c>
      <c r="S129" s="27">
        <f t="shared" si="31"/>
        <v>12449.627465625592</v>
      </c>
    </row>
    <row r="130" spans="1:19" x14ac:dyDescent="0.25">
      <c r="A130" s="6">
        <f t="shared" si="18"/>
        <v>125</v>
      </c>
      <c r="B130" s="24">
        <v>45226</v>
      </c>
      <c r="C130" s="32" cm="1">
        <f t="array" ref="C130" xml:space="preserve"> BonoM(100,C$2,C$1 - $B130,Portafolio!C130)</f>
        <v>87.374771211731158</v>
      </c>
      <c r="D130" s="32" cm="1">
        <f t="array" ref="D130" xml:space="preserve"> BonoM(100,D$2,D$1 - $B130,Portafolio!D130)</f>
        <v>96.705355463729745</v>
      </c>
      <c r="E130" s="32" cm="1">
        <f t="array" ref="E130" xml:space="preserve"> BonoM(100,E$2,E$1 - $B130,Portafolio!E130)</f>
        <v>90.526024022334354</v>
      </c>
      <c r="F130" s="32" cm="1">
        <f t="array" ref="F130" xml:space="preserve"> BonoM(100,F$2,F$1 - $B130,Portafolio!F130)</f>
        <v>91.083159724363455</v>
      </c>
      <c r="G130" s="5">
        <f t="shared" si="19"/>
        <v>1.7539370151555822E-3</v>
      </c>
      <c r="H130" s="5">
        <f t="shared" si="20"/>
        <v>1.1150052794983711E-3</v>
      </c>
      <c r="I130" s="5">
        <f t="shared" si="21"/>
        <v>-7.9297337650041655E-4</v>
      </c>
      <c r="J130" s="5">
        <f t="shared" si="22"/>
        <v>3.3548459809102926E-3</v>
      </c>
      <c r="K130" s="10">
        <f t="shared" si="23"/>
        <v>89.710712841548258</v>
      </c>
      <c r="L130" s="10">
        <f t="shared" si="24"/>
        <v>98.319394051927631</v>
      </c>
      <c r="M130" s="10">
        <f t="shared" si="25"/>
        <v>92.742479425051826</v>
      </c>
      <c r="N130" s="10">
        <f t="shared" si="26"/>
        <v>93.693917318341633</v>
      </c>
      <c r="O130" s="11">
        <f t="shared" si="27"/>
        <v>-518.33577339972123</v>
      </c>
      <c r="P130" s="11">
        <f t="shared" si="28"/>
        <v>-164.25681794827085</v>
      </c>
      <c r="Q130" s="11">
        <f t="shared" si="29"/>
        <v>147.20136086955904</v>
      </c>
      <c r="R130" s="11">
        <f t="shared" si="30"/>
        <v>-313.27766364040599</v>
      </c>
      <c r="S130" s="27">
        <f t="shared" si="31"/>
        <v>-848.66889411883903</v>
      </c>
    </row>
    <row r="131" spans="1:19" x14ac:dyDescent="0.25">
      <c r="A131" s="6">
        <f t="shared" si="18"/>
        <v>126</v>
      </c>
      <c r="B131" s="24">
        <v>45225</v>
      </c>
      <c r="C131" s="32" cm="1">
        <f t="array" ref="C131" xml:space="preserve"> BonoM(100,C$2,C$1 - $B131,Portafolio!C131)</f>
        <v>87.221789686272288</v>
      </c>
      <c r="D131" s="32" cm="1">
        <f t="array" ref="D131" xml:space="preserve"> BonoM(100,D$2,D$1 - $B131,Portafolio!D131)</f>
        <v>96.597648575580848</v>
      </c>
      <c r="E131" s="32" cm="1">
        <f t="array" ref="E131" xml:space="preserve"> BonoM(100,E$2,E$1 - $B131,Portafolio!E131)</f>
        <v>90.597865717816347</v>
      </c>
      <c r="F131" s="32" cm="1">
        <f t="array" ref="F131" xml:space="preserve"> BonoM(100,F$2,F$1 - $B131,Portafolio!F131)</f>
        <v>90.778611464539026</v>
      </c>
      <c r="G131" s="5">
        <f t="shared" si="19"/>
        <v>4.8926812893665961E-3</v>
      </c>
      <c r="H131" s="5">
        <f t="shared" si="20"/>
        <v>7.0296813704340266E-3</v>
      </c>
      <c r="I131" s="5">
        <f t="shared" si="21"/>
        <v>7.773121837521435E-3</v>
      </c>
      <c r="J131" s="5">
        <f t="shared" si="22"/>
        <v>7.2051662256209514E-3</v>
      </c>
      <c r="K131" s="10">
        <f t="shared" si="23"/>
        <v>89.991798820711765</v>
      </c>
      <c r="L131" s="10">
        <f t="shared" si="24"/>
        <v>98.900273737285914</v>
      </c>
      <c r="M131" s="10">
        <f t="shared" si="25"/>
        <v>93.537550804627699</v>
      </c>
      <c r="N131" s="10">
        <f t="shared" si="26"/>
        <v>94.053462685668165</v>
      </c>
      <c r="O131" s="11">
        <f t="shared" si="27"/>
        <v>-1445.9195046392936</v>
      </c>
      <c r="P131" s="11">
        <f t="shared" si="28"/>
        <v>-1035.576345985696</v>
      </c>
      <c r="Q131" s="11">
        <f t="shared" si="29"/>
        <v>-1442.941398282187</v>
      </c>
      <c r="R131" s="11">
        <f t="shared" si="30"/>
        <v>-672.82303096693852</v>
      </c>
      <c r="S131" s="27">
        <f t="shared" si="31"/>
        <v>-4597.2602798741154</v>
      </c>
    </row>
    <row r="132" spans="1:19" x14ac:dyDescent="0.25">
      <c r="A132" s="6">
        <f t="shared" si="18"/>
        <v>127</v>
      </c>
      <c r="B132" s="24">
        <v>45224</v>
      </c>
      <c r="C132" s="32" cm="1">
        <f t="array" ref="C132" xml:space="preserve"> BonoM(100,C$2,C$1 - $B132,Portafolio!C132)</f>
        <v>86.797119045945266</v>
      </c>
      <c r="D132" s="32" cm="1">
        <f t="array" ref="D132" xml:space="preserve"> BonoM(100,D$2,D$1 - $B132,Portafolio!D132)</f>
        <v>95.923338072939657</v>
      </c>
      <c r="E132" s="32" cm="1">
        <f t="array" ref="E132" xml:space="preserve"> BonoM(100,E$2,E$1 - $B132,Portafolio!E132)</f>
        <v>89.899069299074853</v>
      </c>
      <c r="F132" s="32" cm="1">
        <f t="array" ref="F132" xml:space="preserve"> BonoM(100,F$2,F$1 - $B132,Portafolio!F132)</f>
        <v>90.129215485183465</v>
      </c>
      <c r="G132" s="5">
        <f t="shared" si="19"/>
        <v>-3.2538233657063431E-3</v>
      </c>
      <c r="H132" s="5">
        <f t="shared" si="20"/>
        <v>-7.2754829671235477E-3</v>
      </c>
      <c r="I132" s="5">
        <f t="shared" si="21"/>
        <v>-9.8201988076490609E-3</v>
      </c>
      <c r="J132" s="5">
        <f t="shared" si="22"/>
        <v>-1.5754579500457666E-2</v>
      </c>
      <c r="K132" s="10">
        <f t="shared" si="23"/>
        <v>89.262249664208156</v>
      </c>
      <c r="L132" s="10">
        <f t="shared" si="24"/>
        <v>97.495365128320216</v>
      </c>
      <c r="M132" s="10">
        <f t="shared" si="25"/>
        <v>91.904607746304052</v>
      </c>
      <c r="N132" s="10">
        <f t="shared" si="26"/>
        <v>91.909466943457645</v>
      </c>
      <c r="O132" s="11">
        <f t="shared" si="27"/>
        <v>961.59271182261534</v>
      </c>
      <c r="P132" s="11">
        <f t="shared" si="28"/>
        <v>1071.7865674628513</v>
      </c>
      <c r="Q132" s="11">
        <f t="shared" si="29"/>
        <v>1822.9447183651075</v>
      </c>
      <c r="R132" s="11">
        <f t="shared" si="30"/>
        <v>1471.1727112435824</v>
      </c>
      <c r="S132" s="27">
        <f t="shared" si="31"/>
        <v>5327.4967088941557</v>
      </c>
    </row>
    <row r="133" spans="1:19" x14ac:dyDescent="0.25">
      <c r="A133" s="6">
        <f t="shared" ref="A133:A196" si="32">+A134-1</f>
        <v>128</v>
      </c>
      <c r="B133" s="24">
        <v>45223</v>
      </c>
      <c r="C133" s="32" cm="1">
        <f t="array" ref="C133" xml:space="preserve"> BonoM(100,C$2,C$1 - $B133,Portafolio!C133)</f>
        <v>87.080463492754532</v>
      </c>
      <c r="D133" s="32" cm="1">
        <f t="array" ref="D133" xml:space="preserve"> BonoM(100,D$2,D$1 - $B133,Portafolio!D133)</f>
        <v>96.626341373780065</v>
      </c>
      <c r="E133" s="32" cm="1">
        <f t="array" ref="E133" xml:space="preserve"> BonoM(100,E$2,E$1 - $B133,Portafolio!E133)</f>
        <v>90.790651547143796</v>
      </c>
      <c r="F133" s="32" cm="1">
        <f t="array" ref="F133" xml:space="preserve"> BonoM(100,F$2,F$1 - $B133,Portafolio!F133)</f>
        <v>91.571892139908996</v>
      </c>
      <c r="G133" s="5">
        <f t="shared" si="19"/>
        <v>-1.1973134526491735E-3</v>
      </c>
      <c r="H133" s="5">
        <f t="shared" si="20"/>
        <v>-1.8355227609284652E-3</v>
      </c>
      <c r="I133" s="5">
        <f t="shared" si="21"/>
        <v>-4.003527783371319E-3</v>
      </c>
      <c r="J133" s="5">
        <f t="shared" si="22"/>
        <v>-4.3624792100013243E-3</v>
      </c>
      <c r="K133" s="10">
        <f t="shared" si="23"/>
        <v>89.446417615487462</v>
      </c>
      <c r="L133" s="10">
        <f t="shared" si="24"/>
        <v>98.02962301909109</v>
      </c>
      <c r="M133" s="10">
        <f t="shared" si="25"/>
        <v>92.444488350040672</v>
      </c>
      <c r="N133" s="10">
        <f t="shared" si="26"/>
        <v>92.973268555590963</v>
      </c>
      <c r="O133" s="11">
        <f t="shared" si="27"/>
        <v>353.8384726009042</v>
      </c>
      <c r="P133" s="11">
        <f t="shared" si="28"/>
        <v>270.39973130654005</v>
      </c>
      <c r="Q133" s="11">
        <f t="shared" si="29"/>
        <v>743.18351089186763</v>
      </c>
      <c r="R133" s="11">
        <f t="shared" si="30"/>
        <v>407.37109911026437</v>
      </c>
      <c r="S133" s="27">
        <f t="shared" si="31"/>
        <v>1774.7928139095761</v>
      </c>
    </row>
    <row r="134" spans="1:19" x14ac:dyDescent="0.25">
      <c r="A134" s="6">
        <f t="shared" si="32"/>
        <v>129</v>
      </c>
      <c r="B134" s="24">
        <v>45222</v>
      </c>
      <c r="C134" s="32" cm="1">
        <f t="array" ref="C134" xml:space="preserve"> BonoM(100,C$2,C$1 - $B134,Portafolio!C134)</f>
        <v>87.184851087829202</v>
      </c>
      <c r="D134" s="32" cm="1">
        <f t="array" ref="D134" xml:space="preserve"> BonoM(100,D$2,D$1 - $B134,Portafolio!D134)</f>
        <v>96.804027369366082</v>
      </c>
      <c r="E134" s="32" cm="1">
        <f t="array" ref="E134" xml:space="preserve"> BonoM(100,E$2,E$1 - $B134,Portafolio!E134)</f>
        <v>91.155595506363284</v>
      </c>
      <c r="F134" s="32" cm="1">
        <f t="array" ref="F134" xml:space="preserve"> BonoM(100,F$2,F$1 - $B134,Portafolio!F134)</f>
        <v>91.973122976774064</v>
      </c>
      <c r="G134" s="5">
        <f t="shared" ref="G134:G197" si="33" xml:space="preserve"> C134/C135 - 1</f>
        <v>1.1749737832825957E-2</v>
      </c>
      <c r="H134" s="5">
        <f t="shared" ref="H134:H197" si="34" xml:space="preserve"> D134/D135 - 1</f>
        <v>1.5333390896296928E-2</v>
      </c>
      <c r="I134" s="5">
        <f t="shared" ref="I134:I197" si="35" xml:space="preserve"> E134/E135 - 1</f>
        <v>2.4236630576117912E-2</v>
      </c>
      <c r="J134" s="5">
        <f t="shared" ref="J134:J197" si="36" xml:space="preserve"> F134/F135 - 1</f>
        <v>3.0931220678074078E-2</v>
      </c>
      <c r="K134" s="10">
        <f t="shared" ref="K134:K197" si="37" xml:space="preserve"> C$5 * (1 + G134)</f>
        <v>90.605873203430406</v>
      </c>
      <c r="L134" s="10">
        <f t="shared" ref="L134:L197" si="38" xml:space="preserve"> D$5 * (1 + H134)</f>
        <v>99.715780132316056</v>
      </c>
      <c r="M134" s="10">
        <f t="shared" ref="M134:M197" si="39" xml:space="preserve"> E$5 * (1 + I134)</f>
        <v>95.065629150526647</v>
      </c>
      <c r="N134" s="10">
        <f t="shared" ref="N134:N197" si="40" xml:space="preserve"> F$5 * (1 + J134)</f>
        <v>96.269016826920506</v>
      </c>
      <c r="O134" s="11">
        <f t="shared" ref="O134:O197" si="41" xml:space="preserve"> (C$5 - K134) * O$2</f>
        <v>-3472.3649676108098</v>
      </c>
      <c r="P134" s="11">
        <f t="shared" ref="P134:P197" si="42" xml:space="preserve"> (D$5 - L134) * P$2</f>
        <v>-2258.8359385309077</v>
      </c>
      <c r="Q134" s="11">
        <f t="shared" ref="Q134:Q197" si="43" xml:space="preserve"> (E$5 - M134) * Q$2</f>
        <v>-4499.0980900800823</v>
      </c>
      <c r="R134" s="11">
        <f t="shared" ref="R134:R197" si="44" xml:space="preserve"> (F$5 - N134) * R$2</f>
        <v>-2888.3771722192791</v>
      </c>
      <c r="S134" s="27">
        <f t="shared" ref="S134:S197" si="45" xml:space="preserve"> SUM(O134:R134)</f>
        <v>-13118.676168441079</v>
      </c>
    </row>
    <row r="135" spans="1:19" x14ac:dyDescent="0.25">
      <c r="A135" s="6">
        <f t="shared" si="32"/>
        <v>130</v>
      </c>
      <c r="B135" s="24">
        <v>45220</v>
      </c>
      <c r="C135" s="32" cm="1">
        <f t="array" ref="C135" xml:space="preserve"> BonoM(100,C$2,C$1 - $B135,Portafolio!C135)</f>
        <v>86.17234858353379</v>
      </c>
      <c r="D135" s="32" cm="1">
        <f t="array" ref="D135" xml:space="preserve"> BonoM(100,D$2,D$1 - $B135,Portafolio!D135)</f>
        <v>95.342109534988538</v>
      </c>
      <c r="E135" s="32" cm="1">
        <f t="array" ref="E135" xml:space="preserve"> BonoM(100,E$2,E$1 - $B135,Portafolio!E135)</f>
        <v>88.99857004244187</v>
      </c>
      <c r="F135" s="32" cm="1">
        <f t="array" ref="F135" xml:space="preserve"> BonoM(100,F$2,F$1 - $B135,Portafolio!F135)</f>
        <v>89.213636304738742</v>
      </c>
      <c r="G135" s="5">
        <f t="shared" si="33"/>
        <v>-1.137265011009736E-2</v>
      </c>
      <c r="H135" s="5">
        <f t="shared" si="34"/>
        <v>-1.5550229638449542E-2</v>
      </c>
      <c r="I135" s="5">
        <f t="shared" si="35"/>
        <v>-2.1296912111428923E-2</v>
      </c>
      <c r="J135" s="5">
        <f t="shared" si="36"/>
        <v>-3.0723772203976374E-2</v>
      </c>
      <c r="K135" s="10">
        <f t="shared" si="37"/>
        <v>88.535179165392307</v>
      </c>
      <c r="L135" s="10">
        <f t="shared" si="38"/>
        <v>96.682703172033953</v>
      </c>
      <c r="M135" s="10">
        <f t="shared" si="39"/>
        <v>90.839384204952708</v>
      </c>
      <c r="N135" s="10">
        <f t="shared" si="40"/>
        <v>90.51163415368859</v>
      </c>
      <c r="O135" s="11">
        <f t="shared" si="41"/>
        <v>3360.9253579149154</v>
      </c>
      <c r="P135" s="11">
        <f t="shared" si="42"/>
        <v>2290.7795018922457</v>
      </c>
      <c r="Q135" s="11">
        <f t="shared" si="43"/>
        <v>3953.3918010677953</v>
      </c>
      <c r="R135" s="11">
        <f t="shared" si="44"/>
        <v>2869.0055010126371</v>
      </c>
      <c r="S135" s="27">
        <f t="shared" si="45"/>
        <v>12474.102161887593</v>
      </c>
    </row>
    <row r="136" spans="1:19" x14ac:dyDescent="0.25">
      <c r="A136" s="6">
        <f t="shared" si="32"/>
        <v>131</v>
      </c>
      <c r="B136" s="24">
        <v>45219</v>
      </c>
      <c r="C136" s="32" cm="1">
        <f t="array" ref="C136" xml:space="preserve"> BonoM(100,C$2,C$1 - $B136,Portafolio!C136)</f>
        <v>87.163630050423222</v>
      </c>
      <c r="D136" s="32" cm="1">
        <f t="array" ref="D136" xml:space="preserve"> BonoM(100,D$2,D$1 - $B136,Portafolio!D136)</f>
        <v>96.848120041688929</v>
      </c>
      <c r="E136" s="32" cm="1">
        <f t="array" ref="E136" xml:space="preserve"> BonoM(100,E$2,E$1 - $B136,Portafolio!E136)</f>
        <v>90.935209200621912</v>
      </c>
      <c r="F136" s="32" cm="1">
        <f t="array" ref="F136" xml:space="preserve"> BonoM(100,F$2,F$1 - $B136,Portafolio!F136)</f>
        <v>92.041498332829264</v>
      </c>
      <c r="G136" s="5">
        <f t="shared" si="33"/>
        <v>2.952812987614184E-3</v>
      </c>
      <c r="H136" s="5">
        <f t="shared" si="34"/>
        <v>2.3889413995918929E-3</v>
      </c>
      <c r="I136" s="5">
        <f t="shared" si="35"/>
        <v>2.9576310387420257E-3</v>
      </c>
      <c r="J136" s="5">
        <f t="shared" si="36"/>
        <v>6.491869618985735E-3</v>
      </c>
      <c r="K136" s="10">
        <f t="shared" si="37"/>
        <v>89.818076550462976</v>
      </c>
      <c r="L136" s="10">
        <f t="shared" si="38"/>
        <v>98.444507177520521</v>
      </c>
      <c r="M136" s="10">
        <f t="shared" si="39"/>
        <v>93.090595824900959</v>
      </c>
      <c r="N136" s="10">
        <f t="shared" si="40"/>
        <v>93.986854592277041</v>
      </c>
      <c r="O136" s="11">
        <f t="shared" si="41"/>
        <v>-872.63601281829187</v>
      </c>
      <c r="P136" s="11">
        <f t="shared" si="42"/>
        <v>-351.92650633760536</v>
      </c>
      <c r="Q136" s="11">
        <f t="shared" si="43"/>
        <v>-549.03143882870609</v>
      </c>
      <c r="R136" s="11">
        <f t="shared" si="44"/>
        <v>-606.21493757581391</v>
      </c>
      <c r="S136" s="27">
        <f t="shared" si="45"/>
        <v>-2379.8088955604171</v>
      </c>
    </row>
    <row r="137" spans="1:19" x14ac:dyDescent="0.25">
      <c r="A137" s="6">
        <f t="shared" si="32"/>
        <v>132</v>
      </c>
      <c r="B137" s="24">
        <v>45218</v>
      </c>
      <c r="C137" s="32" cm="1">
        <f t="array" ref="C137" xml:space="preserve"> BonoM(100,C$2,C$1 - $B137,Portafolio!C137)</f>
        <v>86.90700990286733</v>
      </c>
      <c r="D137" s="32" cm="1">
        <f t="array" ref="D137" xml:space="preserve"> BonoM(100,D$2,D$1 - $B137,Portafolio!D137)</f>
        <v>96.617306957181839</v>
      </c>
      <c r="E137" s="32" cm="1">
        <f t="array" ref="E137" xml:space="preserve"> BonoM(100,E$2,E$1 - $B137,Portafolio!E137)</f>
        <v>90.667049520768131</v>
      </c>
      <c r="F137" s="32" cm="1">
        <f t="array" ref="F137" xml:space="preserve"> BonoM(100,F$2,F$1 - $B137,Portafolio!F137)</f>
        <v>91.447830937444323</v>
      </c>
      <c r="G137" s="5">
        <f t="shared" si="33"/>
        <v>1.4690276931059731E-3</v>
      </c>
      <c r="H137" s="5">
        <f t="shared" si="34"/>
        <v>6.951698187409594E-4</v>
      </c>
      <c r="I137" s="5">
        <f t="shared" si="35"/>
        <v>8.0920791768424039E-4</v>
      </c>
      <c r="J137" s="5">
        <f t="shared" si="36"/>
        <v>-2.8243380660262218E-3</v>
      </c>
      <c r="K137" s="10">
        <f t="shared" si="37"/>
        <v>89.68519817429133</v>
      </c>
      <c r="L137" s="10">
        <f t="shared" si="38"/>
        <v>98.278162057715676</v>
      </c>
      <c r="M137" s="10">
        <f t="shared" si="39"/>
        <v>92.891187612396379</v>
      </c>
      <c r="N137" s="10">
        <f t="shared" si="40"/>
        <v>93.116901159494574</v>
      </c>
      <c r="O137" s="11">
        <f t="shared" si="41"/>
        <v>-434.1373714518582</v>
      </c>
      <c r="P137" s="11">
        <f t="shared" si="42"/>
        <v>-102.40882663033801</v>
      </c>
      <c r="Q137" s="11">
        <f t="shared" si="43"/>
        <v>-150.21501381954749</v>
      </c>
      <c r="R137" s="11">
        <f t="shared" si="44"/>
        <v>263.7384952066526</v>
      </c>
      <c r="S137" s="27">
        <f t="shared" si="45"/>
        <v>-423.02271669509116</v>
      </c>
    </row>
    <row r="138" spans="1:19" x14ac:dyDescent="0.25">
      <c r="A138" s="6">
        <f t="shared" si="32"/>
        <v>133</v>
      </c>
      <c r="B138" s="24">
        <v>45217</v>
      </c>
      <c r="C138" s="32" cm="1">
        <f t="array" ref="C138" xml:space="preserve"> BonoM(100,C$2,C$1 - $B138,Portafolio!C138)</f>
        <v>86.779528372493459</v>
      </c>
      <c r="D138" s="32" cm="1">
        <f t="array" ref="D138" xml:space="preserve"> BonoM(100,D$2,D$1 - $B138,Portafolio!D138)</f>
        <v>96.550188180365083</v>
      </c>
      <c r="E138" s="32" cm="1">
        <f t="array" ref="E138" xml:space="preserve"> BonoM(100,E$2,E$1 - $B138,Portafolio!E138)</f>
        <v>90.593740348785261</v>
      </c>
      <c r="F138" s="32" cm="1">
        <f t="array" ref="F138" xml:space="preserve"> BonoM(100,F$2,F$1 - $B138,Portafolio!F138)</f>
        <v>91.706842062396206</v>
      </c>
      <c r="G138" s="5">
        <f t="shared" si="33"/>
        <v>-3.1237944701512088E-4</v>
      </c>
      <c r="H138" s="5">
        <f t="shared" si="34"/>
        <v>-2.2673975360403276E-3</v>
      </c>
      <c r="I138" s="5">
        <f t="shared" si="35"/>
        <v>-5.0851957974346051E-3</v>
      </c>
      <c r="J138" s="5">
        <f t="shared" si="36"/>
        <v>-5.154608447146547E-3</v>
      </c>
      <c r="K138" s="10">
        <f t="shared" si="37"/>
        <v>89.52566667808631</v>
      </c>
      <c r="L138" s="10">
        <f t="shared" si="38"/>
        <v>97.987208645146666</v>
      </c>
      <c r="M138" s="10">
        <f t="shared" si="39"/>
        <v>92.344092164999836</v>
      </c>
      <c r="N138" s="10">
        <f t="shared" si="40"/>
        <v>92.899299020737161</v>
      </c>
      <c r="O138" s="11">
        <f t="shared" si="41"/>
        <v>92.316566024706503</v>
      </c>
      <c r="P138" s="11">
        <f t="shared" si="42"/>
        <v>334.02129222317711</v>
      </c>
      <c r="Q138" s="11">
        <f t="shared" si="43"/>
        <v>943.97588097353946</v>
      </c>
      <c r="R138" s="11">
        <f t="shared" si="44"/>
        <v>481.34063396406646</v>
      </c>
      <c r="S138" s="27">
        <f t="shared" si="45"/>
        <v>1851.6543731854895</v>
      </c>
    </row>
    <row r="139" spans="1:19" x14ac:dyDescent="0.25">
      <c r="A139" s="6">
        <f t="shared" si="32"/>
        <v>134</v>
      </c>
      <c r="B139" s="24">
        <v>45216</v>
      </c>
      <c r="C139" s="32" cm="1">
        <f t="array" ref="C139" xml:space="preserve"> BonoM(100,C$2,C$1 - $B139,Portafolio!C139)</f>
        <v>86.80664498425088</v>
      </c>
      <c r="D139" s="32" cm="1">
        <f t="array" ref="D139" xml:space="preserve"> BonoM(100,D$2,D$1 - $B139,Portafolio!D139)</f>
        <v>96.769603340543028</v>
      </c>
      <c r="E139" s="32" cm="1">
        <f t="array" ref="E139" xml:space="preserve"> BonoM(100,E$2,E$1 - $B139,Portafolio!E139)</f>
        <v>91.056781913499705</v>
      </c>
      <c r="F139" s="32" cm="1">
        <f t="array" ref="F139" xml:space="preserve"> BonoM(100,F$2,F$1 - $B139,Portafolio!F139)</f>
        <v>92.182004199920016</v>
      </c>
      <c r="G139" s="5">
        <f t="shared" si="33"/>
        <v>-1.5021539066700784E-3</v>
      </c>
      <c r="H139" s="5">
        <f t="shared" si="34"/>
        <v>-3.5421223569015448E-3</v>
      </c>
      <c r="I139" s="5">
        <f t="shared" si="35"/>
        <v>-4.0271703603161901E-3</v>
      </c>
      <c r="J139" s="5">
        <f t="shared" si="36"/>
        <v>-4.3970802597904646E-3</v>
      </c>
      <c r="K139" s="10">
        <f t="shared" si="37"/>
        <v>89.419118042785371</v>
      </c>
      <c r="L139" s="10">
        <f t="shared" si="38"/>
        <v>97.862018061338517</v>
      </c>
      <c r="M139" s="10">
        <f t="shared" si="39"/>
        <v>92.442293938725058</v>
      </c>
      <c r="N139" s="10">
        <f t="shared" si="40"/>
        <v>92.970037487428939</v>
      </c>
      <c r="O139" s="11">
        <f t="shared" si="41"/>
        <v>443.92706251780538</v>
      </c>
      <c r="P139" s="11">
        <f t="shared" si="42"/>
        <v>521.80716793539978</v>
      </c>
      <c r="Q139" s="11">
        <f t="shared" si="43"/>
        <v>747.57233352309527</v>
      </c>
      <c r="R139" s="11">
        <f t="shared" si="44"/>
        <v>410.60216727228749</v>
      </c>
      <c r="S139" s="27">
        <f t="shared" si="45"/>
        <v>2123.9087312485881</v>
      </c>
    </row>
    <row r="140" spans="1:19" x14ac:dyDescent="0.25">
      <c r="A140" s="6">
        <f t="shared" si="32"/>
        <v>135</v>
      </c>
      <c r="B140" s="24">
        <v>45215</v>
      </c>
      <c r="C140" s="32" cm="1">
        <f t="array" ref="C140" xml:space="preserve"> BonoM(100,C$2,C$1 - $B140,Portafolio!C140)</f>
        <v>86.937238096092031</v>
      </c>
      <c r="D140" s="32" cm="1">
        <f t="array" ref="D140" xml:space="preserve"> BonoM(100,D$2,D$1 - $B140,Portafolio!D140)</f>
        <v>97.113591564382233</v>
      </c>
      <c r="E140" s="32" cm="1">
        <f t="array" ref="E140" xml:space="preserve"> BonoM(100,E$2,E$1 - $B140,Portafolio!E140)</f>
        <v>91.424965826067364</v>
      </c>
      <c r="F140" s="32" cm="1">
        <f t="array" ref="F140" xml:space="preserve"> BonoM(100,F$2,F$1 - $B140,Portafolio!F140)</f>
        <v>92.589126018205917</v>
      </c>
      <c r="G140" s="5">
        <f t="shared" si="33"/>
        <v>1.0616813298058858E-2</v>
      </c>
      <c r="H140" s="5">
        <f t="shared" si="34"/>
        <v>1.3052564513168496E-2</v>
      </c>
      <c r="I140" s="5">
        <f t="shared" si="35"/>
        <v>1.8989627940318554E-2</v>
      </c>
      <c r="J140" s="5">
        <f t="shared" si="36"/>
        <v>2.5993285459304794E-2</v>
      </c>
      <c r="K140" s="10">
        <f t="shared" si="37"/>
        <v>90.5044156859162</v>
      </c>
      <c r="L140" s="10">
        <f t="shared" si="38"/>
        <v>99.49178042524521</v>
      </c>
      <c r="M140" s="10">
        <f t="shared" si="39"/>
        <v>94.578622933568596</v>
      </c>
      <c r="N140" s="10">
        <f t="shared" si="40"/>
        <v>95.80790927761835</v>
      </c>
      <c r="O140" s="11">
        <f t="shared" si="41"/>
        <v>-3137.5551598139309</v>
      </c>
      <c r="P140" s="11">
        <f t="shared" si="42"/>
        <v>-1922.8363779246392</v>
      </c>
      <c r="Q140" s="11">
        <f t="shared" si="43"/>
        <v>-3525.0856561639807</v>
      </c>
      <c r="R140" s="11">
        <f t="shared" si="44"/>
        <v>-2427.2696229171233</v>
      </c>
      <c r="S140" s="27">
        <f t="shared" si="45"/>
        <v>-11012.746816819674</v>
      </c>
    </row>
    <row r="141" spans="1:19" x14ac:dyDescent="0.25">
      <c r="A141" s="6">
        <f t="shared" si="32"/>
        <v>136</v>
      </c>
      <c r="B141" s="24">
        <v>45213</v>
      </c>
      <c r="C141" s="32" cm="1">
        <f t="array" ref="C141" xml:space="preserve"> BonoM(100,C$2,C$1 - $B141,Portafolio!C141)</f>
        <v>86.023938007106793</v>
      </c>
      <c r="D141" s="32" cm="1">
        <f t="array" ref="D141" xml:space="preserve"> BonoM(100,D$2,D$1 - $B141,Portafolio!D141)</f>
        <v>95.862342158968858</v>
      </c>
      <c r="E141" s="32" cm="1">
        <f t="array" ref="E141" xml:space="preserve"> BonoM(100,E$2,E$1 - $B141,Portafolio!E141)</f>
        <v>89.721193738609927</v>
      </c>
      <c r="F141" s="32" cm="1">
        <f t="array" ref="F141" xml:space="preserve"> BonoM(100,F$2,F$1 - $B141,Portafolio!F141)</f>
        <v>90.243403470965887</v>
      </c>
      <c r="G141" s="5">
        <f t="shared" si="33"/>
        <v>-1.1150973101613282E-2</v>
      </c>
      <c r="H141" s="5">
        <f t="shared" si="34"/>
        <v>-1.4189894014196458E-2</v>
      </c>
      <c r="I141" s="5">
        <f t="shared" si="35"/>
        <v>-2.0492574529464624E-2</v>
      </c>
      <c r="J141" s="5">
        <f t="shared" si="36"/>
        <v>-3.0639386242375388E-2</v>
      </c>
      <c r="K141" s="10">
        <f t="shared" si="37"/>
        <v>88.555031148715614</v>
      </c>
      <c r="L141" s="10">
        <f t="shared" si="38"/>
        <v>96.816301583383776</v>
      </c>
      <c r="M141" s="10">
        <f t="shared" si="39"/>
        <v>90.914039666392156</v>
      </c>
      <c r="N141" s="10">
        <f t="shared" si="40"/>
        <v>90.519514168760765</v>
      </c>
      <c r="O141" s="11">
        <f t="shared" si="41"/>
        <v>3295.4138129480043</v>
      </c>
      <c r="P141" s="11">
        <f t="shared" si="42"/>
        <v>2090.3818848675114</v>
      </c>
      <c r="Q141" s="11">
        <f t="shared" si="43"/>
        <v>3804.0808781888982</v>
      </c>
      <c r="R141" s="11">
        <f t="shared" si="44"/>
        <v>2861.1254859404626</v>
      </c>
      <c r="S141" s="27">
        <f t="shared" si="45"/>
        <v>12051.002061944877</v>
      </c>
    </row>
    <row r="142" spans="1:19" x14ac:dyDescent="0.25">
      <c r="A142" s="6">
        <f t="shared" si="32"/>
        <v>137</v>
      </c>
      <c r="B142" s="24">
        <v>45212</v>
      </c>
      <c r="C142" s="32" cm="1">
        <f t="array" ref="C142" xml:space="preserve"> BonoM(100,C$2,C$1 - $B142,Portafolio!C142)</f>
        <v>86.99400582607494</v>
      </c>
      <c r="D142" s="32" cm="1">
        <f t="array" ref="D142" xml:space="preserve"> BonoM(100,D$2,D$1 - $B142,Portafolio!D142)</f>
        <v>97.242198651541671</v>
      </c>
      <c r="E142" s="32" cm="1">
        <f t="array" ref="E142" xml:space="preserve"> BonoM(100,E$2,E$1 - $B142,Portafolio!E142)</f>
        <v>91.598278283096931</v>
      </c>
      <c r="F142" s="32" cm="1">
        <f t="array" ref="F142" xml:space="preserve"> BonoM(100,F$2,F$1 - $B142,Portafolio!F142)</f>
        <v>93.095801696694494</v>
      </c>
      <c r="G142" s="5">
        <f t="shared" si="33"/>
        <v>5.7705726407841773E-4</v>
      </c>
      <c r="H142" s="5">
        <f t="shared" si="34"/>
        <v>1.5451850039389647E-3</v>
      </c>
      <c r="I142" s="5">
        <f t="shared" si="35"/>
        <v>1.8881688865843849E-3</v>
      </c>
      <c r="J142" s="5">
        <f t="shared" si="36"/>
        <v>1.8329563669343685E-3</v>
      </c>
      <c r="K142" s="10">
        <f t="shared" si="37"/>
        <v>89.605318974355185</v>
      </c>
      <c r="L142" s="10">
        <f t="shared" si="38"/>
        <v>98.361641955132924</v>
      </c>
      <c r="M142" s="10">
        <f t="shared" si="39"/>
        <v>92.991332540116503</v>
      </c>
      <c r="N142" s="10">
        <f t="shared" si="40"/>
        <v>93.551802292704721</v>
      </c>
      <c r="O142" s="11">
        <f t="shared" si="41"/>
        <v>-170.53601166258261</v>
      </c>
      <c r="P142" s="11">
        <f t="shared" si="42"/>
        <v>-227.6286727562109</v>
      </c>
      <c r="Q142" s="11">
        <f t="shared" si="43"/>
        <v>-350.50486925979385</v>
      </c>
      <c r="R142" s="11">
        <f t="shared" si="44"/>
        <v>-171.16263800349429</v>
      </c>
      <c r="S142" s="27">
        <f t="shared" si="45"/>
        <v>-919.83219168208166</v>
      </c>
    </row>
    <row r="143" spans="1:19" x14ac:dyDescent="0.25">
      <c r="A143" s="6">
        <f t="shared" si="32"/>
        <v>138</v>
      </c>
      <c r="B143" s="24">
        <v>45211</v>
      </c>
      <c r="C143" s="32" cm="1">
        <f t="array" ref="C143" xml:space="preserve"> BonoM(100,C$2,C$1 - $B143,Portafolio!C143)</f>
        <v>86.943834254951298</v>
      </c>
      <c r="D143" s="32" cm="1">
        <f t="array" ref="D143" xml:space="preserve"> BonoM(100,D$2,D$1 - $B143,Portafolio!D143)</f>
        <v>97.092173281387417</v>
      </c>
      <c r="E143" s="32" cm="1">
        <f t="array" ref="E143" xml:space="preserve"> BonoM(100,E$2,E$1 - $B143,Portafolio!E143)</f>
        <v>91.425651213040751</v>
      </c>
      <c r="F143" s="32" cm="1">
        <f t="array" ref="F143" xml:space="preserve"> BonoM(100,F$2,F$1 - $B143,Portafolio!F143)</f>
        <v>92.925473358651359</v>
      </c>
      <c r="G143" s="5">
        <f t="shared" si="33"/>
        <v>-3.6019004278354805E-3</v>
      </c>
      <c r="H143" s="5">
        <f t="shared" si="34"/>
        <v>-5.2606733488065327E-3</v>
      </c>
      <c r="I143" s="5">
        <f t="shared" si="35"/>
        <v>-5.1243591240702768E-3</v>
      </c>
      <c r="J143" s="5">
        <f t="shared" si="36"/>
        <v>-7.5552634938302887E-3</v>
      </c>
      <c r="K143" s="10">
        <f t="shared" si="37"/>
        <v>89.231078095808385</v>
      </c>
      <c r="L143" s="10">
        <f t="shared" si="38"/>
        <v>97.693239358312027</v>
      </c>
      <c r="M143" s="10">
        <f t="shared" si="39"/>
        <v>92.340457178537619</v>
      </c>
      <c r="N143" s="10">
        <f t="shared" si="40"/>
        <v>92.675124316887548</v>
      </c>
      <c r="O143" s="11">
        <f t="shared" si="41"/>
        <v>1064.4588875418576</v>
      </c>
      <c r="P143" s="11">
        <f t="shared" si="42"/>
        <v>774.97522247513473</v>
      </c>
      <c r="Q143" s="11">
        <f t="shared" si="43"/>
        <v>951.24585389797289</v>
      </c>
      <c r="R143" s="11">
        <f t="shared" si="44"/>
        <v>705.51533781367937</v>
      </c>
      <c r="S143" s="27">
        <f t="shared" si="45"/>
        <v>3496.1953017286442</v>
      </c>
    </row>
    <row r="144" spans="1:19" x14ac:dyDescent="0.25">
      <c r="A144" s="6">
        <f t="shared" si="32"/>
        <v>139</v>
      </c>
      <c r="B144" s="24">
        <v>45210</v>
      </c>
      <c r="C144" s="32" cm="1">
        <f t="array" ref="C144" xml:space="preserve"> BonoM(100,C$2,C$1 - $B144,Portafolio!C144)</f>
        <v>87.258129348383363</v>
      </c>
      <c r="D144" s="32" cm="1">
        <f t="array" ref="D144" xml:space="preserve"> BonoM(100,D$2,D$1 - $B144,Portafolio!D144)</f>
        <v>97.605644695128163</v>
      </c>
      <c r="E144" s="32" cm="1">
        <f t="array" ref="E144" xml:space="preserve"> BonoM(100,E$2,E$1 - $B144,Portafolio!E144)</f>
        <v>91.896562200021123</v>
      </c>
      <c r="F144" s="32" cm="1">
        <f t="array" ref="F144" xml:space="preserve"> BonoM(100,F$2,F$1 - $B144,Portafolio!F144)</f>
        <v>93.632894548656481</v>
      </c>
      <c r="G144" s="5">
        <f t="shared" si="33"/>
        <v>-6.2294993503386742E-4</v>
      </c>
      <c r="H144" s="5">
        <f t="shared" si="34"/>
        <v>2.6403418144682611E-4</v>
      </c>
      <c r="I144" s="5">
        <f t="shared" si="35"/>
        <v>-2.7643103752539311E-4</v>
      </c>
      <c r="J144" s="5">
        <f t="shared" si="36"/>
        <v>3.4126669534206844E-3</v>
      </c>
      <c r="K144" s="10">
        <f t="shared" si="37"/>
        <v>89.497853959974393</v>
      </c>
      <c r="L144" s="10">
        <f t="shared" si="38"/>
        <v>98.23582027441465</v>
      </c>
      <c r="M144" s="10">
        <f t="shared" si="39"/>
        <v>92.790422860164</v>
      </c>
      <c r="N144" s="10">
        <f t="shared" si="40"/>
        <v>93.699316677740114</v>
      </c>
      <c r="O144" s="11">
        <f t="shared" si="41"/>
        <v>184.09853579403404</v>
      </c>
      <c r="P144" s="11">
        <f t="shared" si="42"/>
        <v>-38.896151678798674</v>
      </c>
      <c r="Q144" s="11">
        <f t="shared" si="43"/>
        <v>51.314490645211208</v>
      </c>
      <c r="R144" s="11">
        <f t="shared" si="44"/>
        <v>-318.67702303888734</v>
      </c>
      <c r="S144" s="27">
        <f t="shared" si="45"/>
        <v>-122.16014827844077</v>
      </c>
    </row>
    <row r="145" spans="1:19" x14ac:dyDescent="0.25">
      <c r="A145" s="6">
        <f t="shared" si="32"/>
        <v>140</v>
      </c>
      <c r="B145" s="24">
        <v>45209</v>
      </c>
      <c r="C145" s="32" cm="1">
        <f t="array" ref="C145" xml:space="preserve"> BonoM(100,C$2,C$1 - $B145,Portafolio!C145)</f>
        <v>87.312520677467035</v>
      </c>
      <c r="D145" s="32" cm="1">
        <f t="array" ref="D145" xml:space="preserve"> BonoM(100,D$2,D$1 - $B145,Portafolio!D145)</f>
        <v>97.579880271315048</v>
      </c>
      <c r="E145" s="32" cm="1">
        <f t="array" ref="E145" xml:space="preserve"> BonoM(100,E$2,E$1 - $B145,Portafolio!E145)</f>
        <v>91.921972286191576</v>
      </c>
      <c r="F145" s="32" cm="1">
        <f t="array" ref="F145" xml:space="preserve"> BonoM(100,F$2,F$1 - $B145,Portafolio!F145)</f>
        <v>93.314443431281703</v>
      </c>
      <c r="G145" s="5">
        <f t="shared" si="33"/>
        <v>2.3746239433601879E-3</v>
      </c>
      <c r="H145" s="5">
        <f t="shared" si="34"/>
        <v>4.5434425660095812E-3</v>
      </c>
      <c r="I145" s="5">
        <f t="shared" si="35"/>
        <v>4.604768546640825E-3</v>
      </c>
      <c r="J145" s="5">
        <f t="shared" si="36"/>
        <v>8.9272104731146218E-3</v>
      </c>
      <c r="K145" s="10">
        <f t="shared" si="37"/>
        <v>89.766297616135304</v>
      </c>
      <c r="L145" s="10">
        <f t="shared" si="38"/>
        <v>98.656100499016304</v>
      </c>
      <c r="M145" s="10">
        <f t="shared" si="39"/>
        <v>93.243476671778851</v>
      </c>
      <c r="N145" s="10">
        <f t="shared" si="40"/>
        <v>94.214268279012813</v>
      </c>
      <c r="O145" s="11">
        <f t="shared" si="41"/>
        <v>-701.76552953697501</v>
      </c>
      <c r="P145" s="11">
        <f t="shared" si="42"/>
        <v>-669.31648858128051</v>
      </c>
      <c r="Q145" s="11">
        <f t="shared" si="43"/>
        <v>-854.79313258448997</v>
      </c>
      <c r="R145" s="11">
        <f t="shared" si="44"/>
        <v>-833.62862431158646</v>
      </c>
      <c r="S145" s="27">
        <f t="shared" si="45"/>
        <v>-3059.5037750143319</v>
      </c>
    </row>
    <row r="146" spans="1:19" x14ac:dyDescent="0.25">
      <c r="A146" s="6">
        <f t="shared" si="32"/>
        <v>141</v>
      </c>
      <c r="B146" s="24">
        <v>45208</v>
      </c>
      <c r="C146" s="32" cm="1">
        <f t="array" ref="C146" xml:space="preserve"> BonoM(100,C$2,C$1 - $B146,Portafolio!C146)</f>
        <v>87.105677450191209</v>
      </c>
      <c r="D146" s="32" cm="1">
        <f t="array" ref="D146" xml:space="preserve"> BonoM(100,D$2,D$1 - $B146,Portafolio!D146)</f>
        <v>97.138536907927687</v>
      </c>
      <c r="E146" s="32" cm="1">
        <f t="array" ref="E146" xml:space="preserve"> BonoM(100,E$2,E$1 - $B146,Portafolio!E146)</f>
        <v>91.50063304912922</v>
      </c>
      <c r="F146" s="32" cm="1">
        <f t="array" ref="F146" xml:space="preserve"> BonoM(100,F$2,F$1 - $B146,Portafolio!F146)</f>
        <v>92.488776655675593</v>
      </c>
      <c r="G146" s="5">
        <f t="shared" si="33"/>
        <v>1.3438203746331201E-2</v>
      </c>
      <c r="H146" s="5">
        <f t="shared" si="34"/>
        <v>1.7993858027401277E-2</v>
      </c>
      <c r="I146" s="5">
        <f t="shared" si="35"/>
        <v>2.4837641171225E-2</v>
      </c>
      <c r="J146" s="5">
        <f t="shared" si="36"/>
        <v>3.528044818003151E-2</v>
      </c>
      <c r="K146" s="10">
        <f t="shared" si="37"/>
        <v>90.757081474356241</v>
      </c>
      <c r="L146" s="10">
        <f t="shared" si="38"/>
        <v>99.977064315297824</v>
      </c>
      <c r="M146" s="10">
        <f t="shared" si="39"/>
        <v>95.121412598066357</v>
      </c>
      <c r="N146" s="10">
        <f t="shared" si="40"/>
        <v>96.675150473057116</v>
      </c>
      <c r="O146" s="11">
        <f t="shared" si="41"/>
        <v>-3971.3522616660653</v>
      </c>
      <c r="P146" s="11">
        <f t="shared" si="42"/>
        <v>-2650.7622130035597</v>
      </c>
      <c r="Q146" s="11">
        <f t="shared" si="43"/>
        <v>-4610.6649851595021</v>
      </c>
      <c r="R146" s="11">
        <f t="shared" si="44"/>
        <v>-3294.5108183558887</v>
      </c>
      <c r="S146" s="27">
        <f t="shared" si="45"/>
        <v>-14527.290278185013</v>
      </c>
    </row>
    <row r="147" spans="1:19" x14ac:dyDescent="0.25">
      <c r="A147" s="6">
        <f t="shared" si="32"/>
        <v>142</v>
      </c>
      <c r="B147" s="24">
        <v>45206</v>
      </c>
      <c r="C147" s="32" cm="1">
        <f t="array" ref="C147" xml:space="preserve"> BonoM(100,C$2,C$1 - $B147,Portafolio!C147)</f>
        <v>85.950655035690957</v>
      </c>
      <c r="D147" s="32" cm="1">
        <f t="array" ref="D147" xml:space="preserve"> BonoM(100,D$2,D$1 - $B147,Portafolio!D147)</f>
        <v>95.421535348117018</v>
      </c>
      <c r="E147" s="32" cm="1">
        <f t="array" ref="E147" xml:space="preserve"> BonoM(100,E$2,E$1 - $B147,Portafolio!E147)</f>
        <v>89.2830526253492</v>
      </c>
      <c r="F147" s="32" cm="1">
        <f t="array" ref="F147" xml:space="preserve"> BonoM(100,F$2,F$1 - $B147,Portafolio!F147)</f>
        <v>89.336929735576476</v>
      </c>
      <c r="G147" s="5">
        <f t="shared" si="33"/>
        <v>-1.1255096654737784E-2</v>
      </c>
      <c r="H147" s="5">
        <f t="shared" si="34"/>
        <v>-1.4786942401254666E-2</v>
      </c>
      <c r="I147" s="5">
        <f t="shared" si="35"/>
        <v>-2.0807679258603606E-2</v>
      </c>
      <c r="J147" s="5">
        <f t="shared" si="36"/>
        <v>-3.1033662902734793E-2</v>
      </c>
      <c r="K147" s="10">
        <f t="shared" si="37"/>
        <v>88.545706505378334</v>
      </c>
      <c r="L147" s="10">
        <f t="shared" si="38"/>
        <v>96.757665527260684</v>
      </c>
      <c r="M147" s="10">
        <f t="shared" si="39"/>
        <v>90.884792880610775</v>
      </c>
      <c r="N147" s="10">
        <f t="shared" si="40"/>
        <v>90.482696362015474</v>
      </c>
      <c r="O147" s="11">
        <f t="shared" si="41"/>
        <v>3326.1851359610278</v>
      </c>
      <c r="P147" s="11">
        <f t="shared" si="42"/>
        <v>2178.3359690521493</v>
      </c>
      <c r="Q147" s="11">
        <f t="shared" si="43"/>
        <v>3862.5744497516621</v>
      </c>
      <c r="R147" s="11">
        <f t="shared" si="44"/>
        <v>2897.9432926857526</v>
      </c>
      <c r="S147" s="27">
        <f t="shared" si="45"/>
        <v>12265.038847450593</v>
      </c>
    </row>
    <row r="148" spans="1:19" x14ac:dyDescent="0.25">
      <c r="A148" s="6">
        <f t="shared" si="32"/>
        <v>143</v>
      </c>
      <c r="B148" s="24">
        <v>45205</v>
      </c>
      <c r="C148" s="32" cm="1">
        <f t="array" ref="C148" xml:space="preserve"> BonoM(100,C$2,C$1 - $B148,Portafolio!C148)</f>
        <v>86.929049894356467</v>
      </c>
      <c r="D148" s="32" cm="1">
        <f t="array" ref="D148" xml:space="preserve"> BonoM(100,D$2,D$1 - $B148,Portafolio!D148)</f>
        <v>96.853705512884119</v>
      </c>
      <c r="E148" s="32" cm="1">
        <f t="array" ref="E148" xml:space="preserve"> BonoM(100,E$2,E$1 - $B148,Portafolio!E148)</f>
        <v>91.180303127529072</v>
      </c>
      <c r="F148" s="32" cm="1">
        <f t="array" ref="F148" xml:space="preserve"> BonoM(100,F$2,F$1 - $B148,Portafolio!F148)</f>
        <v>92.198176877024778</v>
      </c>
      <c r="G148" s="5">
        <f t="shared" si="33"/>
        <v>5.7792869226291899E-4</v>
      </c>
      <c r="H148" s="5">
        <f t="shared" si="34"/>
        <v>1.1233978188842642E-3</v>
      </c>
      <c r="I148" s="5">
        <f t="shared" si="35"/>
        <v>4.0641041839517555E-3</v>
      </c>
      <c r="J148" s="5">
        <f t="shared" si="36"/>
        <v>4.9681727013604071E-3</v>
      </c>
      <c r="K148" s="10">
        <f t="shared" si="37"/>
        <v>89.605397013922328</v>
      </c>
      <c r="L148" s="10">
        <f t="shared" si="38"/>
        <v>98.320218282293396</v>
      </c>
      <c r="M148" s="10">
        <f t="shared" si="39"/>
        <v>93.193294324981309</v>
      </c>
      <c r="N148" s="10">
        <f t="shared" si="40"/>
        <v>93.844570799469281</v>
      </c>
      <c r="O148" s="11">
        <f t="shared" si="41"/>
        <v>-170.79354223415351</v>
      </c>
      <c r="P148" s="11">
        <f t="shared" si="42"/>
        <v>-165.49316349691878</v>
      </c>
      <c r="Q148" s="11">
        <f t="shared" si="43"/>
        <v>-754.42843898940737</v>
      </c>
      <c r="R148" s="11">
        <f t="shared" si="44"/>
        <v>-463.93114476805408</v>
      </c>
      <c r="S148" s="27">
        <f t="shared" si="45"/>
        <v>-1554.6462894885337</v>
      </c>
    </row>
    <row r="149" spans="1:19" x14ac:dyDescent="0.25">
      <c r="A149" s="6">
        <f t="shared" si="32"/>
        <v>144</v>
      </c>
      <c r="B149" s="24">
        <v>45204</v>
      </c>
      <c r="C149" s="32" cm="1">
        <f t="array" ref="C149" xml:space="preserve"> BonoM(100,C$2,C$1 - $B149,Portafolio!C149)</f>
        <v>86.878840119900659</v>
      </c>
      <c r="D149" s="32" cm="1">
        <f t="array" ref="D149" xml:space="preserve"> BonoM(100,D$2,D$1 - $B149,Portafolio!D149)</f>
        <v>96.745022365770495</v>
      </c>
      <c r="E149" s="32" cm="1">
        <f t="array" ref="E149" xml:space="preserve"> BonoM(100,E$2,E$1 - $B149,Portafolio!E149)</f>
        <v>90.811236800099948</v>
      </c>
      <c r="F149" s="32" cm="1">
        <f t="array" ref="F149" xml:space="preserve"> BonoM(100,F$2,F$1 - $B149,Portafolio!F149)</f>
        <v>91.742384864980878</v>
      </c>
      <c r="G149" s="5">
        <f t="shared" si="33"/>
        <v>2.7752335248099058E-4</v>
      </c>
      <c r="H149" s="5">
        <f t="shared" si="34"/>
        <v>-2.2954723415536948E-3</v>
      </c>
      <c r="I149" s="5">
        <f t="shared" si="35"/>
        <v>-3.5137421357446241E-3</v>
      </c>
      <c r="J149" s="5">
        <f t="shared" si="36"/>
        <v>-1.2925710679171365E-3</v>
      </c>
      <c r="K149" s="10">
        <f t="shared" si="37"/>
        <v>89.578494621850325</v>
      </c>
      <c r="L149" s="10">
        <f t="shared" si="38"/>
        <v>97.984451421599275</v>
      </c>
      <c r="M149" s="10">
        <f t="shared" si="39"/>
        <v>92.489948333945307</v>
      </c>
      <c r="N149" s="10">
        <f t="shared" si="40"/>
        <v>93.25993854157997</v>
      </c>
      <c r="O149" s="11">
        <f t="shared" si="41"/>
        <v>-82.015648396543384</v>
      </c>
      <c r="P149" s="11">
        <f t="shared" si="42"/>
        <v>338.15712754426386</v>
      </c>
      <c r="Q149" s="11">
        <f t="shared" si="43"/>
        <v>652.26354308259715</v>
      </c>
      <c r="R149" s="11">
        <f t="shared" si="44"/>
        <v>120.70111312125675</v>
      </c>
      <c r="S149" s="27">
        <f t="shared" si="45"/>
        <v>1029.1061353515743</v>
      </c>
    </row>
    <row r="150" spans="1:19" x14ac:dyDescent="0.25">
      <c r="A150" s="6">
        <f t="shared" si="32"/>
        <v>145</v>
      </c>
      <c r="B150" s="24">
        <v>45203</v>
      </c>
      <c r="C150" s="32" cm="1">
        <f t="array" ref="C150" xml:space="preserve"> BonoM(100,C$2,C$1 - $B150,Portafolio!C150)</f>
        <v>86.854735902414177</v>
      </c>
      <c r="D150" s="32" cm="1">
        <f t="array" ref="D150" xml:space="preserve"> BonoM(100,D$2,D$1 - $B150,Portafolio!D150)</f>
        <v>96.967608829866052</v>
      </c>
      <c r="E150" s="32" cm="1">
        <f t="array" ref="E150" xml:space="preserve"> BonoM(100,E$2,E$1 - $B150,Portafolio!E150)</f>
        <v>91.131449213091457</v>
      </c>
      <c r="F150" s="32" cm="1">
        <f t="array" ref="F150" xml:space="preserve"> BonoM(100,F$2,F$1 - $B150,Portafolio!F150)</f>
        <v>91.861121893406704</v>
      </c>
      <c r="G150" s="5">
        <f t="shared" si="33"/>
        <v>2.5984264568452708E-3</v>
      </c>
      <c r="H150" s="5">
        <f t="shared" si="34"/>
        <v>5.7169819999374205E-3</v>
      </c>
      <c r="I150" s="5">
        <f t="shared" si="35"/>
        <v>2.9340556470576873E-2</v>
      </c>
      <c r="J150" s="5">
        <f t="shared" si="36"/>
        <v>1.1557895971422427E-2</v>
      </c>
      <c r="K150" s="10">
        <f t="shared" si="37"/>
        <v>89.786339946171267</v>
      </c>
      <c r="L150" s="10">
        <f t="shared" si="38"/>
        <v>98.771353677154025</v>
      </c>
      <c r="M150" s="10">
        <f t="shared" si="39"/>
        <v>95.539355545199228</v>
      </c>
      <c r="N150" s="10">
        <f t="shared" si="40"/>
        <v>94.459923373575151</v>
      </c>
      <c r="O150" s="11">
        <f t="shared" si="41"/>
        <v>-767.90521865565324</v>
      </c>
      <c r="P150" s="11">
        <f t="shared" si="42"/>
        <v>-842.19625578786145</v>
      </c>
      <c r="Q150" s="11">
        <f t="shared" si="43"/>
        <v>-5446.5508794252455</v>
      </c>
      <c r="R150" s="11">
        <f t="shared" si="44"/>
        <v>-1079.283718873924</v>
      </c>
      <c r="S150" s="27">
        <f t="shared" si="45"/>
        <v>-8135.9360727426838</v>
      </c>
    </row>
    <row r="151" spans="1:19" x14ac:dyDescent="0.25">
      <c r="A151" s="6">
        <f t="shared" si="32"/>
        <v>146</v>
      </c>
      <c r="B151" s="24">
        <v>45202</v>
      </c>
      <c r="C151" s="32" cm="1">
        <f t="array" ref="C151" xml:space="preserve"> BonoM(100,C$2,C$1 - $B151,Portafolio!C151)</f>
        <v>86.629635166450811</v>
      </c>
      <c r="D151" s="32" cm="1">
        <f t="array" ref="D151" xml:space="preserve"> BonoM(100,D$2,D$1 - $B151,Portafolio!D151)</f>
        <v>96.416398017898928</v>
      </c>
      <c r="E151" s="32" cm="1">
        <f t="array" ref="E151" xml:space="preserve"> BonoM(100,E$2,E$1 - $B151,Portafolio!E151)</f>
        <v>88.533817734302389</v>
      </c>
      <c r="F151" s="32" cm="1">
        <f t="array" ref="F151" xml:space="preserve"> BonoM(100,F$2,F$1 - $B151,Portafolio!F151)</f>
        <v>90.811531657503735</v>
      </c>
      <c r="G151" s="5">
        <f t="shared" si="33"/>
        <v>6.8695635141224898E-5</v>
      </c>
      <c r="H151" s="5">
        <f t="shared" si="34"/>
        <v>-2.9195122372871474E-5</v>
      </c>
      <c r="I151" s="5">
        <f t="shared" si="35"/>
        <v>-2.3760576491374308E-2</v>
      </c>
      <c r="J151" s="5">
        <f t="shared" si="36"/>
        <v>-3.9228071506439699E-3</v>
      </c>
      <c r="K151" s="10">
        <f t="shared" si="37"/>
        <v>89.559793339338341</v>
      </c>
      <c r="L151" s="10">
        <f t="shared" si="38"/>
        <v>98.207022256886418</v>
      </c>
      <c r="M151" s="10">
        <f t="shared" si="39"/>
        <v>90.610716534510672</v>
      </c>
      <c r="N151" s="10">
        <f t="shared" si="40"/>
        <v>93.014325413732053</v>
      </c>
      <c r="O151" s="11">
        <f t="shared" si="41"/>
        <v>-20.301416106997294</v>
      </c>
      <c r="P151" s="11">
        <f t="shared" si="42"/>
        <v>4.3008746135484444</v>
      </c>
      <c r="Q151" s="11">
        <f t="shared" si="43"/>
        <v>4410.7271419518665</v>
      </c>
      <c r="R151" s="11">
        <f t="shared" si="44"/>
        <v>366.31424096917442</v>
      </c>
      <c r="S151" s="27">
        <f t="shared" si="45"/>
        <v>4761.0408414275926</v>
      </c>
    </row>
    <row r="152" spans="1:19" x14ac:dyDescent="0.25">
      <c r="A152" s="6">
        <f t="shared" si="32"/>
        <v>147</v>
      </c>
      <c r="B152" s="24">
        <v>45201</v>
      </c>
      <c r="C152" s="32" cm="1">
        <f t="array" ref="C152" xml:space="preserve"> BonoM(100,C$2,C$1 - $B152,Portafolio!C152)</f>
        <v>86.623684497425984</v>
      </c>
      <c r="D152" s="32" cm="1">
        <f t="array" ref="D152" xml:space="preserve"> BonoM(100,D$2,D$1 - $B152,Portafolio!D152)</f>
        <v>96.419212988621226</v>
      </c>
      <c r="E152" s="32" cm="1">
        <f t="array" ref="E152" xml:space="preserve"> BonoM(100,E$2,E$1 - $B152,Portafolio!E152)</f>
        <v>90.688631909690685</v>
      </c>
      <c r="F152" s="32" cm="1">
        <f t="array" ref="F152" xml:space="preserve"> BonoM(100,F$2,F$1 - $B152,Portafolio!F152)</f>
        <v>91.169170732370958</v>
      </c>
      <c r="G152" s="5">
        <f t="shared" si="33"/>
        <v>1.1016243397383052E-2</v>
      </c>
      <c r="H152" s="5">
        <f t="shared" si="34"/>
        <v>1.1511980428163149E-2</v>
      </c>
      <c r="I152" s="5">
        <f t="shared" si="35"/>
        <v>1.9261651933927038E-2</v>
      </c>
      <c r="J152" s="5">
        <f t="shared" si="36"/>
        <v>2.7073675004263054E-2</v>
      </c>
      <c r="K152" s="10">
        <f t="shared" si="37"/>
        <v>90.540186105793467</v>
      </c>
      <c r="L152" s="10">
        <f t="shared" si="38"/>
        <v>99.340479832481165</v>
      </c>
      <c r="M152" s="10">
        <f t="shared" si="39"/>
        <v>94.603871134349973</v>
      </c>
      <c r="N152" s="10">
        <f t="shared" si="40"/>
        <v>95.908796744402807</v>
      </c>
      <c r="O152" s="11">
        <f t="shared" si="41"/>
        <v>-3255.5975454089107</v>
      </c>
      <c r="P152" s="11">
        <f t="shared" si="42"/>
        <v>-1695.8854887785719</v>
      </c>
      <c r="Q152" s="11">
        <f t="shared" si="43"/>
        <v>-3575.5820577267341</v>
      </c>
      <c r="R152" s="11">
        <f t="shared" si="44"/>
        <v>-2528.1570897015799</v>
      </c>
      <c r="S152" s="27">
        <f t="shared" si="45"/>
        <v>-11055.222181615798</v>
      </c>
    </row>
    <row r="153" spans="1:19" x14ac:dyDescent="0.25">
      <c r="A153" s="6">
        <f t="shared" si="32"/>
        <v>148</v>
      </c>
      <c r="B153" s="24">
        <v>45199</v>
      </c>
      <c r="C153" s="32" cm="1">
        <f t="array" ref="C153" xml:space="preserve"> BonoM(100,C$2,C$1 - $B153,Portafolio!C153)</f>
        <v>85.679814803310009</v>
      </c>
      <c r="D153" s="32" cm="1">
        <f t="array" ref="D153" xml:space="preserve"> BonoM(100,D$2,D$1 - $B153,Portafolio!D153)</f>
        <v>95.321869492645973</v>
      </c>
      <c r="E153" s="32" cm="1">
        <f t="array" ref="E153" xml:space="preserve"> BonoM(100,E$2,E$1 - $B153,Portafolio!E153)</f>
        <v>88.974829708956335</v>
      </c>
      <c r="F153" s="32" cm="1">
        <f t="array" ref="F153" xml:space="preserve"> BonoM(100,F$2,F$1 - $B153,Portafolio!F153)</f>
        <v>88.765950244019791</v>
      </c>
      <c r="G153" s="5">
        <f t="shared" si="33"/>
        <v>-1.0365893889754951E-2</v>
      </c>
      <c r="H153" s="5">
        <f t="shared" si="34"/>
        <v>-1.2698406530621598E-2</v>
      </c>
      <c r="I153" s="5">
        <f t="shared" si="35"/>
        <v>-2.0762336477066157E-2</v>
      </c>
      <c r="J153" s="5">
        <f t="shared" si="36"/>
        <v>-2.8606762533202157E-2</v>
      </c>
      <c r="K153" s="10">
        <f t="shared" si="37"/>
        <v>88.625337850921099</v>
      </c>
      <c r="L153" s="10">
        <f t="shared" si="38"/>
        <v>96.962780404346177</v>
      </c>
      <c r="M153" s="10">
        <f t="shared" si="39"/>
        <v>90.889001419854168</v>
      </c>
      <c r="N153" s="10">
        <f t="shared" si="40"/>
        <v>90.709321870900666</v>
      </c>
      <c r="O153" s="11">
        <f t="shared" si="41"/>
        <v>3063.4016956699029</v>
      </c>
      <c r="P153" s="11">
        <f t="shared" si="42"/>
        <v>1870.663653423911</v>
      </c>
      <c r="Q153" s="11">
        <f t="shared" si="43"/>
        <v>3854.1573712648756</v>
      </c>
      <c r="R153" s="11">
        <f t="shared" si="44"/>
        <v>2671.3177838005604</v>
      </c>
      <c r="S153" s="27">
        <f t="shared" si="45"/>
        <v>11459.540504159249</v>
      </c>
    </row>
    <row r="154" spans="1:19" x14ac:dyDescent="0.25">
      <c r="A154" s="6">
        <f t="shared" si="32"/>
        <v>149</v>
      </c>
      <c r="B154" s="24">
        <v>45198</v>
      </c>
      <c r="C154" s="32" cm="1">
        <f t="array" ref="C154" xml:space="preserve"> BonoM(100,C$2,C$1 - $B154,Portafolio!C154)</f>
        <v>86.577265551279709</v>
      </c>
      <c r="D154" s="32" cm="1">
        <f t="array" ref="D154" xml:space="preserve"> BonoM(100,D$2,D$1 - $B154,Portafolio!D154)</f>
        <v>96.547873641816849</v>
      </c>
      <c r="E154" s="32" cm="1">
        <f t="array" ref="E154" xml:space="preserve"> BonoM(100,E$2,E$1 - $B154,Portafolio!E154)</f>
        <v>90.861323071314374</v>
      </c>
      <c r="F154" s="32" cm="1">
        <f t="array" ref="F154" xml:space="preserve"> BonoM(100,F$2,F$1 - $B154,Portafolio!F154)</f>
        <v>91.380037270491911</v>
      </c>
      <c r="G154" s="5">
        <f t="shared" si="33"/>
        <v>1.4890622042971202E-3</v>
      </c>
      <c r="H154" s="5">
        <f t="shared" si="34"/>
        <v>2.4167548124096605E-3</v>
      </c>
      <c r="I154" s="5">
        <f t="shared" si="35"/>
        <v>2.4431148835519778E-3</v>
      </c>
      <c r="J154" s="5">
        <f t="shared" si="36"/>
        <v>1.8334353265234693E-3</v>
      </c>
      <c r="K154" s="10">
        <f t="shared" si="37"/>
        <v>89.68699233772206</v>
      </c>
      <c r="L154" s="10">
        <f t="shared" si="38"/>
        <v>98.447238729720155</v>
      </c>
      <c r="M154" s="10">
        <f t="shared" si="39"/>
        <v>93.042840452225278</v>
      </c>
      <c r="N154" s="10">
        <f t="shared" si="40"/>
        <v>93.551847018257519</v>
      </c>
      <c r="O154" s="11">
        <f t="shared" si="41"/>
        <v>-440.05811077326911</v>
      </c>
      <c r="P154" s="11">
        <f t="shared" si="42"/>
        <v>-356.02383463705678</v>
      </c>
      <c r="Q154" s="11">
        <f t="shared" si="43"/>
        <v>-453.52069347734414</v>
      </c>
      <c r="R154" s="11">
        <f t="shared" si="44"/>
        <v>-171.20736355629163</v>
      </c>
      <c r="S154" s="27">
        <f t="shared" si="45"/>
        <v>-1420.8100024439618</v>
      </c>
    </row>
    <row r="155" spans="1:19" x14ac:dyDescent="0.25">
      <c r="A155" s="6">
        <f t="shared" si="32"/>
        <v>150</v>
      </c>
      <c r="B155" s="24">
        <v>45197</v>
      </c>
      <c r="C155" s="32" cm="1">
        <f t="array" ref="C155" xml:space="preserve"> BonoM(100,C$2,C$1 - $B155,Portafolio!C155)</f>
        <v>86.448538300280035</v>
      </c>
      <c r="D155" s="32" cm="1">
        <f t="array" ref="D155" xml:space="preserve"> BonoM(100,D$2,D$1 - $B155,Portafolio!D155)</f>
        <v>96.315103651559212</v>
      </c>
      <c r="E155" s="32" cm="1">
        <f t="array" ref="E155" xml:space="preserve"> BonoM(100,E$2,E$1 - $B155,Portafolio!E155)</f>
        <v>90.639879432828664</v>
      </c>
      <c r="F155" s="32" cm="1">
        <f t="array" ref="F155" xml:space="preserve"> BonoM(100,F$2,F$1 - $B155,Portafolio!F155)</f>
        <v>91.212804492504077</v>
      </c>
      <c r="G155" s="5">
        <f t="shared" si="33"/>
        <v>5.7373352785801135E-3</v>
      </c>
      <c r="H155" s="5">
        <f t="shared" si="34"/>
        <v>8.0182563590114331E-3</v>
      </c>
      <c r="I155" s="5">
        <f t="shared" si="35"/>
        <v>1.117201818637259E-2</v>
      </c>
      <c r="J155" s="5">
        <f t="shared" si="36"/>
        <v>1.4380568596837895E-2</v>
      </c>
      <c r="K155" s="10">
        <f t="shared" si="37"/>
        <v>90.06744066116471</v>
      </c>
      <c r="L155" s="10">
        <f t="shared" si="38"/>
        <v>98.997361577683122</v>
      </c>
      <c r="M155" s="10">
        <f t="shared" si="39"/>
        <v>93.853023040412921</v>
      </c>
      <c r="N155" s="10">
        <f t="shared" si="40"/>
        <v>94.723506348872263</v>
      </c>
      <c r="O155" s="11">
        <f t="shared" si="41"/>
        <v>-1695.5375781340138</v>
      </c>
      <c r="P155" s="11">
        <f t="shared" si="42"/>
        <v>-1181.2081065815078</v>
      </c>
      <c r="Q155" s="11">
        <f t="shared" si="43"/>
        <v>-2073.8858698526315</v>
      </c>
      <c r="R155" s="11">
        <f t="shared" si="44"/>
        <v>-1342.8666941710362</v>
      </c>
      <c r="S155" s="27">
        <f t="shared" si="45"/>
        <v>-6293.4982487391899</v>
      </c>
    </row>
    <row r="156" spans="1:19" x14ac:dyDescent="0.25">
      <c r="A156" s="6">
        <f t="shared" si="32"/>
        <v>151</v>
      </c>
      <c r="B156" s="24">
        <v>45196</v>
      </c>
      <c r="C156" s="32" cm="1">
        <f t="array" ref="C156" xml:space="preserve"> BonoM(100,C$2,C$1 - $B156,Portafolio!C156)</f>
        <v>85.955383446448835</v>
      </c>
      <c r="D156" s="32" cm="1">
        <f t="array" ref="D156" xml:space="preserve"> BonoM(100,D$2,D$1 - $B156,Portafolio!D156)</f>
        <v>95.548967535024516</v>
      </c>
      <c r="E156" s="32" cm="1">
        <f t="array" ref="E156" xml:space="preserve"> BonoM(100,E$2,E$1 - $B156,Portafolio!E156)</f>
        <v>89.638437182428561</v>
      </c>
      <c r="F156" s="32" cm="1">
        <f t="array" ref="F156" xml:space="preserve"> BonoM(100,F$2,F$1 - $B156,Portafolio!F156)</f>
        <v>89.919707963921283</v>
      </c>
      <c r="G156" s="5">
        <f t="shared" si="33"/>
        <v>-8.4857791998972365E-3</v>
      </c>
      <c r="H156" s="5">
        <f t="shared" si="34"/>
        <v>-1.3203040884696593E-2</v>
      </c>
      <c r="I156" s="5">
        <f t="shared" si="35"/>
        <v>-1.3521475933943705E-2</v>
      </c>
      <c r="J156" s="5">
        <f t="shared" si="36"/>
        <v>-1.6416504875543469E-2</v>
      </c>
      <c r="K156" s="10">
        <f t="shared" si="37"/>
        <v>88.79370896763821</v>
      </c>
      <c r="L156" s="10">
        <f t="shared" si="38"/>
        <v>96.913220320191229</v>
      </c>
      <c r="M156" s="10">
        <f t="shared" si="39"/>
        <v>91.561069712057275</v>
      </c>
      <c r="N156" s="10">
        <f t="shared" si="40"/>
        <v>91.847655928528454</v>
      </c>
      <c r="O156" s="11">
        <f t="shared" si="41"/>
        <v>2507.777010503436</v>
      </c>
      <c r="P156" s="11">
        <f t="shared" si="42"/>
        <v>1945.0037796563322</v>
      </c>
      <c r="Q156" s="11">
        <f t="shared" si="43"/>
        <v>2510.0207868586608</v>
      </c>
      <c r="R156" s="11">
        <f t="shared" si="44"/>
        <v>1532.9837261727732</v>
      </c>
      <c r="S156" s="27">
        <f t="shared" si="45"/>
        <v>8495.7853031912018</v>
      </c>
    </row>
    <row r="157" spans="1:19" x14ac:dyDescent="0.25">
      <c r="A157" s="6">
        <f t="shared" si="32"/>
        <v>152</v>
      </c>
      <c r="B157" s="24">
        <v>45195</v>
      </c>
      <c r="C157" s="32" cm="1">
        <f t="array" ref="C157" xml:space="preserve"> BonoM(100,C$2,C$1 - $B157,Portafolio!C157)</f>
        <v>86.691024337590548</v>
      </c>
      <c r="D157" s="32" cm="1">
        <f t="array" ref="D157" xml:space="preserve"> BonoM(100,D$2,D$1 - $B157,Portafolio!D157)</f>
        <v>96.827383437305457</v>
      </c>
      <c r="E157" s="32" cm="1">
        <f t="array" ref="E157" xml:space="preserve"> BonoM(100,E$2,E$1 - $B157,Portafolio!E157)</f>
        <v>90.867094412717506</v>
      </c>
      <c r="F157" s="32" cm="1">
        <f t="array" ref="F157" xml:space="preserve"> BonoM(100,F$2,F$1 - $B157,Portafolio!F157)</f>
        <v>91.420513265671872</v>
      </c>
      <c r="G157" s="5">
        <f t="shared" si="33"/>
        <v>9.1427557642798085E-4</v>
      </c>
      <c r="H157" s="5">
        <f t="shared" si="34"/>
        <v>4.4054959312709308E-3</v>
      </c>
      <c r="I157" s="5">
        <f t="shared" si="35"/>
        <v>5.948790139986837E-4</v>
      </c>
      <c r="J157" s="5">
        <f t="shared" si="36"/>
        <v>2.305773032292846E-3</v>
      </c>
      <c r="K157" s="10">
        <f t="shared" si="37"/>
        <v>89.63551810217119</v>
      </c>
      <c r="L157" s="10">
        <f t="shared" si="38"/>
        <v>98.64255277526081</v>
      </c>
      <c r="M157" s="10">
        <f t="shared" si="39"/>
        <v>92.871294443702979</v>
      </c>
      <c r="N157" s="10">
        <f t="shared" si="40"/>
        <v>93.595954215355292</v>
      </c>
      <c r="O157" s="11">
        <f t="shared" si="41"/>
        <v>-270.19313345539757</v>
      </c>
      <c r="P157" s="11">
        <f t="shared" si="42"/>
        <v>-648.99490294803991</v>
      </c>
      <c r="Q157" s="11">
        <f t="shared" si="43"/>
        <v>-110.4286764327469</v>
      </c>
      <c r="R157" s="11">
        <f t="shared" si="44"/>
        <v>-215.31456065406473</v>
      </c>
      <c r="S157" s="27">
        <f t="shared" si="45"/>
        <v>-1244.9312734902492</v>
      </c>
    </row>
    <row r="158" spans="1:19" x14ac:dyDescent="0.25">
      <c r="A158" s="6">
        <f t="shared" si="32"/>
        <v>153</v>
      </c>
      <c r="B158" s="24">
        <v>45194</v>
      </c>
      <c r="C158" s="32" cm="1">
        <f t="array" ref="C158" xml:space="preserve"> BonoM(100,C$2,C$1 - $B158,Portafolio!C158)</f>
        <v>86.611837250163177</v>
      </c>
      <c r="D158" s="32" cm="1">
        <f t="array" ref="D158" xml:space="preserve"> BonoM(100,D$2,D$1 - $B158,Portafolio!D158)</f>
        <v>96.402681814806726</v>
      </c>
      <c r="E158" s="32" cm="1">
        <f t="array" ref="E158" xml:space="preserve"> BonoM(100,E$2,E$1 - $B158,Portafolio!E158)</f>
        <v>90.813071622212689</v>
      </c>
      <c r="F158" s="32" cm="1">
        <f t="array" ref="F158" xml:space="preserve"> BonoM(100,F$2,F$1 - $B158,Portafolio!F158)</f>
        <v>91.210203238773957</v>
      </c>
      <c r="G158" s="5">
        <f t="shared" si="33"/>
        <v>8.6942622776180478E-3</v>
      </c>
      <c r="H158" s="5">
        <f t="shared" si="34"/>
        <v>1.1476163293798747E-2</v>
      </c>
      <c r="I158" s="5">
        <f t="shared" si="35"/>
        <v>1.5980224668535881E-2</v>
      </c>
      <c r="J158" s="5">
        <f t="shared" si="36"/>
        <v>2.2733758345190536E-2</v>
      </c>
      <c r="K158" s="10">
        <f t="shared" si="37"/>
        <v>90.332244241267929</v>
      </c>
      <c r="L158" s="10">
        <f t="shared" si="38"/>
        <v>99.336962235672786</v>
      </c>
      <c r="M158" s="10">
        <f t="shared" si="39"/>
        <v>94.299301918425101</v>
      </c>
      <c r="N158" s="10">
        <f t="shared" si="40"/>
        <v>95.503532550730526</v>
      </c>
      <c r="O158" s="11">
        <f t="shared" si="41"/>
        <v>-2569.3893924746376</v>
      </c>
      <c r="P158" s="11">
        <f t="shared" si="42"/>
        <v>-1690.6090935660031</v>
      </c>
      <c r="Q158" s="11">
        <f t="shared" si="43"/>
        <v>-2966.4436258769911</v>
      </c>
      <c r="R158" s="11">
        <f t="shared" si="44"/>
        <v>-2122.8928960292988</v>
      </c>
      <c r="S158" s="27">
        <f t="shared" si="45"/>
        <v>-9349.335007946931</v>
      </c>
    </row>
    <row r="159" spans="1:19" x14ac:dyDescent="0.25">
      <c r="A159" s="6">
        <f t="shared" si="32"/>
        <v>154</v>
      </c>
      <c r="B159" s="24">
        <v>45192</v>
      </c>
      <c r="C159" s="32" cm="1">
        <f t="array" ref="C159" xml:space="preserve"> BonoM(100,C$2,C$1 - $B159,Portafolio!C159)</f>
        <v>85.865301795803632</v>
      </c>
      <c r="D159" s="32" cm="1">
        <f t="array" ref="D159" xml:space="preserve"> BonoM(100,D$2,D$1 - $B159,Portafolio!D159)</f>
        <v>95.30890130013384</v>
      </c>
      <c r="E159" s="32" cm="1">
        <f t="array" ref="E159" xml:space="preserve"> BonoM(100,E$2,E$1 - $B159,Portafolio!E159)</f>
        <v>89.384684285405754</v>
      </c>
      <c r="F159" s="32" cm="1">
        <f t="array" ref="F159" xml:space="preserve"> BonoM(100,F$2,F$1 - $B159,Portafolio!F159)</f>
        <v>89.182744281712573</v>
      </c>
      <c r="G159" s="5">
        <f t="shared" si="33"/>
        <v>-1.1406649858702322E-2</v>
      </c>
      <c r="H159" s="5">
        <f t="shared" si="34"/>
        <v>-1.5651891148745323E-2</v>
      </c>
      <c r="I159" s="5">
        <f t="shared" si="35"/>
        <v>-2.0825743397682062E-2</v>
      </c>
      <c r="J159" s="5">
        <f t="shared" si="36"/>
        <v>-3.1368711283934592E-2</v>
      </c>
      <c r="K159" s="10">
        <f t="shared" si="37"/>
        <v>88.532134364098212</v>
      </c>
      <c r="L159" s="10">
        <f t="shared" si="38"/>
        <v>96.672719006340728</v>
      </c>
      <c r="M159" s="10">
        <f t="shared" si="39"/>
        <v>90.883116238031036</v>
      </c>
      <c r="N159" s="10">
        <f t="shared" si="40"/>
        <v>90.451409329863765</v>
      </c>
      <c r="O159" s="11">
        <f t="shared" si="41"/>
        <v>3370.9732021854293</v>
      </c>
      <c r="P159" s="11">
        <f t="shared" si="42"/>
        <v>2305.7557504320839</v>
      </c>
      <c r="Q159" s="11">
        <f t="shared" si="43"/>
        <v>3865.9277349111389</v>
      </c>
      <c r="R159" s="11">
        <f t="shared" si="44"/>
        <v>2929.2303248374624</v>
      </c>
      <c r="S159" s="27">
        <f t="shared" si="45"/>
        <v>12471.887012366115</v>
      </c>
    </row>
    <row r="160" spans="1:19" x14ac:dyDescent="0.25">
      <c r="A160" s="6">
        <f t="shared" si="32"/>
        <v>155</v>
      </c>
      <c r="B160" s="24">
        <v>45191</v>
      </c>
      <c r="C160" s="32" cm="1">
        <f t="array" ref="C160" xml:space="preserve"> BonoM(100,C$2,C$1 - $B160,Portafolio!C160)</f>
        <v>86.856038211799699</v>
      </c>
      <c r="D160" s="32" cm="1">
        <f t="array" ref="D160" xml:space="preserve"> BonoM(100,D$2,D$1 - $B160,Portafolio!D160)</f>
        <v>96.82438605115054</v>
      </c>
      <c r="E160" s="32" cm="1">
        <f t="array" ref="E160" xml:space="preserve"> BonoM(100,E$2,E$1 - $B160,Portafolio!E160)</f>
        <v>91.285778483970574</v>
      </c>
      <c r="F160" s="32" cm="1">
        <f t="array" ref="F160" xml:space="preserve"> BonoM(100,F$2,F$1 - $B160,Portafolio!F160)</f>
        <v>92.070889429893981</v>
      </c>
      <c r="G160" s="5">
        <f t="shared" si="33"/>
        <v>-9.4292556288855245E-4</v>
      </c>
      <c r="H160" s="5">
        <f t="shared" si="34"/>
        <v>-1.6573493958726981E-4</v>
      </c>
      <c r="I160" s="5">
        <f t="shared" si="35"/>
        <v>-2.8039159439807726E-4</v>
      </c>
      <c r="J160" s="5">
        <f t="shared" si="36"/>
        <v>1.0538213519777351E-3</v>
      </c>
      <c r="K160" s="10">
        <f t="shared" si="37"/>
        <v>89.46919897734233</v>
      </c>
      <c r="L160" s="10">
        <f t="shared" si="38"/>
        <v>98.193612696524525</v>
      </c>
      <c r="M160" s="10">
        <f t="shared" si="39"/>
        <v>92.790055256800045</v>
      </c>
      <c r="N160" s="10">
        <f t="shared" si="40"/>
        <v>93.479046166630695</v>
      </c>
      <c r="O160" s="11">
        <f t="shared" si="41"/>
        <v>278.65997847983976</v>
      </c>
      <c r="P160" s="11">
        <f t="shared" si="42"/>
        <v>24.415215156388115</v>
      </c>
      <c r="Q160" s="11">
        <f t="shared" si="43"/>
        <v>52.049697373121262</v>
      </c>
      <c r="R160" s="11">
        <f t="shared" si="44"/>
        <v>-98.406511929468365</v>
      </c>
      <c r="S160" s="27">
        <f t="shared" si="45"/>
        <v>256.71837907988078</v>
      </c>
    </row>
    <row r="161" spans="1:19" x14ac:dyDescent="0.25">
      <c r="A161" s="6">
        <f t="shared" si="32"/>
        <v>156</v>
      </c>
      <c r="B161" s="24">
        <v>45190</v>
      </c>
      <c r="C161" s="32" cm="1">
        <f t="array" ref="C161" xml:space="preserve"> BonoM(100,C$2,C$1 - $B161,Portafolio!C161)</f>
        <v>86.938014287858493</v>
      </c>
      <c r="D161" s="32" cm="1">
        <f t="array" ref="D161" xml:space="preserve"> BonoM(100,D$2,D$1 - $B161,Portafolio!D161)</f>
        <v>96.840435894943198</v>
      </c>
      <c r="E161" s="32" cm="1">
        <f t="array" ref="E161" xml:space="preserve"> BonoM(100,E$2,E$1 - $B161,Portafolio!E161)</f>
        <v>91.311381427795808</v>
      </c>
      <c r="F161" s="32" cm="1">
        <f t="array" ref="F161" xml:space="preserve"> BonoM(100,F$2,F$1 - $B161,Portafolio!F161)</f>
        <v>91.973965301433267</v>
      </c>
      <c r="G161" s="5">
        <f t="shared" si="33"/>
        <v>-1.858777149611357E-3</v>
      </c>
      <c r="H161" s="5">
        <f t="shared" si="34"/>
        <v>-5.2530791001670352E-3</v>
      </c>
      <c r="I161" s="5">
        <f t="shared" si="35"/>
        <v>-5.2434593577022071E-3</v>
      </c>
      <c r="J161" s="5">
        <f t="shared" si="36"/>
        <v>-2.8796884146775614E-3</v>
      </c>
      <c r="K161" s="10">
        <f t="shared" si="37"/>
        <v>89.387181132773861</v>
      </c>
      <c r="L161" s="10">
        <f t="shared" si="38"/>
        <v>97.6939851886318</v>
      </c>
      <c r="M161" s="10">
        <f t="shared" si="39"/>
        <v>92.329402761712259</v>
      </c>
      <c r="N161" s="10">
        <f t="shared" si="40"/>
        <v>93.111732508532398</v>
      </c>
      <c r="O161" s="11">
        <f t="shared" si="41"/>
        <v>549.31886555578728</v>
      </c>
      <c r="P161" s="11">
        <f t="shared" si="42"/>
        <v>773.85647699547633</v>
      </c>
      <c r="Q161" s="11">
        <f t="shared" si="43"/>
        <v>973.35468754869225</v>
      </c>
      <c r="R161" s="11">
        <f t="shared" si="44"/>
        <v>268.9071461688286</v>
      </c>
      <c r="S161" s="27">
        <f t="shared" si="45"/>
        <v>2565.4371762687847</v>
      </c>
    </row>
    <row r="162" spans="1:19" x14ac:dyDescent="0.25">
      <c r="A162" s="6">
        <f t="shared" si="32"/>
        <v>157</v>
      </c>
      <c r="B162" s="24">
        <v>45189</v>
      </c>
      <c r="C162" s="32" cm="1">
        <f t="array" ref="C162" xml:space="preserve"> BonoM(100,C$2,C$1 - $B162,Portafolio!C162)</f>
        <v>87.099913617022935</v>
      </c>
      <c r="D162" s="32" cm="1">
        <f t="array" ref="D162" xml:space="preserve"> BonoM(100,D$2,D$1 - $B162,Portafolio!D162)</f>
        <v>97.35183277304624</v>
      </c>
      <c r="E162" s="32" cm="1">
        <f t="array" ref="E162" xml:space="preserve"> BonoM(100,E$2,E$1 - $B162,Portafolio!E162)</f>
        <v>91.792692681203746</v>
      </c>
      <c r="F162" s="32" cm="1">
        <f t="array" ref="F162" xml:space="preserve"> BonoM(100,F$2,F$1 - $B162,Portafolio!F162)</f>
        <v>92.239586570254275</v>
      </c>
      <c r="G162" s="5">
        <f t="shared" si="33"/>
        <v>5.770234801187879E-4</v>
      </c>
      <c r="H162" s="5">
        <f t="shared" si="34"/>
        <v>3.2093558018617685E-3</v>
      </c>
      <c r="I162" s="5">
        <f t="shared" si="35"/>
        <v>2.5098401753003152E-3</v>
      </c>
      <c r="J162" s="5">
        <f t="shared" si="36"/>
        <v>-1.1217004922782214E-2</v>
      </c>
      <c r="K162" s="10">
        <f t="shared" si="37"/>
        <v>89.605315948878584</v>
      </c>
      <c r="L162" s="10">
        <f t="shared" si="38"/>
        <v>98.525079985317092</v>
      </c>
      <c r="M162" s="10">
        <f t="shared" si="39"/>
        <v>93.049033632249248</v>
      </c>
      <c r="N162" s="10">
        <f t="shared" si="40"/>
        <v>92.333188560001886</v>
      </c>
      <c r="O162" s="11">
        <f t="shared" si="41"/>
        <v>-170.52602758979702</v>
      </c>
      <c r="P162" s="11">
        <f t="shared" si="42"/>
        <v>-472.78571803246194</v>
      </c>
      <c r="Q162" s="11">
        <f t="shared" si="43"/>
        <v>-465.90705352528516</v>
      </c>
      <c r="R162" s="11">
        <f t="shared" si="44"/>
        <v>1047.4510946993405</v>
      </c>
      <c r="S162" s="27">
        <f t="shared" si="45"/>
        <v>-61.767704448203631</v>
      </c>
    </row>
    <row r="163" spans="1:19" x14ac:dyDescent="0.25">
      <c r="A163" s="6">
        <f t="shared" si="32"/>
        <v>158</v>
      </c>
      <c r="B163" s="24">
        <v>45188</v>
      </c>
      <c r="C163" s="32" cm="1">
        <f t="array" ref="C163" xml:space="preserve"> BonoM(100,C$2,C$1 - $B163,Portafolio!C163)</f>
        <v>87.049683905472563</v>
      </c>
      <c r="D163" s="32" cm="1">
        <f t="array" ref="D163" xml:space="preserve"> BonoM(100,D$2,D$1 - $B163,Portafolio!D163)</f>
        <v>97.040395616359916</v>
      </c>
      <c r="E163" s="32" cm="1">
        <f t="array" ref="E163" xml:space="preserve"> BonoM(100,E$2,E$1 - $B163,Portafolio!E163)</f>
        <v>91.562884475181562</v>
      </c>
      <c r="F163" s="32" cm="1">
        <f t="array" ref="F163" xml:space="preserve"> BonoM(100,F$2,F$1 - $B163,Portafolio!F163)</f>
        <v>93.285975820256638</v>
      </c>
      <c r="G163" s="5">
        <f t="shared" si="33"/>
        <v>-3.0843439270411555E-3</v>
      </c>
      <c r="H163" s="5">
        <f t="shared" si="34"/>
        <v>-4.0577305320381729E-3</v>
      </c>
      <c r="I163" s="5">
        <f t="shared" si="35"/>
        <v>-5.2013176979794906E-3</v>
      </c>
      <c r="J163" s="5">
        <f t="shared" si="36"/>
        <v>-5.5657831798505697E-5</v>
      </c>
      <c r="K163" s="10">
        <f t="shared" si="37"/>
        <v>89.277427165082202</v>
      </c>
      <c r="L163" s="10">
        <f t="shared" si="38"/>
        <v>97.811380239429639</v>
      </c>
      <c r="M163" s="10">
        <f t="shared" si="39"/>
        <v>92.33331418537685</v>
      </c>
      <c r="N163" s="10">
        <f t="shared" si="40"/>
        <v>93.375442290766088</v>
      </c>
      <c r="O163" s="11">
        <f t="shared" si="41"/>
        <v>911.50695893826423</v>
      </c>
      <c r="P163" s="11">
        <f t="shared" si="42"/>
        <v>597.76390079871794</v>
      </c>
      <c r="Q163" s="11">
        <f t="shared" si="43"/>
        <v>965.53184021951211</v>
      </c>
      <c r="R163" s="11">
        <f t="shared" si="44"/>
        <v>5.1973639351388101</v>
      </c>
      <c r="S163" s="27">
        <f t="shared" si="45"/>
        <v>2480.0000638916335</v>
      </c>
    </row>
    <row r="164" spans="1:19" x14ac:dyDescent="0.25">
      <c r="A164" s="6">
        <f t="shared" si="32"/>
        <v>159</v>
      </c>
      <c r="B164" s="24">
        <v>45187</v>
      </c>
      <c r="C164" s="32" cm="1">
        <f t="array" ref="C164" xml:space="preserve"> BonoM(100,C$2,C$1 - $B164,Portafolio!C164)</f>
        <v>87.319005750574618</v>
      </c>
      <c r="D164" s="32" cm="1">
        <f t="array" ref="D164" xml:space="preserve"> BonoM(100,D$2,D$1 - $B164,Portafolio!D164)</f>
        <v>97.435763689595646</v>
      </c>
      <c r="E164" s="32" cm="1">
        <f t="array" ref="E164" xml:space="preserve"> BonoM(100,E$2,E$1 - $B164,Portafolio!E164)</f>
        <v>92.041622193648124</v>
      </c>
      <c r="F164" s="32" cm="1">
        <f t="array" ref="F164" xml:space="preserve"> BonoM(100,F$2,F$1 - $B164,Portafolio!F164)</f>
        <v>93.29116820440484</v>
      </c>
      <c r="G164" s="5">
        <f t="shared" si="33"/>
        <v>1.0595469795121382E-2</v>
      </c>
      <c r="H164" s="5">
        <f t="shared" si="34"/>
        <v>1.3429275731848822E-2</v>
      </c>
      <c r="I164" s="5">
        <f t="shared" si="35"/>
        <v>1.7868769382402672E-2</v>
      </c>
      <c r="J164" s="5">
        <f t="shared" si="36"/>
        <v>2.940685742965754E-2</v>
      </c>
      <c r="K164" s="10">
        <f t="shared" si="37"/>
        <v>90.502504297508025</v>
      </c>
      <c r="L164" s="10">
        <f t="shared" si="38"/>
        <v>99.528777192407702</v>
      </c>
      <c r="M164" s="10">
        <f t="shared" si="39"/>
        <v>94.474589235870155</v>
      </c>
      <c r="N164" s="10">
        <f t="shared" si="40"/>
        <v>96.126670811717247</v>
      </c>
      <c r="O164" s="11">
        <f t="shared" si="41"/>
        <v>-3131.2475780669542</v>
      </c>
      <c r="P164" s="11">
        <f t="shared" si="42"/>
        <v>-1978.3315286683774</v>
      </c>
      <c r="Q164" s="11">
        <f t="shared" si="43"/>
        <v>-3317.0182607670995</v>
      </c>
      <c r="R164" s="11">
        <f t="shared" si="44"/>
        <v>-2746.0311570160202</v>
      </c>
      <c r="S164" s="27">
        <f t="shared" si="45"/>
        <v>-11172.628524518452</v>
      </c>
    </row>
    <row r="165" spans="1:19" x14ac:dyDescent="0.25">
      <c r="A165" s="6">
        <f t="shared" si="32"/>
        <v>160</v>
      </c>
      <c r="B165" s="24">
        <v>45185</v>
      </c>
      <c r="C165" s="32" cm="1">
        <f t="array" ref="C165" xml:space="preserve"> BonoM(100,C$2,C$1 - $B165,Portafolio!C165)</f>
        <v>86.403519865646004</v>
      </c>
      <c r="D165" s="32" cm="1">
        <f t="array" ref="D165" xml:space="preserve"> BonoM(100,D$2,D$1 - $B165,Portafolio!D165)</f>
        <v>96.144611195716962</v>
      </c>
      <c r="E165" s="32" cm="1">
        <f t="array" ref="E165" xml:space="preserve"> BonoM(100,E$2,E$1 - $B165,Portafolio!E165)</f>
        <v>90.425823998406855</v>
      </c>
      <c r="F165" s="32" cm="1">
        <f t="array" ref="F165" xml:space="preserve"> BonoM(100,F$2,F$1 - $B165,Portafolio!F165)</f>
        <v>90.626138276701454</v>
      </c>
      <c r="G165" s="5">
        <f t="shared" si="33"/>
        <v>-1.0595566037039372E-2</v>
      </c>
      <c r="H165" s="5">
        <f t="shared" si="34"/>
        <v>-1.7739474254375276E-2</v>
      </c>
      <c r="I165" s="5">
        <f t="shared" si="35"/>
        <v>-1.7325064793043299E-2</v>
      </c>
      <c r="J165" s="5">
        <f t="shared" si="36"/>
        <v>-2.4712719173532238E-2</v>
      </c>
      <c r="K165" s="10">
        <f t="shared" si="37"/>
        <v>88.604769873804756</v>
      </c>
      <c r="L165" s="10">
        <f t="shared" si="38"/>
        <v>96.467697700200901</v>
      </c>
      <c r="M165" s="10">
        <f t="shared" si="39"/>
        <v>91.208035503822757</v>
      </c>
      <c r="N165" s="10">
        <f t="shared" si="40"/>
        <v>91.072950130669781</v>
      </c>
      <c r="O165" s="11">
        <f t="shared" si="41"/>
        <v>3131.2760201538354</v>
      </c>
      <c r="P165" s="11">
        <f t="shared" si="42"/>
        <v>2613.2877096418242</v>
      </c>
      <c r="Q165" s="11">
        <f t="shared" si="43"/>
        <v>3216.0892033276978</v>
      </c>
      <c r="R165" s="11">
        <f t="shared" si="44"/>
        <v>2307.6895240314457</v>
      </c>
      <c r="S165" s="27">
        <f t="shared" si="45"/>
        <v>11268.342457154804</v>
      </c>
    </row>
    <row r="166" spans="1:19" x14ac:dyDescent="0.25">
      <c r="A166" s="6">
        <f t="shared" si="32"/>
        <v>161</v>
      </c>
      <c r="B166" s="24">
        <v>45184</v>
      </c>
      <c r="C166" s="32" cm="1">
        <f t="array" ref="C166" xml:space="preserve"> BonoM(100,C$2,C$1 - $B166,Portafolio!C166)</f>
        <v>87.328818125026316</v>
      </c>
      <c r="D166" s="32" cm="1">
        <f t="array" ref="D166" xml:space="preserve"> BonoM(100,D$2,D$1 - $B166,Portafolio!D166)</f>
        <v>97.880968109488563</v>
      </c>
      <c r="E166" s="32" cm="1">
        <f t="array" ref="E166" xml:space="preserve"> BonoM(100,E$2,E$1 - $B166,Portafolio!E166)</f>
        <v>92.020077808703533</v>
      </c>
      <c r="F166" s="32" cm="1">
        <f t="array" ref="F166" xml:space="preserve"> BonoM(100,F$2,F$1 - $B166,Portafolio!F166)</f>
        <v>92.922506074214354</v>
      </c>
      <c r="G166" s="5">
        <f t="shared" si="33"/>
        <v>-3.8553269165353399E-5</v>
      </c>
      <c r="H166" s="5">
        <f t="shared" si="34"/>
        <v>9.1089770311936213E-4</v>
      </c>
      <c r="I166" s="5">
        <f t="shared" si="35"/>
        <v>-2.8865254891996539E-4</v>
      </c>
      <c r="J166" s="5">
        <f t="shared" si="36"/>
        <v>-2.9088620756839711E-3</v>
      </c>
      <c r="K166" s="10">
        <f t="shared" si="37"/>
        <v>89.550188809422053</v>
      </c>
      <c r="L166" s="10">
        <f t="shared" si="38"/>
        <v>98.299348669403983</v>
      </c>
      <c r="M166" s="10">
        <f t="shared" si="39"/>
        <v>92.789288507383404</v>
      </c>
      <c r="N166" s="10">
        <f t="shared" si="40"/>
        <v>93.109008253406557</v>
      </c>
      <c r="O166" s="11">
        <f t="shared" si="41"/>
        <v>11.393532616753532</v>
      </c>
      <c r="P166" s="11">
        <f t="shared" si="42"/>
        <v>-134.18874416279891</v>
      </c>
      <c r="Q166" s="11">
        <f t="shared" si="43"/>
        <v>53.583196206403727</v>
      </c>
      <c r="R166" s="11">
        <f t="shared" si="44"/>
        <v>271.63140129466967</v>
      </c>
      <c r="S166" s="27">
        <f t="shared" si="45"/>
        <v>202.41938595502802</v>
      </c>
    </row>
    <row r="167" spans="1:19" x14ac:dyDescent="0.25">
      <c r="A167" s="6">
        <f t="shared" si="32"/>
        <v>162</v>
      </c>
      <c r="B167" s="24">
        <v>45183</v>
      </c>
      <c r="C167" s="32" cm="1">
        <f t="array" ref="C167" xml:space="preserve"> BonoM(100,C$2,C$1 - $B167,Portafolio!C167)</f>
        <v>87.332185066263975</v>
      </c>
      <c r="D167" s="32" cm="1">
        <f t="array" ref="D167" xml:space="preserve"> BonoM(100,D$2,D$1 - $B167,Portafolio!D167)</f>
        <v>97.791889701775517</v>
      </c>
      <c r="E167" s="32" cm="1">
        <f t="array" ref="E167" xml:space="preserve"> BonoM(100,E$2,E$1 - $B167,Portafolio!E167)</f>
        <v>92.046647308068543</v>
      </c>
      <c r="F167" s="32" cm="1">
        <f t="array" ref="F167" xml:space="preserve"> BonoM(100,F$2,F$1 - $B167,Portafolio!F167)</f>
        <v>93.193593383704922</v>
      </c>
      <c r="G167" s="5">
        <f t="shared" si="33"/>
        <v>-3.9102393929124624E-5</v>
      </c>
      <c r="H167" s="5">
        <f t="shared" si="34"/>
        <v>3.2214918277406746E-3</v>
      </c>
      <c r="I167" s="5">
        <f t="shared" si="35"/>
        <v>-2.892735317848727E-4</v>
      </c>
      <c r="J167" s="5">
        <f t="shared" si="36"/>
        <v>3.4443701694388817E-3</v>
      </c>
      <c r="K167" s="10">
        <f t="shared" si="37"/>
        <v>89.550139633299878</v>
      </c>
      <c r="L167" s="10">
        <f t="shared" si="38"/>
        <v>98.52627186307771</v>
      </c>
      <c r="M167" s="10">
        <f t="shared" si="39"/>
        <v>92.789230870188064</v>
      </c>
      <c r="N167" s="10">
        <f t="shared" si="40"/>
        <v>93.702277144331006</v>
      </c>
      <c r="O167" s="11">
        <f t="shared" si="41"/>
        <v>11.555813819931871</v>
      </c>
      <c r="P167" s="11">
        <f t="shared" si="42"/>
        <v>-474.57353467338947</v>
      </c>
      <c r="Q167" s="11">
        <f t="shared" si="43"/>
        <v>53.698470597083769</v>
      </c>
      <c r="R167" s="11">
        <f t="shared" si="44"/>
        <v>-321.63748962977934</v>
      </c>
      <c r="S167" s="27">
        <f t="shared" si="45"/>
        <v>-730.95673988615317</v>
      </c>
    </row>
    <row r="168" spans="1:19" x14ac:dyDescent="0.25">
      <c r="A168" s="6">
        <f t="shared" si="32"/>
        <v>163</v>
      </c>
      <c r="B168" s="24">
        <v>45182</v>
      </c>
      <c r="C168" s="32" cm="1">
        <f t="array" ref="C168" xml:space="preserve"> BonoM(100,C$2,C$1 - $B168,Portafolio!C168)</f>
        <v>87.335600097303015</v>
      </c>
      <c r="D168" s="32" cm="1">
        <f t="array" ref="D168" xml:space="preserve"> BonoM(100,D$2,D$1 - $B168,Portafolio!D168)</f>
        <v>97.477865554506081</v>
      </c>
      <c r="E168" s="32" cm="1">
        <f t="array" ref="E168" xml:space="preserve"> BonoM(100,E$2,E$1 - $B168,Portafolio!E168)</f>
        <v>92.073281671440668</v>
      </c>
      <c r="F168" s="32" cm="1">
        <f t="array" ref="F168" xml:space="preserve"> BonoM(100,F$2,F$1 - $B168,Portafolio!F168)</f>
        <v>92.873701975096552</v>
      </c>
      <c r="G168" s="5">
        <f t="shared" si="33"/>
        <v>4.5790468471083035E-3</v>
      </c>
      <c r="H168" s="5">
        <f t="shared" si="34"/>
        <v>5.4922593872350767E-3</v>
      </c>
      <c r="I168" s="5">
        <f t="shared" si="35"/>
        <v>7.9856088762211286E-3</v>
      </c>
      <c r="J168" s="5">
        <f t="shared" si="36"/>
        <v>5.8287523970188548E-3</v>
      </c>
      <c r="K168" s="10">
        <f t="shared" si="37"/>
        <v>89.963711714340633</v>
      </c>
      <c r="L168" s="10">
        <f t="shared" si="38"/>
        <v>98.749283694190879</v>
      </c>
      <c r="M168" s="10">
        <f t="shared" si="39"/>
        <v>93.557273018633026</v>
      </c>
      <c r="N168" s="10">
        <f t="shared" si="40"/>
        <v>93.924932281923716</v>
      </c>
      <c r="O168" s="11">
        <f t="shared" si="41"/>
        <v>-1353.2320536145589</v>
      </c>
      <c r="P168" s="11">
        <f t="shared" si="42"/>
        <v>-809.09128134314301</v>
      </c>
      <c r="Q168" s="11">
        <f t="shared" si="43"/>
        <v>-1482.3858262928411</v>
      </c>
      <c r="R168" s="11">
        <f t="shared" si="44"/>
        <v>-544.2926272224895</v>
      </c>
      <c r="S168" s="27">
        <f t="shared" si="45"/>
        <v>-4189.0017884730332</v>
      </c>
    </row>
    <row r="169" spans="1:19" x14ac:dyDescent="0.25">
      <c r="A169" s="6">
        <f t="shared" si="32"/>
        <v>164</v>
      </c>
      <c r="B169" s="24">
        <v>45181</v>
      </c>
      <c r="C169" s="32" cm="1">
        <f t="array" ref="C169" xml:space="preserve"> BonoM(100,C$2,C$1 - $B169,Portafolio!C169)</f>
        <v>86.937509170042475</v>
      </c>
      <c r="D169" s="32" cm="1">
        <f t="array" ref="D169" xml:space="preserve"> BonoM(100,D$2,D$1 - $B169,Portafolio!D169)</f>
        <v>96.945416182428716</v>
      </c>
      <c r="E169" s="32" cm="1">
        <f t="array" ref="E169" xml:space="preserve"> BonoM(100,E$2,E$1 - $B169,Portafolio!E169)</f>
        <v>91.343845448439438</v>
      </c>
      <c r="F169" s="32" cm="1">
        <f t="array" ref="F169" xml:space="preserve"> BonoM(100,F$2,F$1 - $B169,Portafolio!F169)</f>
        <v>92.33550120114046</v>
      </c>
      <c r="G169" s="5">
        <f t="shared" si="33"/>
        <v>2.7331376748989111E-3</v>
      </c>
      <c r="H169" s="5">
        <f t="shared" si="34"/>
        <v>3.3105104585842149E-3</v>
      </c>
      <c r="I169" s="5">
        <f t="shared" si="35"/>
        <v>3.013227464566226E-3</v>
      </c>
      <c r="J169" s="5">
        <f t="shared" si="36"/>
        <v>3.4354781197760698E-3</v>
      </c>
      <c r="K169" s="10">
        <f t="shared" si="37"/>
        <v>89.798403826284726</v>
      </c>
      <c r="L169" s="10">
        <f t="shared" si="38"/>
        <v>98.535014372976875</v>
      </c>
      <c r="M169" s="10">
        <f t="shared" si="39"/>
        <v>93.095756067213841</v>
      </c>
      <c r="N169" s="10">
        <f t="shared" si="40"/>
        <v>93.701446799045641</v>
      </c>
      <c r="O169" s="11">
        <f t="shared" si="41"/>
        <v>-807.71602303006773</v>
      </c>
      <c r="P169" s="11">
        <f t="shared" si="42"/>
        <v>-487.68729952213619</v>
      </c>
      <c r="Q169" s="11">
        <f t="shared" si="43"/>
        <v>-559.35192345447149</v>
      </c>
      <c r="R169" s="11">
        <f t="shared" si="44"/>
        <v>-320.80714434441404</v>
      </c>
      <c r="S169" s="27">
        <f t="shared" si="45"/>
        <v>-2175.5623903510896</v>
      </c>
    </row>
    <row r="170" spans="1:19" x14ac:dyDescent="0.25">
      <c r="A170" s="6">
        <f t="shared" si="32"/>
        <v>165</v>
      </c>
      <c r="B170" s="24">
        <v>45180</v>
      </c>
      <c r="C170" s="32" cm="1">
        <f t="array" ref="C170" xml:space="preserve"> BonoM(100,C$2,C$1 - $B170,Portafolio!C170)</f>
        <v>86.70054464503886</v>
      </c>
      <c r="D170" s="32" cm="1">
        <f t="array" ref="D170" xml:space="preserve"> BonoM(100,D$2,D$1 - $B170,Portafolio!D170)</f>
        <v>96.625536333829274</v>
      </c>
      <c r="E170" s="32" cm="1">
        <f t="array" ref="E170" xml:space="preserve"> BonoM(100,E$2,E$1 - $B170,Portafolio!E170)</f>
        <v>91.069432533148088</v>
      </c>
      <c r="F170" s="32" cm="1">
        <f t="array" ref="F170" xml:space="preserve"> BonoM(100,F$2,F$1 - $B170,Portafolio!F170)</f>
        <v>92.019370666619722</v>
      </c>
      <c r="G170" s="5">
        <f t="shared" si="33"/>
        <v>7.1526595637241286E-3</v>
      </c>
      <c r="H170" s="5">
        <f t="shared" si="34"/>
        <v>8.2969768574718827E-3</v>
      </c>
      <c r="I170" s="5">
        <f t="shared" si="35"/>
        <v>1.0345787252730609E-2</v>
      </c>
      <c r="J170" s="5">
        <f t="shared" si="36"/>
        <v>1.4829978092714358E-2</v>
      </c>
      <c r="K170" s="10">
        <f t="shared" si="37"/>
        <v>90.194188104654216</v>
      </c>
      <c r="L170" s="10">
        <f t="shared" si="38"/>
        <v>99.024734687040151</v>
      </c>
      <c r="M170" s="10">
        <f t="shared" si="39"/>
        <v>93.776335523890367</v>
      </c>
      <c r="N170" s="10">
        <f t="shared" si="40"/>
        <v>94.765472495064103</v>
      </c>
      <c r="O170" s="11">
        <f t="shared" si="41"/>
        <v>-2113.8041416493847</v>
      </c>
      <c r="P170" s="11">
        <f t="shared" si="42"/>
        <v>-1222.2677706170516</v>
      </c>
      <c r="Q170" s="11">
        <f t="shared" si="43"/>
        <v>-1920.510836807523</v>
      </c>
      <c r="R170" s="11">
        <f t="shared" si="44"/>
        <v>-1384.8328403628757</v>
      </c>
      <c r="S170" s="27">
        <f t="shared" si="45"/>
        <v>-6641.415589436835</v>
      </c>
    </row>
    <row r="171" spans="1:19" x14ac:dyDescent="0.25">
      <c r="A171" s="6">
        <f t="shared" si="32"/>
        <v>166</v>
      </c>
      <c r="B171" s="24">
        <v>45178</v>
      </c>
      <c r="C171" s="32" cm="1">
        <f t="array" ref="C171" xml:space="preserve"> BonoM(100,C$2,C$1 - $B171,Portafolio!C171)</f>
        <v>86.084809310433215</v>
      </c>
      <c r="D171" s="32" cm="1">
        <f t="array" ref="D171" xml:space="preserve"> BonoM(100,D$2,D$1 - $B171,Portafolio!D171)</f>
        <v>95.830433445292186</v>
      </c>
      <c r="E171" s="32" cm="1">
        <f t="array" ref="E171" xml:space="preserve"> BonoM(100,E$2,E$1 - $B171,Portafolio!E171)</f>
        <v>90.136895389823337</v>
      </c>
      <c r="F171" s="32" cm="1">
        <f t="array" ref="F171" xml:space="preserve"> BonoM(100,F$2,F$1 - $B171,Portafolio!F171)</f>
        <v>90.674667336455926</v>
      </c>
      <c r="G171" s="5">
        <f t="shared" si="33"/>
        <v>-1.3731759822680378E-2</v>
      </c>
      <c r="H171" s="5">
        <f t="shared" si="34"/>
        <v>-1.7679397991295032E-2</v>
      </c>
      <c r="I171" s="5">
        <f t="shared" si="35"/>
        <v>-2.2616948603237375E-2</v>
      </c>
      <c r="J171" s="5">
        <f t="shared" si="36"/>
        <v>-3.3089051384339041E-2</v>
      </c>
      <c r="K171" s="10">
        <f t="shared" si="37"/>
        <v>88.323912300180041</v>
      </c>
      <c r="L171" s="10">
        <f t="shared" si="38"/>
        <v>96.473597783359978</v>
      </c>
      <c r="M171" s="10">
        <f t="shared" si="39"/>
        <v>90.716863592186854</v>
      </c>
      <c r="N171" s="10">
        <f t="shared" si="40"/>
        <v>90.29076287086437</v>
      </c>
      <c r="O171" s="11">
        <f t="shared" si="41"/>
        <v>4058.1060131153945</v>
      </c>
      <c r="P171" s="11">
        <f t="shared" si="42"/>
        <v>2604.4375849032094</v>
      </c>
      <c r="Q171" s="11">
        <f t="shared" si="43"/>
        <v>4198.4330265995031</v>
      </c>
      <c r="R171" s="11">
        <f t="shared" si="44"/>
        <v>3089.8767838368572</v>
      </c>
      <c r="S171" s="27">
        <f t="shared" si="45"/>
        <v>13950.853408454963</v>
      </c>
    </row>
    <row r="172" spans="1:19" x14ac:dyDescent="0.25">
      <c r="A172" s="6">
        <f t="shared" si="32"/>
        <v>167</v>
      </c>
      <c r="B172" s="24">
        <v>45177</v>
      </c>
      <c r="C172" s="32" cm="1">
        <f t="array" ref="C172" xml:space="preserve"> BonoM(100,C$2,C$1 - $B172,Portafolio!C172)</f>
        <v>87.283363494454775</v>
      </c>
      <c r="D172" s="32" cm="1">
        <f t="array" ref="D172" xml:space="preserve"> BonoM(100,D$2,D$1 - $B172,Portafolio!D172)</f>
        <v>97.555149764071601</v>
      </c>
      <c r="E172" s="32" cm="1">
        <f t="array" ref="E172" xml:space="preserve"> BonoM(100,E$2,E$1 - $B172,Portafolio!E172)</f>
        <v>92.222691258059086</v>
      </c>
      <c r="F172" s="32" cm="1">
        <f t="array" ref="F172" xml:space="preserve"> BonoM(100,F$2,F$1 - $B172,Portafolio!F172)</f>
        <v>93.777681870575606</v>
      </c>
      <c r="G172" s="5">
        <f t="shared" si="33"/>
        <v>4.5239900914784137E-4</v>
      </c>
      <c r="H172" s="5">
        <f t="shared" si="34"/>
        <v>1.0454283818102095E-3</v>
      </c>
      <c r="I172" s="5">
        <f t="shared" si="35"/>
        <v>3.6935204087407136E-4</v>
      </c>
      <c r="J172" s="5">
        <f t="shared" si="36"/>
        <v>2.4995855752969476E-3</v>
      </c>
      <c r="K172" s="10">
        <f t="shared" si="37"/>
        <v>89.594155373696196</v>
      </c>
      <c r="L172" s="10">
        <f t="shared" si="38"/>
        <v>98.312560912493453</v>
      </c>
      <c r="M172" s="10">
        <f t="shared" si="39"/>
        <v>92.850361914099494</v>
      </c>
      <c r="N172" s="10">
        <f t="shared" si="40"/>
        <v>93.614052554594124</v>
      </c>
      <c r="O172" s="11">
        <f t="shared" si="41"/>
        <v>-133.69612948791882</v>
      </c>
      <c r="P172" s="11">
        <f t="shared" si="42"/>
        <v>-154.00710879700341</v>
      </c>
      <c r="Q172" s="11">
        <f t="shared" si="43"/>
        <v>-68.563617225777307</v>
      </c>
      <c r="R172" s="11">
        <f t="shared" si="44"/>
        <v>-233.41289989289749</v>
      </c>
      <c r="S172" s="27">
        <f t="shared" si="45"/>
        <v>-589.67975540359703</v>
      </c>
    </row>
    <row r="173" spans="1:19" x14ac:dyDescent="0.25">
      <c r="A173" s="6">
        <f t="shared" si="32"/>
        <v>168</v>
      </c>
      <c r="B173" s="24">
        <v>45176</v>
      </c>
      <c r="C173" s="32" cm="1">
        <f t="array" ref="C173" xml:space="preserve"> BonoM(100,C$2,C$1 - $B173,Portafolio!C173)</f>
        <v>87.243894443054529</v>
      </c>
      <c r="D173" s="32" cm="1">
        <f t="array" ref="D173" xml:space="preserve"> BonoM(100,D$2,D$1 - $B173,Portafolio!D173)</f>
        <v>97.453269350392503</v>
      </c>
      <c r="E173" s="32" cm="1">
        <f t="array" ref="E173" xml:space="preserve"> BonoM(100,E$2,E$1 - $B173,Portafolio!E173)</f>
        <v>92.188641195288199</v>
      </c>
      <c r="F173" s="32" cm="1">
        <f t="array" ref="F173" xml:space="preserve"> BonoM(100,F$2,F$1 - $B173,Portafolio!F173)</f>
        <v>93.543860984999924</v>
      </c>
      <c r="G173" s="5">
        <f t="shared" si="33"/>
        <v>-2.8652353988998569E-2</v>
      </c>
      <c r="H173" s="5">
        <f t="shared" si="34"/>
        <v>6.9652079050541715E-4</v>
      </c>
      <c r="I173" s="5">
        <f t="shared" si="35"/>
        <v>1.9723825884772062E-3</v>
      </c>
      <c r="J173" s="5">
        <f t="shared" si="36"/>
        <v>-2.1361080405557509E-3</v>
      </c>
      <c r="K173" s="10">
        <f t="shared" si="37"/>
        <v>86.987718760808292</v>
      </c>
      <c r="L173" s="10">
        <f t="shared" si="38"/>
        <v>98.278294736503398</v>
      </c>
      <c r="M173" s="10">
        <f t="shared" si="39"/>
        <v>92.99914892581738</v>
      </c>
      <c r="N173" s="10">
        <f t="shared" si="40"/>
        <v>93.181168519502577</v>
      </c>
      <c r="O173" s="11">
        <f t="shared" si="41"/>
        <v>8467.5446930421658</v>
      </c>
      <c r="P173" s="11">
        <f t="shared" si="42"/>
        <v>-102.60784481192076</v>
      </c>
      <c r="Q173" s="11">
        <f t="shared" si="43"/>
        <v>-366.13764066154886</v>
      </c>
      <c r="R173" s="11">
        <f t="shared" si="44"/>
        <v>199.47113519864956</v>
      </c>
      <c r="S173" s="27">
        <f t="shared" si="45"/>
        <v>8198.2703427673459</v>
      </c>
    </row>
    <row r="174" spans="1:19" x14ac:dyDescent="0.25">
      <c r="A174" s="6">
        <f t="shared" si="32"/>
        <v>169</v>
      </c>
      <c r="B174" s="24">
        <v>45175</v>
      </c>
      <c r="C174" s="32" cm="1">
        <f t="array" ref="C174" xml:space="preserve"> BonoM(100,C$2,C$1 - $B174,Portafolio!C174)</f>
        <v>89.817373626565015</v>
      </c>
      <c r="D174" s="32" cm="1">
        <f t="array" ref="D174" xml:space="preserve"> BonoM(100,D$2,D$1 - $B174,Portafolio!D174)</f>
        <v>97.385438367876787</v>
      </c>
      <c r="E174" s="32" cm="1">
        <f t="array" ref="E174" xml:space="preserve"> BonoM(100,E$2,E$1 - $B174,Portafolio!E174)</f>
        <v>92.007167859387238</v>
      </c>
      <c r="F174" s="32" cm="1">
        <f t="array" ref="F174" xml:space="preserve"> BonoM(100,F$2,F$1 - $B174,Portafolio!F174)</f>
        <v>93.744108528983418</v>
      </c>
      <c r="G174" s="5">
        <f t="shared" si="33"/>
        <v>-2.4248665429617011E-3</v>
      </c>
      <c r="H174" s="5">
        <f t="shared" si="34"/>
        <v>-3.2328475203913243E-3</v>
      </c>
      <c r="I174" s="5">
        <f t="shared" si="35"/>
        <v>-4.7028275053030422E-3</v>
      </c>
      <c r="J174" s="5">
        <f t="shared" si="36"/>
        <v>-5.4116992183506074E-4</v>
      </c>
      <c r="K174" s="10">
        <f t="shared" si="37"/>
        <v>89.336485766244209</v>
      </c>
      <c r="L174" s="10">
        <f t="shared" si="38"/>
        <v>97.892391908859366</v>
      </c>
      <c r="M174" s="10">
        <f t="shared" si="39"/>
        <v>92.37958209103212</v>
      </c>
      <c r="N174" s="10">
        <f t="shared" si="40"/>
        <v>93.330104861238382</v>
      </c>
      <c r="O174" s="11">
        <f t="shared" si="41"/>
        <v>716.61357510363928</v>
      </c>
      <c r="P174" s="11">
        <f t="shared" si="42"/>
        <v>476.24639665412616</v>
      </c>
      <c r="Q174" s="11">
        <f t="shared" si="43"/>
        <v>872.99602890897177</v>
      </c>
      <c r="R174" s="11">
        <f t="shared" si="44"/>
        <v>50.534793462844618</v>
      </c>
      <c r="S174" s="27">
        <f t="shared" si="45"/>
        <v>2116.390794129582</v>
      </c>
    </row>
    <row r="175" spans="1:19" x14ac:dyDescent="0.25">
      <c r="A175" s="6">
        <f t="shared" si="32"/>
        <v>170</v>
      </c>
      <c r="B175" s="24">
        <v>45174</v>
      </c>
      <c r="C175" s="32" cm="1">
        <f t="array" ref="C175" xml:space="preserve"> BonoM(100,C$2,C$1 - $B175,Portafolio!C175)</f>
        <v>90.035698178750863</v>
      </c>
      <c r="D175" s="32" cm="1">
        <f t="array" ref="D175" xml:space="preserve"> BonoM(100,D$2,D$1 - $B175,Portafolio!D175)</f>
        <v>97.701291746638944</v>
      </c>
      <c r="E175" s="32" cm="1">
        <f t="array" ref="E175" xml:space="preserve"> BonoM(100,E$2,E$1 - $B175,Portafolio!E175)</f>
        <v>92.441906198500192</v>
      </c>
      <c r="F175" s="32" cm="1">
        <f t="array" ref="F175" xml:space="preserve"> BonoM(100,F$2,F$1 - $B175,Portafolio!F175)</f>
        <v>93.794867490091562</v>
      </c>
      <c r="G175" s="5">
        <f t="shared" si="33"/>
        <v>-2.7308789578657233E-3</v>
      </c>
      <c r="H175" s="5">
        <f t="shared" si="34"/>
        <v>-3.240433422574962E-3</v>
      </c>
      <c r="I175" s="5">
        <f t="shared" si="35"/>
        <v>-4.1633214424039444E-3</v>
      </c>
      <c r="J175" s="5">
        <f t="shared" si="36"/>
        <v>-3.7417747042683969E-3</v>
      </c>
      <c r="K175" s="10">
        <f t="shared" si="37"/>
        <v>89.309081240177463</v>
      </c>
      <c r="L175" s="10">
        <f t="shared" si="38"/>
        <v>97.891646898244105</v>
      </c>
      <c r="M175" s="10">
        <f t="shared" si="39"/>
        <v>92.429656928983547</v>
      </c>
      <c r="N175" s="10">
        <f t="shared" si="40"/>
        <v>93.031230339372868</v>
      </c>
      <c r="O175" s="11">
        <f t="shared" si="41"/>
        <v>807.04851112390224</v>
      </c>
      <c r="P175" s="11">
        <f t="shared" si="42"/>
        <v>477.36391257701882</v>
      </c>
      <c r="Q175" s="11">
        <f t="shared" si="43"/>
        <v>772.84635300611626</v>
      </c>
      <c r="R175" s="11">
        <f t="shared" si="44"/>
        <v>349.40931532835862</v>
      </c>
      <c r="S175" s="27">
        <f t="shared" si="45"/>
        <v>2406.6680920353956</v>
      </c>
    </row>
    <row r="176" spans="1:19" x14ac:dyDescent="0.25">
      <c r="A176" s="6">
        <f t="shared" si="32"/>
        <v>171</v>
      </c>
      <c r="B176" s="24">
        <v>45173</v>
      </c>
      <c r="C176" s="32" cm="1">
        <f t="array" ref="C176" xml:space="preserve"> BonoM(100,C$2,C$1 - $B176,Portafolio!C176)</f>
        <v>90.28224807027479</v>
      </c>
      <c r="D176" s="32" cm="1">
        <f t="array" ref="D176" xml:space="preserve"> BonoM(100,D$2,D$1 - $B176,Portafolio!D176)</f>
        <v>98.018915516523236</v>
      </c>
      <c r="E176" s="32" cm="1">
        <f t="array" ref="E176" xml:space="preserve"> BonoM(100,E$2,E$1 - $B176,Portafolio!E176)</f>
        <v>92.82838058585692</v>
      </c>
      <c r="F176" s="32" cm="1">
        <f t="array" ref="F176" xml:space="preserve"> BonoM(100,F$2,F$1 - $B176,Portafolio!F176)</f>
        <v>94.147144895340034</v>
      </c>
      <c r="G176" s="5">
        <f t="shared" si="33"/>
        <v>-7.3578691137332619E-5</v>
      </c>
      <c r="H176" s="5">
        <f t="shared" si="34"/>
        <v>1.4095131010385176E-2</v>
      </c>
      <c r="I176" s="5">
        <f t="shared" si="35"/>
        <v>1.8994807951995263E-2</v>
      </c>
      <c r="J176" s="5">
        <f t="shared" si="36"/>
        <v>2.7036048460016948E-2</v>
      </c>
      <c r="K176" s="10">
        <f t="shared" si="37"/>
        <v>89.547052155343067</v>
      </c>
      <c r="L176" s="10">
        <f t="shared" si="38"/>
        <v>99.594170765740174</v>
      </c>
      <c r="M176" s="10">
        <f t="shared" si="39"/>
        <v>94.579103721947334</v>
      </c>
      <c r="N176" s="10">
        <f t="shared" si="40"/>
        <v>95.905283153633107</v>
      </c>
      <c r="O176" s="11">
        <f t="shared" si="41"/>
        <v>21.744491077407702</v>
      </c>
      <c r="P176" s="11">
        <f t="shared" si="42"/>
        <v>-2076.4218886670847</v>
      </c>
      <c r="Q176" s="11">
        <f t="shared" si="43"/>
        <v>-3526.0472329214563</v>
      </c>
      <c r="R176" s="11">
        <f t="shared" si="44"/>
        <v>-2524.64349893188</v>
      </c>
      <c r="S176" s="27">
        <f t="shared" si="45"/>
        <v>-8105.3681294430135</v>
      </c>
    </row>
    <row r="177" spans="1:19" x14ac:dyDescent="0.25">
      <c r="A177" s="6">
        <f t="shared" si="32"/>
        <v>172</v>
      </c>
      <c r="B177" s="24">
        <v>45171</v>
      </c>
      <c r="C177" s="32" cm="1">
        <f t="array" ref="C177" xml:space="preserve"> BonoM(100,C$2,C$1 - $B177,Portafolio!C177)</f>
        <v>90.288891408728887</v>
      </c>
      <c r="D177" s="32" cm="1">
        <f t="array" ref="D177" xml:space="preserve"> BonoM(100,D$2,D$1 - $B177,Portafolio!D177)</f>
        <v>96.656529076185308</v>
      </c>
      <c r="E177" s="32" cm="1">
        <f t="array" ref="E177" xml:space="preserve"> BonoM(100,E$2,E$1 - $B177,Portafolio!E177)</f>
        <v>91.097991728167926</v>
      </c>
      <c r="F177" s="32" cm="1">
        <f t="array" ref="F177" xml:space="preserve"> BonoM(100,F$2,F$1 - $B177,Portafolio!F177)</f>
        <v>91.668783229671831</v>
      </c>
      <c r="G177" s="5">
        <f t="shared" si="33"/>
        <v>2.6350452284251702E-4</v>
      </c>
      <c r="H177" s="5">
        <f t="shared" si="34"/>
        <v>-1.4009054490866313E-2</v>
      </c>
      <c r="I177" s="5">
        <f t="shared" si="35"/>
        <v>-1.8433753445074808E-2</v>
      </c>
      <c r="J177" s="5">
        <f t="shared" si="36"/>
        <v>-2.7918458883981145E-2</v>
      </c>
      <c r="K177" s="10">
        <f t="shared" si="37"/>
        <v>89.577239184608104</v>
      </c>
      <c r="L177" s="10">
        <f t="shared" si="38"/>
        <v>96.834061812988466</v>
      </c>
      <c r="M177" s="10">
        <f t="shared" si="39"/>
        <v>91.10513136908375</v>
      </c>
      <c r="N177" s="10">
        <f t="shared" si="40"/>
        <v>90.773596105941593</v>
      </c>
      <c r="O177" s="11">
        <f t="shared" si="41"/>
        <v>-77.87270549721228</v>
      </c>
      <c r="P177" s="11">
        <f t="shared" si="42"/>
        <v>2063.7415404604767</v>
      </c>
      <c r="Q177" s="11">
        <f t="shared" si="43"/>
        <v>3421.8974728057105</v>
      </c>
      <c r="R177" s="11">
        <f t="shared" si="44"/>
        <v>2607.0435487596342</v>
      </c>
      <c r="S177" s="27">
        <f t="shared" si="45"/>
        <v>8014.8098565286091</v>
      </c>
    </row>
    <row r="178" spans="1:19" x14ac:dyDescent="0.25">
      <c r="A178" s="6">
        <f t="shared" si="32"/>
        <v>173</v>
      </c>
      <c r="B178" s="24">
        <v>45170</v>
      </c>
      <c r="C178" s="32" cm="1">
        <f t="array" ref="C178" xml:space="preserve"> BonoM(100,C$2,C$1 - $B178,Portafolio!C178)</f>
        <v>90.265106145004822</v>
      </c>
      <c r="D178" s="32" cm="1">
        <f t="array" ref="D178" xml:space="preserve"> BonoM(100,D$2,D$1 - $B178,Portafolio!D178)</f>
        <v>98.029834367571212</v>
      </c>
      <c r="E178" s="32" cm="1">
        <f t="array" ref="E178" xml:space="preserve"> BonoM(100,E$2,E$1 - $B178,Portafolio!E178)</f>
        <v>92.808806382555645</v>
      </c>
      <c r="F178" s="32" cm="1">
        <f t="array" ref="F178" xml:space="preserve"> BonoM(100,F$2,F$1 - $B178,Portafolio!F178)</f>
        <v>94.301536807734806</v>
      </c>
      <c r="G178" s="5">
        <f t="shared" si="33"/>
        <v>-6.404521166314403E-4</v>
      </c>
      <c r="H178" s="5">
        <f t="shared" si="34"/>
        <v>-1.062563144856199E-3</v>
      </c>
      <c r="I178" s="5">
        <f t="shared" si="35"/>
        <v>-3.0730729316967853E-3</v>
      </c>
      <c r="J178" s="5">
        <f t="shared" si="36"/>
        <v>-4.5645017704805113E-3</v>
      </c>
      <c r="K178" s="10">
        <f t="shared" si="37"/>
        <v>89.496286575879978</v>
      </c>
      <c r="L178" s="10">
        <f t="shared" si="38"/>
        <v>98.105535297578641</v>
      </c>
      <c r="M178" s="10">
        <f t="shared" si="39"/>
        <v>92.530849522088232</v>
      </c>
      <c r="N178" s="10">
        <f t="shared" si="40"/>
        <v>92.954403559668734</v>
      </c>
      <c r="O178" s="11">
        <f t="shared" si="41"/>
        <v>189.27090330560219</v>
      </c>
      <c r="P178" s="11">
        <f t="shared" si="42"/>
        <v>156.53131357521488</v>
      </c>
      <c r="Q178" s="11">
        <f t="shared" si="43"/>
        <v>570.46116679674697</v>
      </c>
      <c r="R178" s="11">
        <f t="shared" si="44"/>
        <v>426.23609503249327</v>
      </c>
      <c r="S178" s="27">
        <f t="shared" si="45"/>
        <v>1342.4994787100572</v>
      </c>
    </row>
    <row r="179" spans="1:19" x14ac:dyDescent="0.25">
      <c r="A179" s="6">
        <f t="shared" si="32"/>
        <v>174</v>
      </c>
      <c r="B179" s="24">
        <v>45169</v>
      </c>
      <c r="C179" s="32" cm="1">
        <f t="array" ref="C179" xml:space="preserve"> BonoM(100,C$2,C$1 - $B179,Portafolio!C179)</f>
        <v>90.322953671864369</v>
      </c>
      <c r="D179" s="32" cm="1">
        <f t="array" ref="D179" xml:space="preserve"> BonoM(100,D$2,D$1 - $B179,Portafolio!D179)</f>
        <v>98.13410805404277</v>
      </c>
      <c r="E179" s="32" cm="1">
        <f t="array" ref="E179" xml:space="preserve"> BonoM(100,E$2,E$1 - $B179,Portafolio!E179)</f>
        <v>93.09489378071234</v>
      </c>
      <c r="F179" s="32" cm="1">
        <f t="array" ref="F179" xml:space="preserve"> BonoM(100,F$2,F$1 - $B179,Portafolio!F179)</f>
        <v>94.733950090648179</v>
      </c>
      <c r="G179" s="5">
        <f t="shared" si="33"/>
        <v>1.1682788235949371E-3</v>
      </c>
      <c r="H179" s="5">
        <f t="shared" si="34"/>
        <v>1.3102218982445901E-3</v>
      </c>
      <c r="I179" s="5">
        <f t="shared" si="35"/>
        <v>1.3661596166720802E-3</v>
      </c>
      <c r="J179" s="5">
        <f t="shared" si="36"/>
        <v>2.1920101924999269E-3</v>
      </c>
      <c r="K179" s="10">
        <f t="shared" si="37"/>
        <v>89.658265017881163</v>
      </c>
      <c r="L179" s="10">
        <f t="shared" si="38"/>
        <v>98.338566254484547</v>
      </c>
      <c r="M179" s="10">
        <f t="shared" si="39"/>
        <v>92.942881685904524</v>
      </c>
      <c r="N179" s="10">
        <f t="shared" si="40"/>
        <v>93.585330968606499</v>
      </c>
      <c r="O179" s="11">
        <f t="shared" si="41"/>
        <v>-345.25795529830958</v>
      </c>
      <c r="P179" s="11">
        <f t="shared" si="42"/>
        <v>-193.01512178364533</v>
      </c>
      <c r="Q179" s="11">
        <f t="shared" si="43"/>
        <v>-253.60316083583712</v>
      </c>
      <c r="R179" s="11">
        <f t="shared" si="44"/>
        <v>-204.69131390527195</v>
      </c>
      <c r="S179" s="27">
        <f t="shared" si="45"/>
        <v>-996.56755182306392</v>
      </c>
    </row>
    <row r="180" spans="1:19" x14ac:dyDescent="0.25">
      <c r="A180" s="6">
        <f t="shared" si="32"/>
        <v>175</v>
      </c>
      <c r="B180" s="24">
        <v>45168</v>
      </c>
      <c r="C180" s="32" cm="1">
        <f t="array" ref="C180" xml:space="preserve"> BonoM(100,C$2,C$1 - $B180,Portafolio!C180)</f>
        <v>90.217554413526514</v>
      </c>
      <c r="D180" s="32" cm="1">
        <f t="array" ref="D180" xml:space="preserve"> BonoM(100,D$2,D$1 - $B180,Portafolio!D180)</f>
        <v>98.005698841268185</v>
      </c>
      <c r="E180" s="32" cm="1">
        <f t="array" ref="E180" xml:space="preserve"> BonoM(100,E$2,E$1 - $B180,Portafolio!E180)</f>
        <v>92.967884810836352</v>
      </c>
      <c r="F180" s="32" cm="1">
        <f t="array" ref="F180" xml:space="preserve"> BonoM(100,F$2,F$1 - $B180,Portafolio!F180)</f>
        <v>94.526746498858827</v>
      </c>
      <c r="G180" s="5">
        <f t="shared" si="33"/>
        <v>-3.354967601579939E-3</v>
      </c>
      <c r="H180" s="5">
        <f t="shared" si="34"/>
        <v>-3.8746174937642763E-3</v>
      </c>
      <c r="I180" s="5">
        <f t="shared" si="35"/>
        <v>-3.079492164010933E-3</v>
      </c>
      <c r="J180" s="5">
        <f t="shared" si="36"/>
        <v>-4.8970942712538434E-3</v>
      </c>
      <c r="K180" s="10">
        <f t="shared" si="37"/>
        <v>89.253191829579549</v>
      </c>
      <c r="L180" s="10">
        <f t="shared" si="38"/>
        <v>97.829363750685744</v>
      </c>
      <c r="M180" s="10">
        <f t="shared" si="39"/>
        <v>92.530253714107545</v>
      </c>
      <c r="N180" s="10">
        <f t="shared" si="40"/>
        <v>92.923345859202172</v>
      </c>
      <c r="O180" s="11">
        <f t="shared" si="41"/>
        <v>991.48356609701693</v>
      </c>
      <c r="P180" s="11">
        <f t="shared" si="42"/>
        <v>570.78863391456025</v>
      </c>
      <c r="Q180" s="11">
        <f t="shared" si="43"/>
        <v>571.6527827581217</v>
      </c>
      <c r="R180" s="11">
        <f t="shared" si="44"/>
        <v>457.29379549905502</v>
      </c>
      <c r="S180" s="27">
        <f t="shared" si="45"/>
        <v>2591.2187782687542</v>
      </c>
    </row>
    <row r="181" spans="1:19" x14ac:dyDescent="0.25">
      <c r="A181" s="6">
        <f t="shared" si="32"/>
        <v>176</v>
      </c>
      <c r="B181" s="24">
        <v>45167</v>
      </c>
      <c r="C181" s="32" cm="1">
        <f t="array" ref="C181" xml:space="preserve"> BonoM(100,C$2,C$1 - $B181,Portafolio!C181)</f>
        <v>90.521250275455174</v>
      </c>
      <c r="D181" s="32" cm="1">
        <f t="array" ref="D181" xml:space="preserve"> BonoM(100,D$2,D$1 - $B181,Portafolio!D181)</f>
        <v>98.386910485793862</v>
      </c>
      <c r="E181" s="32" cm="1">
        <f t="array" ref="E181" xml:space="preserve"> BonoM(100,E$2,E$1 - $B181,Portafolio!E181)</f>
        <v>93.255063046743146</v>
      </c>
      <c r="F181" s="32" cm="1">
        <f t="array" ref="F181" xml:space="preserve"> BonoM(100,F$2,F$1 - $B181,Portafolio!F181)</f>
        <v>94.991930939678866</v>
      </c>
      <c r="G181" s="5">
        <f t="shared" si="33"/>
        <v>2.19764279394985E-3</v>
      </c>
      <c r="H181" s="5">
        <f t="shared" si="34"/>
        <v>2.1929427437781257E-3</v>
      </c>
      <c r="I181" s="5">
        <f t="shared" si="35"/>
        <v>1.0324437890756322E-3</v>
      </c>
      <c r="J181" s="5">
        <f t="shared" si="36"/>
        <v>5.7738063706458398E-4</v>
      </c>
      <c r="K181" s="10">
        <f t="shared" si="37"/>
        <v>89.750448309747327</v>
      </c>
      <c r="L181" s="10">
        <f t="shared" si="38"/>
        <v>98.425258171189597</v>
      </c>
      <c r="M181" s="10">
        <f t="shared" si="39"/>
        <v>92.911907490917855</v>
      </c>
      <c r="N181" s="10">
        <f t="shared" si="40"/>
        <v>93.434555827914551</v>
      </c>
      <c r="O181" s="11">
        <f t="shared" si="41"/>
        <v>-649.46281845664942</v>
      </c>
      <c r="P181" s="11">
        <f t="shared" si="42"/>
        <v>-323.05299684121991</v>
      </c>
      <c r="Q181" s="11">
        <f t="shared" si="43"/>
        <v>-191.65477086249894</v>
      </c>
      <c r="R181" s="11">
        <f t="shared" si="44"/>
        <v>-53.916173213323759</v>
      </c>
      <c r="S181" s="27">
        <f t="shared" si="45"/>
        <v>-1218.0867593736921</v>
      </c>
    </row>
    <row r="182" spans="1:19" x14ac:dyDescent="0.25">
      <c r="A182" s="6">
        <f t="shared" si="32"/>
        <v>177</v>
      </c>
      <c r="B182" s="24">
        <v>45166</v>
      </c>
      <c r="C182" s="32" cm="1">
        <f t="array" ref="C182" xml:space="preserve"> BonoM(100,C$2,C$1 - $B182,Portafolio!C182)</f>
        <v>90.322753127913899</v>
      </c>
      <c r="D182" s="32" cm="1">
        <f t="array" ref="D182" xml:space="preserve"> BonoM(100,D$2,D$1 - $B182,Portafolio!D182)</f>
        <v>98.171625731501067</v>
      </c>
      <c r="E182" s="32" cm="1">
        <f t="array" ref="E182" xml:space="preserve"> BonoM(100,E$2,E$1 - $B182,Portafolio!E182)</f>
        <v>93.158881737895626</v>
      </c>
      <c r="F182" s="32" cm="1">
        <f t="array" ref="F182" xml:space="preserve"> BonoM(100,F$2,F$1 - $B182,Portafolio!F182)</f>
        <v>94.93711608711142</v>
      </c>
      <c r="G182" s="5">
        <f t="shared" si="33"/>
        <v>1.2300195390626101E-2</v>
      </c>
      <c r="H182" s="5">
        <f t="shared" si="34"/>
        <v>1.594468450959674E-2</v>
      </c>
      <c r="I182" s="5">
        <f t="shared" si="35"/>
        <v>2.0268497274879227E-2</v>
      </c>
      <c r="J182" s="5">
        <f t="shared" si="36"/>
        <v>2.6406217051973879E-2</v>
      </c>
      <c r="K182" s="10">
        <f t="shared" si="37"/>
        <v>90.655168682164842</v>
      </c>
      <c r="L182" s="10">
        <f t="shared" si="38"/>
        <v>99.775815210534333</v>
      </c>
      <c r="M182" s="10">
        <f t="shared" si="39"/>
        <v>94.697322572169639</v>
      </c>
      <c r="N182" s="10">
        <f t="shared" si="40"/>
        <v>95.846469093875427</v>
      </c>
      <c r="O182" s="11">
        <f t="shared" si="41"/>
        <v>-3635.0400474344483</v>
      </c>
      <c r="P182" s="11">
        <f t="shared" si="42"/>
        <v>-2348.8885558583233</v>
      </c>
      <c r="Q182" s="11">
        <f t="shared" si="43"/>
        <v>-3762.4849333660677</v>
      </c>
      <c r="R182" s="11">
        <f t="shared" si="44"/>
        <v>-2465.8294391742002</v>
      </c>
      <c r="S182" s="27">
        <f t="shared" si="45"/>
        <v>-12212.24297583304</v>
      </c>
    </row>
    <row r="183" spans="1:19" x14ac:dyDescent="0.25">
      <c r="A183" s="6">
        <f t="shared" si="32"/>
        <v>178</v>
      </c>
      <c r="B183" s="24">
        <v>45164</v>
      </c>
      <c r="C183" s="32" cm="1">
        <f t="array" ref="C183" xml:space="preserve"> BonoM(100,C$2,C$1 - $B183,Portafolio!C183)</f>
        <v>89.225264935427759</v>
      </c>
      <c r="D183" s="32" cm="1">
        <f t="array" ref="D183" xml:space="preserve"> BonoM(100,D$2,D$1 - $B183,Portafolio!D183)</f>
        <v>96.630876885673317</v>
      </c>
      <c r="E183" s="32" cm="1">
        <f t="array" ref="E183" xml:space="preserve"> BonoM(100,E$2,E$1 - $B183,Portafolio!E183)</f>
        <v>91.308201700553823</v>
      </c>
      <c r="F183" s="32" cm="1">
        <f t="array" ref="F183" xml:space="preserve"> BonoM(100,F$2,F$1 - $B183,Portafolio!F183)</f>
        <v>92.494681452522926</v>
      </c>
      <c r="G183" s="5">
        <f t="shared" si="33"/>
        <v>-1.02949834421312E-2</v>
      </c>
      <c r="H183" s="5">
        <f t="shared" si="34"/>
        <v>-1.425005891085307E-2</v>
      </c>
      <c r="I183" s="5">
        <f t="shared" si="35"/>
        <v>-1.9341242790603896E-2</v>
      </c>
      <c r="J183" s="5">
        <f t="shared" si="36"/>
        <v>-2.8451326289851253E-2</v>
      </c>
      <c r="K183" s="10">
        <f t="shared" si="37"/>
        <v>88.631688139718761</v>
      </c>
      <c r="L183" s="10">
        <f t="shared" si="38"/>
        <v>96.810392795530959</v>
      </c>
      <c r="M183" s="10">
        <f t="shared" si="39"/>
        <v>91.020901765294255</v>
      </c>
      <c r="N183" s="10">
        <f t="shared" si="40"/>
        <v>90.723836606730302</v>
      </c>
      <c r="O183" s="11">
        <f t="shared" si="41"/>
        <v>3042.4457426376166</v>
      </c>
      <c r="P183" s="11">
        <f t="shared" si="42"/>
        <v>2099.2450666467375</v>
      </c>
      <c r="Q183" s="11">
        <f t="shared" si="43"/>
        <v>3590.3566803847016</v>
      </c>
      <c r="R183" s="11">
        <f t="shared" si="44"/>
        <v>2656.803047970925</v>
      </c>
      <c r="S183" s="27">
        <f t="shared" si="45"/>
        <v>11388.850537639981</v>
      </c>
    </row>
    <row r="184" spans="1:19" x14ac:dyDescent="0.25">
      <c r="A184" s="6">
        <f t="shared" si="32"/>
        <v>179</v>
      </c>
      <c r="B184" s="24">
        <v>45163</v>
      </c>
      <c r="C184" s="32" cm="1">
        <f t="array" ref="C184" xml:space="preserve"> BonoM(100,C$2,C$1 - $B184,Portafolio!C184)</f>
        <v>90.153392619699517</v>
      </c>
      <c r="D184" s="32" cm="1">
        <f t="array" ref="D184" xml:space="preserve"> BonoM(100,D$2,D$1 - $B184,Portafolio!D184)</f>
        <v>98.027778504259061</v>
      </c>
      <c r="E184" s="32" cm="1">
        <f t="array" ref="E184" xml:space="preserve"> BonoM(100,E$2,E$1 - $B184,Portafolio!E184)</f>
        <v>93.10904637244488</v>
      </c>
      <c r="F184" s="32" cm="1">
        <f t="array" ref="F184" xml:space="preserve"> BonoM(100,F$2,F$1 - $B184,Portafolio!F184)</f>
        <v>95.203342823066563</v>
      </c>
      <c r="G184" s="5">
        <f t="shared" si="33"/>
        <v>-6.4667361454162631E-4</v>
      </c>
      <c r="H184" s="5">
        <f t="shared" si="34"/>
        <v>-1.8744039079687802E-4</v>
      </c>
      <c r="I184" s="5">
        <f t="shared" si="35"/>
        <v>-3.0526740374414718E-4</v>
      </c>
      <c r="J184" s="5">
        <f t="shared" si="36"/>
        <v>1.8752028073678595E-3</v>
      </c>
      <c r="K184" s="10">
        <f t="shared" si="37"/>
        <v>89.49572941808718</v>
      </c>
      <c r="L184" s="10">
        <f t="shared" si="38"/>
        <v>98.191481006559542</v>
      </c>
      <c r="M184" s="10">
        <f t="shared" si="39"/>
        <v>92.7877463816871</v>
      </c>
      <c r="N184" s="10">
        <f t="shared" si="40"/>
        <v>93.555747292335525</v>
      </c>
      <c r="O184" s="11">
        <f t="shared" si="41"/>
        <v>191.10952402183585</v>
      </c>
      <c r="P184" s="11">
        <f t="shared" si="42"/>
        <v>27.612750103862993</v>
      </c>
      <c r="Q184" s="11">
        <f t="shared" si="43"/>
        <v>56.667447599011211</v>
      </c>
      <c r="R184" s="11">
        <f t="shared" si="44"/>
        <v>-175.10763763429793</v>
      </c>
      <c r="S184" s="27">
        <f t="shared" si="45"/>
        <v>100.28208409041213</v>
      </c>
    </row>
    <row r="185" spans="1:19" x14ac:dyDescent="0.25">
      <c r="A185" s="6">
        <f t="shared" si="32"/>
        <v>180</v>
      </c>
      <c r="B185" s="24">
        <v>45162</v>
      </c>
      <c r="C185" s="32" cm="1">
        <f t="array" ref="C185" xml:space="preserve"> BonoM(100,C$2,C$1 - $B185,Portafolio!C185)</f>
        <v>90.21173016531958</v>
      </c>
      <c r="D185" s="32" cm="1">
        <f t="array" ref="D185" xml:space="preserve"> BonoM(100,D$2,D$1 - $B185,Portafolio!D185)</f>
        <v>98.046156314114711</v>
      </c>
      <c r="E185" s="32" cm="1">
        <f t="array" ref="E185" xml:space="preserve"> BonoM(100,E$2,E$1 - $B185,Portafolio!E185)</f>
        <v>93.137478208608897</v>
      </c>
      <c r="F185" s="32" cm="1">
        <f t="array" ref="F185" xml:space="preserve"> BonoM(100,F$2,F$1 - $B185,Portafolio!F185)</f>
        <v>95.025151392404965</v>
      </c>
      <c r="G185" s="5">
        <f t="shared" si="33"/>
        <v>-9.5187349648018227E-4</v>
      </c>
      <c r="H185" s="5">
        <f t="shared" si="34"/>
        <v>-1.9534819097942746E-3</v>
      </c>
      <c r="I185" s="5">
        <f t="shared" si="35"/>
        <v>-1.4217476914745175E-3</v>
      </c>
      <c r="J185" s="5">
        <f t="shared" si="36"/>
        <v>-1.3667745166349166E-3</v>
      </c>
      <c r="K185" s="10">
        <f t="shared" si="37"/>
        <v>89.468397657306241</v>
      </c>
      <c r="L185" s="10">
        <f t="shared" si="38"/>
        <v>98.018038264114693</v>
      </c>
      <c r="M185" s="10">
        <f t="shared" si="39"/>
        <v>92.684119057864919</v>
      </c>
      <c r="N185" s="10">
        <f t="shared" si="40"/>
        <v>93.253009376074118</v>
      </c>
      <c r="O185" s="11">
        <f t="shared" si="41"/>
        <v>281.30433459893425</v>
      </c>
      <c r="P185" s="11">
        <f t="shared" si="42"/>
        <v>287.77686377113554</v>
      </c>
      <c r="Q185" s="11">
        <f t="shared" si="43"/>
        <v>263.92209524337318</v>
      </c>
      <c r="R185" s="11">
        <f t="shared" si="44"/>
        <v>127.63027862710885</v>
      </c>
      <c r="S185" s="27">
        <f t="shared" si="45"/>
        <v>960.63357224055187</v>
      </c>
    </row>
    <row r="186" spans="1:19" x14ac:dyDescent="0.25">
      <c r="A186" s="6">
        <f t="shared" si="32"/>
        <v>181</v>
      </c>
      <c r="B186" s="24">
        <v>45161</v>
      </c>
      <c r="C186" s="32" cm="1">
        <f t="array" ref="C186" xml:space="preserve"> BonoM(100,C$2,C$1 - $B186,Portafolio!C186)</f>
        <v>90.297682135738185</v>
      </c>
      <c r="D186" s="32" cm="1">
        <f t="array" ref="D186" xml:space="preserve"> BonoM(100,D$2,D$1 - $B186,Portafolio!D186)</f>
        <v>98.238062592241889</v>
      </c>
      <c r="E186" s="32" cm="1">
        <f t="array" ref="E186" xml:space="preserve"> BonoM(100,E$2,E$1 - $B186,Portafolio!E186)</f>
        <v>93.270084736266313</v>
      </c>
      <c r="F186" s="32" cm="1">
        <f t="array" ref="F186" xml:space="preserve"> BonoM(100,F$2,F$1 - $B186,Portafolio!F186)</f>
        <v>95.155207104600649</v>
      </c>
      <c r="G186" s="5">
        <f t="shared" si="33"/>
        <v>6.6606840765979225E-3</v>
      </c>
      <c r="H186" s="5">
        <f t="shared" si="34"/>
        <v>8.6822421440242437E-3</v>
      </c>
      <c r="I186" s="5">
        <f t="shared" si="35"/>
        <v>1.14739241071804E-2</v>
      </c>
      <c r="J186" s="5">
        <f t="shared" si="36"/>
        <v>1.7365757711210517E-2</v>
      </c>
      <c r="K186" s="10">
        <f t="shared" si="37"/>
        <v>90.150129908304947</v>
      </c>
      <c r="L186" s="10">
        <f t="shared" si="38"/>
        <v>99.062571548263207</v>
      </c>
      <c r="M186" s="10">
        <f t="shared" si="39"/>
        <v>93.881044764542935</v>
      </c>
      <c r="N186" s="10">
        <f t="shared" si="40"/>
        <v>95.002265217862629</v>
      </c>
      <c r="O186" s="11">
        <f t="shared" si="41"/>
        <v>-1968.4120936967972</v>
      </c>
      <c r="P186" s="11">
        <f t="shared" si="42"/>
        <v>-1279.0230624516355</v>
      </c>
      <c r="Q186" s="11">
        <f t="shared" si="43"/>
        <v>-2129.9293181126586</v>
      </c>
      <c r="R186" s="11">
        <f t="shared" si="44"/>
        <v>-1621.6255631614017</v>
      </c>
      <c r="S186" s="27">
        <f t="shared" si="45"/>
        <v>-6998.9900374224926</v>
      </c>
    </row>
    <row r="187" spans="1:19" x14ac:dyDescent="0.25">
      <c r="A187" s="6">
        <f t="shared" si="32"/>
        <v>182</v>
      </c>
      <c r="B187" s="24">
        <v>45160</v>
      </c>
      <c r="C187" s="32" cm="1">
        <f t="array" ref="C187" xml:space="preserve"> BonoM(100,C$2,C$1 - $B187,Portafolio!C187)</f>
        <v>89.70021732652404</v>
      </c>
      <c r="D187" s="32" cm="1">
        <f t="array" ref="D187" xml:space="preserve"> BonoM(100,D$2,D$1 - $B187,Portafolio!D187)</f>
        <v>97.392477519411926</v>
      </c>
      <c r="E187" s="32" cm="1">
        <f t="array" ref="E187" xml:space="preserve"> BonoM(100,E$2,E$1 - $B187,Portafolio!E187)</f>
        <v>92.212050665166714</v>
      </c>
      <c r="F187" s="32" cm="1">
        <f t="array" ref="F187" xml:space="preserve"> BonoM(100,F$2,F$1 - $B187,Portafolio!F187)</f>
        <v>93.53097092502243</v>
      </c>
      <c r="G187" s="5">
        <f t="shared" si="33"/>
        <v>8.7442056245690125E-4</v>
      </c>
      <c r="H187" s="5">
        <f t="shared" si="34"/>
        <v>1.1408613198542472E-3</v>
      </c>
      <c r="I187" s="5">
        <f t="shared" si="35"/>
        <v>1.372007699348865E-3</v>
      </c>
      <c r="J187" s="5">
        <f t="shared" si="36"/>
        <v>1.0635772100318075E-3</v>
      </c>
      <c r="K187" s="10">
        <f t="shared" si="37"/>
        <v>89.63194894054223</v>
      </c>
      <c r="L187" s="10">
        <f t="shared" si="38"/>
        <v>98.321933370794056</v>
      </c>
      <c r="M187" s="10">
        <f t="shared" si="39"/>
        <v>92.94342448201472</v>
      </c>
      <c r="N187" s="10">
        <f t="shared" si="40"/>
        <v>93.479957174896157</v>
      </c>
      <c r="O187" s="11">
        <f t="shared" si="41"/>
        <v>-258.41490007983055</v>
      </c>
      <c r="P187" s="11">
        <f t="shared" si="42"/>
        <v>-168.06579624790885</v>
      </c>
      <c r="Q187" s="11">
        <f t="shared" si="43"/>
        <v>-254.68875305622873</v>
      </c>
      <c r="R187" s="11">
        <f t="shared" si="44"/>
        <v>-99.317520194929898</v>
      </c>
      <c r="S187" s="27">
        <f t="shared" si="45"/>
        <v>-780.48696957889808</v>
      </c>
    </row>
    <row r="188" spans="1:19" x14ac:dyDescent="0.25">
      <c r="A188" s="6">
        <f t="shared" si="32"/>
        <v>183</v>
      </c>
      <c r="B188" s="24">
        <v>45159</v>
      </c>
      <c r="C188" s="32" cm="1">
        <f t="array" ref="C188" xml:space="preserve"> BonoM(100,C$2,C$1 - $B188,Portafolio!C188)</f>
        <v>89.621850137918017</v>
      </c>
      <c r="D188" s="32" cm="1">
        <f t="array" ref="D188" xml:space="preserve"> BonoM(100,D$2,D$1 - $B188,Portafolio!D188)</f>
        <v>97.281492827107797</v>
      </c>
      <c r="E188" s="32" cm="1">
        <f t="array" ref="E188" xml:space="preserve"> BonoM(100,E$2,E$1 - $B188,Portafolio!E188)</f>
        <v>92.085708364290923</v>
      </c>
      <c r="F188" s="32" cm="1">
        <f t="array" ref="F188" xml:space="preserve"> BonoM(100,F$2,F$1 - $B188,Portafolio!F188)</f>
        <v>93.431599205410734</v>
      </c>
      <c r="G188" s="5">
        <f t="shared" si="33"/>
        <v>8.9922900275860584E-3</v>
      </c>
      <c r="H188" s="5">
        <f t="shared" si="34"/>
        <v>1.0945199358737057E-2</v>
      </c>
      <c r="I188" s="5">
        <f t="shared" si="35"/>
        <v>1.362833438486577E-2</v>
      </c>
      <c r="J188" s="5">
        <f t="shared" si="36"/>
        <v>1.8965494322074283E-2</v>
      </c>
      <c r="K188" s="10">
        <f t="shared" si="37"/>
        <v>90.358933711514339</v>
      </c>
      <c r="L188" s="10">
        <f t="shared" si="38"/>
        <v>99.284816326278374</v>
      </c>
      <c r="M188" s="10">
        <f t="shared" si="39"/>
        <v>94.081008681456666</v>
      </c>
      <c r="N188" s="10">
        <f t="shared" si="40"/>
        <v>95.151649645864126</v>
      </c>
      <c r="O188" s="11">
        <f t="shared" si="41"/>
        <v>-2657.4646442877906</v>
      </c>
      <c r="P188" s="11">
        <f t="shared" si="42"/>
        <v>-1612.3902294743857</v>
      </c>
      <c r="Q188" s="11">
        <f t="shared" si="43"/>
        <v>-2529.8571519401207</v>
      </c>
      <c r="R188" s="11">
        <f t="shared" si="44"/>
        <v>-1771.0099911628986</v>
      </c>
      <c r="S188" s="27">
        <f t="shared" si="45"/>
        <v>-8570.7220168651966</v>
      </c>
    </row>
    <row r="189" spans="1:19" x14ac:dyDescent="0.25">
      <c r="A189" s="6">
        <f t="shared" si="32"/>
        <v>184</v>
      </c>
      <c r="B189" s="24">
        <v>45157</v>
      </c>
      <c r="C189" s="32" cm="1">
        <f t="array" ref="C189" xml:space="preserve"> BonoM(100,C$2,C$1 - $B189,Portafolio!C189)</f>
        <v>88.823126820391991</v>
      </c>
      <c r="D189" s="32" cm="1">
        <f t="array" ref="D189" xml:space="preserve"> BonoM(100,D$2,D$1 - $B189,Portafolio!D189)</f>
        <v>96.228255387943292</v>
      </c>
      <c r="E189" s="32" cm="1">
        <f t="array" ref="E189" xml:space="preserve"> BonoM(100,E$2,E$1 - $B189,Portafolio!E189)</f>
        <v>90.847606800745567</v>
      </c>
      <c r="F189" s="32" cm="1">
        <f t="array" ref="F189" xml:space="preserve"> BonoM(100,F$2,F$1 - $B189,Portafolio!F189)</f>
        <v>91.692603651482329</v>
      </c>
      <c r="G189" s="5">
        <f t="shared" si="33"/>
        <v>-1.0531191237013626E-2</v>
      </c>
      <c r="H189" s="5">
        <f t="shared" si="34"/>
        <v>-1.4431111245745476E-2</v>
      </c>
      <c r="I189" s="5">
        <f t="shared" si="35"/>
        <v>-1.8179616526314613E-2</v>
      </c>
      <c r="J189" s="5">
        <f t="shared" si="36"/>
        <v>-2.8890301433673216E-2</v>
      </c>
      <c r="K189" s="10">
        <f t="shared" si="37"/>
        <v>88.610534871561143</v>
      </c>
      <c r="L189" s="10">
        <f t="shared" si="38"/>
        <v>96.792611665726255</v>
      </c>
      <c r="M189" s="10">
        <f t="shared" si="39"/>
        <v>91.128719361693157</v>
      </c>
      <c r="N189" s="10">
        <f t="shared" si="40"/>
        <v>90.682844827007685</v>
      </c>
      <c r="O189" s="11">
        <f t="shared" si="41"/>
        <v>3112.2515275577584</v>
      </c>
      <c r="P189" s="11">
        <f t="shared" si="42"/>
        <v>2125.9167613537925</v>
      </c>
      <c r="Q189" s="11">
        <f t="shared" si="43"/>
        <v>3374.7214875868963</v>
      </c>
      <c r="R189" s="11">
        <f t="shared" si="44"/>
        <v>2697.7948276935422</v>
      </c>
      <c r="S189" s="27">
        <f t="shared" si="45"/>
        <v>11310.684604191989</v>
      </c>
    </row>
    <row r="190" spans="1:19" x14ac:dyDescent="0.25">
      <c r="A190" s="6">
        <f t="shared" si="32"/>
        <v>185</v>
      </c>
      <c r="B190" s="24">
        <v>45156</v>
      </c>
      <c r="C190" s="32" cm="1">
        <f t="array" ref="C190" xml:space="preserve"> BonoM(100,C$2,C$1 - $B190,Portafolio!C190)</f>
        <v>89.768496019027467</v>
      </c>
      <c r="D190" s="32" cm="1">
        <f t="array" ref="D190" xml:space="preserve"> BonoM(100,D$2,D$1 - $B190,Portafolio!D190)</f>
        <v>97.637269688549608</v>
      </c>
      <c r="E190" s="32" cm="1">
        <f t="array" ref="E190" xml:space="preserve"> BonoM(100,E$2,E$1 - $B190,Portafolio!E190)</f>
        <v>92.529762398419848</v>
      </c>
      <c r="F190" s="32" cm="1">
        <f t="array" ref="F190" xml:space="preserve"> BonoM(100,F$2,F$1 - $B190,Portafolio!F190)</f>
        <v>94.420438583664009</v>
      </c>
      <c r="G190" s="5">
        <f t="shared" si="33"/>
        <v>-1.2589965241759371E-3</v>
      </c>
      <c r="H190" s="5">
        <f t="shared" si="34"/>
        <v>-2.842666242379277E-3</v>
      </c>
      <c r="I190" s="5">
        <f t="shared" si="35"/>
        <v>-4.2112797660199819E-3</v>
      </c>
      <c r="J190" s="5">
        <f t="shared" si="36"/>
        <v>-5.4075662979354844E-3</v>
      </c>
      <c r="K190" s="10">
        <f t="shared" si="37"/>
        <v>89.440893671819808</v>
      </c>
      <c r="L190" s="10">
        <f t="shared" si="38"/>
        <v>97.930711569060492</v>
      </c>
      <c r="M190" s="10">
        <f t="shared" si="39"/>
        <v>92.425205625377075</v>
      </c>
      <c r="N190" s="10">
        <f t="shared" si="40"/>
        <v>92.875677654824813</v>
      </c>
      <c r="O190" s="11">
        <f t="shared" si="41"/>
        <v>372.06748670416374</v>
      </c>
      <c r="P190" s="11">
        <f t="shared" si="42"/>
        <v>418.76690635243818</v>
      </c>
      <c r="Q190" s="11">
        <f t="shared" si="43"/>
        <v>781.74896021906193</v>
      </c>
      <c r="R190" s="11">
        <f t="shared" si="44"/>
        <v>504.96199987641432</v>
      </c>
      <c r="S190" s="27">
        <f t="shared" si="45"/>
        <v>2077.545353152078</v>
      </c>
    </row>
    <row r="191" spans="1:19" x14ac:dyDescent="0.25">
      <c r="A191" s="6">
        <f t="shared" si="32"/>
        <v>186</v>
      </c>
      <c r="B191" s="24">
        <v>45155</v>
      </c>
      <c r="C191" s="32" cm="1">
        <f t="array" ref="C191" xml:space="preserve"> BonoM(100,C$2,C$1 - $B191,Portafolio!C191)</f>
        <v>89.881656712415577</v>
      </c>
      <c r="D191" s="32" cm="1">
        <f t="array" ref="D191" xml:space="preserve"> BonoM(100,D$2,D$1 - $B191,Portafolio!D191)</f>
        <v>97.915611090799359</v>
      </c>
      <c r="E191" s="32" cm="1">
        <f t="array" ref="E191" xml:space="preserve"> BonoM(100,E$2,E$1 - $B191,Portafolio!E191)</f>
        <v>92.921079058495636</v>
      </c>
      <c r="F191" s="32" cm="1">
        <f t="array" ref="F191" xml:space="preserve"> BonoM(100,F$2,F$1 - $B191,Portafolio!F191)</f>
        <v>94.933799397822639</v>
      </c>
      <c r="G191" s="5">
        <f t="shared" si="33"/>
        <v>-2.7864182653076774E-3</v>
      </c>
      <c r="H191" s="5">
        <f t="shared" si="34"/>
        <v>-4.6185817233447279E-3</v>
      </c>
      <c r="I191" s="5">
        <f t="shared" si="35"/>
        <v>-4.7795951156597294E-3</v>
      </c>
      <c r="J191" s="5">
        <f t="shared" si="36"/>
        <v>-7.0465130835891676E-3</v>
      </c>
      <c r="K191" s="10">
        <f t="shared" si="37"/>
        <v>89.304107492955481</v>
      </c>
      <c r="L191" s="10">
        <f t="shared" si="38"/>
        <v>97.756299105901761</v>
      </c>
      <c r="M191" s="10">
        <f t="shared" si="39"/>
        <v>92.372456822359737</v>
      </c>
      <c r="N191" s="10">
        <f t="shared" si="40"/>
        <v>92.722631755620455</v>
      </c>
      <c r="O191" s="11">
        <f t="shared" si="41"/>
        <v>823.46187695644198</v>
      </c>
      <c r="P191" s="11">
        <f t="shared" si="42"/>
        <v>680.38560109053492</v>
      </c>
      <c r="Q191" s="11">
        <f t="shared" si="43"/>
        <v>887.24656625373655</v>
      </c>
      <c r="R191" s="11">
        <f t="shared" si="44"/>
        <v>658.00789908077206</v>
      </c>
      <c r="S191" s="27">
        <f t="shared" si="45"/>
        <v>3049.1019433814854</v>
      </c>
    </row>
    <row r="192" spans="1:19" x14ac:dyDescent="0.25">
      <c r="A192" s="6">
        <f t="shared" si="32"/>
        <v>187</v>
      </c>
      <c r="B192" s="24">
        <v>45154</v>
      </c>
      <c r="C192" s="32" cm="1">
        <f t="array" ref="C192" xml:space="preserve"> BonoM(100,C$2,C$1 - $B192,Portafolio!C192)</f>
        <v>90.132804404912832</v>
      </c>
      <c r="D192" s="32" cm="1">
        <f t="array" ref="D192" xml:space="preserve"> BonoM(100,D$2,D$1 - $B192,Portafolio!D192)</f>
        <v>98.369940701047724</v>
      </c>
      <c r="E192" s="32" cm="1">
        <f t="array" ref="E192" xml:space="preserve"> BonoM(100,E$2,E$1 - $B192,Portafolio!E192)</f>
        <v>93.367337126989952</v>
      </c>
      <c r="F192" s="32" cm="1">
        <f t="array" ref="F192" xml:space="preserve"> BonoM(100,F$2,F$1 - $B192,Portafolio!F192)</f>
        <v>95.607498889637711</v>
      </c>
      <c r="G192" s="5">
        <f t="shared" si="33"/>
        <v>-8.3952459052694106E-4</v>
      </c>
      <c r="H192" s="5">
        <f t="shared" si="34"/>
        <v>-2.8577791859898394E-3</v>
      </c>
      <c r="I192" s="5">
        <f t="shared" si="35"/>
        <v>-3.1130828932903754E-3</v>
      </c>
      <c r="J192" s="5">
        <f t="shared" si="36"/>
        <v>-5.6479544041831975E-4</v>
      </c>
      <c r="K192" s="10">
        <f t="shared" si="37"/>
        <v>89.4784589109411</v>
      </c>
      <c r="L192" s="10">
        <f t="shared" si="38"/>
        <v>97.929227328538374</v>
      </c>
      <c r="M192" s="10">
        <f t="shared" si="39"/>
        <v>92.527135954287942</v>
      </c>
      <c r="N192" s="10">
        <f t="shared" si="40"/>
        <v>93.327898695200901</v>
      </c>
      <c r="O192" s="11">
        <f t="shared" si="41"/>
        <v>248.10219760389884</v>
      </c>
      <c r="P192" s="11">
        <f t="shared" si="42"/>
        <v>420.99326713561425</v>
      </c>
      <c r="Q192" s="11">
        <f t="shared" si="43"/>
        <v>577.88830239732647</v>
      </c>
      <c r="R192" s="11">
        <f t="shared" si="44"/>
        <v>52.740959500326312</v>
      </c>
      <c r="S192" s="27">
        <f t="shared" si="45"/>
        <v>1299.724726637166</v>
      </c>
    </row>
    <row r="193" spans="1:19" x14ac:dyDescent="0.25">
      <c r="A193" s="6">
        <f t="shared" si="32"/>
        <v>188</v>
      </c>
      <c r="B193" s="24">
        <v>45153</v>
      </c>
      <c r="C193" s="32" cm="1">
        <f t="array" ref="C193" xml:space="preserve"> BonoM(100,C$2,C$1 - $B193,Portafolio!C193)</f>
        <v>90.208536689739319</v>
      </c>
      <c r="D193" s="32" cm="1">
        <f t="array" ref="D193" xml:space="preserve"> BonoM(100,D$2,D$1 - $B193,Portafolio!D193)</f>
        <v>98.651865950219317</v>
      </c>
      <c r="E193" s="32" cm="1">
        <f t="array" ref="E193" xml:space="preserve"> BonoM(100,E$2,E$1 - $B193,Portafolio!E193)</f>
        <v>93.658905062143219</v>
      </c>
      <c r="F193" s="32" cm="1">
        <f t="array" ref="F193" xml:space="preserve"> BonoM(100,F$2,F$1 - $B193,Portafolio!F193)</f>
        <v>95.661528084523297</v>
      </c>
      <c r="G193" s="5">
        <f t="shared" si="33"/>
        <v>-1.6845591279146532E-4</v>
      </c>
      <c r="H193" s="5">
        <f t="shared" si="34"/>
        <v>1.5848557625186555E-3</v>
      </c>
      <c r="I193" s="5">
        <f t="shared" si="35"/>
        <v>1.3731798653213723E-3</v>
      </c>
      <c r="J193" s="5">
        <f t="shared" si="36"/>
        <v>-1.3814530836820937E-3</v>
      </c>
      <c r="K193" s="10">
        <f t="shared" si="37"/>
        <v>89.538555554658487</v>
      </c>
      <c r="L193" s="10">
        <f t="shared" si="38"/>
        <v>98.365538015949681</v>
      </c>
      <c r="M193" s="10">
        <f t="shared" si="39"/>
        <v>92.943533277865512</v>
      </c>
      <c r="N193" s="10">
        <f t="shared" si="40"/>
        <v>93.25163868209404</v>
      </c>
      <c r="O193" s="11">
        <f t="shared" si="41"/>
        <v>49.783273336522882</v>
      </c>
      <c r="P193" s="11">
        <f t="shared" si="42"/>
        <v>-233.47276398134653</v>
      </c>
      <c r="Q193" s="11">
        <f t="shared" si="43"/>
        <v>-254.90634475781349</v>
      </c>
      <c r="R193" s="11">
        <f t="shared" si="44"/>
        <v>129.00097260718724</v>
      </c>
      <c r="S193" s="27">
        <f t="shared" si="45"/>
        <v>-309.5948627954499</v>
      </c>
    </row>
    <row r="194" spans="1:19" x14ac:dyDescent="0.25">
      <c r="A194" s="6">
        <f t="shared" si="32"/>
        <v>189</v>
      </c>
      <c r="B194" s="24">
        <v>45152</v>
      </c>
      <c r="C194" s="32" cm="1">
        <f t="array" ref="C194" xml:space="preserve"> BonoM(100,C$2,C$1 - $B194,Portafolio!C194)</f>
        <v>90.223735411443513</v>
      </c>
      <c r="D194" s="32" cm="1">
        <f t="array" ref="D194" xml:space="preserve"> BonoM(100,D$2,D$1 - $B194,Portafolio!D194)</f>
        <v>98.495764370473083</v>
      </c>
      <c r="E194" s="32" cm="1">
        <f t="array" ref="E194" xml:space="preserve"> BonoM(100,E$2,E$1 - $B194,Portafolio!E194)</f>
        <v>93.530470902705588</v>
      </c>
      <c r="F194" s="32" cm="1">
        <f t="array" ref="F194" xml:space="preserve"> BonoM(100,F$2,F$1 - $B194,Portafolio!F194)</f>
        <v>95.79386281170234</v>
      </c>
      <c r="G194" s="5">
        <f t="shared" si="33"/>
        <v>8.2132376400407825E-3</v>
      </c>
      <c r="H194" s="5">
        <f t="shared" si="34"/>
        <v>1.0563333478639469E-2</v>
      </c>
      <c r="I194" s="5">
        <f t="shared" si="35"/>
        <v>1.3495998618331839E-2</v>
      </c>
      <c r="J194" s="5">
        <f t="shared" si="36"/>
        <v>2.6015742360951055E-2</v>
      </c>
      <c r="K194" s="10">
        <f t="shared" si="37"/>
        <v>90.289166733372141</v>
      </c>
      <c r="L194" s="10">
        <f t="shared" si="38"/>
        <v>99.247313320387633</v>
      </c>
      <c r="M194" s="10">
        <f t="shared" si="39"/>
        <v>94.068725794349234</v>
      </c>
      <c r="N194" s="10">
        <f t="shared" si="40"/>
        <v>95.810006317458743</v>
      </c>
      <c r="O194" s="11">
        <f t="shared" si="41"/>
        <v>-2427.2336164185376</v>
      </c>
      <c r="P194" s="11">
        <f t="shared" si="42"/>
        <v>-1556.1357206382738</v>
      </c>
      <c r="Q194" s="11">
        <f t="shared" si="43"/>
        <v>-2505.291377725257</v>
      </c>
      <c r="R194" s="11">
        <f t="shared" si="44"/>
        <v>-2429.3666627575162</v>
      </c>
      <c r="S194" s="27">
        <f t="shared" si="45"/>
        <v>-8918.0273775395854</v>
      </c>
    </row>
    <row r="195" spans="1:19" x14ac:dyDescent="0.25">
      <c r="A195" s="6">
        <f t="shared" si="32"/>
        <v>190</v>
      </c>
      <c r="B195" s="24">
        <v>45150</v>
      </c>
      <c r="C195" s="32" cm="1">
        <f t="array" ref="C195" xml:space="preserve"> BonoM(100,C$2,C$1 - $B195,Portafolio!C195)</f>
        <v>89.48874309826887</v>
      </c>
      <c r="D195" s="32" cm="1">
        <f t="array" ref="D195" xml:space="preserve"> BonoM(100,D$2,D$1 - $B195,Portafolio!D195)</f>
        <v>97.4661964346394</v>
      </c>
      <c r="E195" s="32" cm="1">
        <f t="array" ref="E195" xml:space="preserve"> BonoM(100,E$2,E$1 - $B195,Portafolio!E195)</f>
        <v>92.284992767818352</v>
      </c>
      <c r="F195" s="32" cm="1">
        <f t="array" ref="F195" xml:space="preserve"> BonoM(100,F$2,F$1 - $B195,Portafolio!F195)</f>
        <v>93.364905485048766</v>
      </c>
      <c r="G195" s="5">
        <f t="shared" si="33"/>
        <v>-1.0720416278265255E-2</v>
      </c>
      <c r="H195" s="5">
        <f t="shared" si="34"/>
        <v>-1.4998393298555568E-2</v>
      </c>
      <c r="I195" s="5">
        <f t="shared" si="35"/>
        <v>-1.8121775684509789E-2</v>
      </c>
      <c r="J195" s="5">
        <f t="shared" si="36"/>
        <v>-2.781195265842662E-2</v>
      </c>
      <c r="K195" s="10">
        <f t="shared" si="37"/>
        <v>88.593589080073926</v>
      </c>
      <c r="L195" s="10">
        <f t="shared" si="38"/>
        <v>96.73689895800068</v>
      </c>
      <c r="M195" s="10">
        <f t="shared" si="39"/>
        <v>91.134087921899479</v>
      </c>
      <c r="N195" s="10">
        <f t="shared" si="40"/>
        <v>90.783541725411084</v>
      </c>
      <c r="O195" s="11">
        <f t="shared" si="41"/>
        <v>3168.1726394655739</v>
      </c>
      <c r="P195" s="11">
        <f t="shared" si="42"/>
        <v>2209.4858229421561</v>
      </c>
      <c r="Q195" s="11">
        <f t="shared" si="43"/>
        <v>3363.9843671742537</v>
      </c>
      <c r="R195" s="11">
        <f t="shared" si="44"/>
        <v>2597.0979292901434</v>
      </c>
      <c r="S195" s="27">
        <f t="shared" si="45"/>
        <v>11338.740758872125</v>
      </c>
    </row>
    <row r="196" spans="1:19" x14ac:dyDescent="0.25">
      <c r="A196" s="6">
        <f t="shared" si="32"/>
        <v>191</v>
      </c>
      <c r="B196" s="24">
        <v>45149</v>
      </c>
      <c r="C196" s="32" cm="1">
        <f t="array" ref="C196" xml:space="preserve"> BonoM(100,C$2,C$1 - $B196,Portafolio!C196)</f>
        <v>90.458495829466472</v>
      </c>
      <c r="D196" s="32" cm="1">
        <f t="array" ref="D196" xml:space="preserve"> BonoM(100,D$2,D$1 - $B196,Portafolio!D196)</f>
        <v>98.950291828489938</v>
      </c>
      <c r="E196" s="32" cm="1">
        <f t="array" ref="E196" xml:space="preserve"> BonoM(100,E$2,E$1 - $B196,Portafolio!E196)</f>
        <v>93.988226322214459</v>
      </c>
      <c r="F196" s="32" cm="1">
        <f t="array" ref="F196" xml:space="preserve"> BonoM(100,F$2,F$1 - $B196,Portafolio!F196)</f>
        <v>96.03584999872507</v>
      </c>
      <c r="G196" s="5">
        <f t="shared" si="33"/>
        <v>-2.201221391943009E-3</v>
      </c>
      <c r="H196" s="5">
        <f t="shared" si="34"/>
        <v>-2.8771963257951949E-3</v>
      </c>
      <c r="I196" s="5">
        <f t="shared" si="35"/>
        <v>-4.256905517378673E-3</v>
      </c>
      <c r="J196" s="5">
        <f t="shared" si="36"/>
        <v>-4.6605631956935234E-3</v>
      </c>
      <c r="K196" s="10">
        <f t="shared" si="37"/>
        <v>89.356514003898283</v>
      </c>
      <c r="L196" s="10">
        <f t="shared" si="38"/>
        <v>97.927320373383566</v>
      </c>
      <c r="M196" s="10">
        <f t="shared" si="39"/>
        <v>92.420970821984099</v>
      </c>
      <c r="N196" s="10">
        <f t="shared" si="40"/>
        <v>92.945433282336211</v>
      </c>
      <c r="O196" s="11">
        <f t="shared" si="41"/>
        <v>650.5203908451947</v>
      </c>
      <c r="P196" s="11">
        <f t="shared" si="42"/>
        <v>423.85369986782706</v>
      </c>
      <c r="Q196" s="11">
        <f t="shared" si="43"/>
        <v>790.21856700501303</v>
      </c>
      <c r="R196" s="11">
        <f t="shared" si="44"/>
        <v>435.20637236501614</v>
      </c>
      <c r="S196" s="27">
        <f t="shared" si="45"/>
        <v>2299.7990300830511</v>
      </c>
    </row>
    <row r="197" spans="1:19" x14ac:dyDescent="0.25">
      <c r="A197" s="6">
        <f t="shared" ref="A197:A255" si="46">+A198-1</f>
        <v>192</v>
      </c>
      <c r="B197" s="24">
        <v>45148</v>
      </c>
      <c r="C197" s="32" cm="1">
        <f t="array" ref="C197" xml:space="preserve"> BonoM(100,C$2,C$1 - $B197,Portafolio!C197)</f>
        <v>90.658054277894905</v>
      </c>
      <c r="D197" s="32" cm="1">
        <f t="array" ref="D197" xml:space="preserve"> BonoM(100,D$2,D$1 - $B197,Portafolio!D197)</f>
        <v>99.23581274430515</v>
      </c>
      <c r="E197" s="32" cm="1">
        <f t="array" ref="E197" xml:space="preserve"> BonoM(100,E$2,E$1 - $B197,Portafolio!E197)</f>
        <v>94.390035786338899</v>
      </c>
      <c r="F197" s="32" cm="1">
        <f t="array" ref="F197" xml:space="preserve"> BonoM(100,F$2,F$1 - $B197,Portafolio!F197)</f>
        <v>96.48552689428567</v>
      </c>
      <c r="G197" s="5">
        <f t="shared" si="33"/>
        <v>-3.6109095657477219E-4</v>
      </c>
      <c r="H197" s="5">
        <f t="shared" si="34"/>
        <v>-1.5438488475109091E-3</v>
      </c>
      <c r="I197" s="5">
        <f t="shared" si="35"/>
        <v>-3.2031500481766173E-4</v>
      </c>
      <c r="J197" s="5">
        <f t="shared" si="36"/>
        <v>-3.8556481455371827E-3</v>
      </c>
      <c r="K197" s="10">
        <f t="shared" si="37"/>
        <v>89.521304385027392</v>
      </c>
      <c r="L197" s="10">
        <f t="shared" si="38"/>
        <v>98.058268281899799</v>
      </c>
      <c r="M197" s="10">
        <f t="shared" si="39"/>
        <v>92.786349722340461</v>
      </c>
      <c r="N197" s="10">
        <f t="shared" si="40"/>
        <v>93.020596764587509</v>
      </c>
      <c r="O197" s="11">
        <f t="shared" si="41"/>
        <v>106.7121331191359</v>
      </c>
      <c r="P197" s="11">
        <f t="shared" si="42"/>
        <v>227.43183709347647</v>
      </c>
      <c r="Q197" s="11">
        <f t="shared" si="43"/>
        <v>59.460766292289691</v>
      </c>
      <c r="R197" s="11">
        <f t="shared" si="44"/>
        <v>360.04289011371782</v>
      </c>
      <c r="S197" s="27">
        <f t="shared" si="45"/>
        <v>753.64762661861982</v>
      </c>
    </row>
    <row r="198" spans="1:19" x14ac:dyDescent="0.25">
      <c r="A198" s="6">
        <f t="shared" si="46"/>
        <v>193</v>
      </c>
      <c r="B198" s="24">
        <v>45147</v>
      </c>
      <c r="C198" s="32" cm="1">
        <f t="array" ref="C198" xml:space="preserve"> BonoM(100,C$2,C$1 - $B198,Portafolio!C198)</f>
        <v>90.690801906307783</v>
      </c>
      <c r="D198" s="32" cm="1">
        <f t="array" ref="D198" xml:space="preserve"> BonoM(100,D$2,D$1 - $B198,Portafolio!D198)</f>
        <v>99.389254730676072</v>
      </c>
      <c r="E198" s="32" cm="1">
        <f t="array" ref="E198" xml:space="preserve"> BonoM(100,E$2,E$1 - $B198,Portafolio!E198)</f>
        <v>94.420280018788006</v>
      </c>
      <c r="F198" s="32" cm="1">
        <f t="array" ref="F198" xml:space="preserve"> BonoM(100,F$2,F$1 - $B198,Portafolio!F198)</f>
        <v>96.858981044930175</v>
      </c>
      <c r="G198" s="5">
        <f t="shared" ref="G198:G256" si="47" xml:space="preserve"> C198/C199 - 1</f>
        <v>2.7229965720438898E-3</v>
      </c>
      <c r="H198" s="5">
        <f t="shared" ref="H198:H256" si="48" xml:space="preserve"> D198/D199 - 1</f>
        <v>5.1784450803789017E-3</v>
      </c>
      <c r="I198" s="5">
        <f t="shared" ref="I198:I256" si="49" xml:space="preserve"> E198/E199 - 1</f>
        <v>5.9074132054777184E-3</v>
      </c>
      <c r="J198" s="5">
        <f t="shared" ref="J198:J256" si="50" xml:space="preserve"> F198/F199 - 1</f>
        <v>6.0181809682888776E-3</v>
      </c>
      <c r="K198" s="10">
        <f t="shared" ref="K198:K256" si="51" xml:space="preserve"> C$5 * (1 + G198)</f>
        <v>89.7974956535963</v>
      </c>
      <c r="L198" s="10">
        <f t="shared" ref="L198:L256" si="52" xml:space="preserve"> D$5 * (1 + H198)</f>
        <v>98.718464025788947</v>
      </c>
      <c r="M198" s="10">
        <f t="shared" ref="M198:M256" si="53" xml:space="preserve"> E$5 * (1 + I198)</f>
        <v>93.364383042782435</v>
      </c>
      <c r="N198" s="10">
        <f t="shared" ref="N198:N256" si="54" xml:space="preserve"> F$5 * (1 + J198)</f>
        <v>93.942621243077795</v>
      </c>
      <c r="O198" s="11">
        <f t="shared" ref="O198:O256" si="55" xml:space="preserve"> (C$5 - K198) * O$2</f>
        <v>-804.71905315826143</v>
      </c>
      <c r="P198" s="11">
        <f t="shared" ref="P198:P256" si="56" xml:space="preserve"> (D$5 - L198) * P$2</f>
        <v>-762.86177874024474</v>
      </c>
      <c r="Q198" s="11">
        <f t="shared" ref="Q198:Q256" si="57" xml:space="preserve"> (E$5 - M198) * Q$2</f>
        <v>-1096.6058745916598</v>
      </c>
      <c r="R198" s="11">
        <f t="shared" ref="R198:R256" si="58" xml:space="preserve"> (F$5 - N198) * R$2</f>
        <v>-561.9815883765682</v>
      </c>
      <c r="S198" s="27">
        <f t="shared" ref="S198:S256" si="59" xml:space="preserve"> SUM(O198:R198)</f>
        <v>-3226.1682948667344</v>
      </c>
    </row>
    <row r="199" spans="1:19" x14ac:dyDescent="0.25">
      <c r="A199" s="6">
        <f t="shared" si="46"/>
        <v>194</v>
      </c>
      <c r="B199" s="24">
        <v>45146</v>
      </c>
      <c r="C199" s="32" cm="1">
        <f t="array" ref="C199" xml:space="preserve"> BonoM(100,C$2,C$1 - $B199,Portafolio!C199)</f>
        <v>90.444521783531087</v>
      </c>
      <c r="D199" s="32" cm="1">
        <f t="array" ref="D199" xml:space="preserve"> BonoM(100,D$2,D$1 - $B199,Portafolio!D199)</f>
        <v>98.877224454140006</v>
      </c>
      <c r="E199" s="32" cm="1">
        <f t="array" ref="E199" xml:space="preserve"> BonoM(100,E$2,E$1 - $B199,Portafolio!E199)</f>
        <v>93.865776093550551</v>
      </c>
      <c r="F199" s="32" cm="1">
        <f t="array" ref="F199" xml:space="preserve"> BonoM(100,F$2,F$1 - $B199,Portafolio!F199)</f>
        <v>96.27955326980647</v>
      </c>
      <c r="G199" s="5">
        <f t="shared" si="47"/>
        <v>1.1818463934334389E-3</v>
      </c>
      <c r="H199" s="5">
        <f t="shared" si="48"/>
        <v>1.5894796877105044E-3</v>
      </c>
      <c r="I199" s="5">
        <f t="shared" si="49"/>
        <v>1.3763260954613443E-3</v>
      </c>
      <c r="J199" s="5">
        <f t="shared" si="50"/>
        <v>6.0061859713202992E-3</v>
      </c>
      <c r="K199" s="10">
        <f t="shared" si="51"/>
        <v>89.659480043165075</v>
      </c>
      <c r="L199" s="10">
        <f t="shared" si="52"/>
        <v>98.365992131131861</v>
      </c>
      <c r="M199" s="10">
        <f t="shared" si="53"/>
        <v>92.943825298614215</v>
      </c>
      <c r="N199" s="10">
        <f t="shared" si="54"/>
        <v>93.941501142588208</v>
      </c>
      <c r="O199" s="11">
        <f t="shared" si="55"/>
        <v>-349.26753873521932</v>
      </c>
      <c r="P199" s="11">
        <f t="shared" si="56"/>
        <v>-234.15393675461615</v>
      </c>
      <c r="Q199" s="11">
        <f t="shared" si="57"/>
        <v>-255.49038625521803</v>
      </c>
      <c r="R199" s="11">
        <f t="shared" si="58"/>
        <v>-560.86148788698154</v>
      </c>
      <c r="S199" s="27">
        <f t="shared" si="59"/>
        <v>-1399.7733496320352</v>
      </c>
    </row>
    <row r="200" spans="1:19" x14ac:dyDescent="0.25">
      <c r="A200" s="6">
        <f t="shared" si="46"/>
        <v>195</v>
      </c>
      <c r="B200" s="24">
        <v>45145</v>
      </c>
      <c r="C200" s="32" cm="1">
        <f t="array" ref="C200" xml:space="preserve"> BonoM(100,C$2,C$1 - $B200,Portafolio!C200)</f>
        <v>90.337756431901184</v>
      </c>
      <c r="D200" s="32" cm="1">
        <f t="array" ref="D200" xml:space="preserve"> BonoM(100,D$2,D$1 - $B200,Portafolio!D200)</f>
        <v>98.720310525794787</v>
      </c>
      <c r="E200" s="32" cm="1">
        <f t="array" ref="E200" xml:space="preserve"> BonoM(100,E$2,E$1 - $B200,Portafolio!E200)</f>
        <v>93.736763739511773</v>
      </c>
      <c r="F200" s="32" cm="1">
        <f t="array" ref="F200" xml:space="preserve"> BonoM(100,F$2,F$1 - $B200,Portafolio!F200)</f>
        <v>95.704732845997881</v>
      </c>
      <c r="G200" s="5">
        <f t="shared" si="47"/>
        <v>9.2862292125936996E-3</v>
      </c>
      <c r="H200" s="5">
        <f t="shared" si="48"/>
        <v>1.0837269242850001E-2</v>
      </c>
      <c r="I200" s="5">
        <f t="shared" si="49"/>
        <v>1.3778621866722851E-2</v>
      </c>
      <c r="J200" s="5">
        <f t="shared" si="50"/>
        <v>1.8704664868586462E-2</v>
      </c>
      <c r="K200" s="10">
        <f t="shared" si="51"/>
        <v>90.385257035880471</v>
      </c>
      <c r="L200" s="10">
        <f t="shared" si="52"/>
        <v>99.274216521522675</v>
      </c>
      <c r="M200" s="10">
        <f t="shared" si="53"/>
        <v>94.094957776411562</v>
      </c>
      <c r="N200" s="10">
        <f t="shared" si="54"/>
        <v>95.127293224656654</v>
      </c>
      <c r="O200" s="11">
        <f t="shared" si="55"/>
        <v>-2744.3316146960256</v>
      </c>
      <c r="P200" s="11">
        <f t="shared" si="56"/>
        <v>-1596.4905223408366</v>
      </c>
      <c r="Q200" s="11">
        <f t="shared" si="57"/>
        <v>-2557.7553418499119</v>
      </c>
      <c r="R200" s="11">
        <f t="shared" si="58"/>
        <v>-1746.653569955427</v>
      </c>
      <c r="S200" s="27">
        <f t="shared" si="59"/>
        <v>-8645.2310488422008</v>
      </c>
    </row>
    <row r="201" spans="1:19" x14ac:dyDescent="0.25">
      <c r="A201" s="6">
        <f t="shared" si="46"/>
        <v>196</v>
      </c>
      <c r="B201" s="24">
        <v>45143</v>
      </c>
      <c r="C201" s="32" cm="1">
        <f t="array" ref="C201" xml:space="preserve"> BonoM(100,C$2,C$1 - $B201,Portafolio!C201)</f>
        <v>89.506577834098877</v>
      </c>
      <c r="D201" s="32" cm="1">
        <f t="array" ref="D201" xml:space="preserve"> BonoM(100,D$2,D$1 - $B201,Portafolio!D201)</f>
        <v>97.661921982496267</v>
      </c>
      <c r="E201" s="32" cm="1">
        <f t="array" ref="E201" xml:space="preserve"> BonoM(100,E$2,E$1 - $B201,Portafolio!E201)</f>
        <v>92.46275440974425</v>
      </c>
      <c r="F201" s="32" cm="1">
        <f t="array" ref="F201" xml:space="preserve"> BonoM(100,F$2,F$1 - $B201,Portafolio!F201)</f>
        <v>93.947476777623123</v>
      </c>
      <c r="G201" s="5">
        <f t="shared" si="47"/>
        <v>-1.0273547091382618E-2</v>
      </c>
      <c r="H201" s="5">
        <f t="shared" si="48"/>
        <v>-1.3973883969363721E-2</v>
      </c>
      <c r="I201" s="5">
        <f t="shared" si="49"/>
        <v>-1.7869912180582315E-2</v>
      </c>
      <c r="J201" s="5">
        <f t="shared" si="50"/>
        <v>-2.7264079645827444E-2</v>
      </c>
      <c r="K201" s="10">
        <f t="shared" si="51"/>
        <v>88.633607842986521</v>
      </c>
      <c r="L201" s="10">
        <f t="shared" si="52"/>
        <v>96.837515906019121</v>
      </c>
      <c r="M201" s="10">
        <f t="shared" si="53"/>
        <v>91.157464905055662</v>
      </c>
      <c r="N201" s="10">
        <f t="shared" si="54"/>
        <v>90.834702457777141</v>
      </c>
      <c r="O201" s="11">
        <f t="shared" si="55"/>
        <v>3036.1107218540101</v>
      </c>
      <c r="P201" s="11">
        <f t="shared" si="56"/>
        <v>2058.5604009144945</v>
      </c>
      <c r="Q201" s="11">
        <f t="shared" si="57"/>
        <v>3317.230400861888</v>
      </c>
      <c r="R201" s="11">
        <f t="shared" si="58"/>
        <v>2545.9371969240865</v>
      </c>
      <c r="S201" s="27">
        <f t="shared" si="59"/>
        <v>10957.838720554479</v>
      </c>
    </row>
    <row r="202" spans="1:19" x14ac:dyDescent="0.25">
      <c r="A202" s="6">
        <f t="shared" si="46"/>
        <v>197</v>
      </c>
      <c r="B202" s="24">
        <v>45142</v>
      </c>
      <c r="C202" s="32" cm="1">
        <f t="array" ref="C202" xml:space="preserve"> BonoM(100,C$2,C$1 - $B202,Portafolio!C202)</f>
        <v>90.43567297919148</v>
      </c>
      <c r="D202" s="32" cm="1">
        <f t="array" ref="D202" xml:space="preserve"> BonoM(100,D$2,D$1 - $B202,Portafolio!D202)</f>
        <v>99.045979000683857</v>
      </c>
      <c r="E202" s="32" cm="1">
        <f t="array" ref="E202" xml:space="preserve"> BonoM(100,E$2,E$1 - $B202,Portafolio!E202)</f>
        <v>94.145119426119436</v>
      </c>
      <c r="F202" s="32" cm="1">
        <f t="array" ref="F202" xml:space="preserve"> BonoM(100,F$2,F$1 - $B202,Portafolio!F202)</f>
        <v>96.58065957245303</v>
      </c>
      <c r="G202" s="5">
        <f t="shared" si="47"/>
        <v>-6.7267740945609056E-4</v>
      </c>
      <c r="H202" s="5">
        <f t="shared" si="48"/>
        <v>-6.5283183033026937E-4</v>
      </c>
      <c r="I202" s="5">
        <f t="shared" si="49"/>
        <v>-3.2119409834296953E-4</v>
      </c>
      <c r="J202" s="5">
        <f t="shared" si="50"/>
        <v>-1.4008232867686043E-3</v>
      </c>
      <c r="K202" s="10">
        <f t="shared" si="51"/>
        <v>89.493400683562498</v>
      </c>
      <c r="L202" s="10">
        <f t="shared" si="52"/>
        <v>98.145774964705637</v>
      </c>
      <c r="M202" s="10">
        <f t="shared" si="53"/>
        <v>92.786268128325389</v>
      </c>
      <c r="N202" s="10">
        <f t="shared" si="54"/>
        <v>93.249829880139572</v>
      </c>
      <c r="O202" s="11">
        <f t="shared" si="55"/>
        <v>198.7943479532845</v>
      </c>
      <c r="P202" s="11">
        <f t="shared" si="56"/>
        <v>96.171812884719543</v>
      </c>
      <c r="Q202" s="11">
        <f t="shared" si="57"/>
        <v>59.623954322432837</v>
      </c>
      <c r="R202" s="11">
        <f t="shared" si="58"/>
        <v>130.80977456165499</v>
      </c>
      <c r="S202" s="27">
        <f t="shared" si="59"/>
        <v>485.39988972209187</v>
      </c>
    </row>
    <row r="203" spans="1:19" x14ac:dyDescent="0.25">
      <c r="A203" s="6">
        <f t="shared" si="46"/>
        <v>198</v>
      </c>
      <c r="B203" s="24">
        <v>45141</v>
      </c>
      <c r="C203" s="32" cm="1">
        <f t="array" ref="C203" xml:space="preserve"> BonoM(100,C$2,C$1 - $B203,Portafolio!C203)</f>
        <v>90.49654796263971</v>
      </c>
      <c r="D203" s="32" cm="1">
        <f t="array" ref="D203" xml:space="preserve"> BonoM(100,D$2,D$1 - $B203,Portafolio!D203)</f>
        <v>99.110681608363521</v>
      </c>
      <c r="E203" s="32" cm="1">
        <f t="array" ref="E203" xml:space="preserve"> BonoM(100,E$2,E$1 - $B203,Portafolio!E203)</f>
        <v>94.175367998529836</v>
      </c>
      <c r="F203" s="32" cm="1">
        <f t="array" ref="F203" xml:space="preserve"> BonoM(100,F$2,F$1 - $B203,Portafolio!F203)</f>
        <v>96.716141796087399</v>
      </c>
      <c r="G203" s="5">
        <f t="shared" si="47"/>
        <v>-9.8407043807036132E-4</v>
      </c>
      <c r="H203" s="5">
        <f t="shared" si="48"/>
        <v>-2.0003562053295676E-3</v>
      </c>
      <c r="I203" s="5">
        <f t="shared" si="49"/>
        <v>-3.1508083485375371E-3</v>
      </c>
      <c r="J203" s="5">
        <f t="shared" si="50"/>
        <v>-8.8064796751320396E-3</v>
      </c>
      <c r="K203" s="10">
        <f t="shared" si="51"/>
        <v>89.465514303945056</v>
      </c>
      <c r="L203" s="10">
        <f t="shared" si="52"/>
        <v>98.013434744729466</v>
      </c>
      <c r="M203" s="10">
        <f t="shared" si="53"/>
        <v>92.523634425411714</v>
      </c>
      <c r="N203" s="10">
        <f t="shared" si="54"/>
        <v>92.55828494953127</v>
      </c>
      <c r="O203" s="11">
        <f t="shared" si="55"/>
        <v>290.81940069084311</v>
      </c>
      <c r="P203" s="11">
        <f t="shared" si="56"/>
        <v>294.68214284897698</v>
      </c>
      <c r="Q203" s="11">
        <f t="shared" si="57"/>
        <v>584.89136014978271</v>
      </c>
      <c r="R203" s="11">
        <f t="shared" si="58"/>
        <v>822.3547051699569</v>
      </c>
      <c r="S203" s="27">
        <f t="shared" si="59"/>
        <v>1992.7476088595599</v>
      </c>
    </row>
    <row r="204" spans="1:19" x14ac:dyDescent="0.25">
      <c r="A204" s="6">
        <f t="shared" si="46"/>
        <v>199</v>
      </c>
      <c r="B204" s="24">
        <v>45140</v>
      </c>
      <c r="C204" s="32" cm="1">
        <f t="array" ref="C204" xml:space="preserve"> BonoM(100,C$2,C$1 - $B204,Portafolio!C204)</f>
        <v>90.585690662933288</v>
      </c>
      <c r="D204" s="32" cm="1">
        <f t="array" ref="D204" xml:space="preserve"> BonoM(100,D$2,D$1 - $B204,Portafolio!D204)</f>
        <v>99.309335654186526</v>
      </c>
      <c r="E204" s="32" cm="1">
        <f t="array" ref="E204" xml:space="preserve"> BonoM(100,E$2,E$1 - $B204,Portafolio!E204)</f>
        <v>94.473034424104981</v>
      </c>
      <c r="F204" s="32" cm="1">
        <f t="array" ref="F204" xml:space="preserve"> BonoM(100,F$2,F$1 - $B204,Portafolio!F204)</f>
        <v>97.575437906805789</v>
      </c>
      <c r="G204" s="5">
        <f t="shared" si="47"/>
        <v>6.7584025895017774E-5</v>
      </c>
      <c r="H204" s="5">
        <f t="shared" si="48"/>
        <v>-2.4533141748668275E-3</v>
      </c>
      <c r="I204" s="5">
        <f t="shared" si="49"/>
        <v>-4.2888903711771897E-3</v>
      </c>
      <c r="J204" s="5">
        <f t="shared" si="50"/>
        <v>-2.241444018105998E-3</v>
      </c>
      <c r="K204" s="10">
        <f t="shared" si="51"/>
        <v>89.55969379068253</v>
      </c>
      <c r="L204" s="10">
        <f t="shared" si="52"/>
        <v>97.968949792590067</v>
      </c>
      <c r="M204" s="10">
        <f t="shared" si="53"/>
        <v>92.418002113231779</v>
      </c>
      <c r="N204" s="10">
        <f t="shared" si="54"/>
        <v>93.171332178540283</v>
      </c>
      <c r="O204" s="11">
        <f t="shared" si="55"/>
        <v>-19.97290554282074</v>
      </c>
      <c r="P204" s="11">
        <f t="shared" si="56"/>
        <v>361.40957105807558</v>
      </c>
      <c r="Q204" s="11">
        <f t="shared" si="57"/>
        <v>796.15598450965308</v>
      </c>
      <c r="R204" s="11">
        <f t="shared" si="58"/>
        <v>209.30747616094436</v>
      </c>
      <c r="S204" s="27">
        <f t="shared" si="59"/>
        <v>1346.9001261858523</v>
      </c>
    </row>
    <row r="205" spans="1:19" x14ac:dyDescent="0.25">
      <c r="A205" s="6">
        <f t="shared" si="46"/>
        <v>200</v>
      </c>
      <c r="B205" s="24">
        <v>45139</v>
      </c>
      <c r="C205" s="32" cm="1">
        <f t="array" ref="C205" xml:space="preserve"> BonoM(100,C$2,C$1 - $B205,Portafolio!C205)</f>
        <v>90.579568931001091</v>
      </c>
      <c r="D205" s="32" cm="1">
        <f t="array" ref="D205" xml:space="preserve"> BonoM(100,D$2,D$1 - $B205,Portafolio!D205)</f>
        <v>99.553571843147949</v>
      </c>
      <c r="E205" s="32" cm="1">
        <f t="array" ref="E205" xml:space="preserve"> BonoM(100,E$2,E$1 - $B205,Portafolio!E205)</f>
        <v>94.879964188932533</v>
      </c>
      <c r="F205" s="32" cm="1">
        <f t="array" ref="F205" xml:space="preserve"> BonoM(100,F$2,F$1 - $B205,Portafolio!F205)</f>
        <v>97.794639115654405</v>
      </c>
      <c r="G205" s="5">
        <f t="shared" si="47"/>
        <v>1.2934786371232576E-4</v>
      </c>
      <c r="H205" s="5">
        <f t="shared" si="48"/>
        <v>-1.1092685554323634E-3</v>
      </c>
      <c r="I205" s="5">
        <f t="shared" si="49"/>
        <v>-2.5982354000152474E-3</v>
      </c>
      <c r="J205" s="5">
        <f t="shared" si="50"/>
        <v>-5.5583298694633632E-3</v>
      </c>
      <c r="K205" s="10">
        <f t="shared" si="51"/>
        <v>89.565224967265607</v>
      </c>
      <c r="L205" s="10">
        <f t="shared" si="52"/>
        <v>98.100948364366587</v>
      </c>
      <c r="M205" s="10">
        <f t="shared" si="53"/>
        <v>92.574922080465882</v>
      </c>
      <c r="N205" s="10">
        <f t="shared" si="54"/>
        <v>92.861599256078904</v>
      </c>
      <c r="O205" s="11">
        <f t="shared" si="55"/>
        <v>-38.225788266973382</v>
      </c>
      <c r="P205" s="11">
        <f t="shared" si="56"/>
        <v>163.41171339329463</v>
      </c>
      <c r="Q205" s="11">
        <f t="shared" si="57"/>
        <v>482.3160500414474</v>
      </c>
      <c r="R205" s="11">
        <f t="shared" si="58"/>
        <v>519.0403986223231</v>
      </c>
      <c r="S205" s="27">
        <f t="shared" si="59"/>
        <v>1126.5423737900919</v>
      </c>
    </row>
    <row r="206" spans="1:19" x14ac:dyDescent="0.25">
      <c r="A206" s="6">
        <f t="shared" si="46"/>
        <v>201</v>
      </c>
      <c r="B206" s="24">
        <v>45138</v>
      </c>
      <c r="C206" s="32" cm="1">
        <f t="array" ref="C206" xml:space="preserve"> BonoM(100,C$2,C$1 - $B206,Portafolio!C206)</f>
        <v>90.567854172542866</v>
      </c>
      <c r="D206" s="32" cm="1">
        <f t="array" ref="D206" xml:space="preserve"> BonoM(100,D$2,D$1 - $B206,Portafolio!D206)</f>
        <v>99.664126124362355</v>
      </c>
      <c r="E206" s="32" cm="1">
        <f t="array" ref="E206" xml:space="preserve"> BonoM(100,E$2,E$1 - $B206,Portafolio!E206)</f>
        <v>95.127126857435258</v>
      </c>
      <c r="F206" s="32" cm="1">
        <f t="array" ref="F206" xml:space="preserve"> BonoM(100,F$2,F$1 - $B206,Portafolio!F206)</f>
        <v>98.341252235354602</v>
      </c>
      <c r="G206" s="5">
        <f t="shared" si="47"/>
        <v>1.3355889011299915E-2</v>
      </c>
      <c r="H206" s="5">
        <f t="shared" si="48"/>
        <v>1.6912398235938708E-2</v>
      </c>
      <c r="I206" s="5">
        <f t="shared" si="49"/>
        <v>2.1942894252532597E-2</v>
      </c>
      <c r="J206" s="5">
        <f t="shared" si="50"/>
        <v>3.2907581478163417E-2</v>
      </c>
      <c r="K206" s="10">
        <f t="shared" si="51"/>
        <v>90.749709890093712</v>
      </c>
      <c r="L206" s="10">
        <f t="shared" si="52"/>
        <v>99.870854268672431</v>
      </c>
      <c r="M206" s="10">
        <f t="shared" si="53"/>
        <v>94.85273353617589</v>
      </c>
      <c r="N206" s="10">
        <f t="shared" si="54"/>
        <v>96.453570662621331</v>
      </c>
      <c r="O206" s="11">
        <f t="shared" si="55"/>
        <v>-3947.0260335997195</v>
      </c>
      <c r="P206" s="11">
        <f t="shared" si="56"/>
        <v>-2491.4471430654712</v>
      </c>
      <c r="Q206" s="11">
        <f t="shared" si="57"/>
        <v>-4073.306861378569</v>
      </c>
      <c r="R206" s="11">
        <f t="shared" si="58"/>
        <v>-3072.9310079201041</v>
      </c>
      <c r="S206" s="27">
        <f t="shared" si="59"/>
        <v>-13584.711045963864</v>
      </c>
    </row>
    <row r="207" spans="1:19" x14ac:dyDescent="0.25">
      <c r="A207" s="6">
        <f t="shared" si="46"/>
        <v>202</v>
      </c>
      <c r="B207" s="24">
        <v>45136</v>
      </c>
      <c r="C207" s="32" cm="1">
        <f t="array" ref="C207" xml:space="preserve"> BonoM(100,C$2,C$1 - $B207,Portafolio!C207)</f>
        <v>89.37418251045753</v>
      </c>
      <c r="D207" s="32" cm="1">
        <f t="array" ref="D207" xml:space="preserve"> BonoM(100,D$2,D$1 - $B207,Portafolio!D207)</f>
        <v>98.006599484136487</v>
      </c>
      <c r="E207" s="32" cm="1">
        <f t="array" ref="E207" xml:space="preserve"> BonoM(100,E$2,E$1 - $B207,Portafolio!E207)</f>
        <v>93.08458172412162</v>
      </c>
      <c r="F207" s="32" cm="1">
        <f t="array" ref="F207" xml:space="preserve"> BonoM(100,F$2,F$1 - $B207,Portafolio!F207)</f>
        <v>95.208181253371521</v>
      </c>
      <c r="G207" s="5">
        <f t="shared" si="47"/>
        <v>-9.9682856206562143E-3</v>
      </c>
      <c r="H207" s="5">
        <f t="shared" si="48"/>
        <v>-1.4144324798282093E-2</v>
      </c>
      <c r="I207" s="5">
        <f t="shared" si="49"/>
        <v>-1.8312045982004865E-2</v>
      </c>
      <c r="J207" s="5">
        <f t="shared" si="50"/>
        <v>-2.5180257326606004E-2</v>
      </c>
      <c r="K207" s="10">
        <f t="shared" si="51"/>
        <v>88.66094511926768</v>
      </c>
      <c r="L207" s="10">
        <f t="shared" si="52"/>
        <v>96.820776931043625</v>
      </c>
      <c r="M207" s="10">
        <f t="shared" si="53"/>
        <v>91.116427778725495</v>
      </c>
      <c r="N207" s="10">
        <f t="shared" si="54"/>
        <v>91.029291118872777</v>
      </c>
      <c r="O207" s="11">
        <f t="shared" si="55"/>
        <v>2945.8977101261853</v>
      </c>
      <c r="P207" s="11">
        <f t="shared" si="56"/>
        <v>2083.6688633777385</v>
      </c>
      <c r="Q207" s="11">
        <f t="shared" si="57"/>
        <v>3399.304653522222</v>
      </c>
      <c r="R207" s="11">
        <f t="shared" si="58"/>
        <v>2351.3485358284497</v>
      </c>
      <c r="S207" s="27">
        <f t="shared" si="59"/>
        <v>10780.219762854595</v>
      </c>
    </row>
    <row r="208" spans="1:19" x14ac:dyDescent="0.25">
      <c r="A208" s="6">
        <f t="shared" si="46"/>
        <v>203</v>
      </c>
      <c r="B208" s="24">
        <v>45135</v>
      </c>
      <c r="C208" s="32" cm="1">
        <f t="array" ref="C208" xml:space="preserve"> BonoM(100,C$2,C$1 - $B208,Portafolio!C208)</f>
        <v>90.274060125929083</v>
      </c>
      <c r="D208" s="32" cm="1">
        <f t="array" ref="D208" xml:space="preserve"> BonoM(100,D$2,D$1 - $B208,Portafolio!D208)</f>
        <v>99.412725360720941</v>
      </c>
      <c r="E208" s="32" cm="1">
        <f t="array" ref="E208" xml:space="preserve"> BonoM(100,E$2,E$1 - $B208,Portafolio!E208)</f>
        <v>94.820947270598069</v>
      </c>
      <c r="F208" s="32" cm="1">
        <f t="array" ref="F208" xml:space="preserve"> BonoM(100,F$2,F$1 - $B208,Portafolio!F208)</f>
        <v>97.667473365145312</v>
      </c>
      <c r="G208" s="5">
        <f t="shared" si="47"/>
        <v>5.6696679637502356E-4</v>
      </c>
      <c r="H208" s="5">
        <f t="shared" si="48"/>
        <v>1.5799843403385694E-5</v>
      </c>
      <c r="I208" s="5">
        <f t="shared" si="49"/>
        <v>-2.7169832135132133E-4</v>
      </c>
      <c r="J208" s="5">
        <f t="shared" si="50"/>
        <v>1.5722703324603238E-3</v>
      </c>
      <c r="K208" s="10">
        <f t="shared" si="51"/>
        <v>89.604415336228968</v>
      </c>
      <c r="L208" s="10">
        <f t="shared" si="52"/>
        <v>98.211441207503654</v>
      </c>
      <c r="M208" s="10">
        <f t="shared" si="53"/>
        <v>92.790862132327533</v>
      </c>
      <c r="N208" s="10">
        <f t="shared" si="54"/>
        <v>93.527459264056475</v>
      </c>
      <c r="O208" s="11">
        <f t="shared" si="55"/>
        <v>-167.55400584606406</v>
      </c>
      <c r="P208" s="11">
        <f t="shared" si="56"/>
        <v>-2.3275513123053315</v>
      </c>
      <c r="Q208" s="11">
        <f t="shared" si="57"/>
        <v>50.435946318145852</v>
      </c>
      <c r="R208" s="11">
        <f t="shared" si="58"/>
        <v>-146.81960935524785</v>
      </c>
      <c r="S208" s="27">
        <f t="shared" si="59"/>
        <v>-266.26522019547139</v>
      </c>
    </row>
    <row r="209" spans="1:19" x14ac:dyDescent="0.25">
      <c r="A209" s="6">
        <f t="shared" si="46"/>
        <v>204</v>
      </c>
      <c r="B209" s="24">
        <v>45134</v>
      </c>
      <c r="C209" s="32" cm="1">
        <f t="array" ref="C209" xml:space="preserve"> BonoM(100,C$2,C$1 - $B209,Portafolio!C209)</f>
        <v>90.222906733538721</v>
      </c>
      <c r="D209" s="32" cm="1">
        <f t="array" ref="D209" xml:space="preserve"> BonoM(100,D$2,D$1 - $B209,Portafolio!D209)</f>
        <v>99.411154680044447</v>
      </c>
      <c r="E209" s="32" cm="1">
        <f t="array" ref="E209" xml:space="preserve"> BonoM(100,E$2,E$1 - $B209,Portafolio!E209)</f>
        <v>94.846716964382978</v>
      </c>
      <c r="F209" s="32" cm="1">
        <f t="array" ref="F209" xml:space="preserve"> BonoM(100,F$2,F$1 - $B209,Portafolio!F209)</f>
        <v>97.514154752632805</v>
      </c>
      <c r="G209" s="5">
        <f t="shared" si="47"/>
        <v>-9.9006275006086053E-4</v>
      </c>
      <c r="H209" s="5">
        <f t="shared" si="48"/>
        <v>-1.338638710588369E-3</v>
      </c>
      <c r="I209" s="5">
        <f t="shared" si="49"/>
        <v>-1.7526115670030151E-3</v>
      </c>
      <c r="J209" s="5">
        <f t="shared" si="50"/>
        <v>-4.7343604152959573E-3</v>
      </c>
      <c r="K209" s="10">
        <f t="shared" si="51"/>
        <v>89.464977670585938</v>
      </c>
      <c r="L209" s="10">
        <f t="shared" si="52"/>
        <v>98.078421946772607</v>
      </c>
      <c r="M209" s="10">
        <f t="shared" si="53"/>
        <v>92.653409569889845</v>
      </c>
      <c r="N209" s="10">
        <f t="shared" si="54"/>
        <v>92.938542050764994</v>
      </c>
      <c r="O209" s="11">
        <f t="shared" si="55"/>
        <v>292.59029077593368</v>
      </c>
      <c r="P209" s="11">
        <f t="shared" si="56"/>
        <v>197.20133978426446</v>
      </c>
      <c r="Q209" s="11">
        <f t="shared" si="57"/>
        <v>325.34107119352029</v>
      </c>
      <c r="R209" s="11">
        <f t="shared" si="58"/>
        <v>442.09760393623299</v>
      </c>
      <c r="S209" s="27">
        <f t="shared" si="59"/>
        <v>1257.2303056899514</v>
      </c>
    </row>
    <row r="210" spans="1:19" x14ac:dyDescent="0.25">
      <c r="A210" s="6">
        <f t="shared" si="46"/>
        <v>205</v>
      </c>
      <c r="B210" s="24">
        <v>45133</v>
      </c>
      <c r="C210" s="32" cm="1">
        <f t="array" ref="C210" xml:space="preserve"> BonoM(100,C$2,C$1 - $B210,Portafolio!C210)</f>
        <v>90.312321599025438</v>
      </c>
      <c r="D210" s="32" cm="1">
        <f t="array" ref="D210" xml:space="preserve"> BonoM(100,D$2,D$1 - $B210,Portafolio!D210)</f>
        <v>99.544408678924682</v>
      </c>
      <c r="E210" s="32" cm="1">
        <f t="array" ref="E210" xml:space="preserve"> BonoM(100,E$2,E$1 - $B210,Portafolio!E210)</f>
        <v>95.013238264784249</v>
      </c>
      <c r="F210" s="32" cm="1">
        <f t="array" ref="F210" xml:space="preserve"> BonoM(100,F$2,F$1 - $B210,Portafolio!F210)</f>
        <v>97.978018002633632</v>
      </c>
      <c r="G210" s="5">
        <f t="shared" si="47"/>
        <v>2.5475781882033921E-4</v>
      </c>
      <c r="H210" s="5">
        <f t="shared" si="48"/>
        <v>1.5975145510023214E-3</v>
      </c>
      <c r="I210" s="5">
        <f t="shared" si="49"/>
        <v>1.9520735876810136E-3</v>
      </c>
      <c r="J210" s="5">
        <f t="shared" si="50"/>
        <v>1.4908695891100443E-3</v>
      </c>
      <c r="K210" s="10">
        <f t="shared" si="51"/>
        <v>89.576455885412713</v>
      </c>
      <c r="L210" s="10">
        <f t="shared" si="52"/>
        <v>98.366781234167959</v>
      </c>
      <c r="M210" s="10">
        <f t="shared" si="53"/>
        <v>92.997263923972611</v>
      </c>
      <c r="N210" s="10">
        <f t="shared" si="54"/>
        <v>93.519858010574069</v>
      </c>
      <c r="O210" s="11">
        <f t="shared" si="55"/>
        <v>-75.287818152423824</v>
      </c>
      <c r="P210" s="11">
        <f t="shared" si="56"/>
        <v>-235.33759130876319</v>
      </c>
      <c r="Q210" s="11">
        <f t="shared" si="57"/>
        <v>-362.36763697201013</v>
      </c>
      <c r="R210" s="11">
        <f t="shared" si="58"/>
        <v>-139.21835587284193</v>
      </c>
      <c r="S210" s="27">
        <f t="shared" si="59"/>
        <v>-812.21140230603908</v>
      </c>
    </row>
    <row r="211" spans="1:19" x14ac:dyDescent="0.25">
      <c r="A211" s="6">
        <f t="shared" si="46"/>
        <v>206</v>
      </c>
      <c r="B211" s="24">
        <v>45132</v>
      </c>
      <c r="C211" s="32" cm="1">
        <f t="array" ref="C211" xml:space="preserve"> BonoM(100,C$2,C$1 - $B211,Portafolio!C211)</f>
        <v>90.28931968887872</v>
      </c>
      <c r="D211" s="32" cm="1">
        <f t="array" ref="D211" xml:space="preserve"> BonoM(100,D$2,D$1 - $B211,Portafolio!D211)</f>
        <v>99.38563867498074</v>
      </c>
      <c r="E211" s="32" cm="1">
        <f t="array" ref="E211" xml:space="preserve"> BonoM(100,E$2,E$1 - $B211,Portafolio!E211)</f>
        <v>94.828126783121647</v>
      </c>
      <c r="F211" s="32" cm="1">
        <f t="array" ref="F211" xml:space="preserve"> BonoM(100,F$2,F$1 - $B211,Portafolio!F211)</f>
        <v>97.832163005971182</v>
      </c>
      <c r="G211" s="5">
        <f t="shared" si="47"/>
        <v>-1.6173455456093278E-3</v>
      </c>
      <c r="H211" s="5">
        <f t="shared" si="48"/>
        <v>-1.1148455668467117E-3</v>
      </c>
      <c r="I211" s="5">
        <f t="shared" si="49"/>
        <v>-9.0003669940075248E-4</v>
      </c>
      <c r="J211" s="5">
        <f t="shared" si="50"/>
        <v>-1.0068844793388321E-3</v>
      </c>
      <c r="K211" s="10">
        <f t="shared" si="51"/>
        <v>89.408802212060095</v>
      </c>
      <c r="L211" s="10">
        <f t="shared" si="52"/>
        <v>98.10040064669181</v>
      </c>
      <c r="M211" s="10">
        <f t="shared" si="53"/>
        <v>92.732542227097142</v>
      </c>
      <c r="N211" s="10">
        <f t="shared" si="54"/>
        <v>93.28661613796217</v>
      </c>
      <c r="O211" s="11">
        <f t="shared" si="55"/>
        <v>477.96930391121464</v>
      </c>
      <c r="P211" s="11">
        <f t="shared" si="56"/>
        <v>164.23328990546082</v>
      </c>
      <c r="Q211" s="11">
        <f t="shared" si="57"/>
        <v>167.07575677892805</v>
      </c>
      <c r="R211" s="11">
        <f t="shared" si="58"/>
        <v>94.023516739056845</v>
      </c>
      <c r="S211" s="27">
        <f t="shared" si="59"/>
        <v>903.30186733466041</v>
      </c>
    </row>
    <row r="212" spans="1:19" x14ac:dyDescent="0.25">
      <c r="A212" s="6">
        <f t="shared" si="46"/>
        <v>207</v>
      </c>
      <c r="B212" s="24">
        <v>45131</v>
      </c>
      <c r="C212" s="32" cm="1">
        <f t="array" ref="C212" xml:space="preserve"> BonoM(100,C$2,C$1 - $B212,Portafolio!C212)</f>
        <v>90.435585279895733</v>
      </c>
      <c r="D212" s="32" cm="1">
        <f t="array" ref="D212" xml:space="preserve"> BonoM(100,D$2,D$1 - $B212,Portafolio!D212)</f>
        <v>99.496561976016196</v>
      </c>
      <c r="E212" s="32" cm="1">
        <f t="array" ref="E212" xml:space="preserve"> BonoM(100,E$2,E$1 - $B212,Portafolio!E212)</f>
        <v>94.913552463609392</v>
      </c>
      <c r="F212" s="32" cm="1">
        <f t="array" ref="F212" xml:space="preserve"> BonoM(100,F$2,F$1 - $B212,Portafolio!F212)</f>
        <v>97.930767976296252</v>
      </c>
      <c r="G212" s="5">
        <f t="shared" si="47"/>
        <v>9.898256618924961E-3</v>
      </c>
      <c r="H212" s="5">
        <f t="shared" si="48"/>
        <v>-8.7756786336024017E-4</v>
      </c>
      <c r="I212" s="5">
        <f t="shared" si="49"/>
        <v>1.6568514209673202E-2</v>
      </c>
      <c r="J212" s="5">
        <f t="shared" si="50"/>
        <v>2.4566629822551755E-2</v>
      </c>
      <c r="K212" s="10">
        <f t="shared" si="51"/>
        <v>90.440066318751008</v>
      </c>
      <c r="L212" s="10">
        <f t="shared" si="52"/>
        <v>98.123703663733608</v>
      </c>
      <c r="M212" s="10">
        <f t="shared" si="53"/>
        <v>94.35390464760053</v>
      </c>
      <c r="N212" s="10">
        <f t="shared" si="54"/>
        <v>95.674687261691375</v>
      </c>
      <c r="O212" s="11">
        <f t="shared" si="55"/>
        <v>-2925.2022481687959</v>
      </c>
      <c r="P212" s="11">
        <f t="shared" si="56"/>
        <v>129.27876434276442</v>
      </c>
      <c r="Q212" s="11">
        <f t="shared" si="57"/>
        <v>-3075.6490842278481</v>
      </c>
      <c r="R212" s="11">
        <f t="shared" si="58"/>
        <v>-2294.0476069901479</v>
      </c>
      <c r="S212" s="27">
        <f t="shared" si="59"/>
        <v>-8165.6201750440277</v>
      </c>
    </row>
    <row r="213" spans="1:19" x14ac:dyDescent="0.25">
      <c r="A213" s="6">
        <f t="shared" si="46"/>
        <v>208</v>
      </c>
      <c r="B213" s="24">
        <v>45129</v>
      </c>
      <c r="C213" s="32" cm="1">
        <f t="array" ref="C213" xml:space="preserve"> BonoM(100,C$2,C$1 - $B213,Portafolio!C213)</f>
        <v>89.549204275951837</v>
      </c>
      <c r="D213" s="32" cm="1">
        <f t="array" ref="D213" xml:space="preserve"> BonoM(100,D$2,D$1 - $B213,Portafolio!D213)</f>
        <v>99.583953653448816</v>
      </c>
      <c r="E213" s="32" cm="1">
        <f t="array" ref="E213" xml:space="preserve"> BonoM(100,E$2,E$1 - $B213,Portafolio!E213)</f>
        <v>93.36660651682638</v>
      </c>
      <c r="F213" s="32" cm="1">
        <f t="array" ref="F213" xml:space="preserve"> BonoM(100,F$2,F$1 - $B213,Portafolio!F213)</f>
        <v>95.582625010202833</v>
      </c>
      <c r="G213" s="5">
        <f t="shared" si="47"/>
        <v>-1.047541412606301E-2</v>
      </c>
      <c r="H213" s="5">
        <f t="shared" si="48"/>
        <v>2.3961719119802716E-4</v>
      </c>
      <c r="I213" s="5">
        <f t="shared" si="49"/>
        <v>-1.7838123054902066E-2</v>
      </c>
      <c r="J213" s="5">
        <f t="shared" si="50"/>
        <v>-2.6525342200583224E-2</v>
      </c>
      <c r="K213" s="10">
        <f t="shared" si="51"/>
        <v>88.615529914953271</v>
      </c>
      <c r="L213" s="10">
        <f t="shared" si="52"/>
        <v>98.233422284500236</v>
      </c>
      <c r="M213" s="10">
        <f t="shared" si="53"/>
        <v>91.160415447091282</v>
      </c>
      <c r="N213" s="10">
        <f t="shared" si="54"/>
        <v>90.903686232950932</v>
      </c>
      <c r="O213" s="11">
        <f t="shared" si="55"/>
        <v>3095.7678843637354</v>
      </c>
      <c r="P213" s="11">
        <f t="shared" si="56"/>
        <v>-35.29916680717804</v>
      </c>
      <c r="Q213" s="11">
        <f t="shared" si="57"/>
        <v>3311.3293167906477</v>
      </c>
      <c r="R213" s="11">
        <f t="shared" si="58"/>
        <v>2476.9534217502951</v>
      </c>
      <c r="S213" s="27">
        <f t="shared" si="59"/>
        <v>8848.7514560974996</v>
      </c>
    </row>
    <row r="214" spans="1:19" x14ac:dyDescent="0.25">
      <c r="A214" s="6">
        <f t="shared" si="46"/>
        <v>209</v>
      </c>
      <c r="B214" s="24">
        <v>45128</v>
      </c>
      <c r="C214" s="32" cm="1">
        <f t="array" ref="C214" xml:space="preserve"> BonoM(100,C$2,C$1 - $B214,Portafolio!C214)</f>
        <v>90.497199922387964</v>
      </c>
      <c r="D214" s="32" cm="1">
        <f t="array" ref="D214" xml:space="preserve"> BonoM(100,D$2,D$1 - $B214,Portafolio!D214)</f>
        <v>99.560097342568184</v>
      </c>
      <c r="E214" s="32" cm="1">
        <f t="array" ref="E214" xml:space="preserve"> BonoM(100,E$2,E$1 - $B214,Portafolio!E214)</f>
        <v>95.062340239912913</v>
      </c>
      <c r="F214" s="32" cm="1">
        <f t="array" ref="F214" xml:space="preserve"> BonoM(100,F$2,F$1 - $B214,Portafolio!F214)</f>
        <v>98.187070659108528</v>
      </c>
      <c r="G214" s="5">
        <f t="shared" si="47"/>
        <v>1.5381124126809809E-3</v>
      </c>
      <c r="H214" s="5">
        <f t="shared" si="48"/>
        <v>1.6011900270123114E-3</v>
      </c>
      <c r="I214" s="5">
        <f t="shared" si="49"/>
        <v>2.5289963396051274E-3</v>
      </c>
      <c r="J214" s="5">
        <f t="shared" si="50"/>
        <v>3.5849092543889238E-3</v>
      </c>
      <c r="K214" s="10">
        <f t="shared" si="51"/>
        <v>89.691384962494027</v>
      </c>
      <c r="L214" s="10">
        <f t="shared" si="52"/>
        <v>98.36714220226078</v>
      </c>
      <c r="M214" s="10">
        <f t="shared" si="53"/>
        <v>93.050811632329882</v>
      </c>
      <c r="N214" s="10">
        <f t="shared" si="54"/>
        <v>93.715400773980122</v>
      </c>
      <c r="O214" s="11">
        <f t="shared" si="55"/>
        <v>-454.55377252075948</v>
      </c>
      <c r="P214" s="11">
        <f t="shared" si="56"/>
        <v>-235.87904344799426</v>
      </c>
      <c r="Q214" s="11">
        <f t="shared" si="57"/>
        <v>-469.46305368655317</v>
      </c>
      <c r="R214" s="11">
        <f t="shared" si="58"/>
        <v>-334.76111927889463</v>
      </c>
      <c r="S214" s="27">
        <f t="shared" si="59"/>
        <v>-1494.6569889342013</v>
      </c>
    </row>
    <row r="215" spans="1:19" x14ac:dyDescent="0.25">
      <c r="A215" s="6">
        <f t="shared" si="46"/>
        <v>210</v>
      </c>
      <c r="B215" s="24">
        <v>45127</v>
      </c>
      <c r="C215" s="32" cm="1">
        <f t="array" ref="C215" xml:space="preserve"> BonoM(100,C$2,C$1 - $B215,Portafolio!C215)</f>
        <v>90.358218824426359</v>
      </c>
      <c r="D215" s="32" cm="1">
        <f t="array" ref="D215" xml:space="preserve"> BonoM(100,D$2,D$1 - $B215,Portafolio!D215)</f>
        <v>99.40093755268316</v>
      </c>
      <c r="E215" s="32" cm="1">
        <f t="array" ref="E215" xml:space="preserve"> BonoM(100,E$2,E$1 - $B215,Portafolio!E215)</f>
        <v>94.822534397509529</v>
      </c>
      <c r="F215" s="32" cm="1">
        <f t="array" ref="F215" xml:space="preserve"> BonoM(100,F$2,F$1 - $B215,Portafolio!F215)</f>
        <v>97.836336271792277</v>
      </c>
      <c r="G215" s="5">
        <f t="shared" si="47"/>
        <v>-1.1579270096599981E-3</v>
      </c>
      <c r="H215" s="5">
        <f t="shared" si="48"/>
        <v>-2.0263555067591144E-3</v>
      </c>
      <c r="I215" s="5">
        <f t="shared" si="49"/>
        <v>-5.4680892120165803E-3</v>
      </c>
      <c r="J215" s="5">
        <f t="shared" si="50"/>
        <v>-2.2603581357730773E-3</v>
      </c>
      <c r="K215" s="10">
        <f t="shared" si="51"/>
        <v>89.449944814878748</v>
      </c>
      <c r="L215" s="10">
        <f t="shared" si="52"/>
        <v>98.010881356208827</v>
      </c>
      <c r="M215" s="10">
        <f t="shared" si="53"/>
        <v>92.308553499160126</v>
      </c>
      <c r="N215" s="10">
        <f t="shared" si="54"/>
        <v>93.16956596613403</v>
      </c>
      <c r="O215" s="11">
        <f t="shared" si="55"/>
        <v>342.19871460966118</v>
      </c>
      <c r="P215" s="11">
        <f t="shared" si="56"/>
        <v>298.51222562993485</v>
      </c>
      <c r="Q215" s="11">
        <f t="shared" si="57"/>
        <v>1015.0532126529583</v>
      </c>
      <c r="R215" s="11">
        <f t="shared" si="58"/>
        <v>211.07368856719688</v>
      </c>
      <c r="S215" s="27">
        <f t="shared" si="59"/>
        <v>1866.8378414597514</v>
      </c>
    </row>
    <row r="216" spans="1:19" x14ac:dyDescent="0.25">
      <c r="A216" s="6">
        <f t="shared" si="46"/>
        <v>211</v>
      </c>
      <c r="B216" s="24">
        <v>45126</v>
      </c>
      <c r="C216" s="32" cm="1">
        <f t="array" ref="C216" xml:space="preserve"> BonoM(100,C$2,C$1 - $B216,Portafolio!C216)</f>
        <v>90.462968338839914</v>
      </c>
      <c r="D216" s="32" cm="1">
        <f t="array" ref="D216" xml:space="preserve"> BonoM(100,D$2,D$1 - $B216,Portafolio!D216)</f>
        <v>99.602768170453814</v>
      </c>
      <c r="E216" s="32" cm="1">
        <f t="array" ref="E216" xml:space="preserve"> BonoM(100,E$2,E$1 - $B216,Portafolio!E216)</f>
        <v>95.343883256978785</v>
      </c>
      <c r="F216" s="32" cm="1">
        <f t="array" ref="F216" xml:space="preserve"> BonoM(100,F$2,F$1 - $B216,Portafolio!F216)</f>
        <v>98.057982430155775</v>
      </c>
      <c r="G216" s="5">
        <f t="shared" si="47"/>
        <v>-2.5718672349194227E-3</v>
      </c>
      <c r="H216" s="5">
        <f t="shared" si="48"/>
        <v>-2.9370377083711707E-3</v>
      </c>
      <c r="I216" s="5">
        <f t="shared" si="49"/>
        <v>-2.6256016876715638E-3</v>
      </c>
      <c r="J216" s="5">
        <f t="shared" si="50"/>
        <v>-3.93310444928896E-3</v>
      </c>
      <c r="K216" s="10">
        <f t="shared" si="51"/>
        <v>89.323321318991802</v>
      </c>
      <c r="L216" s="10">
        <f t="shared" si="52"/>
        <v>97.921443357812848</v>
      </c>
      <c r="M216" s="10">
        <f t="shared" si="53"/>
        <v>92.572382048918584</v>
      </c>
      <c r="N216" s="10">
        <f t="shared" si="54"/>
        <v>93.013363845397876</v>
      </c>
      <c r="O216" s="11">
        <f t="shared" si="55"/>
        <v>760.05625103658326</v>
      </c>
      <c r="P216" s="11">
        <f t="shared" si="56"/>
        <v>432.669223223904</v>
      </c>
      <c r="Q216" s="11">
        <f t="shared" si="57"/>
        <v>487.39611313604314</v>
      </c>
      <c r="R216" s="11">
        <f t="shared" si="58"/>
        <v>367.2758093033508</v>
      </c>
      <c r="S216" s="27">
        <f t="shared" si="59"/>
        <v>2047.3973966998813</v>
      </c>
    </row>
    <row r="217" spans="1:19" x14ac:dyDescent="0.25">
      <c r="A217" s="6">
        <f t="shared" si="46"/>
        <v>212</v>
      </c>
      <c r="B217" s="24">
        <v>45125</v>
      </c>
      <c r="C217" s="32" cm="1">
        <f t="array" ref="C217" xml:space="preserve"> BonoM(100,C$2,C$1 - $B217,Portafolio!C217)</f>
        <v>90.696226993374992</v>
      </c>
      <c r="D217" s="32" cm="1">
        <f t="array" ref="D217" xml:space="preserve"> BonoM(100,D$2,D$1 - $B217,Portafolio!D217)</f>
        <v>99.896166979795211</v>
      </c>
      <c r="E217" s="32" cm="1">
        <f t="array" ref="E217" xml:space="preserve"> BonoM(100,E$2,E$1 - $B217,Portafolio!E217)</f>
        <v>95.594877328224527</v>
      </c>
      <c r="F217" s="32" cm="1">
        <f t="array" ref="F217" xml:space="preserve"> BonoM(100,F$2,F$1 - $B217,Portafolio!F217)</f>
        <v>98.445177596170311</v>
      </c>
      <c r="G217" s="5">
        <f t="shared" si="47"/>
        <v>2.494500406211575E-4</v>
      </c>
      <c r="H217" s="5">
        <f t="shared" si="48"/>
        <v>-1.1268028465432067E-3</v>
      </c>
      <c r="I217" s="5">
        <f t="shared" si="49"/>
        <v>1.3841287642626376E-3</v>
      </c>
      <c r="J217" s="5">
        <f t="shared" si="50"/>
        <v>2.3908518707904669E-4</v>
      </c>
      <c r="K217" s="10">
        <f t="shared" si="51"/>
        <v>89.575980554547272</v>
      </c>
      <c r="L217" s="10">
        <f t="shared" si="52"/>
        <v>98.099226323574015</v>
      </c>
      <c r="M217" s="10">
        <f t="shared" si="53"/>
        <v>92.944549511746715</v>
      </c>
      <c r="N217" s="10">
        <f t="shared" si="54"/>
        <v>93.402965582402629</v>
      </c>
      <c r="O217" s="11">
        <f t="shared" si="55"/>
        <v>-73.7192262964669</v>
      </c>
      <c r="P217" s="11">
        <f t="shared" si="56"/>
        <v>165.99477458215262</v>
      </c>
      <c r="Q217" s="11">
        <f t="shared" si="57"/>
        <v>-256.93881252021811</v>
      </c>
      <c r="R217" s="11">
        <f t="shared" si="58"/>
        <v>-22.325927701402293</v>
      </c>
      <c r="S217" s="27">
        <f t="shared" si="59"/>
        <v>-186.98919193593468</v>
      </c>
    </row>
    <row r="218" spans="1:19" x14ac:dyDescent="0.25">
      <c r="A218" s="6">
        <f t="shared" si="46"/>
        <v>213</v>
      </c>
      <c r="B218" s="24">
        <v>45124</v>
      </c>
      <c r="C218" s="32" cm="1">
        <f t="array" ref="C218" xml:space="preserve"> BonoM(100,C$2,C$1 - $B218,Portafolio!C218)</f>
        <v>90.673608458061864</v>
      </c>
      <c r="D218" s="32" cm="1">
        <f t="array" ref="D218" xml:space="preserve"> BonoM(100,D$2,D$1 - $B218,Portafolio!D218)</f>
        <v>100.0088572448182</v>
      </c>
      <c r="E218" s="32" cm="1">
        <f t="array" ref="E218" xml:space="preserve"> BonoM(100,E$2,E$1 - $B218,Portafolio!E218)</f>
        <v>95.462744597511644</v>
      </c>
      <c r="F218" s="32" cm="1">
        <f t="array" ref="F218" xml:space="preserve"> BonoM(100,F$2,F$1 - $B218,Portafolio!F218)</f>
        <v>98.421646438418961</v>
      </c>
      <c r="G218" s="5">
        <f t="shared" si="47"/>
        <v>1.2021579777631963E-2</v>
      </c>
      <c r="H218" s="5">
        <f t="shared" si="48"/>
        <v>1.6517198537575828E-2</v>
      </c>
      <c r="I218" s="5">
        <f t="shared" si="49"/>
        <v>2.0896370581833246E-2</v>
      </c>
      <c r="J218" s="5">
        <f t="shared" si="50"/>
        <v>3.0730472783425666E-2</v>
      </c>
      <c r="K218" s="10">
        <f t="shared" si="51"/>
        <v>90.630217639471695</v>
      </c>
      <c r="L218" s="10">
        <f t="shared" si="52"/>
        <v>99.832041749963153</v>
      </c>
      <c r="M218" s="10">
        <f t="shared" si="53"/>
        <v>94.755599311323977</v>
      </c>
      <c r="N218" s="10">
        <f t="shared" si="54"/>
        <v>96.250270860108898</v>
      </c>
      <c r="O218" s="11">
        <f t="shared" si="55"/>
        <v>-3552.7016065470648</v>
      </c>
      <c r="P218" s="11">
        <f t="shared" si="56"/>
        <v>-2433.2283650015543</v>
      </c>
      <c r="Q218" s="11">
        <f t="shared" si="57"/>
        <v>-3879.0384116747418</v>
      </c>
      <c r="R218" s="11">
        <f t="shared" si="58"/>
        <v>-2869.6312054076716</v>
      </c>
      <c r="S218" s="27">
        <f t="shared" si="59"/>
        <v>-12734.599588631032</v>
      </c>
    </row>
    <row r="219" spans="1:19" x14ac:dyDescent="0.25">
      <c r="A219" s="6">
        <f t="shared" si="46"/>
        <v>214</v>
      </c>
      <c r="B219" s="24">
        <v>45122</v>
      </c>
      <c r="C219" s="32" cm="1">
        <f t="array" ref="C219" xml:space="preserve"> BonoM(100,C$2,C$1 - $B219,Portafolio!C219)</f>
        <v>89.5965167837481</v>
      </c>
      <c r="D219" s="32" cm="1">
        <f t="array" ref="D219" xml:space="preserve"> BonoM(100,D$2,D$1 - $B219,Portafolio!D219)</f>
        <v>98.383831959456373</v>
      </c>
      <c r="E219" s="32" cm="1">
        <f t="array" ref="E219" xml:space="preserve"> BonoM(100,E$2,E$1 - $B219,Portafolio!E219)</f>
        <v>93.508751082252502</v>
      </c>
      <c r="F219" s="32" cm="1">
        <f t="array" ref="F219" xml:space="preserve"> BonoM(100,F$2,F$1 - $B219,Portafolio!F219)</f>
        <v>95.487277263315235</v>
      </c>
      <c r="G219" s="5">
        <f t="shared" si="47"/>
        <v>-1.0515455195293844E-2</v>
      </c>
      <c r="H219" s="5">
        <f t="shared" si="48"/>
        <v>-1.3305658300682088E-2</v>
      </c>
      <c r="I219" s="5">
        <f t="shared" si="49"/>
        <v>-1.7519852554320536E-2</v>
      </c>
      <c r="J219" s="5">
        <f t="shared" si="50"/>
        <v>-2.6675430907090014E-2</v>
      </c>
      <c r="K219" s="10">
        <f t="shared" si="51"/>
        <v>88.611944091398286</v>
      </c>
      <c r="L219" s="10">
        <f t="shared" si="52"/>
        <v>96.903142275105836</v>
      </c>
      <c r="M219" s="10">
        <f t="shared" si="53"/>
        <v>91.18995606736847</v>
      </c>
      <c r="N219" s="10">
        <f t="shared" si="54"/>
        <v>90.88967085353238</v>
      </c>
      <c r="O219" s="11">
        <f t="shared" si="55"/>
        <v>3107.6011020951869</v>
      </c>
      <c r="P219" s="11">
        <f t="shared" si="56"/>
        <v>1960.1208472844221</v>
      </c>
      <c r="Q219" s="11">
        <f t="shared" si="57"/>
        <v>3252.2480762362702</v>
      </c>
      <c r="R219" s="11">
        <f t="shared" si="58"/>
        <v>2490.9688011688472</v>
      </c>
      <c r="S219" s="27">
        <f t="shared" si="59"/>
        <v>10810.938826784726</v>
      </c>
    </row>
    <row r="220" spans="1:19" x14ac:dyDescent="0.25">
      <c r="A220" s="6">
        <f t="shared" si="46"/>
        <v>215</v>
      </c>
      <c r="B220" s="24">
        <v>45121</v>
      </c>
      <c r="C220" s="32" cm="1">
        <f t="array" ref="C220" xml:space="preserve"> BonoM(100,C$2,C$1 - $B220,Portafolio!C220)</f>
        <v>90.548677343345162</v>
      </c>
      <c r="D220" s="32" cm="1">
        <f t="array" ref="D220" xml:space="preserve"> BonoM(100,D$2,D$1 - $B220,Portafolio!D220)</f>
        <v>99.710546419082988</v>
      </c>
      <c r="E220" s="32" cm="1">
        <f t="array" ref="E220" xml:space="preserve"> BonoM(100,E$2,E$1 - $B220,Portafolio!E220)</f>
        <v>95.1762245022081</v>
      </c>
      <c r="F220" s="32" cm="1">
        <f t="array" ref="F220" xml:space="preserve"> BonoM(100,F$2,F$1 - $B220,Portafolio!F220)</f>
        <v>98.104250417005929</v>
      </c>
      <c r="G220" s="5">
        <f t="shared" si="47"/>
        <v>-1.3269309489863934E-3</v>
      </c>
      <c r="H220" s="5">
        <f t="shared" si="48"/>
        <v>-2.0396329048065764E-3</v>
      </c>
      <c r="I220" s="5">
        <f t="shared" si="49"/>
        <v>-2.0581876697444157E-3</v>
      </c>
      <c r="J220" s="5">
        <f t="shared" si="50"/>
        <v>1.9158820612450445E-3</v>
      </c>
      <c r="K220" s="10">
        <f t="shared" si="51"/>
        <v>89.43480989670195</v>
      </c>
      <c r="L220" s="10">
        <f t="shared" si="52"/>
        <v>98.009577384413646</v>
      </c>
      <c r="M220" s="10">
        <f t="shared" si="53"/>
        <v>92.625047193859487</v>
      </c>
      <c r="N220" s="10">
        <f t="shared" si="54"/>
        <v>93.559545947083251</v>
      </c>
      <c r="O220" s="11">
        <f t="shared" si="55"/>
        <v>392.14394459309574</v>
      </c>
      <c r="P220" s="11">
        <f t="shared" si="56"/>
        <v>300.46818332270675</v>
      </c>
      <c r="Q220" s="11">
        <f t="shared" si="57"/>
        <v>382.0658232542371</v>
      </c>
      <c r="R220" s="11">
        <f t="shared" si="58"/>
        <v>-178.90629238202393</v>
      </c>
      <c r="S220" s="27">
        <f t="shared" si="59"/>
        <v>895.77165878801577</v>
      </c>
    </row>
    <row r="221" spans="1:19" x14ac:dyDescent="0.25">
      <c r="A221" s="6">
        <f t="shared" si="46"/>
        <v>216</v>
      </c>
      <c r="B221" s="24">
        <v>45120</v>
      </c>
      <c r="C221" s="32" cm="1">
        <f t="array" ref="C221" xml:space="preserve"> BonoM(100,C$2,C$1 - $B221,Portafolio!C221)</f>
        <v>90.668988830737973</v>
      </c>
      <c r="D221" s="32" cm="1">
        <f t="array" ref="D221" xml:space="preserve"> BonoM(100,D$2,D$1 - $B221,Portafolio!D221)</f>
        <v>99.914334984378996</v>
      </c>
      <c r="E221" s="32" cm="1">
        <f t="array" ref="E221" xml:space="preserve"> BonoM(100,E$2,E$1 - $B221,Portafolio!E221)</f>
        <v>95.372519044938855</v>
      </c>
      <c r="F221" s="32" cm="1">
        <f t="array" ref="F221" xml:space="preserve"> BonoM(100,F$2,F$1 - $B221,Portafolio!F221)</f>
        <v>97.916653656767778</v>
      </c>
      <c r="G221" s="5">
        <f t="shared" si="47"/>
        <v>3.0953470928811733E-3</v>
      </c>
      <c r="H221" s="5">
        <f t="shared" si="48"/>
        <v>2.5203399057629472E-3</v>
      </c>
      <c r="I221" s="5">
        <f t="shared" si="49"/>
        <v>3.1145486723955784E-3</v>
      </c>
      <c r="J221" s="5">
        <f t="shared" si="50"/>
        <v>2.4041510135952571E-4</v>
      </c>
      <c r="K221" s="10">
        <f t="shared" si="51"/>
        <v>89.830840998612629</v>
      </c>
      <c r="L221" s="10">
        <f t="shared" si="52"/>
        <v>98.457411810292911</v>
      </c>
      <c r="M221" s="10">
        <f t="shared" si="53"/>
        <v>93.105160304556108</v>
      </c>
      <c r="N221" s="10">
        <f t="shared" si="54"/>
        <v>93.403089770648833</v>
      </c>
      <c r="O221" s="11">
        <f t="shared" si="55"/>
        <v>-914.75869171214731</v>
      </c>
      <c r="P221" s="11">
        <f t="shared" si="56"/>
        <v>-371.28345549619013</v>
      </c>
      <c r="Q221" s="11">
        <f t="shared" si="57"/>
        <v>-578.16039813900488</v>
      </c>
      <c r="R221" s="11">
        <f t="shared" si="58"/>
        <v>-22.450115947606264</v>
      </c>
      <c r="S221" s="27">
        <f t="shared" si="59"/>
        <v>-1886.6526612949485</v>
      </c>
    </row>
    <row r="222" spans="1:19" x14ac:dyDescent="0.25">
      <c r="A222" s="6">
        <f t="shared" si="46"/>
        <v>217</v>
      </c>
      <c r="B222" s="24">
        <v>45119</v>
      </c>
      <c r="C222" s="32" cm="1">
        <f t="array" ref="C222" xml:space="preserve"> BonoM(100,C$2,C$1 - $B222,Portafolio!C222)</f>
        <v>90.389202874392865</v>
      </c>
      <c r="D222" s="32" cm="1">
        <f t="array" ref="D222" xml:space="preserve"> BonoM(100,D$2,D$1 - $B222,Portafolio!D222)</f>
        <v>99.663149970374619</v>
      </c>
      <c r="E222" s="32" cm="1">
        <f t="array" ref="E222" xml:space="preserve"> BonoM(100,E$2,E$1 - $B222,Portafolio!E222)</f>
        <v>95.07639897274214</v>
      </c>
      <c r="F222" s="32" cm="1">
        <f t="array" ref="F222" xml:space="preserve"> BonoM(100,F$2,F$1 - $B222,Portafolio!F222)</f>
        <v>97.893118672719666</v>
      </c>
      <c r="G222" s="5">
        <f t="shared" si="47"/>
        <v>7.2218820379532644E-3</v>
      </c>
      <c r="H222" s="5">
        <f t="shared" si="48"/>
        <v>1.0775860105278312E-2</v>
      </c>
      <c r="I222" s="5">
        <f t="shared" si="49"/>
        <v>1.1782171215611426E-2</v>
      </c>
      <c r="J222" s="5">
        <f t="shared" si="50"/>
        <v>1.3689131116087605E-2</v>
      </c>
      <c r="K222" s="10">
        <f t="shared" si="51"/>
        <v>90.200387229287813</v>
      </c>
      <c r="L222" s="10">
        <f t="shared" si="52"/>
        <v>99.268185536907055</v>
      </c>
      <c r="M222" s="10">
        <f t="shared" si="53"/>
        <v>93.909655052851349</v>
      </c>
      <c r="N222" s="10">
        <f t="shared" si="54"/>
        <v>94.658939474638558</v>
      </c>
      <c r="O222" s="11">
        <f t="shared" si="55"/>
        <v>-2134.2612529402531</v>
      </c>
      <c r="P222" s="11">
        <f t="shared" si="56"/>
        <v>-1587.4440454174064</v>
      </c>
      <c r="Q222" s="11">
        <f t="shared" si="57"/>
        <v>-2187.1498947294867</v>
      </c>
      <c r="R222" s="11">
        <f t="shared" si="58"/>
        <v>-1278.299819937331</v>
      </c>
      <c r="S222" s="27">
        <f t="shared" si="59"/>
        <v>-7187.1550130244777</v>
      </c>
    </row>
    <row r="223" spans="1:19" x14ac:dyDescent="0.25">
      <c r="A223" s="6">
        <f t="shared" si="46"/>
        <v>218</v>
      </c>
      <c r="B223" s="24">
        <v>45118</v>
      </c>
      <c r="C223" s="32" cm="1">
        <f t="array" ref="C223" xml:space="preserve"> BonoM(100,C$2,C$1 - $B223,Portafolio!C223)</f>
        <v>89.741103213032559</v>
      </c>
      <c r="D223" s="32" cm="1">
        <f t="array" ref="D223" xml:space="preserve"> BonoM(100,D$2,D$1 - $B223,Portafolio!D223)</f>
        <v>98.600643232609571</v>
      </c>
      <c r="E223" s="32" cm="1">
        <f t="array" ref="E223" xml:space="preserve"> BonoM(100,E$2,E$1 - $B223,Portafolio!E223)</f>
        <v>93.969237329525242</v>
      </c>
      <c r="F223" s="32" cm="1">
        <f t="array" ref="F223" xml:space="preserve"> BonoM(100,F$2,F$1 - $B223,Portafolio!F223)</f>
        <v>96.571143625598324</v>
      </c>
      <c r="G223" s="5">
        <f t="shared" si="47"/>
        <v>8.885719383158186E-4</v>
      </c>
      <c r="H223" s="5">
        <f t="shared" si="48"/>
        <v>6.9938472421626763E-4</v>
      </c>
      <c r="I223" s="5">
        <f t="shared" si="49"/>
        <v>2.4307397014844412E-4</v>
      </c>
      <c r="J223" s="5">
        <f t="shared" si="50"/>
        <v>1.9107141001541983E-3</v>
      </c>
      <c r="K223" s="10">
        <f t="shared" si="51"/>
        <v>89.633216247781149</v>
      </c>
      <c r="L223" s="10">
        <f t="shared" si="52"/>
        <v>98.278576003116683</v>
      </c>
      <c r="M223" s="10">
        <f t="shared" si="53"/>
        <v>92.838641278571458</v>
      </c>
      <c r="N223" s="10">
        <f t="shared" si="54"/>
        <v>93.559063359570885</v>
      </c>
      <c r="O223" s="11">
        <f t="shared" si="55"/>
        <v>-262.59701396826358</v>
      </c>
      <c r="P223" s="11">
        <f t="shared" si="56"/>
        <v>-103.02974473184889</v>
      </c>
      <c r="Q223" s="11">
        <f t="shared" si="57"/>
        <v>-45.122346169705452</v>
      </c>
      <c r="R223" s="11">
        <f t="shared" si="58"/>
        <v>-178.4237048696582</v>
      </c>
      <c r="S223" s="27">
        <f t="shared" si="59"/>
        <v>-589.17280973947618</v>
      </c>
    </row>
    <row r="224" spans="1:19" x14ac:dyDescent="0.25">
      <c r="A224" s="6">
        <f t="shared" si="46"/>
        <v>219</v>
      </c>
      <c r="B224" s="24">
        <v>45117</v>
      </c>
      <c r="C224" s="32" cm="1">
        <f t="array" ref="C224" xml:space="preserve"> BonoM(100,C$2,C$1 - $B224,Portafolio!C224)</f>
        <v>89.661432580092693</v>
      </c>
      <c r="D224" s="32" cm="1">
        <f t="array" ref="D224" xml:space="preserve"> BonoM(100,D$2,D$1 - $B224,Portafolio!D224)</f>
        <v>98.531731644646726</v>
      </c>
      <c r="E224" s="32" cm="1">
        <f t="array" ref="E224" xml:space="preserve"> BonoM(100,E$2,E$1 - $B224,Portafolio!E224)</f>
        <v>93.946401404754639</v>
      </c>
      <c r="F224" s="32" cm="1">
        <f t="array" ref="F224" xml:space="preserve"> BonoM(100,F$2,F$1 - $B224,Portafolio!F224)</f>
        <v>96.38697567211041</v>
      </c>
      <c r="G224" s="5">
        <f t="shared" si="47"/>
        <v>9.8483912501108328E-3</v>
      </c>
      <c r="H224" s="5">
        <f t="shared" si="48"/>
        <v>1.4745527745199993E-2</v>
      </c>
      <c r="I224" s="5">
        <f t="shared" si="49"/>
        <v>1.8101655272904749E-2</v>
      </c>
      <c r="J224" s="5">
        <f t="shared" si="50"/>
        <v>2.6483867936907268E-2</v>
      </c>
      <c r="K224" s="10">
        <f t="shared" si="51"/>
        <v>90.435600693394207</v>
      </c>
      <c r="L224" s="10">
        <f t="shared" si="52"/>
        <v>99.658046157201809</v>
      </c>
      <c r="M224" s="10">
        <f t="shared" si="53"/>
        <v>94.496204791338442</v>
      </c>
      <c r="N224" s="10">
        <f t="shared" si="54"/>
        <v>95.853720183180258</v>
      </c>
      <c r="O224" s="11">
        <f t="shared" si="55"/>
        <v>-2910.4656844913534</v>
      </c>
      <c r="P224" s="11">
        <f t="shared" si="56"/>
        <v>-2172.2349758595383</v>
      </c>
      <c r="Q224" s="11">
        <f t="shared" si="57"/>
        <v>-3360.2493717036737</v>
      </c>
      <c r="R224" s="11">
        <f t="shared" si="58"/>
        <v>-2473.0805284790308</v>
      </c>
      <c r="S224" s="27">
        <f t="shared" si="59"/>
        <v>-10916.030560533596</v>
      </c>
    </row>
    <row r="225" spans="1:19" x14ac:dyDescent="0.25">
      <c r="A225" s="6">
        <f t="shared" si="46"/>
        <v>220</v>
      </c>
      <c r="B225" s="24">
        <v>45115</v>
      </c>
      <c r="C225" s="32" cm="1">
        <f t="array" ref="C225" xml:space="preserve"> BonoM(100,C$2,C$1 - $B225,Portafolio!C225)</f>
        <v>88.787023237318891</v>
      </c>
      <c r="D225" s="32" cm="1">
        <f t="array" ref="D225" xml:space="preserve"> BonoM(100,D$2,D$1 - $B225,Portafolio!D225)</f>
        <v>97.099941759376534</v>
      </c>
      <c r="E225" s="32" cm="1">
        <f t="array" ref="E225" xml:space="preserve"> BonoM(100,E$2,E$1 - $B225,Portafolio!E225)</f>
        <v>92.27605211934565</v>
      </c>
      <c r="F225" s="32" cm="1">
        <f t="array" ref="F225" xml:space="preserve"> BonoM(100,F$2,F$1 - $B225,Portafolio!F225)</f>
        <v>93.900136848555732</v>
      </c>
      <c r="G225" s="5">
        <f t="shared" si="47"/>
        <v>-1.0241215282907334E-2</v>
      </c>
      <c r="H225" s="5">
        <f t="shared" si="48"/>
        <v>-1.4259006682837971E-2</v>
      </c>
      <c r="I225" s="5">
        <f t="shared" si="49"/>
        <v>-1.8754717375874308E-2</v>
      </c>
      <c r="J225" s="5">
        <f t="shared" si="50"/>
        <v>-2.7517288594838152E-2</v>
      </c>
      <c r="K225" s="10">
        <f t="shared" si="51"/>
        <v>88.636503274168362</v>
      </c>
      <c r="L225" s="10">
        <f t="shared" si="52"/>
        <v>96.80951403583299</v>
      </c>
      <c r="M225" s="10">
        <f t="shared" si="53"/>
        <v>91.075340755171695</v>
      </c>
      <c r="N225" s="10">
        <f t="shared" si="54"/>
        <v>90.811057644152228</v>
      </c>
      <c r="O225" s="11">
        <f t="shared" si="55"/>
        <v>3026.5557989539348</v>
      </c>
      <c r="P225" s="11">
        <f t="shared" si="56"/>
        <v>2100.5632061936908</v>
      </c>
      <c r="Q225" s="11">
        <f t="shared" si="57"/>
        <v>3481.478700629822</v>
      </c>
      <c r="R225" s="11">
        <f t="shared" si="58"/>
        <v>2569.5820105489984</v>
      </c>
      <c r="S225" s="27">
        <f t="shared" si="59"/>
        <v>11178.179716326445</v>
      </c>
    </row>
    <row r="226" spans="1:19" x14ac:dyDescent="0.25">
      <c r="A226" s="6">
        <f t="shared" si="46"/>
        <v>221</v>
      </c>
      <c r="B226" s="24">
        <v>45114</v>
      </c>
      <c r="C226" s="32" cm="1">
        <f t="array" ref="C226" xml:space="preserve"> BonoM(100,C$2,C$1 - $B226,Portafolio!C226)</f>
        <v>89.705718815819651</v>
      </c>
      <c r="D226" s="32" cm="1">
        <f t="array" ref="D226" xml:space="preserve"> BonoM(100,D$2,D$1 - $B226,Portafolio!D226)</f>
        <v>98.504518344743971</v>
      </c>
      <c r="E226" s="32" cm="1">
        <f t="array" ref="E226" xml:space="preserve"> BonoM(100,E$2,E$1 - $B226,Portafolio!E226)</f>
        <v>94.03974088168205</v>
      </c>
      <c r="F226" s="32" cm="1">
        <f t="array" ref="F226" xml:space="preserve"> BonoM(100,F$2,F$1 - $B226,Portafolio!F226)</f>
        <v>96.557127183142768</v>
      </c>
      <c r="G226" s="5">
        <f t="shared" si="47"/>
        <v>-4.2039437192872287E-3</v>
      </c>
      <c r="H226" s="5">
        <f t="shared" si="48"/>
        <v>-4.3133826005985476E-3</v>
      </c>
      <c r="I226" s="5">
        <f t="shared" si="49"/>
        <v>-3.5449210466271808E-3</v>
      </c>
      <c r="J226" s="5">
        <f t="shared" si="50"/>
        <v>-3.5881768947805259E-3</v>
      </c>
      <c r="K226" s="10">
        <f t="shared" si="51"/>
        <v>89.177162926781421</v>
      </c>
      <c r="L226" s="10">
        <f t="shared" si="52"/>
        <v>97.78627267802419</v>
      </c>
      <c r="M226" s="10">
        <f t="shared" si="53"/>
        <v>92.487054429655231</v>
      </c>
      <c r="N226" s="10">
        <f t="shared" si="54"/>
        <v>93.045573401072403</v>
      </c>
      <c r="O226" s="11">
        <f t="shared" si="55"/>
        <v>1242.3789453308416</v>
      </c>
      <c r="P226" s="11">
        <f t="shared" si="56"/>
        <v>635.42524290689073</v>
      </c>
      <c r="Q226" s="11">
        <f t="shared" si="57"/>
        <v>658.05135166274908</v>
      </c>
      <c r="R226" s="11">
        <f t="shared" si="58"/>
        <v>335.06625362882403</v>
      </c>
      <c r="S226" s="27">
        <f t="shared" si="59"/>
        <v>2870.9217935293059</v>
      </c>
    </row>
    <row r="227" spans="1:19" x14ac:dyDescent="0.25">
      <c r="A227" s="6">
        <f t="shared" si="46"/>
        <v>222</v>
      </c>
      <c r="B227" s="24">
        <v>45113</v>
      </c>
      <c r="C227" s="32" cm="1">
        <f t="array" ref="C227" xml:space="preserve"> BonoM(100,C$2,C$1 - $B227,Portafolio!C227)</f>
        <v>90.084428683991291</v>
      </c>
      <c r="D227" s="32" cm="1">
        <f t="array" ref="D227" xml:space="preserve"> BonoM(100,D$2,D$1 - $B227,Portafolio!D227)</f>
        <v>98.931246662754617</v>
      </c>
      <c r="E227" s="32" cm="1">
        <f t="array" ref="E227" xml:space="preserve"> BonoM(100,E$2,E$1 - $B227,Portafolio!E227)</f>
        <v>94.374290289590121</v>
      </c>
      <c r="F227" s="32" cm="1">
        <f t="array" ref="F227" xml:space="preserve"> BonoM(100,F$2,F$1 - $B227,Portafolio!F227)</f>
        <v>96.904838887029641</v>
      </c>
      <c r="G227" s="5">
        <f t="shared" si="47"/>
        <v>-1.3020543559421061E-3</v>
      </c>
      <c r="H227" s="5">
        <f t="shared" si="48"/>
        <v>-2.0433358702314219E-3</v>
      </c>
      <c r="I227" s="5">
        <f t="shared" si="49"/>
        <v>-5.1583947485537296E-3</v>
      </c>
      <c r="J227" s="5">
        <f t="shared" si="50"/>
        <v>-3.4305552317989152E-3</v>
      </c>
      <c r="K227" s="10">
        <f t="shared" si="51"/>
        <v>89.437037686194572</v>
      </c>
      <c r="L227" s="10">
        <f t="shared" si="52"/>
        <v>98.00921371658842</v>
      </c>
      <c r="M227" s="10">
        <f t="shared" si="53"/>
        <v>92.337298125289124</v>
      </c>
      <c r="N227" s="10">
        <f t="shared" si="54"/>
        <v>93.060292212785058</v>
      </c>
      <c r="O227" s="11">
        <f t="shared" si="55"/>
        <v>384.79223926744339</v>
      </c>
      <c r="P227" s="11">
        <f t="shared" si="56"/>
        <v>301.01368506054627</v>
      </c>
      <c r="Q227" s="11">
        <f t="shared" si="57"/>
        <v>957.56396039496394</v>
      </c>
      <c r="R227" s="11">
        <f t="shared" si="58"/>
        <v>320.34744191616937</v>
      </c>
      <c r="S227" s="27">
        <f t="shared" si="59"/>
        <v>1963.717326639123</v>
      </c>
    </row>
    <row r="228" spans="1:19" x14ac:dyDescent="0.25">
      <c r="A228" s="6">
        <f t="shared" si="46"/>
        <v>223</v>
      </c>
      <c r="B228" s="24">
        <v>45112</v>
      </c>
      <c r="C228" s="32" cm="1">
        <f t="array" ref="C228" xml:space="preserve"> BonoM(100,C$2,C$1 - $B228,Portafolio!C228)</f>
        <v>90.20187643011127</v>
      </c>
      <c r="D228" s="32" cm="1">
        <f t="array" ref="D228" xml:space="preserve"> BonoM(100,D$2,D$1 - $B228,Portafolio!D228)</f>
        <v>99.133810333361495</v>
      </c>
      <c r="E228" s="32" cm="1">
        <f t="array" ref="E228" xml:space="preserve"> BonoM(100,E$2,E$1 - $B228,Portafolio!E228)</f>
        <v>94.863634362916514</v>
      </c>
      <c r="F228" s="32" cm="1">
        <f t="array" ref="F228" xml:space="preserve"> BonoM(100,F$2,F$1 - $B228,Portafolio!F228)</f>
        <v>97.238420659755832</v>
      </c>
      <c r="G228" s="5">
        <f t="shared" si="47"/>
        <v>-1.3369548553874289E-3</v>
      </c>
      <c r="H228" s="5">
        <f t="shared" si="48"/>
        <v>-2.0473230729859404E-3</v>
      </c>
      <c r="I228" s="5">
        <f t="shared" si="49"/>
        <v>-1.490715168586898E-3</v>
      </c>
      <c r="J228" s="5">
        <f t="shared" si="50"/>
        <v>-3.9404673022475079E-3</v>
      </c>
      <c r="K228" s="10">
        <f t="shared" si="51"/>
        <v>89.433912219382734</v>
      </c>
      <c r="L228" s="10">
        <f t="shared" si="52"/>
        <v>98.008822133846465</v>
      </c>
      <c r="M228" s="10">
        <f t="shared" si="53"/>
        <v>92.677717766984586</v>
      </c>
      <c r="N228" s="10">
        <f t="shared" si="54"/>
        <v>93.012676297478919</v>
      </c>
      <c r="O228" s="11">
        <f t="shared" si="55"/>
        <v>395.10627974650845</v>
      </c>
      <c r="P228" s="11">
        <f t="shared" si="56"/>
        <v>301.60105917347835</v>
      </c>
      <c r="Q228" s="11">
        <f t="shared" si="57"/>
        <v>276.72467700404013</v>
      </c>
      <c r="R228" s="11">
        <f t="shared" si="58"/>
        <v>367.96335722230822</v>
      </c>
      <c r="S228" s="27">
        <f t="shared" si="59"/>
        <v>1341.3953731463353</v>
      </c>
    </row>
    <row r="229" spans="1:19" x14ac:dyDescent="0.25">
      <c r="A229" s="6">
        <f t="shared" si="46"/>
        <v>224</v>
      </c>
      <c r="B229" s="24">
        <v>45111</v>
      </c>
      <c r="C229" s="32" cm="1">
        <f t="array" ref="C229" xml:space="preserve"> BonoM(100,C$2,C$1 - $B229,Portafolio!C229)</f>
        <v>90.322633713806326</v>
      </c>
      <c r="D229" s="32" cm="1">
        <f t="array" ref="D229" xml:space="preserve"> BonoM(100,D$2,D$1 - $B229,Portafolio!D229)</f>
        <v>99.337185645539094</v>
      </c>
      <c r="E229" s="32" cm="1">
        <f t="array" ref="E229" xml:space="preserve"> BonoM(100,E$2,E$1 - $B229,Portafolio!E229)</f>
        <v>95.005260145310672</v>
      </c>
      <c r="F229" s="32" cm="1">
        <f t="array" ref="F229" xml:space="preserve"> BonoM(100,F$2,F$1 - $B229,Portafolio!F229)</f>
        <v>97.623101298366038</v>
      </c>
      <c r="G229" s="5">
        <f t="shared" si="47"/>
        <v>-1.3401860787138897E-3</v>
      </c>
      <c r="H229" s="5">
        <f t="shared" si="48"/>
        <v>-1.5936513387281304E-3</v>
      </c>
      <c r="I229" s="5">
        <f t="shared" si="49"/>
        <v>-2.0694408327684988E-3</v>
      </c>
      <c r="J229" s="5">
        <f t="shared" si="50"/>
        <v>-3.9511060892073457E-3</v>
      </c>
      <c r="K229" s="10">
        <f t="shared" si="51"/>
        <v>89.433622851567691</v>
      </c>
      <c r="L229" s="10">
        <f t="shared" si="52"/>
        <v>98.053377184740199</v>
      </c>
      <c r="M229" s="10">
        <f t="shared" si="53"/>
        <v>92.624002719378794</v>
      </c>
      <c r="N229" s="10">
        <f t="shared" si="54"/>
        <v>93.011682840747454</v>
      </c>
      <c r="O229" s="11">
        <f t="shared" si="55"/>
        <v>396.06119353614986</v>
      </c>
      <c r="P229" s="11">
        <f t="shared" si="56"/>
        <v>234.76848283287666</v>
      </c>
      <c r="Q229" s="11">
        <f t="shared" si="57"/>
        <v>384.15477221562355</v>
      </c>
      <c r="R229" s="11">
        <f t="shared" si="58"/>
        <v>368.95681395377267</v>
      </c>
      <c r="S229" s="27">
        <f t="shared" si="59"/>
        <v>1383.9412625384227</v>
      </c>
    </row>
    <row r="230" spans="1:19" x14ac:dyDescent="0.25">
      <c r="A230" s="6">
        <f t="shared" si="46"/>
        <v>225</v>
      </c>
      <c r="B230" s="24">
        <v>45110</v>
      </c>
      <c r="C230" s="32" cm="1">
        <f t="array" ref="C230" xml:space="preserve"> BonoM(100,C$2,C$1 - $B230,Portafolio!C230)</f>
        <v>90.443845296177614</v>
      </c>
      <c r="D230" s="32" cm="1">
        <f t="array" ref="D230" xml:space="preserve"> BonoM(100,D$2,D$1 - $B230,Portafolio!D230)</f>
        <v>99.495747176224242</v>
      </c>
      <c r="E230" s="32" cm="1">
        <f t="array" ref="E230" xml:space="preserve"> BonoM(100,E$2,E$1 - $B230,Portafolio!E230)</f>
        <v>95.202275621855023</v>
      </c>
      <c r="F230" s="32" cm="1">
        <f t="array" ref="F230" xml:space="preserve"> BonoM(100,F$2,F$1 - $B230,Portafolio!F230)</f>
        <v>98.010350591393035</v>
      </c>
      <c r="G230" s="5">
        <f t="shared" si="47"/>
        <v>9.458862403840973E-3</v>
      </c>
      <c r="H230" s="5">
        <f t="shared" si="48"/>
        <v>1.3765845414996702E-2</v>
      </c>
      <c r="I230" s="5">
        <f t="shared" si="49"/>
        <v>1.7692780230491367E-2</v>
      </c>
      <c r="J230" s="5">
        <f t="shared" si="50"/>
        <v>2.5304505590761917E-2</v>
      </c>
      <c r="K230" s="10">
        <f t="shared" si="51"/>
        <v>90.400716966782312</v>
      </c>
      <c r="L230" s="10">
        <f t="shared" si="52"/>
        <v>99.561831663800945</v>
      </c>
      <c r="M230" s="10">
        <f t="shared" si="53"/>
        <v>94.458254612648659</v>
      </c>
      <c r="N230" s="10">
        <f t="shared" si="54"/>
        <v>95.743590572912538</v>
      </c>
      <c r="O230" s="11">
        <f t="shared" si="55"/>
        <v>-2795.3493866721005</v>
      </c>
      <c r="P230" s="11">
        <f t="shared" si="56"/>
        <v>-2027.9132357582412</v>
      </c>
      <c r="Q230" s="11">
        <f t="shared" si="57"/>
        <v>-3284.349014324107</v>
      </c>
      <c r="R230" s="11">
        <f t="shared" si="58"/>
        <v>-2362.9509182113111</v>
      </c>
      <c r="S230" s="27">
        <f t="shared" si="59"/>
        <v>-10470.56255496576</v>
      </c>
    </row>
    <row r="231" spans="1:19" x14ac:dyDescent="0.25">
      <c r="A231" s="6">
        <f t="shared" si="46"/>
        <v>226</v>
      </c>
      <c r="B231" s="24">
        <v>45108</v>
      </c>
      <c r="C231" s="32" cm="1">
        <f t="array" ref="C231" xml:space="preserve"> BonoM(100,C$2,C$1 - $B231,Portafolio!C231)</f>
        <v>89.596365602063472</v>
      </c>
      <c r="D231" s="32" cm="1">
        <f t="array" ref="D231" xml:space="preserve"> BonoM(100,D$2,D$1 - $B231,Portafolio!D231)</f>
        <v>98.144702375028743</v>
      </c>
      <c r="E231" s="32" cm="1">
        <f t="array" ref="E231" xml:space="preserve"> BonoM(100,E$2,E$1 - $B231,Portafolio!E231)</f>
        <v>93.547166169630501</v>
      </c>
      <c r="F231" s="32" cm="1">
        <f t="array" ref="F231" xml:space="preserve"> BonoM(100,F$2,F$1 - $B231,Portafolio!F231)</f>
        <v>95.591456057165416</v>
      </c>
      <c r="G231" s="5">
        <f t="shared" si="47"/>
        <v>-9.8956850030714749E-3</v>
      </c>
      <c r="H231" s="5">
        <f t="shared" si="48"/>
        <v>-1.4235322012481899E-2</v>
      </c>
      <c r="I231" s="5">
        <f t="shared" si="49"/>
        <v>-1.7825445837854614E-2</v>
      </c>
      <c r="J231" s="5">
        <f t="shared" si="50"/>
        <v>-2.644180499510318E-2</v>
      </c>
      <c r="K231" s="10">
        <f t="shared" si="51"/>
        <v>88.667446768939925</v>
      </c>
      <c r="L231" s="10">
        <f t="shared" si="52"/>
        <v>96.811840104691655</v>
      </c>
      <c r="M231" s="10">
        <f t="shared" si="53"/>
        <v>91.161592096684274</v>
      </c>
      <c r="N231" s="10">
        <f t="shared" si="54"/>
        <v>90.91148699063362</v>
      </c>
      <c r="O231" s="11">
        <f t="shared" si="55"/>
        <v>2924.4422662077768</v>
      </c>
      <c r="P231" s="11">
        <f t="shared" si="56"/>
        <v>2097.074102905694</v>
      </c>
      <c r="Q231" s="11">
        <f t="shared" si="57"/>
        <v>3308.9760176046639</v>
      </c>
      <c r="R231" s="11">
        <f t="shared" si="58"/>
        <v>2469.1526640676075</v>
      </c>
      <c r="S231" s="27">
        <f t="shared" si="59"/>
        <v>10799.645050785743</v>
      </c>
    </row>
    <row r="232" spans="1:19" x14ac:dyDescent="0.25">
      <c r="A232" s="6">
        <f t="shared" si="46"/>
        <v>227</v>
      </c>
      <c r="B232" s="24">
        <v>45107</v>
      </c>
      <c r="C232" s="32" cm="1">
        <f t="array" ref="C232" xml:space="preserve"> BonoM(100,C$2,C$1 - $B232,Portafolio!C232)</f>
        <v>90.491844389488818</v>
      </c>
      <c r="D232" s="32" cm="1">
        <f t="array" ref="D232" xml:space="preserve"> BonoM(100,D$2,D$1 - $B232,Portafolio!D232)</f>
        <v>99.561999498090628</v>
      </c>
      <c r="E232" s="32" cm="1">
        <f t="array" ref="E232" xml:space="preserve"> BonoM(100,E$2,E$1 - $B232,Portafolio!E232)</f>
        <v>95.244949864774213</v>
      </c>
      <c r="F232" s="32" cm="1">
        <f t="array" ref="F232" xml:space="preserve"> BonoM(100,F$2,F$1 - $B232,Portafolio!F232)</f>
        <v>98.187716510038328</v>
      </c>
      <c r="G232" s="5">
        <f t="shared" si="47"/>
        <v>-1.348922350736026E-3</v>
      </c>
      <c r="H232" s="5">
        <f t="shared" si="48"/>
        <v>2.3669053454167255E-4</v>
      </c>
      <c r="I232" s="5">
        <f t="shared" si="49"/>
        <v>1.9730103638808671E-3</v>
      </c>
      <c r="J232" s="5">
        <f t="shared" si="50"/>
        <v>3.6134554541060737E-3</v>
      </c>
      <c r="K232" s="10">
        <f t="shared" si="51"/>
        <v>89.432840486595893</v>
      </c>
      <c r="L232" s="10">
        <f t="shared" si="52"/>
        <v>98.233134857873381</v>
      </c>
      <c r="M232" s="10">
        <f t="shared" si="53"/>
        <v>92.99920719346953</v>
      </c>
      <c r="N232" s="10">
        <f t="shared" si="54"/>
        <v>93.718066436369426</v>
      </c>
      <c r="O232" s="11">
        <f t="shared" si="55"/>
        <v>398.64299794308238</v>
      </c>
      <c r="P232" s="11">
        <f t="shared" si="56"/>
        <v>-34.868026866895718</v>
      </c>
      <c r="Q232" s="11">
        <f t="shared" si="57"/>
        <v>-366.25417596584953</v>
      </c>
      <c r="R232" s="11">
        <f t="shared" si="58"/>
        <v>-337.42678166819928</v>
      </c>
      <c r="S232" s="27">
        <f t="shared" si="59"/>
        <v>-339.90598655786215</v>
      </c>
    </row>
    <row r="233" spans="1:19" x14ac:dyDescent="0.25">
      <c r="A233" s="6">
        <f t="shared" si="46"/>
        <v>228</v>
      </c>
      <c r="B233" s="24">
        <v>45106</v>
      </c>
      <c r="C233" s="32" cm="1">
        <f t="array" ref="C233" xml:space="preserve"> BonoM(100,C$2,C$1 - $B233,Portafolio!C233)</f>
        <v>90.614075741547879</v>
      </c>
      <c r="D233" s="32" cm="1">
        <f t="array" ref="D233" xml:space="preserve"> BonoM(100,D$2,D$1 - $B233,Portafolio!D233)</f>
        <v>99.538439691592572</v>
      </c>
      <c r="E233" s="32" cm="1">
        <f t="array" ref="E233" xml:space="preserve"> BonoM(100,E$2,E$1 - $B233,Portafolio!E233)</f>
        <v>95.057400628171251</v>
      </c>
      <c r="F233" s="32" cm="1">
        <f t="array" ref="F233" xml:space="preserve"> BonoM(100,F$2,F$1 - $B233,Portafolio!F233)</f>
        <v>97.834196997300353</v>
      </c>
      <c r="G233" s="5">
        <f t="shared" si="47"/>
        <v>-3.267658199757939E-3</v>
      </c>
      <c r="H233" s="5">
        <f t="shared" si="48"/>
        <v>-5.2727566821716421E-3</v>
      </c>
      <c r="I233" s="5">
        <f t="shared" si="49"/>
        <v>-7.2668801548797513E-3</v>
      </c>
      <c r="J233" s="5">
        <f t="shared" si="50"/>
        <v>-5.6443884591167448E-3</v>
      </c>
      <c r="K233" s="10">
        <f t="shared" si="51"/>
        <v>89.261010704440736</v>
      </c>
      <c r="L233" s="10">
        <f t="shared" si="52"/>
        <v>97.692052655477369</v>
      </c>
      <c r="M233" s="10">
        <f t="shared" si="53"/>
        <v>92.141596774914319</v>
      </c>
      <c r="N233" s="10">
        <f t="shared" si="54"/>
        <v>92.853563049929292</v>
      </c>
      <c r="O233" s="11">
        <f t="shared" si="55"/>
        <v>965.68127905510153</v>
      </c>
      <c r="P233" s="11">
        <f t="shared" si="56"/>
        <v>776.75527672712269</v>
      </c>
      <c r="Q233" s="11">
        <f t="shared" si="57"/>
        <v>1348.9666611445728</v>
      </c>
      <c r="R233" s="11">
        <f t="shared" si="58"/>
        <v>527.07660477193485</v>
      </c>
      <c r="S233" s="27">
        <f t="shared" si="59"/>
        <v>3618.4798216987319</v>
      </c>
    </row>
    <row r="234" spans="1:19" x14ac:dyDescent="0.25">
      <c r="A234" s="6">
        <f t="shared" si="46"/>
        <v>229</v>
      </c>
      <c r="B234" s="24">
        <v>45105</v>
      </c>
      <c r="C234" s="32" cm="1">
        <f t="array" ref="C234" xml:space="preserve"> BonoM(100,C$2,C$1 - $B234,Portafolio!C234)</f>
        <v>90.911142281071989</v>
      </c>
      <c r="D234" s="32" cm="1">
        <f t="array" ref="D234" xml:space="preserve"> BonoM(100,D$2,D$1 - $B234,Portafolio!D234)</f>
        <v>100.06606369761278</v>
      </c>
      <c r="E234" s="32" cm="1">
        <f t="array" ref="E234" xml:space="preserve"> BonoM(100,E$2,E$1 - $B234,Portafolio!E234)</f>
        <v>95.753227859468907</v>
      </c>
      <c r="F234" s="32" cm="1">
        <f t="array" ref="F234" xml:space="preserve"> BonoM(100,F$2,F$1 - $B234,Portafolio!F234)</f>
        <v>98.38954581419172</v>
      </c>
      <c r="G234" s="5">
        <f t="shared" si="47"/>
        <v>-7.702373333973167E-5</v>
      </c>
      <c r="H234" s="5">
        <f t="shared" si="48"/>
        <v>-2.2740036357871141E-4</v>
      </c>
      <c r="I234" s="5">
        <f t="shared" si="49"/>
        <v>8.1330176609717419E-4</v>
      </c>
      <c r="J234" s="5">
        <f t="shared" si="50"/>
        <v>2.7728469034311587E-3</v>
      </c>
      <c r="K234" s="10">
        <f t="shared" si="51"/>
        <v>89.546743639269081</v>
      </c>
      <c r="L234" s="10">
        <f t="shared" si="52"/>
        <v>98.187556542047957</v>
      </c>
      <c r="M234" s="10">
        <f t="shared" si="53"/>
        <v>92.891567587358608</v>
      </c>
      <c r="N234" s="10">
        <f t="shared" si="54"/>
        <v>93.639569872208185</v>
      </c>
      <c r="O234" s="11">
        <f t="shared" si="55"/>
        <v>22.762594121560653</v>
      </c>
      <c r="P234" s="11">
        <f t="shared" si="56"/>
        <v>33.499446871239513</v>
      </c>
      <c r="Q234" s="11">
        <f t="shared" si="57"/>
        <v>-150.97496374400521</v>
      </c>
      <c r="R234" s="11">
        <f t="shared" si="58"/>
        <v>-258.93021750695766</v>
      </c>
      <c r="S234" s="27">
        <f t="shared" si="59"/>
        <v>-353.6431402581627</v>
      </c>
    </row>
    <row r="235" spans="1:19" x14ac:dyDescent="0.25">
      <c r="A235" s="6">
        <f t="shared" si="46"/>
        <v>230</v>
      </c>
      <c r="B235" s="24">
        <v>45104</v>
      </c>
      <c r="C235" s="32" cm="1">
        <f t="array" ref="C235" xml:space="preserve"> BonoM(100,C$2,C$1 - $B235,Portafolio!C235)</f>
        <v>90.918145136038689</v>
      </c>
      <c r="D235" s="32" cm="1">
        <f t="array" ref="D235" xml:space="preserve"> BonoM(100,D$2,D$1 - $B235,Portafolio!D235)</f>
        <v>100.08882393256521</v>
      </c>
      <c r="E235" s="32" cm="1">
        <f t="array" ref="E235" xml:space="preserve"> BonoM(100,E$2,E$1 - $B235,Portafolio!E235)</f>
        <v>95.675414875578525</v>
      </c>
      <c r="F235" s="32" cm="1">
        <f t="array" ref="F235" xml:space="preserve"> BonoM(100,F$2,F$1 - $B235,Portafolio!F235)</f>
        <v>98.117481060660211</v>
      </c>
      <c r="G235" s="5">
        <f t="shared" si="47"/>
        <v>-1.3593946769083765E-3</v>
      </c>
      <c r="H235" s="5">
        <f t="shared" si="48"/>
        <v>-1.6106795470371971E-3</v>
      </c>
      <c r="I235" s="5">
        <f t="shared" si="49"/>
        <v>-2.0863750957520466E-3</v>
      </c>
      <c r="J235" s="5">
        <f t="shared" si="50"/>
        <v>-2.2909280778508068E-3</v>
      </c>
      <c r="K235" s="10">
        <f t="shared" si="51"/>
        <v>89.431902651653289</v>
      </c>
      <c r="L235" s="10">
        <f t="shared" si="52"/>
        <v>98.05170484628367</v>
      </c>
      <c r="M235" s="10">
        <f t="shared" si="53"/>
        <v>92.622430947469198</v>
      </c>
      <c r="N235" s="10">
        <f t="shared" si="54"/>
        <v>93.166711325388604</v>
      </c>
      <c r="O235" s="11">
        <f t="shared" si="55"/>
        <v>401.73785325367675</v>
      </c>
      <c r="P235" s="11">
        <f t="shared" si="56"/>
        <v>237.27699051767104</v>
      </c>
      <c r="Q235" s="11">
        <f t="shared" si="57"/>
        <v>387.29831603481557</v>
      </c>
      <c r="R235" s="11">
        <f t="shared" si="58"/>
        <v>213.92832931262262</v>
      </c>
      <c r="S235" s="27">
        <f t="shared" si="59"/>
        <v>1240.2414891187859</v>
      </c>
    </row>
    <row r="236" spans="1:19" x14ac:dyDescent="0.25">
      <c r="A236" s="6">
        <f t="shared" si="46"/>
        <v>231</v>
      </c>
      <c r="B236" s="24">
        <v>45103</v>
      </c>
      <c r="C236" s="32" cm="1">
        <f t="array" ref="C236" xml:space="preserve"> BonoM(100,C$2,C$1 - $B236,Portafolio!C236)</f>
        <v>91.041907019817017</v>
      </c>
      <c r="D236" s="32" cm="1">
        <f t="array" ref="D236" xml:space="preserve"> BonoM(100,D$2,D$1 - $B236,Portafolio!D236)</f>
        <v>100.25029503235827</v>
      </c>
      <c r="E236" s="32" cm="1">
        <f t="array" ref="E236" xml:space="preserve"> BonoM(100,E$2,E$1 - $B236,Portafolio!E236)</f>
        <v>95.875447020536271</v>
      </c>
      <c r="F236" s="32" cm="1">
        <f t="array" ref="F236" xml:space="preserve"> BonoM(100,F$2,F$1 - $B236,Portafolio!F236)</f>
        <v>98.342777290408634</v>
      </c>
      <c r="G236" s="5">
        <f t="shared" si="47"/>
        <v>1.2203722071627565E-2</v>
      </c>
      <c r="H236" s="5">
        <f t="shared" si="48"/>
        <v>1.5895995012257469E-2</v>
      </c>
      <c r="I236" s="5">
        <f t="shared" si="49"/>
        <v>2.0021275152498186E-2</v>
      </c>
      <c r="J236" s="5">
        <f t="shared" si="50"/>
        <v>3.2970450696246711E-2</v>
      </c>
      <c r="K236" s="10">
        <f t="shared" si="51"/>
        <v>90.64652914515105</v>
      </c>
      <c r="L236" s="10">
        <f t="shared" si="52"/>
        <v>99.771033420380519</v>
      </c>
      <c r="M236" s="10">
        <f t="shared" si="53"/>
        <v>94.674376383854863</v>
      </c>
      <c r="N236" s="10">
        <f t="shared" si="54"/>
        <v>96.45944143042054</v>
      </c>
      <c r="O236" s="11">
        <f t="shared" si="55"/>
        <v>-3606.5295752889342</v>
      </c>
      <c r="P236" s="11">
        <f t="shared" si="56"/>
        <v>-2341.7158706276027</v>
      </c>
      <c r="Q236" s="11">
        <f t="shared" si="57"/>
        <v>-3716.5925567365148</v>
      </c>
      <c r="R236" s="11">
        <f t="shared" si="58"/>
        <v>-3078.8017757193129</v>
      </c>
      <c r="S236" s="27">
        <f t="shared" si="59"/>
        <v>-12743.639778372362</v>
      </c>
    </row>
    <row r="237" spans="1:19" x14ac:dyDescent="0.25">
      <c r="A237" s="6">
        <f t="shared" si="46"/>
        <v>232</v>
      </c>
      <c r="B237" s="24">
        <v>45101</v>
      </c>
      <c r="C237" s="32" cm="1">
        <f t="array" ref="C237" xml:space="preserve"> BonoM(100,C$2,C$1 - $B237,Portafolio!C237)</f>
        <v>89.944252362050221</v>
      </c>
      <c r="D237" s="32" cm="1">
        <f t="array" ref="D237" xml:space="preserve"> BonoM(100,D$2,D$1 - $B237,Portafolio!D237)</f>
        <v>98.681651984609587</v>
      </c>
      <c r="E237" s="32" cm="1">
        <f t="array" ref="E237" xml:space="preserve"> BonoM(100,E$2,E$1 - $B237,Portafolio!E237)</f>
        <v>93.993575777331131</v>
      </c>
      <c r="F237" s="32" cm="1">
        <f t="array" ref="F237" xml:space="preserve"> BonoM(100,F$2,F$1 - $B237,Portafolio!F237)</f>
        <v>95.203863018659689</v>
      </c>
      <c r="G237" s="5">
        <f t="shared" si="47"/>
        <v>-9.4312044576293497E-3</v>
      </c>
      <c r="H237" s="5">
        <f t="shared" si="48"/>
        <v>-1.4050624627364838E-2</v>
      </c>
      <c r="I237" s="5">
        <f t="shared" si="49"/>
        <v>-1.7233003563746019E-2</v>
      </c>
      <c r="J237" s="5">
        <f t="shared" si="50"/>
        <v>-2.6307123483457762E-2</v>
      </c>
      <c r="K237" s="10">
        <f t="shared" si="51"/>
        <v>88.709042693141427</v>
      </c>
      <c r="L237" s="10">
        <f t="shared" si="52"/>
        <v>96.829979214476168</v>
      </c>
      <c r="M237" s="10">
        <f t="shared" si="53"/>
        <v>91.216580266255818</v>
      </c>
      <c r="N237" s="10">
        <f t="shared" si="54"/>
        <v>90.924063636340733</v>
      </c>
      <c r="O237" s="11">
        <f t="shared" si="55"/>
        <v>2787.1757163428201</v>
      </c>
      <c r="P237" s="11">
        <f t="shared" si="56"/>
        <v>2069.8654382289233</v>
      </c>
      <c r="Q237" s="11">
        <f t="shared" si="57"/>
        <v>3198.9996784615755</v>
      </c>
      <c r="R237" s="11">
        <f t="shared" si="58"/>
        <v>2456.5760183604934</v>
      </c>
      <c r="S237" s="27">
        <f t="shared" si="59"/>
        <v>10512.616851393814</v>
      </c>
    </row>
    <row r="238" spans="1:19" x14ac:dyDescent="0.25">
      <c r="A238" s="6">
        <f t="shared" si="46"/>
        <v>233</v>
      </c>
      <c r="B238" s="24">
        <v>45100</v>
      </c>
      <c r="C238" s="32" cm="1">
        <f t="array" ref="C238" xml:space="preserve"> BonoM(100,C$2,C$1 - $B238,Portafolio!C238)</f>
        <v>90.800611493927221</v>
      </c>
      <c r="D238" s="32" cm="1">
        <f t="array" ref="D238" xml:space="preserve"> BonoM(100,D$2,D$1 - $B238,Portafolio!D238)</f>
        <v>100.08795020262912</v>
      </c>
      <c r="E238" s="32" cm="1">
        <f t="array" ref="E238" xml:space="preserve"> BonoM(100,E$2,E$1 - $B238,Portafolio!E238)</f>
        <v>95.641770753570384</v>
      </c>
      <c r="F238" s="32" cm="1">
        <f t="array" ref="F238" xml:space="preserve"> BonoM(100,F$2,F$1 - $B238,Portafolio!F238)</f>
        <v>97.776070170358537</v>
      </c>
      <c r="G238" s="5">
        <f t="shared" si="47"/>
        <v>3.7872395182543261E-3</v>
      </c>
      <c r="H238" s="5">
        <f t="shared" si="48"/>
        <v>4.8653889403413864E-3</v>
      </c>
      <c r="I238" s="5">
        <f t="shared" si="49"/>
        <v>6.0607420613940644E-3</v>
      </c>
      <c r="J238" s="5">
        <f t="shared" si="50"/>
        <v>7.0026089136903114E-3</v>
      </c>
      <c r="K238" s="10">
        <f t="shared" si="51"/>
        <v>89.892802484758448</v>
      </c>
      <c r="L238" s="10">
        <f t="shared" si="52"/>
        <v>98.687718816866479</v>
      </c>
      <c r="M238" s="10">
        <f t="shared" si="53"/>
        <v>93.37861442615565</v>
      </c>
      <c r="N238" s="10">
        <f t="shared" si="54"/>
        <v>94.034547754313337</v>
      </c>
      <c r="O238" s="11">
        <f t="shared" si="55"/>
        <v>-1119.2315959933494</v>
      </c>
      <c r="P238" s="11">
        <f t="shared" si="56"/>
        <v>-716.74396535654239</v>
      </c>
      <c r="Q238" s="11">
        <f t="shared" si="57"/>
        <v>-1125.068641338089</v>
      </c>
      <c r="R238" s="11">
        <f t="shared" si="58"/>
        <v>-653.90809961211005</v>
      </c>
      <c r="S238" s="27">
        <f t="shared" si="59"/>
        <v>-3614.9523023000911</v>
      </c>
    </row>
    <row r="239" spans="1:19" x14ac:dyDescent="0.25">
      <c r="A239" s="6">
        <f t="shared" si="46"/>
        <v>234</v>
      </c>
      <c r="B239" s="24">
        <v>45099</v>
      </c>
      <c r="C239" s="32" cm="1">
        <f t="array" ref="C239" xml:space="preserve"> BonoM(100,C$2,C$1 - $B239,Portafolio!C239)</f>
        <v>90.458025285821506</v>
      </c>
      <c r="D239" s="32" cm="1">
        <f t="array" ref="D239" xml:space="preserve"> BonoM(100,D$2,D$1 - $B239,Portafolio!D239)</f>
        <v>99.603341207895184</v>
      </c>
      <c r="E239" s="32" cm="1">
        <f t="array" ref="E239" xml:space="preserve"> BonoM(100,E$2,E$1 - $B239,Portafolio!E239)</f>
        <v>95.065602656955591</v>
      </c>
      <c r="F239" s="32" cm="1">
        <f t="array" ref="F239" xml:space="preserve"> BonoM(100,F$2,F$1 - $B239,Portafolio!F239)</f>
        <v>97.09614384796383</v>
      </c>
      <c r="G239" s="5">
        <f t="shared" si="47"/>
        <v>3.1451759797973544E-3</v>
      </c>
      <c r="H239" s="5">
        <f t="shared" si="48"/>
        <v>3.9380709479877041E-3</v>
      </c>
      <c r="I239" s="5">
        <f t="shared" si="49"/>
        <v>4.3078874039292891E-3</v>
      </c>
      <c r="J239" s="5">
        <f t="shared" si="50"/>
        <v>2.4147880239433483E-4</v>
      </c>
      <c r="K239" s="10">
        <f t="shared" si="51"/>
        <v>89.835303356882633</v>
      </c>
      <c r="L239" s="10">
        <f t="shared" si="52"/>
        <v>98.596647019299922</v>
      </c>
      <c r="M239" s="10">
        <f t="shared" si="53"/>
        <v>93.215921327855128</v>
      </c>
      <c r="N239" s="10">
        <f t="shared" si="54"/>
        <v>93.403189099731861</v>
      </c>
      <c r="O239" s="11">
        <f t="shared" si="55"/>
        <v>-929.4844740031607</v>
      </c>
      <c r="P239" s="11">
        <f t="shared" si="56"/>
        <v>-580.13626900670806</v>
      </c>
      <c r="Q239" s="11">
        <f t="shared" si="57"/>
        <v>-799.68244473704431</v>
      </c>
      <c r="R239" s="11">
        <f t="shared" si="58"/>
        <v>-22.549445030634274</v>
      </c>
      <c r="S239" s="27">
        <f t="shared" si="59"/>
        <v>-2331.8526327775471</v>
      </c>
    </row>
    <row r="240" spans="1:19" x14ac:dyDescent="0.25">
      <c r="A240" s="6">
        <f t="shared" si="46"/>
        <v>235</v>
      </c>
      <c r="B240" s="24">
        <v>45098</v>
      </c>
      <c r="C240" s="32" cm="1">
        <f t="array" ref="C240" xml:space="preserve"> BonoM(100,C$2,C$1 - $B240,Portafolio!C240)</f>
        <v>90.174410894683177</v>
      </c>
      <c r="D240" s="32" cm="1">
        <f t="array" ref="D240" xml:space="preserve"> BonoM(100,D$2,D$1 - $B240,Portafolio!D240)</f>
        <v>99.21263481306454</v>
      </c>
      <c r="E240" s="32" cm="1">
        <f t="array" ref="E240" xml:space="preserve"> BonoM(100,E$2,E$1 - $B240,Portafolio!E240)</f>
        <v>94.657827394638915</v>
      </c>
      <c r="F240" s="32" cm="1">
        <f t="array" ref="F240" xml:space="preserve"> BonoM(100,F$2,F$1 - $B240,Portafolio!F240)</f>
        <v>97.072702847934934</v>
      </c>
      <c r="G240" s="5">
        <f t="shared" si="47"/>
        <v>5.7048994587582946E-4</v>
      </c>
      <c r="H240" s="5">
        <f t="shared" si="48"/>
        <v>1.6243184490558615E-3</v>
      </c>
      <c r="I240" s="5">
        <f t="shared" si="49"/>
        <v>1.3990081533679088E-3</v>
      </c>
      <c r="J240" s="5">
        <f t="shared" si="50"/>
        <v>2.7686547336309708E-3</v>
      </c>
      <c r="K240" s="10">
        <f t="shared" si="51"/>
        <v>89.604730847095951</v>
      </c>
      <c r="L240" s="10">
        <f t="shared" si="52"/>
        <v>98.369413642034132</v>
      </c>
      <c r="M240" s="10">
        <f t="shared" si="53"/>
        <v>92.945930558317826</v>
      </c>
      <c r="N240" s="10">
        <f t="shared" si="54"/>
        <v>93.639178404710705</v>
      </c>
      <c r="O240" s="11">
        <f t="shared" si="55"/>
        <v>-168.59519170710797</v>
      </c>
      <c r="P240" s="11">
        <f t="shared" si="56"/>
        <v>-239.28620310802273</v>
      </c>
      <c r="Q240" s="11">
        <f t="shared" si="57"/>
        <v>-259.70090566244153</v>
      </c>
      <c r="R240" s="11">
        <f t="shared" si="58"/>
        <v>-258.53875000947824</v>
      </c>
      <c r="S240" s="27">
        <f t="shared" si="59"/>
        <v>-926.12105048705052</v>
      </c>
    </row>
    <row r="241" spans="1:19" x14ac:dyDescent="0.25">
      <c r="A241" s="6">
        <f t="shared" si="46"/>
        <v>236</v>
      </c>
      <c r="B241" s="24">
        <v>45097</v>
      </c>
      <c r="C241" s="32" cm="1">
        <f t="array" ref="C241" xml:space="preserve"> BonoM(100,C$2,C$1 - $B241,Portafolio!C241)</f>
        <v>90.122996631212871</v>
      </c>
      <c r="D241" s="32" cm="1">
        <f t="array" ref="D241" xml:space="preserve"> BonoM(100,D$2,D$1 - $B241,Portafolio!D241)</f>
        <v>99.05174323911011</v>
      </c>
      <c r="E241" s="32" cm="1">
        <f t="array" ref="E241" xml:space="preserve"> BonoM(100,E$2,E$1 - $B241,Portafolio!E241)</f>
        <v>94.525585330060295</v>
      </c>
      <c r="F241" s="32" cm="1">
        <f t="array" ref="F241" xml:space="preserve"> BonoM(100,F$2,F$1 - $B241,Portafolio!F241)</f>
        <v>96.804684101060872</v>
      </c>
      <c r="G241" s="5">
        <f t="shared" si="47"/>
        <v>1.8601153464214981E-3</v>
      </c>
      <c r="H241" s="5">
        <f t="shared" si="48"/>
        <v>1.6254334067344889E-3</v>
      </c>
      <c r="I241" s="5">
        <f t="shared" si="49"/>
        <v>1.9809129685566251E-3</v>
      </c>
      <c r="J241" s="5">
        <f t="shared" si="50"/>
        <v>4.4526767422425895E-3</v>
      </c>
      <c r="K241" s="10">
        <f t="shared" si="51"/>
        <v>89.720221497750373</v>
      </c>
      <c r="L241" s="10">
        <f t="shared" si="52"/>
        <v>98.369523141904565</v>
      </c>
      <c r="M241" s="10">
        <f t="shared" si="53"/>
        <v>92.999940682258156</v>
      </c>
      <c r="N241" s="10">
        <f t="shared" si="54"/>
        <v>93.796433457067451</v>
      </c>
      <c r="O241" s="11">
        <f t="shared" si="55"/>
        <v>-549.71433886670127</v>
      </c>
      <c r="P241" s="11">
        <f t="shared" si="56"/>
        <v>-239.45045291367251</v>
      </c>
      <c r="Q241" s="11">
        <f t="shared" si="57"/>
        <v>-367.72115354310131</v>
      </c>
      <c r="R241" s="11">
        <f t="shared" si="58"/>
        <v>-415.79380236622399</v>
      </c>
      <c r="S241" s="27">
        <f t="shared" si="59"/>
        <v>-1572.6797476896991</v>
      </c>
    </row>
    <row r="242" spans="1:19" x14ac:dyDescent="0.25">
      <c r="A242" s="6">
        <f t="shared" si="46"/>
        <v>237</v>
      </c>
      <c r="B242" s="24">
        <v>45096</v>
      </c>
      <c r="C242" s="32" cm="1">
        <f t="array" ref="C242" xml:space="preserve"> BonoM(100,C$2,C$1 - $B242,Portafolio!C242)</f>
        <v>89.955668711345282</v>
      </c>
      <c r="D242" s="32" cm="1">
        <f t="array" ref="D242" xml:space="preserve"> BonoM(100,D$2,D$1 - $B242,Portafolio!D242)</f>
        <v>98.891002500021102</v>
      </c>
      <c r="E242" s="32" cm="1">
        <f t="array" ref="E242" xml:space="preserve"> BonoM(100,E$2,E$1 - $B242,Portafolio!E242)</f>
        <v>94.338708558839201</v>
      </c>
      <c r="F242" s="32" cm="1">
        <f t="array" ref="F242" xml:space="preserve"> BonoM(100,F$2,F$1 - $B242,Portafolio!F242)</f>
        <v>96.375554909195969</v>
      </c>
      <c r="G242" s="5">
        <f t="shared" si="47"/>
        <v>1.1448243302228045E-2</v>
      </c>
      <c r="H242" s="5">
        <f t="shared" si="48"/>
        <v>1.4475905163177982E-2</v>
      </c>
      <c r="I242" s="5">
        <f t="shared" si="49"/>
        <v>1.8312064946829576E-2</v>
      </c>
      <c r="J242" s="5">
        <f t="shared" si="50"/>
        <v>2.8168171800399655E-2</v>
      </c>
      <c r="K242" s="10">
        <f t="shared" si="51"/>
        <v>90.578873270354663</v>
      </c>
      <c r="L242" s="10">
        <f t="shared" si="52"/>
        <v>99.631566553212934</v>
      </c>
      <c r="M242" s="10">
        <f t="shared" si="53"/>
        <v>94.515734192488409</v>
      </c>
      <c r="N242" s="10">
        <f t="shared" si="54"/>
        <v>96.011001555326061</v>
      </c>
      <c r="O242" s="11">
        <f t="shared" si="55"/>
        <v>-3383.2651884608581</v>
      </c>
      <c r="P242" s="11">
        <f t="shared" si="56"/>
        <v>-2132.515569876226</v>
      </c>
      <c r="Q242" s="11">
        <f t="shared" si="57"/>
        <v>-3399.3081740036077</v>
      </c>
      <c r="R242" s="11">
        <f t="shared" si="58"/>
        <v>-2630.3619006248341</v>
      </c>
      <c r="S242" s="27">
        <f t="shared" si="59"/>
        <v>-11545.450832965525</v>
      </c>
    </row>
    <row r="243" spans="1:19" x14ac:dyDescent="0.25">
      <c r="A243" s="6">
        <f t="shared" si="46"/>
        <v>238</v>
      </c>
      <c r="B243" s="24">
        <v>45094</v>
      </c>
      <c r="C243" s="32" cm="1">
        <f t="array" ref="C243" xml:space="preserve"> BonoM(100,C$2,C$1 - $B243,Portafolio!C243)</f>
        <v>88.937490679358348</v>
      </c>
      <c r="D243" s="32" cm="1">
        <f t="array" ref="D243" xml:space="preserve"> BonoM(100,D$2,D$1 - $B243,Portafolio!D243)</f>
        <v>97.47989281629566</v>
      </c>
      <c r="E243" s="32" cm="1">
        <f t="array" ref="E243" xml:space="preserve"> BonoM(100,E$2,E$1 - $B243,Portafolio!E243)</f>
        <v>92.642237881925752</v>
      </c>
      <c r="F243" s="32" cm="1">
        <f t="array" ref="F243" xml:space="preserve"> BonoM(100,F$2,F$1 - $B243,Portafolio!F243)</f>
        <v>93.735205535914545</v>
      </c>
      <c r="G243" s="5">
        <f t="shared" si="47"/>
        <v>-1.0576236490755009E-2</v>
      </c>
      <c r="H243" s="5">
        <f t="shared" si="48"/>
        <v>-1.6115481905634277E-2</v>
      </c>
      <c r="I243" s="5">
        <f t="shared" si="49"/>
        <v>-1.9218828470565996E-2</v>
      </c>
      <c r="J243" s="5">
        <f t="shared" si="50"/>
        <v>-3.1258654660251906E-2</v>
      </c>
      <c r="K243" s="10">
        <f t="shared" si="51"/>
        <v>88.60650090506104</v>
      </c>
      <c r="L243" s="10">
        <f t="shared" si="52"/>
        <v>96.627189809330361</v>
      </c>
      <c r="M243" s="10">
        <f t="shared" si="53"/>
        <v>91.032263782628945</v>
      </c>
      <c r="N243" s="10">
        <f t="shared" si="54"/>
        <v>90.461686487781492</v>
      </c>
      <c r="O243" s="11">
        <f t="shared" si="55"/>
        <v>3125.5636170080975</v>
      </c>
      <c r="P243" s="11">
        <f t="shared" si="56"/>
        <v>2374.0495459476351</v>
      </c>
      <c r="Q243" s="11">
        <f t="shared" si="57"/>
        <v>3567.6326457153209</v>
      </c>
      <c r="R243" s="11">
        <f t="shared" si="58"/>
        <v>2918.9531669197349</v>
      </c>
      <c r="S243" s="27">
        <f t="shared" si="59"/>
        <v>11986.198975590789</v>
      </c>
    </row>
    <row r="244" spans="1:19" x14ac:dyDescent="0.25">
      <c r="A244" s="6">
        <f t="shared" si="46"/>
        <v>239</v>
      </c>
      <c r="B244" s="24">
        <v>45093</v>
      </c>
      <c r="C244" s="32" cm="1">
        <f t="array" ref="C244" xml:space="preserve"> BonoM(100,C$2,C$1 - $B244,Portafolio!C244)</f>
        <v>89.88816921469396</v>
      </c>
      <c r="D244" s="32" cm="1">
        <f t="array" ref="D244" xml:space="preserve"> BonoM(100,D$2,D$1 - $B244,Portafolio!D244)</f>
        <v>99.076559315212464</v>
      </c>
      <c r="E244" s="32" cm="1">
        <f t="array" ref="E244" xml:space="preserve"> BonoM(100,E$2,E$1 - $B244,Portafolio!E244)</f>
        <v>94.457602339020312</v>
      </c>
      <c r="F244" s="32" cm="1">
        <f t="array" ref="F244" xml:space="preserve"> BonoM(100,F$2,F$1 - $B244,Portafolio!F244)</f>
        <v>96.759786280248619</v>
      </c>
      <c r="G244" s="5">
        <f t="shared" si="47"/>
        <v>-7.2696805974992174E-5</v>
      </c>
      <c r="H244" s="5">
        <f t="shared" si="48"/>
        <v>2.8348560002413592E-3</v>
      </c>
      <c r="I244" s="5">
        <f t="shared" si="49"/>
        <v>1.6346981533452709E-3</v>
      </c>
      <c r="J244" s="5">
        <f t="shared" si="50"/>
        <v>4.1211288195199813E-3</v>
      </c>
      <c r="K244" s="10">
        <f t="shared" si="51"/>
        <v>89.547131131370648</v>
      </c>
      <c r="L244" s="10">
        <f t="shared" si="52"/>
        <v>98.488300401179686</v>
      </c>
      <c r="M244" s="10">
        <f t="shared" si="53"/>
        <v>92.967806380235785</v>
      </c>
      <c r="N244" s="10">
        <f t="shared" si="54"/>
        <v>93.765473299967425</v>
      </c>
      <c r="O244" s="11">
        <f t="shared" si="55"/>
        <v>21.48387018639113</v>
      </c>
      <c r="P244" s="11">
        <f t="shared" si="56"/>
        <v>-417.61634182635277</v>
      </c>
      <c r="Q244" s="11">
        <f t="shared" si="57"/>
        <v>-303.45254949835976</v>
      </c>
      <c r="R244" s="11">
        <f t="shared" si="58"/>
        <v>-384.83364526619823</v>
      </c>
      <c r="S244" s="27">
        <f t="shared" si="59"/>
        <v>-1084.4186664045196</v>
      </c>
    </row>
    <row r="245" spans="1:19" x14ac:dyDescent="0.25">
      <c r="A245" s="6">
        <f t="shared" si="46"/>
        <v>240</v>
      </c>
      <c r="B245" s="24">
        <v>45092</v>
      </c>
      <c r="C245" s="32" cm="1">
        <f t="array" ref="C245" xml:space="preserve"> BonoM(100,C$2,C$1 - $B245,Portafolio!C245)</f>
        <v>89.894704272568646</v>
      </c>
      <c r="D245" s="32" cm="1">
        <f t="array" ref="D245" xml:space="preserve"> BonoM(100,D$2,D$1 - $B245,Portafolio!D245)</f>
        <v>98.796485505474507</v>
      </c>
      <c r="E245" s="32" cm="1">
        <f t="array" ref="E245" xml:space="preserve"> BonoM(100,E$2,E$1 - $B245,Portafolio!E245)</f>
        <v>94.303444672160637</v>
      </c>
      <c r="F245" s="32" cm="1">
        <f t="array" ref="F245" xml:space="preserve"> BonoM(100,F$2,F$1 - $B245,Portafolio!F245)</f>
        <v>96.362663331268422</v>
      </c>
      <c r="G245" s="5">
        <f t="shared" si="47"/>
        <v>1.5437194459386738E-3</v>
      </c>
      <c r="H245" s="5">
        <f t="shared" si="48"/>
        <v>3.0218521385927399E-3</v>
      </c>
      <c r="I245" s="5">
        <f t="shared" si="49"/>
        <v>3.1503427835057884E-3</v>
      </c>
      <c r="J245" s="5">
        <f t="shared" si="50"/>
        <v>3.611076771958821E-3</v>
      </c>
      <c r="K245" s="10">
        <f t="shared" si="51"/>
        <v>89.691887092739677</v>
      </c>
      <c r="L245" s="10">
        <f t="shared" si="52"/>
        <v>98.506665271265348</v>
      </c>
      <c r="M245" s="10">
        <f t="shared" si="53"/>
        <v>93.108482573640217</v>
      </c>
      <c r="N245" s="10">
        <f t="shared" si="54"/>
        <v>93.717844313508976</v>
      </c>
      <c r="O245" s="11">
        <f t="shared" si="55"/>
        <v>-456.2108023314039</v>
      </c>
      <c r="P245" s="11">
        <f t="shared" si="56"/>
        <v>-445.16364695484612</v>
      </c>
      <c r="Q245" s="11">
        <f t="shared" si="57"/>
        <v>-584.80493630722208</v>
      </c>
      <c r="R245" s="11">
        <f t="shared" si="58"/>
        <v>-337.20465880774952</v>
      </c>
      <c r="S245" s="27">
        <f t="shared" si="59"/>
        <v>-1823.3840444012217</v>
      </c>
    </row>
    <row r="246" spans="1:19" x14ac:dyDescent="0.25">
      <c r="A246" s="6">
        <f t="shared" si="46"/>
        <v>241</v>
      </c>
      <c r="B246" s="24">
        <v>45091</v>
      </c>
      <c r="C246" s="32" cm="1">
        <f t="array" ref="C246" xml:space="preserve"> BonoM(100,C$2,C$1 - $B246,Portafolio!C246)</f>
        <v>89.7561459646505</v>
      </c>
      <c r="D246" s="32" cm="1">
        <f t="array" ref="D246" xml:space="preserve"> BonoM(100,D$2,D$1 - $B246,Portafolio!D246)</f>
        <v>98.498836585489741</v>
      </c>
      <c r="E246" s="32" cm="1">
        <f t="array" ref="E246" xml:space="preserve"> BonoM(100,E$2,E$1 - $B246,Portafolio!E246)</f>
        <v>94.007289486131057</v>
      </c>
      <c r="F246" s="32" cm="1">
        <f t="array" ref="F246" xml:space="preserve"> BonoM(100,F$2,F$1 - $B246,Portafolio!F246)</f>
        <v>96.015942391959086</v>
      </c>
      <c r="G246" s="5">
        <f t="shared" si="47"/>
        <v>-7.23609305068873E-5</v>
      </c>
      <c r="H246" s="5">
        <f t="shared" si="48"/>
        <v>7.0401745656978321E-4</v>
      </c>
      <c r="I246" s="5">
        <f t="shared" si="49"/>
        <v>1.4034703159468975E-3</v>
      </c>
      <c r="J246" s="5">
        <f t="shared" si="50"/>
        <v>2.7665711962197026E-3</v>
      </c>
      <c r="K246" s="10">
        <f t="shared" si="51"/>
        <v>89.547161210241867</v>
      </c>
      <c r="L246" s="10">
        <f t="shared" si="52"/>
        <v>98.279030983249243</v>
      </c>
      <c r="M246" s="10">
        <f t="shared" si="53"/>
        <v>92.946344718757203</v>
      </c>
      <c r="N246" s="10">
        <f t="shared" si="54"/>
        <v>93.638983842654497</v>
      </c>
      <c r="O246" s="11">
        <f t="shared" si="55"/>
        <v>21.384609911366681</v>
      </c>
      <c r="P246" s="11">
        <f t="shared" si="56"/>
        <v>-103.71221493068816</v>
      </c>
      <c r="Q246" s="11">
        <f t="shared" si="57"/>
        <v>-260.5292265411947</v>
      </c>
      <c r="R246" s="11">
        <f t="shared" si="58"/>
        <v>-258.34418795326997</v>
      </c>
      <c r="S246" s="27">
        <f t="shared" si="59"/>
        <v>-601.20101951378615</v>
      </c>
    </row>
    <row r="247" spans="1:19" x14ac:dyDescent="0.25">
      <c r="A247" s="6">
        <f t="shared" si="46"/>
        <v>242</v>
      </c>
      <c r="B247" s="24">
        <v>45090</v>
      </c>
      <c r="C247" s="32" cm="1">
        <f t="array" ref="C247" xml:space="preserve"> BonoM(100,C$2,C$1 - $B247,Portafolio!C247)</f>
        <v>89.762641272897767</v>
      </c>
      <c r="D247" s="32" cm="1">
        <f t="array" ref="D247" xml:space="preserve"> BonoM(100,D$2,D$1 - $B247,Portafolio!D247)</f>
        <v>98.429540470756194</v>
      </c>
      <c r="E247" s="32" cm="1">
        <f t="array" ref="E247" xml:space="preserve"> BonoM(100,E$2,E$1 - $B247,Portafolio!E247)</f>
        <v>93.875537955217368</v>
      </c>
      <c r="F247" s="32" cm="1">
        <f t="array" ref="F247" xml:space="preserve"> BonoM(100,F$2,F$1 - $B247,Portafolio!F247)</f>
        <v>95.751040321796737</v>
      </c>
      <c r="G247" s="5">
        <f t="shared" si="47"/>
        <v>-7.2915180900579024E-5</v>
      </c>
      <c r="H247" s="5">
        <f t="shared" si="48"/>
        <v>-2.2244083534506132E-4</v>
      </c>
      <c r="I247" s="5">
        <f t="shared" si="49"/>
        <v>2.4041510135952571E-4</v>
      </c>
      <c r="J247" s="5">
        <f t="shared" si="50"/>
        <v>-5.9405801015166571E-4</v>
      </c>
      <c r="K247" s="10">
        <f t="shared" si="51"/>
        <v>89.547111575100871</v>
      </c>
      <c r="L247" s="10">
        <f t="shared" si="52"/>
        <v>98.188043616767786</v>
      </c>
      <c r="M247" s="10">
        <f t="shared" si="53"/>
        <v>92.838394492792958</v>
      </c>
      <c r="N247" s="10">
        <f t="shared" si="54"/>
        <v>93.325166137721268</v>
      </c>
      <c r="O247" s="11">
        <f t="shared" si="55"/>
        <v>21.548405876654897</v>
      </c>
      <c r="P247" s="11">
        <f t="shared" si="56"/>
        <v>32.76883479149717</v>
      </c>
      <c r="Q247" s="11">
        <f t="shared" si="57"/>
        <v>-44.628774612704092</v>
      </c>
      <c r="R247" s="11">
        <f t="shared" si="58"/>
        <v>55.473516979958504</v>
      </c>
      <c r="S247" s="27">
        <f t="shared" si="59"/>
        <v>65.161983035406479</v>
      </c>
    </row>
    <row r="248" spans="1:19" x14ac:dyDescent="0.25">
      <c r="A248" s="6">
        <f t="shared" si="46"/>
        <v>243</v>
      </c>
      <c r="B248" s="24">
        <v>45089</v>
      </c>
      <c r="C248" s="32" cm="1">
        <f t="array" ref="C248" xml:space="preserve"> BonoM(100,C$2,C$1 - $B248,Portafolio!C248)</f>
        <v>89.769186809393275</v>
      </c>
      <c r="D248" s="32" cm="1">
        <f t="array" ref="D248" xml:space="preserve"> BonoM(100,D$2,D$1 - $B248,Portafolio!D248)</f>
        <v>98.451440091331037</v>
      </c>
      <c r="E248" s="32" cm="1">
        <f t="array" ref="E248" xml:space="preserve"> BonoM(100,E$2,E$1 - $B248,Portafolio!E248)</f>
        <v>93.852974282892248</v>
      </c>
      <c r="F248" s="32" cm="1">
        <f t="array" ref="F248" xml:space="preserve"> BonoM(100,F$2,F$1 - $B248,Portafolio!F248)</f>
        <v>95.80795580537918</v>
      </c>
      <c r="G248" s="5">
        <f t="shared" si="47"/>
        <v>1.1511440896333047E-2</v>
      </c>
      <c r="H248" s="5">
        <f t="shared" si="48"/>
        <v>9.4566630288372977E-4</v>
      </c>
      <c r="I248" s="5">
        <f t="shared" si="49"/>
        <v>2.0126489778663936E-2</v>
      </c>
      <c r="J248" s="5">
        <f t="shared" si="50"/>
        <v>2.9459590231885935E-2</v>
      </c>
      <c r="K248" s="10">
        <f t="shared" si="51"/>
        <v>90.584532845034175</v>
      </c>
      <c r="L248" s="10">
        <f t="shared" si="52"/>
        <v>98.302763289745144</v>
      </c>
      <c r="M248" s="10">
        <f t="shared" si="53"/>
        <v>94.684141993025335</v>
      </c>
      <c r="N248" s="10">
        <f t="shared" si="54"/>
        <v>96.131595034520117</v>
      </c>
      <c r="O248" s="11">
        <f t="shared" si="55"/>
        <v>-3401.9417849032493</v>
      </c>
      <c r="P248" s="11">
        <f t="shared" si="56"/>
        <v>-139.31067467454028</v>
      </c>
      <c r="Q248" s="11">
        <f t="shared" si="57"/>
        <v>-3736.123775077459</v>
      </c>
      <c r="R248" s="11">
        <f t="shared" si="58"/>
        <v>-2750.9553798188904</v>
      </c>
      <c r="S248" s="27">
        <f t="shared" si="59"/>
        <v>-10028.331614474138</v>
      </c>
    </row>
    <row r="249" spans="1:19" x14ac:dyDescent="0.25">
      <c r="A249" s="6">
        <f t="shared" si="46"/>
        <v>244</v>
      </c>
      <c r="B249" s="24">
        <v>45087</v>
      </c>
      <c r="C249" s="32" cm="1">
        <f t="array" ref="C249" xml:space="preserve"> BonoM(100,C$2,C$1 - $B249,Portafolio!C249)</f>
        <v>88.747574352541079</v>
      </c>
      <c r="D249" s="32" cm="1">
        <f t="array" ref="D249" xml:space="preserve"> BonoM(100,D$2,D$1 - $B249,Portafolio!D249)</f>
        <v>98.358425842407186</v>
      </c>
      <c r="E249" s="32" cm="1">
        <f t="array" ref="E249" xml:space="preserve"> BonoM(100,E$2,E$1 - $B249,Portafolio!E249)</f>
        <v>92.001310840634531</v>
      </c>
      <c r="F249" s="32" cm="1">
        <f t="array" ref="F249" xml:space="preserve"> BonoM(100,F$2,F$1 - $B249,Portafolio!F249)</f>
        <v>93.066261866382177</v>
      </c>
      <c r="G249" s="5">
        <f t="shared" si="47"/>
        <v>-1.0316205580988558E-2</v>
      </c>
      <c r="H249" s="5">
        <f t="shared" si="48"/>
        <v>2.4094697747023552E-4</v>
      </c>
      <c r="I249" s="5">
        <f t="shared" si="49"/>
        <v>-1.7879314985040473E-2</v>
      </c>
      <c r="J249" s="5">
        <f t="shared" si="50"/>
        <v>-2.7902607600028606E-2</v>
      </c>
      <c r="K249" s="10">
        <f t="shared" si="51"/>
        <v>88.629787619905898</v>
      </c>
      <c r="L249" s="10">
        <f t="shared" si="52"/>
        <v>98.233552882663091</v>
      </c>
      <c r="M249" s="10">
        <f t="shared" si="53"/>
        <v>91.156592173603869</v>
      </c>
      <c r="N249" s="10">
        <f t="shared" si="54"/>
        <v>90.775076308976423</v>
      </c>
      <c r="O249" s="11">
        <f t="shared" si="55"/>
        <v>3048.7174580200672</v>
      </c>
      <c r="P249" s="11">
        <f t="shared" si="56"/>
        <v>-35.49506405146019</v>
      </c>
      <c r="Q249" s="11">
        <f t="shared" si="57"/>
        <v>3318.9758637654732</v>
      </c>
      <c r="R249" s="11">
        <f t="shared" si="58"/>
        <v>2605.5633457248036</v>
      </c>
      <c r="S249" s="27">
        <f t="shared" si="59"/>
        <v>8937.7616034588846</v>
      </c>
    </row>
    <row r="250" spans="1:19" x14ac:dyDescent="0.25">
      <c r="A250" s="6">
        <f t="shared" si="46"/>
        <v>245</v>
      </c>
      <c r="B250" s="24">
        <v>45086</v>
      </c>
      <c r="C250" s="32" cm="1">
        <f t="array" ref="C250" xml:space="preserve"> BonoM(100,C$2,C$1 - $B250,Portafolio!C250)</f>
        <v>89.672655905859173</v>
      </c>
      <c r="D250" s="32" cm="1">
        <f t="array" ref="D250" xml:space="preserve"> BonoM(100,D$2,D$1 - $B250,Portafolio!D250)</f>
        <v>98.334732385858473</v>
      </c>
      <c r="E250" s="32" cm="1">
        <f t="array" ref="E250" xml:space="preserve"> BonoM(100,E$2,E$1 - $B250,Portafolio!E250)</f>
        <v>93.676176710638345</v>
      </c>
      <c r="F250" s="32" cm="1">
        <f t="array" ref="F250" xml:space="preserve"> BonoM(100,F$2,F$1 - $B250,Portafolio!F250)</f>
        <v>95.737590280552752</v>
      </c>
      <c r="G250" s="5">
        <f t="shared" si="47"/>
        <v>-7.2323936358686947E-4</v>
      </c>
      <c r="H250" s="5">
        <f t="shared" si="48"/>
        <v>-2.0796894800373389E-3</v>
      </c>
      <c r="I250" s="5">
        <f t="shared" si="49"/>
        <v>-2.6685115896217804E-3</v>
      </c>
      <c r="J250" s="5">
        <f t="shared" si="50"/>
        <v>1.9273735131772884E-3</v>
      </c>
      <c r="K250" s="10">
        <f t="shared" si="51"/>
        <v>89.488872676454037</v>
      </c>
      <c r="L250" s="10">
        <f t="shared" si="52"/>
        <v>98.005643432586226</v>
      </c>
      <c r="M250" s="10">
        <f t="shared" si="53"/>
        <v>92.568399320021854</v>
      </c>
      <c r="N250" s="10">
        <f t="shared" si="54"/>
        <v>93.56061902621525</v>
      </c>
      <c r="O250" s="11">
        <f t="shared" si="55"/>
        <v>213.73677141120879</v>
      </c>
      <c r="P250" s="11">
        <f t="shared" si="56"/>
        <v>306.36911106383735</v>
      </c>
      <c r="Q250" s="11">
        <f t="shared" si="57"/>
        <v>495.36157092950361</v>
      </c>
      <c r="R250" s="11">
        <f t="shared" si="58"/>
        <v>-179.97937151402255</v>
      </c>
      <c r="S250" s="27">
        <f t="shared" si="59"/>
        <v>835.48808189052727</v>
      </c>
    </row>
    <row r="251" spans="1:19" x14ac:dyDescent="0.25">
      <c r="A251" s="6">
        <f t="shared" si="46"/>
        <v>246</v>
      </c>
      <c r="B251" s="24">
        <v>45085</v>
      </c>
      <c r="C251" s="32" cm="1">
        <f t="array" ref="C251" xml:space="preserve"> BonoM(100,C$2,C$1 - $B251,Portafolio!C251)</f>
        <v>89.737557639936526</v>
      </c>
      <c r="D251" s="32" cm="1">
        <f t="array" ref="D251" xml:space="preserve"> BonoM(100,D$2,D$1 - $B251,Portafolio!D251)</f>
        <v>98.539664289046812</v>
      </c>
      <c r="E251" s="32" cm="1">
        <f t="array" ref="E251" xml:space="preserve"> BonoM(100,E$2,E$1 - $B251,Portafolio!E251)</f>
        <v>93.926821522447327</v>
      </c>
      <c r="F251" s="32" cm="1">
        <f t="array" ref="F251" xml:space="preserve"> BonoM(100,F$2,F$1 - $B251,Portafolio!F251)</f>
        <v>95.553423143692186</v>
      </c>
      <c r="G251" s="5">
        <f t="shared" si="47"/>
        <v>3.8313914181564712E-3</v>
      </c>
      <c r="H251" s="5">
        <f t="shared" si="48"/>
        <v>-3.8564773310933997E-2</v>
      </c>
      <c r="I251" s="5">
        <f t="shared" si="49"/>
        <v>-3.6585034416968476E-2</v>
      </c>
      <c r="J251" s="5">
        <f t="shared" si="50"/>
        <v>-3.8178137018584191E-2</v>
      </c>
      <c r="K251" s="10">
        <f t="shared" si="51"/>
        <v>89.896756448169199</v>
      </c>
      <c r="L251" s="10">
        <f t="shared" si="52"/>
        <v>94.422447380913766</v>
      </c>
      <c r="M251" s="10">
        <f t="shared" si="53"/>
        <v>89.420400620379269</v>
      </c>
      <c r="N251" s="10">
        <f t="shared" si="54"/>
        <v>89.815540799081006</v>
      </c>
      <c r="O251" s="11">
        <f t="shared" si="55"/>
        <v>-1132.2796752488287</v>
      </c>
      <c r="P251" s="11">
        <f t="shared" si="56"/>
        <v>5681.1631885725265</v>
      </c>
      <c r="Q251" s="11">
        <f t="shared" si="57"/>
        <v>6791.3589702146737</v>
      </c>
      <c r="R251" s="11">
        <f t="shared" si="58"/>
        <v>3565.098855620221</v>
      </c>
      <c r="S251" s="27">
        <f t="shared" si="59"/>
        <v>14905.341339158593</v>
      </c>
    </row>
    <row r="252" spans="1:19" x14ac:dyDescent="0.25">
      <c r="A252" s="6">
        <f t="shared" si="46"/>
        <v>247</v>
      </c>
      <c r="B252" s="24">
        <v>45084</v>
      </c>
      <c r="C252" s="32" cm="1">
        <f t="array" ref="C252" xml:space="preserve"> BonoM(100,C$2,C$1 - $B252,Portafolio!C252)</f>
        <v>89.395050211729639</v>
      </c>
      <c r="D252" s="32" cm="1">
        <f t="array" ref="D252" xml:space="preserve"> BonoM(100,D$2,D$1 - $B252,Portafolio!D252)</f>
        <v>102.49225486400358</v>
      </c>
      <c r="E252" s="32" cm="1">
        <f t="array" ref="E252" xml:space="preserve"> BonoM(100,E$2,E$1 - $B252,Portafolio!E252)</f>
        <v>97.493629306044113</v>
      </c>
      <c r="F252" s="32" cm="1">
        <f t="array" ref="F252" xml:space="preserve"> BonoM(100,F$2,F$1 - $B252,Portafolio!F252)</f>
        <v>99.346278995467642</v>
      </c>
      <c r="G252" s="5">
        <f t="shared" si="47"/>
        <v>-7.2214337472154E-4</v>
      </c>
      <c r="H252" s="5">
        <f t="shared" si="48"/>
        <v>-2.0394118095456992E-4</v>
      </c>
      <c r="I252" s="5">
        <f t="shared" si="49"/>
        <v>-3.6704470637871633E-3</v>
      </c>
      <c r="J252" s="5">
        <f t="shared" si="50"/>
        <v>-3.7618434191968309E-3</v>
      </c>
      <c r="K252" s="10">
        <f t="shared" si="51"/>
        <v>89.488970826247865</v>
      </c>
      <c r="L252" s="10">
        <f t="shared" si="52"/>
        <v>98.189860465781379</v>
      </c>
      <c r="M252" s="10">
        <f t="shared" si="53"/>
        <v>92.475403596791182</v>
      </c>
      <c r="N252" s="10">
        <f t="shared" si="54"/>
        <v>93.029356309935793</v>
      </c>
      <c r="O252" s="11">
        <f t="shared" si="55"/>
        <v>213.41287709157513</v>
      </c>
      <c r="P252" s="11">
        <f t="shared" si="56"/>
        <v>30.043561271106967</v>
      </c>
      <c r="Q252" s="11">
        <f t="shared" si="57"/>
        <v>681.35301739084753</v>
      </c>
      <c r="R252" s="11">
        <f t="shared" si="58"/>
        <v>351.28334476543444</v>
      </c>
      <c r="S252" s="27">
        <f t="shared" si="59"/>
        <v>1276.0928005189639</v>
      </c>
    </row>
    <row r="253" spans="1:19" x14ac:dyDescent="0.25">
      <c r="A253" s="6">
        <f t="shared" si="46"/>
        <v>248</v>
      </c>
      <c r="B253" s="24">
        <v>45083</v>
      </c>
      <c r="C253" s="32" cm="1">
        <f t="array" ref="C253" xml:space="preserve"> BonoM(100,C$2,C$1 - $B253,Portafolio!C253)</f>
        <v>89.459652907381596</v>
      </c>
      <c r="D253" s="32" cm="1">
        <f t="array" ref="D253" xml:space="preserve"> BonoM(100,D$2,D$1 - $B253,Portafolio!D253)</f>
        <v>102.5131615192272</v>
      </c>
      <c r="E253" s="32" cm="1">
        <f t="array" ref="E253" xml:space="preserve"> BonoM(100,E$2,E$1 - $B253,Portafolio!E253)</f>
        <v>97.852792802067839</v>
      </c>
      <c r="F253" s="32" cm="1">
        <f t="array" ref="F253" xml:space="preserve"> BonoM(100,F$2,F$1 - $B253,Portafolio!F253)</f>
        <v>99.721415345538247</v>
      </c>
      <c r="G253" s="5">
        <f t="shared" si="47"/>
        <v>2.5324374361030966E-3</v>
      </c>
      <c r="H253" s="5">
        <f t="shared" si="48"/>
        <v>2.4121289632983434E-4</v>
      </c>
      <c r="I253" s="5">
        <f t="shared" si="49"/>
        <v>2.4831512001510792E-3</v>
      </c>
      <c r="J253" s="5">
        <f t="shared" si="50"/>
        <v>-5.5860815364228156E-4</v>
      </c>
      <c r="K253" s="10">
        <f t="shared" si="51"/>
        <v>89.780430389071711</v>
      </c>
      <c r="L253" s="10">
        <f t="shared" si="52"/>
        <v>98.233578998524905</v>
      </c>
      <c r="M253" s="10">
        <f t="shared" si="53"/>
        <v>93.046556466193863</v>
      </c>
      <c r="N253" s="10">
        <f t="shared" si="54"/>
        <v>93.328476467997774</v>
      </c>
      <c r="O253" s="11">
        <f t="shared" si="55"/>
        <v>-748.4036802271163</v>
      </c>
      <c r="P253" s="11">
        <f t="shared" si="56"/>
        <v>-35.53423784418186</v>
      </c>
      <c r="Q253" s="11">
        <f t="shared" si="57"/>
        <v>-460.9527214145146</v>
      </c>
      <c r="R253" s="11">
        <f t="shared" si="58"/>
        <v>52.16318670345288</v>
      </c>
      <c r="S253" s="27">
        <f t="shared" si="59"/>
        <v>-1192.7274527823597</v>
      </c>
    </row>
    <row r="254" spans="1:19" x14ac:dyDescent="0.25">
      <c r="A254" s="6">
        <f t="shared" si="46"/>
        <v>249</v>
      </c>
      <c r="B254" s="24">
        <v>45082</v>
      </c>
      <c r="C254" s="32" cm="1">
        <f t="array" ref="C254" xml:space="preserve"> BonoM(100,C$2,C$1 - $B254,Portafolio!C254)</f>
        <v>89.233674210250527</v>
      </c>
      <c r="D254" s="32" cm="1">
        <f t="array" ref="D254" xml:space="preserve"> BonoM(100,D$2,D$1 - $B254,Portafolio!D254)</f>
        <v>102.4884399857779</v>
      </c>
      <c r="E254" s="32" cm="1">
        <f t="array" ref="E254" xml:space="preserve"> BonoM(100,E$2,E$1 - $B254,Portafolio!E254)</f>
        <v>97.610411391872873</v>
      </c>
      <c r="F254" s="32" cm="1">
        <f t="array" ref="F254" xml:space="preserve"> BonoM(100,F$2,F$1 - $B254,Portafolio!F254)</f>
        <v>99.77715167601167</v>
      </c>
      <c r="G254" s="5">
        <f t="shared" si="47"/>
        <v>1.1867265760880485E-2</v>
      </c>
      <c r="H254" s="5">
        <f t="shared" si="48"/>
        <v>1.5787411002398555E-2</v>
      </c>
      <c r="I254" s="5">
        <f t="shared" si="49"/>
        <v>1.9272836147975259E-2</v>
      </c>
      <c r="J254" s="5">
        <f t="shared" si="50"/>
        <v>2.102737207426042E-3</v>
      </c>
      <c r="K254" s="10">
        <f t="shared" si="51"/>
        <v>90.616398257353296</v>
      </c>
      <c r="L254" s="10">
        <f t="shared" si="52"/>
        <v>99.760369396770088</v>
      </c>
      <c r="M254" s="10">
        <f t="shared" si="53"/>
        <v>94.604909209257002</v>
      </c>
      <c r="N254" s="10">
        <f t="shared" si="54"/>
        <v>93.576994600156411</v>
      </c>
      <c r="O254" s="11">
        <f t="shared" si="55"/>
        <v>-3507.0976455563482</v>
      </c>
      <c r="P254" s="11">
        <f t="shared" si="56"/>
        <v>-2325.7198352119558</v>
      </c>
      <c r="Q254" s="11">
        <f t="shared" si="57"/>
        <v>-3577.6582075407932</v>
      </c>
      <c r="R254" s="11">
        <f t="shared" si="58"/>
        <v>-196.35494545518384</v>
      </c>
      <c r="S254" s="27">
        <f t="shared" si="59"/>
        <v>-9606.8306337642807</v>
      </c>
    </row>
    <row r="255" spans="1:19" x14ac:dyDescent="0.25">
      <c r="A255" s="6">
        <f t="shared" si="46"/>
        <v>250</v>
      </c>
      <c r="B255" s="24">
        <v>45080</v>
      </c>
      <c r="C255" s="32" cm="1">
        <f t="array" ref="C255" xml:space="preserve"> BonoM(100,C$2,C$1 - $B255,Portafolio!C255)</f>
        <v>88.187134053744359</v>
      </c>
      <c r="D255" s="32" cm="1">
        <f t="array" ref="D255" xml:space="preserve"> BonoM(100,D$2,D$1 - $B255,Portafolio!D255)</f>
        <v>100.89556030689565</v>
      </c>
      <c r="E255" s="32" cm="1">
        <f t="array" ref="E255" xml:space="preserve"> BonoM(100,E$2,E$1 - $B255,Portafolio!E255)</f>
        <v>95.764752998579922</v>
      </c>
      <c r="F255" s="32" cm="1">
        <f t="array" ref="F255" xml:space="preserve"> BonoM(100,F$2,F$1 - $B255,Portafolio!F255)</f>
        <v>99.56778678607553</v>
      </c>
      <c r="G255" s="5">
        <f t="shared" si="47"/>
        <v>-1.0329892169232635E-2</v>
      </c>
      <c r="H255" s="5">
        <f t="shared" si="48"/>
        <v>-1.3509210919253278E-2</v>
      </c>
      <c r="I255" s="5">
        <f t="shared" si="49"/>
        <v>-1.7099071695986456E-2</v>
      </c>
      <c r="J255" s="5">
        <f t="shared" si="50"/>
        <v>2.4599724900165043E-4</v>
      </c>
      <c r="K255" s="10">
        <f t="shared" si="51"/>
        <v>88.628561936090364</v>
      </c>
      <c r="L255" s="10">
        <f t="shared" si="52"/>
        <v>96.883151394927182</v>
      </c>
      <c r="M255" s="10">
        <f t="shared" si="53"/>
        <v>91.22901129722247</v>
      </c>
      <c r="N255" s="10">
        <f t="shared" si="54"/>
        <v>93.403611035166293</v>
      </c>
      <c r="O255" s="11">
        <f t="shared" si="55"/>
        <v>3052.762214611329</v>
      </c>
      <c r="P255" s="11">
        <f t="shared" si="56"/>
        <v>1990.1071675524022</v>
      </c>
      <c r="Q255" s="11">
        <f t="shared" si="57"/>
        <v>3174.13761652827</v>
      </c>
      <c r="R255" s="11">
        <f t="shared" si="58"/>
        <v>-22.971380465065749</v>
      </c>
      <c r="S255" s="27">
        <f t="shared" si="59"/>
        <v>8194.035618226937</v>
      </c>
    </row>
    <row r="256" spans="1:19" x14ac:dyDescent="0.25">
      <c r="A256" s="6">
        <f>+A257-1</f>
        <v>251</v>
      </c>
      <c r="B256" s="24">
        <v>45079</v>
      </c>
      <c r="C256" s="32" cm="1">
        <f t="array" ref="C256" xml:space="preserve"> BonoM(100,C$2,C$1 - $B256,Portafolio!C256)</f>
        <v>89.107606015341304</v>
      </c>
      <c r="D256" s="32" cm="1">
        <f t="array" ref="D256" xml:space="preserve"> BonoM(100,D$2,D$1 - $B256,Portafolio!D256)</f>
        <v>102.27724518433095</v>
      </c>
      <c r="E256" s="32" cm="1">
        <f t="array" ref="E256" xml:space="preserve"> BonoM(100,E$2,E$1 - $B256,Portafolio!E256)</f>
        <v>97.430728002079633</v>
      </c>
      <c r="F256" s="32" cm="1">
        <f t="array" ref="F256" xml:space="preserve"> BonoM(100,F$2,F$1 - $B256,Portafolio!F256)</f>
        <v>99.543299408264559</v>
      </c>
      <c r="G256" s="5">
        <f t="shared" si="47"/>
        <v>-2.6790632868405329E-3</v>
      </c>
      <c r="H256" s="5">
        <f t="shared" si="48"/>
        <v>-3.7726371064382702E-3</v>
      </c>
      <c r="I256" s="5">
        <f t="shared" si="49"/>
        <v>-3.6806944026924748E-3</v>
      </c>
      <c r="J256" s="5">
        <f t="shared" si="50"/>
        <v>-2.9723909201848642E-3</v>
      </c>
      <c r="K256" s="10">
        <f t="shared" si="51"/>
        <v>89.313721522199103</v>
      </c>
      <c r="L256" s="10">
        <f t="shared" si="52"/>
        <v>97.839379233256878</v>
      </c>
      <c r="M256" s="10">
        <f t="shared" si="53"/>
        <v>92.47445247896249</v>
      </c>
      <c r="N256" s="10">
        <f t="shared" si="54"/>
        <v>93.103075889270542</v>
      </c>
      <c r="O256" s="11">
        <f t="shared" si="55"/>
        <v>791.73558045249024</v>
      </c>
      <c r="P256" s="11">
        <f t="shared" si="56"/>
        <v>555.76541005785884</v>
      </c>
      <c r="Q256" s="11">
        <f t="shared" si="57"/>
        <v>683.25525304823032</v>
      </c>
      <c r="R256" s="11">
        <f t="shared" si="58"/>
        <v>277.56376543068484</v>
      </c>
      <c r="S256" s="27">
        <f t="shared" si="59"/>
        <v>2308.3200089892644</v>
      </c>
    </row>
    <row r="257" spans="1:19" x14ac:dyDescent="0.25">
      <c r="A257" s="6">
        <v>252</v>
      </c>
      <c r="B257" s="24">
        <v>45078</v>
      </c>
      <c r="C257" s="32" cm="1">
        <f t="array" ref="C257" xml:space="preserve"> BonoM(100,C$2,C$1 - $B257,Portafolio!C257)</f>
        <v>89.346972208375121</v>
      </c>
      <c r="D257" s="32" cm="1">
        <f t="array" ref="D257" xml:space="preserve"> BonoM(100,D$2,D$1 - $B257,Portafolio!D257)</f>
        <v>102.66456131787497</v>
      </c>
      <c r="E257" s="32" cm="1">
        <f t="array" ref="E257" xml:space="preserve"> BonoM(100,E$2,E$1 - $B257,Portafolio!E257)</f>
        <v>97.790665557432447</v>
      </c>
      <c r="F257" s="32" cm="1">
        <f t="array" ref="F257" xml:space="preserve"> BonoM(100,F$2,F$1 - $B257,Portafolio!F257)</f>
        <v>99.840063105309468</v>
      </c>
      <c r="G257" s="5"/>
      <c r="H257" s="5"/>
      <c r="I257" s="5"/>
      <c r="J257" s="5"/>
      <c r="K257" s="10"/>
      <c r="L257" s="10"/>
      <c r="M257" s="10"/>
      <c r="N257" s="10"/>
      <c r="O257" s="11"/>
      <c r="P257" s="11"/>
      <c r="Q257" s="11"/>
      <c r="R257" s="11"/>
      <c r="S257" s="27"/>
    </row>
    <row r="258" spans="1:19" x14ac:dyDescent="0.25">
      <c r="O258" s="11"/>
      <c r="P258" s="11"/>
      <c r="Q258" s="11"/>
      <c r="R258" s="11"/>
      <c r="S258" s="27"/>
    </row>
    <row r="259" spans="1:19" x14ac:dyDescent="0.25">
      <c r="G259" s="31"/>
      <c r="H259" s="31"/>
      <c r="I259" s="31"/>
      <c r="J259" s="31"/>
      <c r="O259" s="28"/>
      <c r="P259" s="28"/>
      <c r="Q259" s="28"/>
      <c r="R259" s="28"/>
    </row>
  </sheetData>
  <mergeCells count="5">
    <mergeCell ref="C3:F3"/>
    <mergeCell ref="G3:J3"/>
    <mergeCell ref="K3:N3"/>
    <mergeCell ref="O3:R3"/>
    <mergeCell ref="T5:X5"/>
  </mergeCells>
  <pageMargins left="0.7" right="0.7" top="0.75" bottom="0.75" header="0.3" footer="0.3"/>
  <pageSetup paperSize="9"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Portafolio</vt:lpstr>
      <vt:lpstr>VaR Paramétrico</vt:lpstr>
      <vt:lpstr>VaR Histórico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</dc:creator>
  <cp:lastModifiedBy>DAVID MENDIETA LOPEZ</cp:lastModifiedBy>
  <dcterms:created xsi:type="dcterms:W3CDTF">2013-04-03T15:49:21Z</dcterms:created>
  <dcterms:modified xsi:type="dcterms:W3CDTF">2024-04-06T22:29:47Z</dcterms:modified>
</cp:coreProperties>
</file>