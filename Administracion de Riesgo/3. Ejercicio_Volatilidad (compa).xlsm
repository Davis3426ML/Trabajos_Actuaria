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rch\Desktop\ADMIN DE RIESGOS\"/>
    </mc:Choice>
  </mc:AlternateContent>
  <xr:revisionPtr revIDLastSave="0" documentId="13_ncr:1_{338960EE-DA9A-4A23-AFDA-8C5083F87EC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recios" sheetId="7" r:id="rId1"/>
    <sheet name="Histórica" sheetId="1" r:id="rId2"/>
    <sheet name="Dinámica" sheetId="2" r:id="rId3"/>
    <sheet name="Resumen" sheetId="8" r:id="rId4"/>
  </sheets>
  <functionGroups builtInGroupCount="19"/>
  <definedNames>
    <definedName name="_xlnm._FilterDatabase" localSheetId="0" hidden="1">Precios!$A$2:$H$255</definedName>
    <definedName name="solver_adj" localSheetId="2" hidden="1">Dinámica!$C$4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Dinámica!$C$4</definedName>
    <definedName name="solver_lhs2" localSheetId="2" hidden="1">Dinámica!$C$4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Dinámica!$K$4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hs1" localSheetId="2" hidden="1">1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2" l="1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8" i="2"/>
  <c r="F266" i="1"/>
  <c r="E26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8" i="1"/>
  <c r="E264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8" i="1"/>
  <c r="C260" i="2"/>
  <c r="D260" i="2" s="1"/>
  <c r="E260" i="2" s="1"/>
  <c r="C138" i="2"/>
  <c r="C139" i="2"/>
  <c r="D139" i="2" s="1"/>
  <c r="E139" i="2" s="1"/>
  <c r="C140" i="2"/>
  <c r="D140" i="2" s="1"/>
  <c r="E140" i="2" s="1"/>
  <c r="C141" i="2"/>
  <c r="D141" i="2" s="1"/>
  <c r="E141" i="2" s="1"/>
  <c r="C142" i="2"/>
  <c r="C143" i="2"/>
  <c r="D143" i="2" s="1"/>
  <c r="E143" i="2" s="1"/>
  <c r="C144" i="2"/>
  <c r="D144" i="2" s="1"/>
  <c r="E144" i="2" s="1"/>
  <c r="C145" i="2"/>
  <c r="D145" i="2" s="1"/>
  <c r="E145" i="2" s="1"/>
  <c r="C146" i="2"/>
  <c r="C147" i="2"/>
  <c r="D147" i="2" s="1"/>
  <c r="E147" i="2" s="1"/>
  <c r="C148" i="2"/>
  <c r="D148" i="2" s="1"/>
  <c r="E148" i="2" s="1"/>
  <c r="C149" i="2"/>
  <c r="D149" i="2" s="1"/>
  <c r="E149" i="2" s="1"/>
  <c r="C150" i="2"/>
  <c r="C151" i="2"/>
  <c r="D151" i="2" s="1"/>
  <c r="E151" i="2" s="1"/>
  <c r="C152" i="2"/>
  <c r="D152" i="2" s="1"/>
  <c r="E152" i="2" s="1"/>
  <c r="C153" i="2"/>
  <c r="D153" i="2" s="1"/>
  <c r="E153" i="2" s="1"/>
  <c r="C154" i="2"/>
  <c r="C155" i="2"/>
  <c r="D155" i="2" s="1"/>
  <c r="E155" i="2" s="1"/>
  <c r="C156" i="2"/>
  <c r="D156" i="2" s="1"/>
  <c r="E156" i="2" s="1"/>
  <c r="C157" i="2"/>
  <c r="D157" i="2" s="1"/>
  <c r="E157" i="2" s="1"/>
  <c r="C158" i="2"/>
  <c r="C159" i="2"/>
  <c r="D159" i="2" s="1"/>
  <c r="E159" i="2" s="1"/>
  <c r="C160" i="2"/>
  <c r="D160" i="2" s="1"/>
  <c r="E160" i="2" s="1"/>
  <c r="C161" i="2"/>
  <c r="D161" i="2" s="1"/>
  <c r="E161" i="2" s="1"/>
  <c r="C162" i="2"/>
  <c r="C163" i="2"/>
  <c r="D163" i="2" s="1"/>
  <c r="E163" i="2" s="1"/>
  <c r="C164" i="2"/>
  <c r="D164" i="2" s="1"/>
  <c r="E164" i="2" s="1"/>
  <c r="C165" i="2"/>
  <c r="D165" i="2" s="1"/>
  <c r="E165" i="2" s="1"/>
  <c r="C166" i="2"/>
  <c r="C167" i="2"/>
  <c r="D167" i="2" s="1"/>
  <c r="E167" i="2" s="1"/>
  <c r="C168" i="2"/>
  <c r="D168" i="2" s="1"/>
  <c r="E168" i="2" s="1"/>
  <c r="C169" i="2"/>
  <c r="D169" i="2" s="1"/>
  <c r="E169" i="2" s="1"/>
  <c r="C170" i="2"/>
  <c r="C171" i="2"/>
  <c r="D171" i="2" s="1"/>
  <c r="E171" i="2" s="1"/>
  <c r="C172" i="2"/>
  <c r="D172" i="2" s="1"/>
  <c r="E172" i="2" s="1"/>
  <c r="C173" i="2"/>
  <c r="D173" i="2" s="1"/>
  <c r="E173" i="2" s="1"/>
  <c r="C174" i="2"/>
  <c r="C175" i="2"/>
  <c r="D175" i="2" s="1"/>
  <c r="E175" i="2" s="1"/>
  <c r="C176" i="2"/>
  <c r="D176" i="2" s="1"/>
  <c r="E176" i="2" s="1"/>
  <c r="C177" i="2"/>
  <c r="D177" i="2" s="1"/>
  <c r="E177" i="2" s="1"/>
  <c r="C178" i="2"/>
  <c r="C179" i="2"/>
  <c r="D179" i="2" s="1"/>
  <c r="E179" i="2" s="1"/>
  <c r="C180" i="2"/>
  <c r="D180" i="2" s="1"/>
  <c r="E180" i="2" s="1"/>
  <c r="C181" i="2"/>
  <c r="D181" i="2" s="1"/>
  <c r="E181" i="2" s="1"/>
  <c r="C182" i="2"/>
  <c r="D182" i="2" s="1"/>
  <c r="E182" i="2" s="1"/>
  <c r="C183" i="2"/>
  <c r="D183" i="2" s="1"/>
  <c r="E183" i="2" s="1"/>
  <c r="C184" i="2"/>
  <c r="D184" i="2" s="1"/>
  <c r="E184" i="2" s="1"/>
  <c r="C185" i="2"/>
  <c r="D185" i="2" s="1"/>
  <c r="E185" i="2" s="1"/>
  <c r="C186" i="2"/>
  <c r="D186" i="2" s="1"/>
  <c r="E186" i="2" s="1"/>
  <c r="C187" i="2"/>
  <c r="D187" i="2" s="1"/>
  <c r="E187" i="2" s="1"/>
  <c r="C188" i="2"/>
  <c r="D188" i="2" s="1"/>
  <c r="E188" i="2" s="1"/>
  <c r="C189" i="2"/>
  <c r="D189" i="2" s="1"/>
  <c r="E189" i="2" s="1"/>
  <c r="C190" i="2"/>
  <c r="D190" i="2" s="1"/>
  <c r="E190" i="2" s="1"/>
  <c r="C191" i="2"/>
  <c r="D191" i="2" s="1"/>
  <c r="E191" i="2" s="1"/>
  <c r="C192" i="2"/>
  <c r="D192" i="2" s="1"/>
  <c r="E192" i="2" s="1"/>
  <c r="C193" i="2"/>
  <c r="D193" i="2" s="1"/>
  <c r="E193" i="2" s="1"/>
  <c r="C194" i="2"/>
  <c r="D194" i="2" s="1"/>
  <c r="E194" i="2" s="1"/>
  <c r="C195" i="2"/>
  <c r="D195" i="2" s="1"/>
  <c r="E195" i="2" s="1"/>
  <c r="C196" i="2"/>
  <c r="D196" i="2" s="1"/>
  <c r="E196" i="2" s="1"/>
  <c r="C197" i="2"/>
  <c r="D197" i="2" s="1"/>
  <c r="E197" i="2" s="1"/>
  <c r="C198" i="2"/>
  <c r="D198" i="2" s="1"/>
  <c r="E198" i="2" s="1"/>
  <c r="C199" i="2"/>
  <c r="D199" i="2" s="1"/>
  <c r="E199" i="2" s="1"/>
  <c r="C200" i="2"/>
  <c r="D200" i="2" s="1"/>
  <c r="E200" i="2" s="1"/>
  <c r="C201" i="2"/>
  <c r="D201" i="2" s="1"/>
  <c r="E201" i="2" s="1"/>
  <c r="C202" i="2"/>
  <c r="D202" i="2" s="1"/>
  <c r="E202" i="2" s="1"/>
  <c r="C203" i="2"/>
  <c r="D203" i="2" s="1"/>
  <c r="E203" i="2" s="1"/>
  <c r="C204" i="2"/>
  <c r="D204" i="2" s="1"/>
  <c r="E204" i="2" s="1"/>
  <c r="C205" i="2"/>
  <c r="D205" i="2" s="1"/>
  <c r="E205" i="2" s="1"/>
  <c r="C206" i="2"/>
  <c r="D206" i="2" s="1"/>
  <c r="E206" i="2" s="1"/>
  <c r="C207" i="2"/>
  <c r="D207" i="2" s="1"/>
  <c r="E207" i="2" s="1"/>
  <c r="C208" i="2"/>
  <c r="D208" i="2" s="1"/>
  <c r="E208" i="2" s="1"/>
  <c r="C209" i="2"/>
  <c r="D209" i="2" s="1"/>
  <c r="E209" i="2" s="1"/>
  <c r="C210" i="2"/>
  <c r="D210" i="2" s="1"/>
  <c r="E210" i="2" s="1"/>
  <c r="C211" i="2"/>
  <c r="D211" i="2" s="1"/>
  <c r="E211" i="2" s="1"/>
  <c r="C212" i="2"/>
  <c r="D212" i="2" s="1"/>
  <c r="E212" i="2" s="1"/>
  <c r="C213" i="2"/>
  <c r="D213" i="2" s="1"/>
  <c r="E213" i="2" s="1"/>
  <c r="C214" i="2"/>
  <c r="D214" i="2" s="1"/>
  <c r="E214" i="2" s="1"/>
  <c r="C215" i="2"/>
  <c r="D215" i="2" s="1"/>
  <c r="E215" i="2" s="1"/>
  <c r="C216" i="2"/>
  <c r="D216" i="2" s="1"/>
  <c r="E216" i="2" s="1"/>
  <c r="C217" i="2"/>
  <c r="D217" i="2" s="1"/>
  <c r="E217" i="2" s="1"/>
  <c r="C218" i="2"/>
  <c r="D218" i="2" s="1"/>
  <c r="E218" i="2" s="1"/>
  <c r="C219" i="2"/>
  <c r="D219" i="2" s="1"/>
  <c r="E219" i="2" s="1"/>
  <c r="C220" i="2"/>
  <c r="D220" i="2" s="1"/>
  <c r="E220" i="2" s="1"/>
  <c r="C221" i="2"/>
  <c r="D221" i="2" s="1"/>
  <c r="E221" i="2" s="1"/>
  <c r="C222" i="2"/>
  <c r="D222" i="2" s="1"/>
  <c r="E222" i="2" s="1"/>
  <c r="C223" i="2"/>
  <c r="D223" i="2" s="1"/>
  <c r="E223" i="2" s="1"/>
  <c r="C224" i="2"/>
  <c r="D224" i="2" s="1"/>
  <c r="E224" i="2" s="1"/>
  <c r="C225" i="2"/>
  <c r="D225" i="2" s="1"/>
  <c r="E225" i="2" s="1"/>
  <c r="C226" i="2"/>
  <c r="D226" i="2" s="1"/>
  <c r="E226" i="2" s="1"/>
  <c r="C227" i="2"/>
  <c r="D227" i="2" s="1"/>
  <c r="E227" i="2" s="1"/>
  <c r="C228" i="2"/>
  <c r="D228" i="2" s="1"/>
  <c r="E228" i="2" s="1"/>
  <c r="C229" i="2"/>
  <c r="D229" i="2" s="1"/>
  <c r="E229" i="2" s="1"/>
  <c r="C230" i="2"/>
  <c r="D230" i="2" s="1"/>
  <c r="E230" i="2" s="1"/>
  <c r="C231" i="2"/>
  <c r="D231" i="2" s="1"/>
  <c r="E231" i="2" s="1"/>
  <c r="C232" i="2"/>
  <c r="D232" i="2" s="1"/>
  <c r="E232" i="2" s="1"/>
  <c r="C233" i="2"/>
  <c r="D233" i="2" s="1"/>
  <c r="E233" i="2" s="1"/>
  <c r="C234" i="2"/>
  <c r="D234" i="2" s="1"/>
  <c r="E234" i="2" s="1"/>
  <c r="C235" i="2"/>
  <c r="D235" i="2" s="1"/>
  <c r="E235" i="2" s="1"/>
  <c r="C236" i="2"/>
  <c r="D236" i="2" s="1"/>
  <c r="E236" i="2" s="1"/>
  <c r="C237" i="2"/>
  <c r="D237" i="2" s="1"/>
  <c r="E237" i="2" s="1"/>
  <c r="C238" i="2"/>
  <c r="D238" i="2" s="1"/>
  <c r="E238" i="2" s="1"/>
  <c r="C239" i="2"/>
  <c r="D239" i="2" s="1"/>
  <c r="E239" i="2" s="1"/>
  <c r="C240" i="2"/>
  <c r="D240" i="2" s="1"/>
  <c r="E240" i="2" s="1"/>
  <c r="C241" i="2"/>
  <c r="D241" i="2" s="1"/>
  <c r="E241" i="2" s="1"/>
  <c r="C242" i="2"/>
  <c r="D242" i="2" s="1"/>
  <c r="E242" i="2" s="1"/>
  <c r="C243" i="2"/>
  <c r="D243" i="2" s="1"/>
  <c r="E243" i="2" s="1"/>
  <c r="C244" i="2"/>
  <c r="D244" i="2" s="1"/>
  <c r="E244" i="2" s="1"/>
  <c r="C245" i="2"/>
  <c r="D245" i="2" s="1"/>
  <c r="E245" i="2" s="1"/>
  <c r="C246" i="2"/>
  <c r="D246" i="2" s="1"/>
  <c r="E246" i="2" s="1"/>
  <c r="C247" i="2"/>
  <c r="D247" i="2" s="1"/>
  <c r="E247" i="2" s="1"/>
  <c r="C248" i="2"/>
  <c r="D248" i="2" s="1"/>
  <c r="E248" i="2" s="1"/>
  <c r="C249" i="2"/>
  <c r="D249" i="2" s="1"/>
  <c r="E249" i="2" s="1"/>
  <c r="C250" i="2"/>
  <c r="D250" i="2" s="1"/>
  <c r="E250" i="2" s="1"/>
  <c r="C251" i="2"/>
  <c r="D251" i="2" s="1"/>
  <c r="E251" i="2" s="1"/>
  <c r="C252" i="2"/>
  <c r="D252" i="2" s="1"/>
  <c r="E252" i="2" s="1"/>
  <c r="C253" i="2"/>
  <c r="D253" i="2" s="1"/>
  <c r="E253" i="2" s="1"/>
  <c r="C254" i="2"/>
  <c r="D254" i="2" s="1"/>
  <c r="E254" i="2" s="1"/>
  <c r="C255" i="2"/>
  <c r="D255" i="2" s="1"/>
  <c r="E255" i="2" s="1"/>
  <c r="C256" i="2"/>
  <c r="D256" i="2" s="1"/>
  <c r="E256" i="2" s="1"/>
  <c r="C257" i="2"/>
  <c r="D257" i="2" s="1"/>
  <c r="E257" i="2" s="1"/>
  <c r="C258" i="2"/>
  <c r="D258" i="2" s="1"/>
  <c r="E258" i="2" s="1"/>
  <c r="C259" i="2"/>
  <c r="D259" i="2" s="1"/>
  <c r="E259" i="2" s="1"/>
  <c r="I258" i="2" s="1"/>
  <c r="I257" i="2" s="1"/>
  <c r="I256" i="2" s="1"/>
  <c r="I255" i="2" s="1"/>
  <c r="I254" i="2" s="1"/>
  <c r="I253" i="2" s="1"/>
  <c r="I252" i="2" s="1"/>
  <c r="I251" i="2" s="1"/>
  <c r="I250" i="2" s="1"/>
  <c r="I249" i="2" s="1"/>
  <c r="I248" i="2" s="1"/>
  <c r="I247" i="2" s="1"/>
  <c r="I246" i="2" s="1"/>
  <c r="I245" i="2" s="1"/>
  <c r="I244" i="2" s="1"/>
  <c r="I243" i="2" s="1"/>
  <c r="I242" i="2" s="1"/>
  <c r="I241" i="2" s="1"/>
  <c r="I240" i="2" s="1"/>
  <c r="I239" i="2" s="1"/>
  <c r="I238" i="2" s="1"/>
  <c r="I237" i="2" s="1"/>
  <c r="I236" i="2" s="1"/>
  <c r="I235" i="2" s="1"/>
  <c r="I234" i="2" s="1"/>
  <c r="I233" i="2" s="1"/>
  <c r="I232" i="2" s="1"/>
  <c r="I231" i="2" s="1"/>
  <c r="I230" i="2" s="1"/>
  <c r="I229" i="2" s="1"/>
  <c r="I228" i="2" s="1"/>
  <c r="I227" i="2" s="1"/>
  <c r="I226" i="2" s="1"/>
  <c r="I225" i="2" s="1"/>
  <c r="I224" i="2" s="1"/>
  <c r="I223" i="2" s="1"/>
  <c r="I222" i="2" s="1"/>
  <c r="I221" i="2" s="1"/>
  <c r="I220" i="2" s="1"/>
  <c r="I219" i="2" s="1"/>
  <c r="I218" i="2" s="1"/>
  <c r="I217" i="2" s="1"/>
  <c r="I216" i="2" s="1"/>
  <c r="I215" i="2" s="1"/>
  <c r="I214" i="2" s="1"/>
  <c r="I213" i="2" s="1"/>
  <c r="I212" i="2" s="1"/>
  <c r="I211" i="2" s="1"/>
  <c r="I210" i="2" s="1"/>
  <c r="I209" i="2" s="1"/>
  <c r="I208" i="2" s="1"/>
  <c r="I207" i="2" s="1"/>
  <c r="I206" i="2" s="1"/>
  <c r="I205" i="2" s="1"/>
  <c r="I204" i="2" s="1"/>
  <c r="I203" i="2" s="1"/>
  <c r="I202" i="2" s="1"/>
  <c r="I201" i="2" s="1"/>
  <c r="I200" i="2" s="1"/>
  <c r="I199" i="2" s="1"/>
  <c r="I198" i="2" s="1"/>
  <c r="I197" i="2" s="1"/>
  <c r="I196" i="2" s="1"/>
  <c r="I195" i="2" s="1"/>
  <c r="I194" i="2" s="1"/>
  <c r="I193" i="2" s="1"/>
  <c r="I192" i="2" s="1"/>
  <c r="I191" i="2" s="1"/>
  <c r="I190" i="2" s="1"/>
  <c r="I189" i="2" s="1"/>
  <c r="I188" i="2" s="1"/>
  <c r="I187" i="2" s="1"/>
  <c r="I186" i="2" s="1"/>
  <c r="I185" i="2" s="1"/>
  <c r="I184" i="2" s="1"/>
  <c r="I183" i="2" s="1"/>
  <c r="I182" i="2" s="1"/>
  <c r="I181" i="2" s="1"/>
  <c r="I180" i="2" s="1"/>
  <c r="I179" i="2" s="1"/>
  <c r="I178" i="2" s="1"/>
  <c r="J3" i="2" a="1"/>
  <c r="J3" i="2" l="1"/>
  <c r="D178" i="2"/>
  <c r="E178" i="2" s="1"/>
  <c r="I177" i="2" s="1"/>
  <c r="I176" i="2" s="1"/>
  <c r="I175" i="2" s="1"/>
  <c r="I174" i="2" s="1"/>
  <c r="I173" i="2" s="1"/>
  <c r="I172" i="2" s="1"/>
  <c r="I171" i="2" s="1"/>
  <c r="I170" i="2" s="1"/>
  <c r="I169" i="2" s="1"/>
  <c r="I168" i="2" s="1"/>
  <c r="I167" i="2" s="1"/>
  <c r="I166" i="2" s="1"/>
  <c r="I165" i="2" s="1"/>
  <c r="I164" i="2" s="1"/>
  <c r="I163" i="2" s="1"/>
  <c r="I162" i="2" s="1"/>
  <c r="I161" i="2" s="1"/>
  <c r="I160" i="2" s="1"/>
  <c r="I159" i="2" s="1"/>
  <c r="I158" i="2" s="1"/>
  <c r="I157" i="2" s="1"/>
  <c r="I156" i="2" s="1"/>
  <c r="I155" i="2" s="1"/>
  <c r="I154" i="2" s="1"/>
  <c r="I153" i="2" s="1"/>
  <c r="I152" i="2" s="1"/>
  <c r="I151" i="2" s="1"/>
  <c r="I150" i="2" s="1"/>
  <c r="I149" i="2" s="1"/>
  <c r="I148" i="2" s="1"/>
  <c r="I147" i="2" s="1"/>
  <c r="I146" i="2" s="1"/>
  <c r="I145" i="2" s="1"/>
  <c r="I144" i="2" s="1"/>
  <c r="I143" i="2" s="1"/>
  <c r="I142" i="2" s="1"/>
  <c r="I141" i="2" s="1"/>
  <c r="I140" i="2" s="1"/>
  <c r="I139" i="2" s="1"/>
  <c r="I138" i="2" s="1"/>
  <c r="I137" i="2" s="1"/>
  <c r="D174" i="2"/>
  <c r="E174" i="2" s="1"/>
  <c r="D170" i="2"/>
  <c r="E170" i="2" s="1"/>
  <c r="D166" i="2"/>
  <c r="E166" i="2" s="1"/>
  <c r="D162" i="2"/>
  <c r="E162" i="2" s="1"/>
  <c r="D158" i="2"/>
  <c r="E158" i="2" s="1"/>
  <c r="D154" i="2"/>
  <c r="E154" i="2" s="1"/>
  <c r="D150" i="2"/>
  <c r="E150" i="2" s="1"/>
  <c r="D146" i="2"/>
  <c r="E146" i="2" s="1"/>
  <c r="D142" i="2"/>
  <c r="E142" i="2" s="1"/>
  <c r="D138" i="2"/>
  <c r="E138" i="2" s="1"/>
  <c r="G260" i="2"/>
  <c r="G258" i="2"/>
  <c r="G256" i="2"/>
  <c r="G254" i="2"/>
  <c r="G252" i="2"/>
  <c r="G250" i="2"/>
  <c r="G248" i="2"/>
  <c r="G246" i="2"/>
  <c r="G244" i="2"/>
  <c r="G242" i="2"/>
  <c r="G240" i="2"/>
  <c r="G238" i="2"/>
  <c r="G236" i="2"/>
  <c r="G234" i="2"/>
  <c r="G232" i="2"/>
  <c r="G230" i="2"/>
  <c r="G228" i="2"/>
  <c r="G226" i="2"/>
  <c r="G224" i="2"/>
  <c r="G222" i="2"/>
  <c r="G220" i="2"/>
  <c r="G218" i="2"/>
  <c r="G216" i="2"/>
  <c r="G214" i="2"/>
  <c r="G212" i="2"/>
  <c r="G210" i="2"/>
  <c r="G208" i="2"/>
  <c r="G206" i="2"/>
  <c r="G204" i="2"/>
  <c r="G202" i="2"/>
  <c r="G200" i="2"/>
  <c r="G198" i="2"/>
  <c r="G196" i="2"/>
  <c r="G194" i="2"/>
  <c r="G192" i="2"/>
  <c r="G190" i="2"/>
  <c r="G188" i="2"/>
  <c r="G186" i="2"/>
  <c r="G184" i="2"/>
  <c r="G182" i="2"/>
  <c r="G180" i="2"/>
  <c r="G178" i="2"/>
  <c r="G176" i="2"/>
  <c r="G174" i="2"/>
  <c r="G172" i="2"/>
  <c r="G170" i="2"/>
  <c r="G168" i="2"/>
  <c r="G166" i="2"/>
  <c r="G164" i="2"/>
  <c r="G162" i="2"/>
  <c r="G160" i="2"/>
  <c r="G158" i="2"/>
  <c r="G156" i="2"/>
  <c r="G154" i="2"/>
  <c r="G152" i="2"/>
  <c r="G150" i="2"/>
  <c r="G148" i="2"/>
  <c r="G146" i="2"/>
  <c r="G144" i="2"/>
  <c r="G142" i="2"/>
  <c r="G140" i="2"/>
  <c r="G138" i="2"/>
  <c r="G259" i="2"/>
  <c r="G257" i="2"/>
  <c r="G255" i="2"/>
  <c r="G253" i="2"/>
  <c r="G251" i="2"/>
  <c r="G249" i="2"/>
  <c r="G247" i="2"/>
  <c r="G245" i="2"/>
  <c r="G243" i="2"/>
  <c r="G241" i="2"/>
  <c r="G239" i="2"/>
  <c r="G237" i="2"/>
  <c r="G235" i="2"/>
  <c r="G233" i="2"/>
  <c r="G231" i="2"/>
  <c r="G229" i="2"/>
  <c r="G227" i="2"/>
  <c r="G225" i="2"/>
  <c r="G223" i="2"/>
  <c r="G221" i="2"/>
  <c r="G219" i="2"/>
  <c r="G217" i="2"/>
  <c r="G215" i="2"/>
  <c r="G213" i="2"/>
  <c r="G211" i="2"/>
  <c r="G209" i="2"/>
  <c r="G207" i="2"/>
  <c r="G205" i="2"/>
  <c r="G203" i="2"/>
  <c r="G201" i="2"/>
  <c r="G199" i="2"/>
  <c r="G197" i="2"/>
  <c r="G195" i="2"/>
  <c r="G193" i="2"/>
  <c r="G191" i="2"/>
  <c r="G189" i="2"/>
  <c r="G187" i="2"/>
  <c r="G185" i="2"/>
  <c r="G183" i="2"/>
  <c r="G181" i="2"/>
  <c r="G179" i="2"/>
  <c r="G177" i="2"/>
  <c r="G175" i="2"/>
  <c r="G173" i="2"/>
  <c r="G171" i="2"/>
  <c r="G169" i="2"/>
  <c r="G167" i="2"/>
  <c r="G165" i="2"/>
  <c r="G163" i="2"/>
  <c r="G161" i="2"/>
  <c r="G159" i="2"/>
  <c r="G157" i="2"/>
  <c r="G155" i="2"/>
  <c r="G153" i="2"/>
  <c r="G151" i="2"/>
  <c r="G149" i="2"/>
  <c r="G147" i="2"/>
  <c r="G145" i="2"/>
  <c r="G143" i="2"/>
  <c r="G141" i="2"/>
  <c r="G139" i="2"/>
  <c r="C260" i="1"/>
  <c r="C9" i="2" l="1"/>
  <c r="D9" i="2" s="1"/>
  <c r="E9" i="2" s="1"/>
  <c r="G9" i="2" s="1"/>
  <c r="C10" i="2"/>
  <c r="C11" i="2"/>
  <c r="D11" i="2" s="1"/>
  <c r="E11" i="2" s="1"/>
  <c r="G11" i="2" s="1"/>
  <c r="C12" i="2"/>
  <c r="C13" i="2"/>
  <c r="D13" i="2" s="1"/>
  <c r="E13" i="2" s="1"/>
  <c r="G13" i="2" s="1"/>
  <c r="C14" i="2"/>
  <c r="C15" i="2"/>
  <c r="D15" i="2" s="1"/>
  <c r="E15" i="2" s="1"/>
  <c r="G15" i="2" s="1"/>
  <c r="C16" i="2"/>
  <c r="C17" i="2"/>
  <c r="D17" i="2" s="1"/>
  <c r="E17" i="2" s="1"/>
  <c r="G17" i="2" s="1"/>
  <c r="C18" i="2"/>
  <c r="C19" i="2"/>
  <c r="D19" i="2" s="1"/>
  <c r="E19" i="2" s="1"/>
  <c r="G19" i="2" s="1"/>
  <c r="C20" i="2"/>
  <c r="C21" i="2"/>
  <c r="D21" i="2" s="1"/>
  <c r="E21" i="2" s="1"/>
  <c r="G21" i="2" s="1"/>
  <c r="C22" i="2"/>
  <c r="C23" i="2"/>
  <c r="D23" i="2" s="1"/>
  <c r="E23" i="2" s="1"/>
  <c r="G23" i="2" s="1"/>
  <c r="C24" i="2"/>
  <c r="C25" i="2"/>
  <c r="D25" i="2" s="1"/>
  <c r="E25" i="2" s="1"/>
  <c r="G25" i="2" s="1"/>
  <c r="C26" i="2"/>
  <c r="C27" i="2"/>
  <c r="D27" i="2" s="1"/>
  <c r="E27" i="2" s="1"/>
  <c r="G27" i="2" s="1"/>
  <c r="C28" i="2"/>
  <c r="C29" i="2"/>
  <c r="D29" i="2" s="1"/>
  <c r="E29" i="2" s="1"/>
  <c r="G29" i="2" s="1"/>
  <c r="C30" i="2"/>
  <c r="C31" i="2"/>
  <c r="D31" i="2" s="1"/>
  <c r="E31" i="2" s="1"/>
  <c r="G31" i="2" s="1"/>
  <c r="C32" i="2"/>
  <c r="C33" i="2"/>
  <c r="D33" i="2" s="1"/>
  <c r="E33" i="2" s="1"/>
  <c r="G33" i="2" s="1"/>
  <c r="C34" i="2"/>
  <c r="C35" i="2"/>
  <c r="D35" i="2" s="1"/>
  <c r="E35" i="2" s="1"/>
  <c r="G35" i="2" s="1"/>
  <c r="C36" i="2"/>
  <c r="C37" i="2"/>
  <c r="D37" i="2" s="1"/>
  <c r="E37" i="2" s="1"/>
  <c r="G37" i="2" s="1"/>
  <c r="C38" i="2"/>
  <c r="C39" i="2"/>
  <c r="D39" i="2" s="1"/>
  <c r="E39" i="2" s="1"/>
  <c r="G39" i="2" s="1"/>
  <c r="C40" i="2"/>
  <c r="C41" i="2"/>
  <c r="D41" i="2" s="1"/>
  <c r="E41" i="2" s="1"/>
  <c r="G41" i="2" s="1"/>
  <c r="C42" i="2"/>
  <c r="C43" i="2"/>
  <c r="D43" i="2" s="1"/>
  <c r="E43" i="2" s="1"/>
  <c r="G43" i="2" s="1"/>
  <c r="C44" i="2"/>
  <c r="C45" i="2"/>
  <c r="D45" i="2" s="1"/>
  <c r="E45" i="2" s="1"/>
  <c r="G45" i="2" s="1"/>
  <c r="C46" i="2"/>
  <c r="C47" i="2"/>
  <c r="D47" i="2" s="1"/>
  <c r="E47" i="2" s="1"/>
  <c r="G47" i="2" s="1"/>
  <c r="C48" i="2"/>
  <c r="C49" i="2"/>
  <c r="D49" i="2" s="1"/>
  <c r="E49" i="2" s="1"/>
  <c r="G49" i="2" s="1"/>
  <c r="C50" i="2"/>
  <c r="C51" i="2"/>
  <c r="D51" i="2" s="1"/>
  <c r="E51" i="2" s="1"/>
  <c r="G51" i="2" s="1"/>
  <c r="C52" i="2"/>
  <c r="C53" i="2"/>
  <c r="D53" i="2" s="1"/>
  <c r="E53" i="2" s="1"/>
  <c r="G53" i="2" s="1"/>
  <c r="C54" i="2"/>
  <c r="C55" i="2"/>
  <c r="D55" i="2" s="1"/>
  <c r="E55" i="2" s="1"/>
  <c r="G55" i="2" s="1"/>
  <c r="C56" i="2"/>
  <c r="C57" i="2"/>
  <c r="D57" i="2" s="1"/>
  <c r="E57" i="2" s="1"/>
  <c r="G57" i="2" s="1"/>
  <c r="C58" i="2"/>
  <c r="C59" i="2"/>
  <c r="D59" i="2" s="1"/>
  <c r="E59" i="2" s="1"/>
  <c r="G59" i="2" s="1"/>
  <c r="C60" i="2"/>
  <c r="C61" i="2"/>
  <c r="D61" i="2" s="1"/>
  <c r="E61" i="2" s="1"/>
  <c r="G61" i="2" s="1"/>
  <c r="C62" i="2"/>
  <c r="C63" i="2"/>
  <c r="D63" i="2" s="1"/>
  <c r="E63" i="2" s="1"/>
  <c r="G63" i="2" s="1"/>
  <c r="C64" i="2"/>
  <c r="C65" i="2"/>
  <c r="D65" i="2" s="1"/>
  <c r="E65" i="2" s="1"/>
  <c r="G65" i="2" s="1"/>
  <c r="C66" i="2"/>
  <c r="C67" i="2"/>
  <c r="D67" i="2" s="1"/>
  <c r="E67" i="2" s="1"/>
  <c r="G67" i="2" s="1"/>
  <c r="C68" i="2"/>
  <c r="C69" i="2"/>
  <c r="D69" i="2" s="1"/>
  <c r="E69" i="2" s="1"/>
  <c r="G69" i="2" s="1"/>
  <c r="C70" i="2"/>
  <c r="C71" i="2"/>
  <c r="D71" i="2" s="1"/>
  <c r="E71" i="2" s="1"/>
  <c r="G71" i="2" s="1"/>
  <c r="C72" i="2"/>
  <c r="C73" i="2"/>
  <c r="D73" i="2" s="1"/>
  <c r="E73" i="2" s="1"/>
  <c r="G73" i="2" s="1"/>
  <c r="C74" i="2"/>
  <c r="C75" i="2"/>
  <c r="D75" i="2" s="1"/>
  <c r="E75" i="2" s="1"/>
  <c r="G75" i="2" s="1"/>
  <c r="C76" i="2"/>
  <c r="C77" i="2"/>
  <c r="D77" i="2" s="1"/>
  <c r="E77" i="2" s="1"/>
  <c r="G77" i="2" s="1"/>
  <c r="C78" i="2"/>
  <c r="C79" i="2"/>
  <c r="D79" i="2" s="1"/>
  <c r="E79" i="2" s="1"/>
  <c r="G79" i="2" s="1"/>
  <c r="C80" i="2"/>
  <c r="C81" i="2"/>
  <c r="D81" i="2" s="1"/>
  <c r="E81" i="2" s="1"/>
  <c r="G81" i="2" s="1"/>
  <c r="C82" i="2"/>
  <c r="C83" i="2"/>
  <c r="D83" i="2" s="1"/>
  <c r="E83" i="2" s="1"/>
  <c r="G83" i="2" s="1"/>
  <c r="C84" i="2"/>
  <c r="C85" i="2"/>
  <c r="D85" i="2" s="1"/>
  <c r="E85" i="2" s="1"/>
  <c r="G85" i="2" s="1"/>
  <c r="C86" i="2"/>
  <c r="C87" i="2"/>
  <c r="D87" i="2" s="1"/>
  <c r="E87" i="2" s="1"/>
  <c r="G87" i="2" s="1"/>
  <c r="C88" i="2"/>
  <c r="C89" i="2"/>
  <c r="D89" i="2" s="1"/>
  <c r="E89" i="2" s="1"/>
  <c r="G89" i="2" s="1"/>
  <c r="C90" i="2"/>
  <c r="C91" i="2"/>
  <c r="D91" i="2" s="1"/>
  <c r="E91" i="2" s="1"/>
  <c r="G91" i="2" s="1"/>
  <c r="C92" i="2"/>
  <c r="C93" i="2"/>
  <c r="D93" i="2" s="1"/>
  <c r="E93" i="2" s="1"/>
  <c r="G93" i="2" s="1"/>
  <c r="C94" i="2"/>
  <c r="C95" i="2"/>
  <c r="D95" i="2" s="1"/>
  <c r="E95" i="2" s="1"/>
  <c r="G95" i="2" s="1"/>
  <c r="C96" i="2"/>
  <c r="C97" i="2"/>
  <c r="D97" i="2" s="1"/>
  <c r="E97" i="2" s="1"/>
  <c r="G97" i="2" s="1"/>
  <c r="C98" i="2"/>
  <c r="C99" i="2"/>
  <c r="D99" i="2" s="1"/>
  <c r="E99" i="2" s="1"/>
  <c r="G99" i="2" s="1"/>
  <c r="C100" i="2"/>
  <c r="C101" i="2"/>
  <c r="D101" i="2" s="1"/>
  <c r="E101" i="2" s="1"/>
  <c r="G101" i="2" s="1"/>
  <c r="C102" i="2"/>
  <c r="C103" i="2"/>
  <c r="D103" i="2" s="1"/>
  <c r="E103" i="2" s="1"/>
  <c r="G103" i="2" s="1"/>
  <c r="C104" i="2"/>
  <c r="C105" i="2"/>
  <c r="D105" i="2" s="1"/>
  <c r="E105" i="2" s="1"/>
  <c r="G105" i="2" s="1"/>
  <c r="C106" i="2"/>
  <c r="C107" i="2"/>
  <c r="D107" i="2" s="1"/>
  <c r="E107" i="2" s="1"/>
  <c r="G107" i="2" s="1"/>
  <c r="C108" i="2"/>
  <c r="C109" i="2"/>
  <c r="D109" i="2" s="1"/>
  <c r="E109" i="2" s="1"/>
  <c r="G109" i="2" s="1"/>
  <c r="C110" i="2"/>
  <c r="C111" i="2"/>
  <c r="D111" i="2" s="1"/>
  <c r="E111" i="2" s="1"/>
  <c r="G111" i="2" s="1"/>
  <c r="C112" i="2"/>
  <c r="C113" i="2"/>
  <c r="D113" i="2" s="1"/>
  <c r="E113" i="2" s="1"/>
  <c r="G113" i="2" s="1"/>
  <c r="C114" i="2"/>
  <c r="C115" i="2"/>
  <c r="D115" i="2" s="1"/>
  <c r="E115" i="2" s="1"/>
  <c r="G115" i="2" s="1"/>
  <c r="C116" i="2"/>
  <c r="C117" i="2"/>
  <c r="D117" i="2" s="1"/>
  <c r="E117" i="2" s="1"/>
  <c r="G117" i="2" s="1"/>
  <c r="C118" i="2"/>
  <c r="C119" i="2"/>
  <c r="D119" i="2" s="1"/>
  <c r="E119" i="2" s="1"/>
  <c r="G119" i="2" s="1"/>
  <c r="C120" i="2"/>
  <c r="C121" i="2"/>
  <c r="D121" i="2" s="1"/>
  <c r="E121" i="2" s="1"/>
  <c r="G121" i="2" s="1"/>
  <c r="C122" i="2"/>
  <c r="C123" i="2"/>
  <c r="D123" i="2" s="1"/>
  <c r="E123" i="2" s="1"/>
  <c r="G123" i="2" s="1"/>
  <c r="C124" i="2"/>
  <c r="C125" i="2"/>
  <c r="D125" i="2" s="1"/>
  <c r="E125" i="2" s="1"/>
  <c r="G125" i="2" s="1"/>
  <c r="C126" i="2"/>
  <c r="C127" i="2"/>
  <c r="D127" i="2" s="1"/>
  <c r="E127" i="2" s="1"/>
  <c r="G127" i="2" s="1"/>
  <c r="C128" i="2"/>
  <c r="C129" i="2"/>
  <c r="D129" i="2" s="1"/>
  <c r="E129" i="2" s="1"/>
  <c r="G129" i="2" s="1"/>
  <c r="C130" i="2"/>
  <c r="C131" i="2"/>
  <c r="D131" i="2" s="1"/>
  <c r="E131" i="2" s="1"/>
  <c r="G131" i="2" s="1"/>
  <c r="C132" i="2"/>
  <c r="C133" i="2"/>
  <c r="D133" i="2" s="1"/>
  <c r="E133" i="2" s="1"/>
  <c r="G133" i="2" s="1"/>
  <c r="C134" i="2"/>
  <c r="C135" i="2"/>
  <c r="D135" i="2" s="1"/>
  <c r="E135" i="2" s="1"/>
  <c r="G135" i="2" s="1"/>
  <c r="C136" i="2"/>
  <c r="C137" i="2"/>
  <c r="D137" i="2" s="1"/>
  <c r="E137" i="2" s="1"/>
  <c r="G137" i="2" s="1"/>
  <c r="C8" i="2"/>
  <c r="D8" i="2" s="1"/>
  <c r="E8" i="2" s="1"/>
  <c r="G8" i="2" s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8" i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D136" i="2" l="1"/>
  <c r="E136" i="2" s="1"/>
  <c r="G136" i="2" s="1"/>
  <c r="D134" i="2"/>
  <c r="E134" i="2" s="1"/>
  <c r="G134" i="2" s="1"/>
  <c r="D132" i="2"/>
  <c r="E132" i="2" s="1"/>
  <c r="G132" i="2" s="1"/>
  <c r="D130" i="2"/>
  <c r="E130" i="2" s="1"/>
  <c r="G130" i="2" s="1"/>
  <c r="D128" i="2"/>
  <c r="E128" i="2" s="1"/>
  <c r="G128" i="2" s="1"/>
  <c r="D126" i="2"/>
  <c r="E126" i="2" s="1"/>
  <c r="G126" i="2" s="1"/>
  <c r="D124" i="2"/>
  <c r="E124" i="2" s="1"/>
  <c r="G124" i="2" s="1"/>
  <c r="D122" i="2"/>
  <c r="E122" i="2" s="1"/>
  <c r="G122" i="2" s="1"/>
  <c r="D120" i="2"/>
  <c r="E120" i="2" s="1"/>
  <c r="G120" i="2" s="1"/>
  <c r="D118" i="2"/>
  <c r="E118" i="2" s="1"/>
  <c r="G118" i="2" s="1"/>
  <c r="D116" i="2"/>
  <c r="E116" i="2" s="1"/>
  <c r="G116" i="2" s="1"/>
  <c r="D114" i="2"/>
  <c r="E114" i="2" s="1"/>
  <c r="G114" i="2" s="1"/>
  <c r="D112" i="2"/>
  <c r="E112" i="2" s="1"/>
  <c r="G112" i="2" s="1"/>
  <c r="D110" i="2"/>
  <c r="E110" i="2" s="1"/>
  <c r="G110" i="2" s="1"/>
  <c r="D108" i="2"/>
  <c r="E108" i="2" s="1"/>
  <c r="G108" i="2" s="1"/>
  <c r="D106" i="2"/>
  <c r="E106" i="2" s="1"/>
  <c r="G106" i="2" s="1"/>
  <c r="D104" i="2"/>
  <c r="E104" i="2" s="1"/>
  <c r="G104" i="2" s="1"/>
  <c r="D102" i="2"/>
  <c r="E102" i="2" s="1"/>
  <c r="G102" i="2" s="1"/>
  <c r="D100" i="2"/>
  <c r="E100" i="2" s="1"/>
  <c r="G100" i="2" s="1"/>
  <c r="D98" i="2"/>
  <c r="E98" i="2" s="1"/>
  <c r="G98" i="2" s="1"/>
  <c r="D96" i="2"/>
  <c r="E96" i="2" s="1"/>
  <c r="G96" i="2" s="1"/>
  <c r="D94" i="2"/>
  <c r="E94" i="2" s="1"/>
  <c r="G94" i="2" s="1"/>
  <c r="D92" i="2"/>
  <c r="E92" i="2" s="1"/>
  <c r="G92" i="2" s="1"/>
  <c r="D90" i="2"/>
  <c r="E90" i="2" s="1"/>
  <c r="G90" i="2" s="1"/>
  <c r="D88" i="2"/>
  <c r="E88" i="2" s="1"/>
  <c r="G88" i="2" s="1"/>
  <c r="D86" i="2"/>
  <c r="E86" i="2" s="1"/>
  <c r="G86" i="2" s="1"/>
  <c r="D84" i="2"/>
  <c r="E84" i="2" s="1"/>
  <c r="G84" i="2" s="1"/>
  <c r="D82" i="2"/>
  <c r="E82" i="2" s="1"/>
  <c r="G82" i="2" s="1"/>
  <c r="D80" i="2"/>
  <c r="E80" i="2" s="1"/>
  <c r="G80" i="2" s="1"/>
  <c r="D78" i="2"/>
  <c r="E78" i="2" s="1"/>
  <c r="G78" i="2" s="1"/>
  <c r="D76" i="2"/>
  <c r="E76" i="2" s="1"/>
  <c r="G76" i="2" s="1"/>
  <c r="D74" i="2"/>
  <c r="E74" i="2" s="1"/>
  <c r="G74" i="2" s="1"/>
  <c r="D72" i="2"/>
  <c r="E72" i="2" s="1"/>
  <c r="G72" i="2" s="1"/>
  <c r="D70" i="2"/>
  <c r="E70" i="2" s="1"/>
  <c r="G70" i="2" s="1"/>
  <c r="D68" i="2"/>
  <c r="E68" i="2" s="1"/>
  <c r="G68" i="2" s="1"/>
  <c r="D66" i="2"/>
  <c r="E66" i="2" s="1"/>
  <c r="G66" i="2" s="1"/>
  <c r="D64" i="2"/>
  <c r="E64" i="2" s="1"/>
  <c r="G64" i="2" s="1"/>
  <c r="D62" i="2"/>
  <c r="E62" i="2" s="1"/>
  <c r="G62" i="2" s="1"/>
  <c r="D60" i="2"/>
  <c r="E60" i="2" s="1"/>
  <c r="G60" i="2" s="1"/>
  <c r="D58" i="2"/>
  <c r="E58" i="2" s="1"/>
  <c r="G58" i="2" s="1"/>
  <c r="D56" i="2"/>
  <c r="E56" i="2" s="1"/>
  <c r="G56" i="2" s="1"/>
  <c r="D54" i="2"/>
  <c r="E54" i="2" s="1"/>
  <c r="G54" i="2" s="1"/>
  <c r="D52" i="2"/>
  <c r="E52" i="2" s="1"/>
  <c r="G52" i="2" s="1"/>
  <c r="D50" i="2"/>
  <c r="E50" i="2" s="1"/>
  <c r="G50" i="2" s="1"/>
  <c r="D48" i="2"/>
  <c r="E48" i="2" s="1"/>
  <c r="G48" i="2" s="1"/>
  <c r="D46" i="2"/>
  <c r="E46" i="2" s="1"/>
  <c r="G46" i="2" s="1"/>
  <c r="D44" i="2"/>
  <c r="E44" i="2" s="1"/>
  <c r="G44" i="2" s="1"/>
  <c r="D42" i="2"/>
  <c r="E42" i="2" s="1"/>
  <c r="G42" i="2" s="1"/>
  <c r="D40" i="2"/>
  <c r="E40" i="2" s="1"/>
  <c r="G40" i="2" s="1"/>
  <c r="D38" i="2"/>
  <c r="E38" i="2" s="1"/>
  <c r="G38" i="2" s="1"/>
  <c r="D36" i="2"/>
  <c r="E36" i="2" s="1"/>
  <c r="G36" i="2" s="1"/>
  <c r="D34" i="2"/>
  <c r="E34" i="2" s="1"/>
  <c r="G34" i="2" s="1"/>
  <c r="D32" i="2"/>
  <c r="E32" i="2" s="1"/>
  <c r="G32" i="2" s="1"/>
  <c r="D30" i="2"/>
  <c r="E30" i="2" s="1"/>
  <c r="G30" i="2" s="1"/>
  <c r="D28" i="2"/>
  <c r="E28" i="2" s="1"/>
  <c r="G28" i="2" s="1"/>
  <c r="D26" i="2"/>
  <c r="E26" i="2" s="1"/>
  <c r="G26" i="2" s="1"/>
  <c r="D24" i="2"/>
  <c r="E24" i="2" s="1"/>
  <c r="G24" i="2" s="1"/>
  <c r="D22" i="2"/>
  <c r="E22" i="2" s="1"/>
  <c r="G22" i="2" s="1"/>
  <c r="D20" i="2"/>
  <c r="E20" i="2" s="1"/>
  <c r="G20" i="2" s="1"/>
  <c r="D18" i="2"/>
  <c r="E18" i="2" s="1"/>
  <c r="G18" i="2" s="1"/>
  <c r="D16" i="2"/>
  <c r="E16" i="2" s="1"/>
  <c r="G16" i="2" s="1"/>
  <c r="D14" i="2"/>
  <c r="E14" i="2" s="1"/>
  <c r="G14" i="2" s="1"/>
  <c r="D12" i="2"/>
  <c r="E12" i="2" s="1"/>
  <c r="G12" i="2" s="1"/>
  <c r="D10" i="2"/>
  <c r="E10" i="2" s="1"/>
  <c r="G10" i="2" s="1"/>
  <c r="G3" i="2" s="1"/>
  <c r="G4" i="2" s="1"/>
  <c r="J4" i="2" s="1"/>
  <c r="I136" i="2"/>
  <c r="I135" i="2" s="1"/>
  <c r="I134" i="2" s="1"/>
  <c r="I133" i="2" s="1"/>
  <c r="I132" i="2" s="1"/>
  <c r="I131" i="2" s="1"/>
  <c r="I130" i="2" s="1"/>
  <c r="I129" i="2" s="1"/>
  <c r="I128" i="2" s="1"/>
  <c r="I127" i="2" s="1"/>
  <c r="I126" i="2" s="1"/>
  <c r="I125" i="2" s="1"/>
  <c r="I124" i="2" s="1"/>
  <c r="I123" i="2" s="1"/>
  <c r="I122" i="2" s="1"/>
  <c r="I121" i="2" s="1"/>
  <c r="I120" i="2" s="1"/>
  <c r="I119" i="2" s="1"/>
  <c r="I118" i="2" s="1"/>
  <c r="I117" i="2" s="1"/>
  <c r="I116" i="2" s="1"/>
  <c r="I115" i="2" s="1"/>
  <c r="I114" i="2" s="1"/>
  <c r="I113" i="2" s="1"/>
  <c r="I112" i="2" s="1"/>
  <c r="I111" i="2" s="1"/>
  <c r="I110" i="2" s="1"/>
  <c r="I109" i="2" s="1"/>
  <c r="I108" i="2" s="1"/>
  <c r="I107" i="2" s="1"/>
  <c r="I106" i="2" s="1"/>
  <c r="I105" i="2" s="1"/>
  <c r="I104" i="2" s="1"/>
  <c r="I103" i="2" s="1"/>
  <c r="I102" i="2" s="1"/>
  <c r="I101" i="2" s="1"/>
  <c r="I100" i="2" s="1"/>
  <c r="I99" i="2" s="1"/>
  <c r="I98" i="2" s="1"/>
  <c r="I97" i="2" s="1"/>
  <c r="I96" i="2" s="1"/>
  <c r="I95" i="2" s="1"/>
  <c r="I94" i="2" s="1"/>
  <c r="I93" i="2" s="1"/>
  <c r="I92" i="2" s="1"/>
  <c r="I91" i="2" s="1"/>
  <c r="I90" i="2" s="1"/>
  <c r="I89" i="2" s="1"/>
  <c r="I88" i="2" s="1"/>
  <c r="I87" i="2" s="1"/>
  <c r="I86" i="2" s="1"/>
  <c r="I85" i="2" s="1"/>
  <c r="I84" i="2" s="1"/>
  <c r="I83" i="2" s="1"/>
  <c r="I82" i="2" s="1"/>
  <c r="I81" i="2" s="1"/>
  <c r="I80" i="2" s="1"/>
  <c r="I79" i="2" s="1"/>
  <c r="I78" i="2" s="1"/>
  <c r="I77" i="2" s="1"/>
  <c r="I76" i="2" s="1"/>
  <c r="I75" i="2" s="1"/>
  <c r="I74" i="2" s="1"/>
  <c r="I73" i="2" s="1"/>
  <c r="I72" i="2" s="1"/>
  <c r="I71" i="2" s="1"/>
  <c r="I70" i="2" s="1"/>
  <c r="I69" i="2" s="1"/>
  <c r="I68" i="2" s="1"/>
  <c r="I67" i="2" s="1"/>
  <c r="I66" i="2" s="1"/>
  <c r="I65" i="2" s="1"/>
  <c r="I64" i="2" s="1"/>
  <c r="I63" i="2" s="1"/>
  <c r="I62" i="2" s="1"/>
  <c r="I61" i="2" s="1"/>
  <c r="I60" i="2" s="1"/>
  <c r="I59" i="2" s="1"/>
  <c r="I58" i="2" s="1"/>
  <c r="I57" i="2" s="1"/>
  <c r="I56" i="2" s="1"/>
  <c r="I55" i="2" s="1"/>
  <c r="I54" i="2" s="1"/>
  <c r="I53" i="2" s="1"/>
  <c r="I52" i="2" s="1"/>
  <c r="I51" i="2" s="1"/>
  <c r="I50" i="2" s="1"/>
  <c r="I49" i="2" s="1"/>
  <c r="I48" i="2" s="1"/>
  <c r="I47" i="2" s="1"/>
  <c r="I46" i="2" s="1"/>
  <c r="I45" i="2" s="1"/>
  <c r="I44" i="2" s="1"/>
  <c r="I43" i="2" s="1"/>
  <c r="I42" i="2" s="1"/>
  <c r="I41" i="2" s="1"/>
  <c r="I40" i="2" s="1"/>
  <c r="I39" i="2" s="1"/>
  <c r="I38" i="2" s="1"/>
  <c r="I37" i="2" s="1"/>
  <c r="I36" i="2" s="1"/>
  <c r="I35" i="2" s="1"/>
  <c r="I34" i="2" s="1"/>
  <c r="I33" i="2" s="1"/>
  <c r="I32" i="2" s="1"/>
  <c r="I31" i="2" s="1"/>
  <c r="I30" i="2" s="1"/>
  <c r="I29" i="2" s="1"/>
  <c r="I28" i="2" s="1"/>
  <c r="I27" i="2" s="1"/>
  <c r="I26" i="2" s="1"/>
  <c r="I25" i="2" s="1"/>
  <c r="I24" i="2" s="1"/>
  <c r="I23" i="2" s="1"/>
  <c r="I22" i="2" s="1"/>
  <c r="I21" i="2" s="1"/>
  <c r="I20" i="2" s="1"/>
  <c r="I19" i="2" s="1"/>
  <c r="I18" i="2" s="1"/>
  <c r="I17" i="2" s="1"/>
  <c r="I16" i="2" s="1"/>
  <c r="I15" i="2" s="1"/>
  <c r="I14" i="2" s="1"/>
  <c r="I13" i="2" s="1"/>
  <c r="I12" i="2" s="1"/>
  <c r="I11" i="2" s="1"/>
  <c r="I10" i="2" s="1"/>
  <c r="I9" i="2" s="1"/>
  <c r="I8" i="2" s="1"/>
  <c r="I7" i="2" s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9" i="2"/>
  <c r="B10" i="2" l="1"/>
  <c r="B11" i="2" l="1"/>
  <c r="B12" i="2" l="1"/>
  <c r="I47" i="1" l="1"/>
  <c r="I56" i="1"/>
  <c r="I39" i="1"/>
  <c r="I146" i="1"/>
  <c r="H252" i="1"/>
  <c r="I72" i="1"/>
  <c r="I148" i="1"/>
  <c r="H251" i="1"/>
  <c r="I71" i="1"/>
  <c r="H83" i="1"/>
  <c r="H131" i="1"/>
  <c r="I116" i="1"/>
  <c r="I103" i="1"/>
  <c r="I88" i="1"/>
  <c r="H39" i="1"/>
  <c r="H215" i="1"/>
  <c r="I200" i="1"/>
  <c r="H60" i="1"/>
  <c r="H136" i="1"/>
  <c r="I238" i="1"/>
  <c r="H20" i="1"/>
  <c r="I70" i="1"/>
  <c r="I54" i="1"/>
  <c r="H104" i="1"/>
  <c r="H52" i="1"/>
  <c r="H256" i="1"/>
  <c r="I171" i="1"/>
  <c r="I35" i="1"/>
  <c r="I123" i="1"/>
  <c r="I40" i="1"/>
  <c r="I251" i="1"/>
  <c r="H211" i="1"/>
  <c r="H27" i="1"/>
  <c r="H239" i="1"/>
  <c r="H220" i="1"/>
  <c r="H160" i="1"/>
  <c r="I207" i="1"/>
  <c r="I166" i="1"/>
  <c r="I140" i="1"/>
  <c r="H196" i="1"/>
  <c r="H34" i="1"/>
  <c r="I223" i="1"/>
  <c r="I250" i="1"/>
  <c r="I175" i="1"/>
  <c r="I174" i="1"/>
  <c r="H28" i="1"/>
  <c r="H24" i="1"/>
  <c r="H163" i="1"/>
  <c r="H148" i="1"/>
  <c r="H244" i="1"/>
  <c r="H38" i="1"/>
  <c r="I226" i="1"/>
  <c r="I135" i="1"/>
  <c r="I258" i="1"/>
  <c r="I212" i="1"/>
  <c r="H172" i="1"/>
  <c r="H168" i="1"/>
  <c r="I167" i="1"/>
  <c r="I152" i="1"/>
  <c r="I76" i="1"/>
  <c r="H75" i="1"/>
  <c r="I85" i="1"/>
  <c r="H188" i="1"/>
  <c r="H187" i="1"/>
  <c r="H79" i="1"/>
  <c r="H214" i="1"/>
  <c r="H111" i="1"/>
  <c r="H19" i="1"/>
  <c r="I66" i="1"/>
  <c r="I179" i="1"/>
  <c r="H118" i="1"/>
  <c r="I98" i="1"/>
  <c r="I198" i="1"/>
  <c r="I15" i="1"/>
  <c r="H179" i="1"/>
  <c r="I215" i="1"/>
  <c r="I150" i="1"/>
  <c r="I84" i="1"/>
  <c r="I184" i="1"/>
  <c r="I206" i="1"/>
  <c r="I111" i="1"/>
  <c r="I34" i="1"/>
  <c r="H123" i="1"/>
  <c r="I168" i="1"/>
  <c r="H99" i="1"/>
  <c r="I187" i="1"/>
  <c r="I20" i="1"/>
  <c r="H84" i="1"/>
  <c r="H108" i="1"/>
  <c r="I143" i="1"/>
  <c r="I155" i="1"/>
  <c r="H155" i="1"/>
  <c r="H115" i="1"/>
  <c r="I44" i="1"/>
  <c r="I62" i="1"/>
  <c r="I81" i="1"/>
  <c r="I46" i="1"/>
  <c r="I95" i="1"/>
  <c r="H156" i="1"/>
  <c r="H207" i="1"/>
  <c r="I231" i="1"/>
  <c r="I14" i="1"/>
  <c r="I243" i="1"/>
  <c r="H152" i="1"/>
  <c r="I60" i="1"/>
  <c r="H249" i="1"/>
  <c r="H231" i="1"/>
  <c r="H135" i="1"/>
  <c r="H248" i="1"/>
  <c r="H120" i="1"/>
  <c r="I190" i="1"/>
  <c r="I195" i="1"/>
  <c r="H210" i="1"/>
  <c r="H30" i="1"/>
  <c r="H245" i="1"/>
  <c r="I204" i="1"/>
  <c r="H128" i="1"/>
  <c r="I242" i="1"/>
  <c r="I82" i="1"/>
  <c r="H164" i="1"/>
  <c r="I188" i="1"/>
  <c r="H206" i="1"/>
  <c r="I189" i="1"/>
  <c r="H225" i="1"/>
  <c r="I8" i="1"/>
  <c r="I104" i="1"/>
  <c r="I194" i="1"/>
  <c r="I52" i="1"/>
  <c r="I142" i="1"/>
  <c r="I255" i="1"/>
  <c r="H76" i="1"/>
  <c r="H199" i="1"/>
  <c r="I108" i="1"/>
  <c r="I235" i="1"/>
  <c r="I43" i="1"/>
  <c r="I144" i="1"/>
  <c r="H176" i="1"/>
  <c r="H198" i="1"/>
  <c r="I185" i="1"/>
  <c r="H133" i="1"/>
  <c r="I224" i="1"/>
  <c r="H59" i="1"/>
  <c r="I159" i="1"/>
  <c r="I232" i="1"/>
  <c r="H67" i="1"/>
  <c r="I180" i="1"/>
  <c r="H15" i="1"/>
  <c r="I128" i="1"/>
  <c r="I216" i="1"/>
  <c r="H51" i="1"/>
  <c r="H192" i="1"/>
  <c r="H103" i="1"/>
  <c r="I228" i="1"/>
  <c r="I36" i="1"/>
  <c r="I87" i="1"/>
  <c r="I74" i="1"/>
  <c r="H134" i="1"/>
  <c r="I181" i="1"/>
  <c r="H117" i="1"/>
  <c r="I256" i="1"/>
  <c r="H116" i="1"/>
  <c r="H204" i="1"/>
  <c r="H12" i="1"/>
  <c r="I186" i="1"/>
  <c r="H96" i="1"/>
  <c r="I178" i="1"/>
  <c r="H31" i="1"/>
  <c r="I80" i="1"/>
  <c r="I67" i="1"/>
  <c r="H122" i="1"/>
  <c r="I97" i="1"/>
  <c r="H113" i="1"/>
  <c r="H110" i="1"/>
  <c r="H10" i="1"/>
  <c r="I169" i="1"/>
  <c r="I69" i="1"/>
  <c r="H217" i="1"/>
  <c r="H101" i="1"/>
  <c r="I23" i="1"/>
  <c r="I138" i="1"/>
  <c r="I10" i="1"/>
  <c r="H174" i="1"/>
  <c r="H86" i="1"/>
  <c r="I245" i="1"/>
  <c r="I145" i="1"/>
  <c r="I41" i="1"/>
  <c r="H185" i="1"/>
  <c r="H69" i="1"/>
  <c r="I100" i="1"/>
  <c r="I18" i="1"/>
  <c r="H139" i="1"/>
  <c r="I16" i="1"/>
  <c r="I131" i="1"/>
  <c r="H250" i="1"/>
  <c r="H170" i="1"/>
  <c r="H78" i="1"/>
  <c r="I229" i="1"/>
  <c r="I137" i="1"/>
  <c r="I37" i="1"/>
  <c r="H181" i="1"/>
  <c r="H65" i="1"/>
  <c r="I102" i="1"/>
  <c r="I236" i="1"/>
  <c r="I154" i="1"/>
  <c r="I58" i="1"/>
  <c r="H223" i="1"/>
  <c r="H95" i="1"/>
  <c r="H228" i="1"/>
  <c r="H132" i="1"/>
  <c r="H11" i="1"/>
  <c r="I124" i="1"/>
  <c r="H246" i="1"/>
  <c r="H166" i="1"/>
  <c r="H74" i="1"/>
  <c r="I225" i="1"/>
  <c r="I133" i="1"/>
  <c r="I33" i="1"/>
  <c r="H177" i="1"/>
  <c r="H61" i="1"/>
  <c r="I51" i="1"/>
  <c r="H184" i="1"/>
  <c r="H88" i="1"/>
  <c r="I222" i="1"/>
  <c r="I126" i="1"/>
  <c r="H240" i="1"/>
  <c r="H112" i="1"/>
  <c r="H238" i="1"/>
  <c r="H150" i="1"/>
  <c r="H66" i="1"/>
  <c r="I217" i="1"/>
  <c r="I117" i="1"/>
  <c r="I25" i="1"/>
  <c r="H153" i="1"/>
  <c r="H37" i="1"/>
  <c r="H68" i="1"/>
  <c r="H247" i="1"/>
  <c r="H183" i="1"/>
  <c r="H119" i="1"/>
  <c r="I42" i="1"/>
  <c r="H242" i="1"/>
  <c r="H202" i="1"/>
  <c r="H154" i="1"/>
  <c r="H114" i="1"/>
  <c r="H70" i="1"/>
  <c r="H14" i="1"/>
  <c r="I221" i="1"/>
  <c r="I177" i="1"/>
  <c r="I121" i="1"/>
  <c r="I73" i="1"/>
  <c r="I29" i="1"/>
  <c r="H221" i="1"/>
  <c r="H173" i="1"/>
  <c r="H109" i="1"/>
  <c r="H45" i="1"/>
  <c r="H32" i="1"/>
  <c r="I203" i="1"/>
  <c r="I139" i="1"/>
  <c r="I75" i="1"/>
  <c r="I247" i="1"/>
  <c r="I183" i="1"/>
  <c r="I119" i="1"/>
  <c r="H43" i="1"/>
  <c r="I234" i="1"/>
  <c r="I170" i="1"/>
  <c r="I92" i="1"/>
  <c r="I28" i="1"/>
  <c r="H234" i="1"/>
  <c r="H186" i="1"/>
  <c r="H146" i="1"/>
  <c r="H106" i="1"/>
  <c r="H54" i="1"/>
  <c r="I257" i="1"/>
  <c r="I213" i="1"/>
  <c r="I157" i="1"/>
  <c r="I113" i="1"/>
  <c r="I65" i="1"/>
  <c r="I9" i="1"/>
  <c r="H213" i="1"/>
  <c r="H149" i="1"/>
  <c r="H97" i="1"/>
  <c r="H33" i="1"/>
  <c r="I90" i="1"/>
  <c r="I196" i="1"/>
  <c r="I132" i="1"/>
  <c r="I68" i="1"/>
  <c r="I240" i="1"/>
  <c r="I176" i="1"/>
  <c r="I112" i="1"/>
  <c r="H36" i="1"/>
  <c r="I227" i="1"/>
  <c r="I163" i="1"/>
  <c r="H87" i="1"/>
  <c r="H23" i="1"/>
  <c r="H230" i="1"/>
  <c r="H182" i="1"/>
  <c r="H142" i="1"/>
  <c r="H102" i="1"/>
  <c r="H46" i="1"/>
  <c r="I253" i="1"/>
  <c r="I209" i="1"/>
  <c r="I153" i="1"/>
  <c r="I105" i="1"/>
  <c r="I61" i="1"/>
  <c r="H257" i="1"/>
  <c r="H209" i="1"/>
  <c r="H145" i="1"/>
  <c r="H81" i="1"/>
  <c r="H29" i="1"/>
  <c r="I26" i="1"/>
  <c r="I214" i="1"/>
  <c r="I86" i="1"/>
  <c r="H200" i="1"/>
  <c r="H47" i="1"/>
  <c r="I160" i="1"/>
  <c r="I32" i="1"/>
  <c r="I120" i="1"/>
  <c r="I246" i="1"/>
  <c r="I118" i="1"/>
  <c r="I219" i="1"/>
  <c r="I91" i="1"/>
  <c r="H219" i="1"/>
  <c r="I64" i="1"/>
  <c r="I191" i="1"/>
  <c r="I63" i="1"/>
  <c r="I211" i="1"/>
  <c r="I147" i="1"/>
  <c r="I83" i="1"/>
  <c r="H255" i="1"/>
  <c r="H191" i="1"/>
  <c r="H127" i="1"/>
  <c r="I50" i="1"/>
  <c r="H235" i="1"/>
  <c r="H171" i="1"/>
  <c r="I94" i="1"/>
  <c r="I30" i="1"/>
  <c r="I220" i="1"/>
  <c r="H144" i="1"/>
  <c r="H80" i="1"/>
  <c r="H16" i="1"/>
  <c r="H218" i="1"/>
  <c r="H178" i="1"/>
  <c r="H138" i="1"/>
  <c r="H90" i="1"/>
  <c r="H42" i="1"/>
  <c r="I249" i="1"/>
  <c r="I193" i="1"/>
  <c r="I149" i="1"/>
  <c r="I101" i="1"/>
  <c r="I49" i="1"/>
  <c r="H253" i="1"/>
  <c r="H189" i="1"/>
  <c r="H141" i="1"/>
  <c r="H77" i="1"/>
  <c r="H25" i="1"/>
  <c r="H205" i="1"/>
  <c r="H129" i="1"/>
  <c r="H57" i="1"/>
  <c r="I239" i="1"/>
  <c r="H35" i="1"/>
  <c r="H72" i="1"/>
  <c r="I110" i="1"/>
  <c r="H147" i="1"/>
  <c r="H195" i="1"/>
  <c r="I244" i="1"/>
  <c r="H40" i="1"/>
  <c r="H91" i="1"/>
  <c r="H140" i="1"/>
  <c r="H224" i="1"/>
  <c r="I122" i="1"/>
  <c r="I19" i="1"/>
  <c r="I164" i="1"/>
  <c r="H63" i="1"/>
  <c r="I208" i="1"/>
  <c r="H107" i="1"/>
  <c r="I55" i="1"/>
  <c r="H208" i="1"/>
  <c r="I156" i="1"/>
  <c r="I106" i="1"/>
  <c r="H55" i="1"/>
  <c r="H226" i="1"/>
  <c r="H194" i="1"/>
  <c r="H162" i="1"/>
  <c r="H130" i="1"/>
  <c r="H98" i="1"/>
  <c r="H62" i="1"/>
  <c r="H26" i="1"/>
  <c r="I241" i="1"/>
  <c r="I201" i="1"/>
  <c r="I165" i="1"/>
  <c r="I129" i="1"/>
  <c r="I93" i="1"/>
  <c r="I57" i="1"/>
  <c r="I21" i="1"/>
  <c r="H237" i="1"/>
  <c r="H197" i="1"/>
  <c r="H161" i="1"/>
  <c r="H125" i="1"/>
  <c r="H89" i="1"/>
  <c r="H53" i="1"/>
  <c r="H17" i="1"/>
  <c r="H241" i="1"/>
  <c r="H165" i="1"/>
  <c r="H93" i="1"/>
  <c r="H21" i="1"/>
  <c r="I136" i="1"/>
  <c r="H175" i="1"/>
  <c r="H212" i="1"/>
  <c r="I248" i="1"/>
  <c r="H44" i="1"/>
  <c r="H92" i="1"/>
  <c r="H143" i="1"/>
  <c r="I192" i="1"/>
  <c r="H243" i="1"/>
  <c r="I38" i="1"/>
  <c r="I172" i="1"/>
  <c r="H71" i="1"/>
  <c r="H216" i="1"/>
  <c r="I114" i="1"/>
  <c r="I11" i="1"/>
  <c r="I158" i="1"/>
  <c r="H8" i="1"/>
  <c r="H258" i="1"/>
  <c r="H227" i="1"/>
  <c r="H124" i="1"/>
  <c r="I22" i="1"/>
  <c r="I162" i="1"/>
  <c r="I59" i="1"/>
  <c r="I199" i="1"/>
  <c r="I96" i="1"/>
  <c r="H236" i="1"/>
  <c r="I134" i="1"/>
  <c r="I31" i="1"/>
  <c r="I182" i="1"/>
  <c r="I79" i="1"/>
  <c r="H232" i="1"/>
  <c r="I130" i="1"/>
  <c r="I27" i="1"/>
  <c r="H180" i="1"/>
  <c r="I78" i="1"/>
  <c r="I230" i="1"/>
  <c r="I127" i="1"/>
  <c r="I24" i="1"/>
  <c r="I218" i="1"/>
  <c r="H167" i="1"/>
  <c r="I115" i="1"/>
  <c r="H64" i="1"/>
  <c r="I12" i="1"/>
  <c r="I210" i="1"/>
  <c r="H159" i="1"/>
  <c r="I107" i="1"/>
  <c r="H56" i="1"/>
  <c r="I254" i="1"/>
  <c r="H203" i="1"/>
  <c r="I151" i="1"/>
  <c r="H100" i="1"/>
  <c r="I48" i="1"/>
  <c r="I252" i="1"/>
  <c r="I202" i="1"/>
  <c r="H151" i="1"/>
  <c r="I99" i="1"/>
  <c r="H48" i="1"/>
  <c r="H254" i="1"/>
  <c r="H222" i="1"/>
  <c r="H190" i="1"/>
  <c r="H158" i="1"/>
  <c r="H126" i="1"/>
  <c r="H94" i="1"/>
  <c r="H58" i="1"/>
  <c r="H22" i="1"/>
  <c r="I233" i="1"/>
  <c r="I197" i="1"/>
  <c r="I161" i="1"/>
  <c r="I125" i="1"/>
  <c r="I89" i="1"/>
  <c r="I53" i="1"/>
  <c r="I17" i="1"/>
  <c r="H229" i="1"/>
  <c r="H193" i="1"/>
  <c r="H157" i="1"/>
  <c r="H121" i="1"/>
  <c r="H85" i="1"/>
  <c r="H49" i="1"/>
  <c r="H13" i="1"/>
  <c r="H82" i="1"/>
  <c r="H50" i="1"/>
  <c r="H18" i="1"/>
  <c r="I237" i="1"/>
  <c r="I205" i="1"/>
  <c r="I173" i="1"/>
  <c r="I141" i="1"/>
  <c r="I109" i="1"/>
  <c r="I77" i="1"/>
  <c r="I45" i="1"/>
  <c r="I13" i="1"/>
  <c r="H233" i="1"/>
  <c r="H201" i="1"/>
  <c r="H169" i="1"/>
  <c r="H137" i="1"/>
  <c r="H105" i="1"/>
  <c r="H73" i="1"/>
  <c r="H41" i="1"/>
  <c r="H9" i="1"/>
  <c r="B13" i="2"/>
  <c r="B14" i="2" l="1"/>
  <c r="B15" i="2" l="1"/>
  <c r="B16" i="2" l="1"/>
  <c r="B17" i="2" l="1"/>
  <c r="B18" i="2" l="1"/>
  <c r="B19" i="2" l="1"/>
  <c r="B20" i="2" l="1"/>
  <c r="B21" i="2" l="1"/>
  <c r="B22" i="2" l="1"/>
  <c r="B23" i="2" l="1"/>
  <c r="B24" i="2" l="1"/>
  <c r="B25" i="2" l="1"/>
  <c r="B26" i="2" l="1"/>
  <c r="B27" i="2" l="1"/>
  <c r="B28" i="2" l="1"/>
  <c r="B29" i="2" l="1"/>
  <c r="B30" i="2" l="1"/>
  <c r="B31" i="2" l="1"/>
  <c r="B32" i="2" l="1"/>
  <c r="B33" i="2" l="1"/>
  <c r="B34" i="2" l="1"/>
  <c r="B35" i="2" l="1"/>
  <c r="B36" i="2" l="1"/>
  <c r="B37" i="2" l="1"/>
  <c r="B38" i="2" l="1"/>
  <c r="B39" i="2" l="1"/>
  <c r="B40" i="2" l="1"/>
  <c r="B41" i="2" l="1"/>
  <c r="B42" i="2" l="1"/>
  <c r="B43" i="2" l="1"/>
  <c r="B44" i="2" l="1"/>
  <c r="B45" i="2" l="1"/>
  <c r="B46" i="2" l="1"/>
  <c r="B47" i="2" l="1"/>
  <c r="B48" i="2" l="1"/>
  <c r="B49" i="2" l="1"/>
  <c r="B50" i="2" l="1"/>
  <c r="B51" i="2" l="1"/>
  <c r="B52" i="2" l="1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B84" i="2" l="1"/>
  <c r="B85" i="2" l="1"/>
  <c r="B86" i="2" l="1"/>
  <c r="B87" i="2" l="1"/>
  <c r="B88" i="2" l="1"/>
  <c r="B89" i="2" l="1"/>
  <c r="B90" i="2" l="1"/>
  <c r="B91" i="2" l="1"/>
  <c r="B92" i="2" l="1"/>
  <c r="B93" i="2" l="1"/>
  <c r="B94" i="2" l="1"/>
  <c r="B95" i="2" l="1"/>
  <c r="B96" i="2" l="1"/>
  <c r="B97" i="2" l="1"/>
  <c r="B98" i="2" l="1"/>
  <c r="B99" i="2" l="1"/>
  <c r="B100" i="2" l="1"/>
  <c r="B101" i="2" l="1"/>
  <c r="B102" i="2" l="1"/>
  <c r="B103" i="2" l="1"/>
  <c r="B104" i="2" l="1"/>
  <c r="B105" i="2" l="1"/>
  <c r="B106" i="2" l="1"/>
  <c r="B107" i="2" l="1"/>
  <c r="B108" i="2" l="1"/>
  <c r="B109" i="2" l="1"/>
  <c r="B110" i="2" l="1"/>
  <c r="B111" i="2" l="1"/>
  <c r="B112" i="2" l="1"/>
  <c r="B113" i="2" l="1"/>
  <c r="B114" i="2" l="1"/>
  <c r="B115" i="2" l="1"/>
  <c r="B116" i="2" l="1"/>
  <c r="B117" i="2" l="1"/>
  <c r="B118" i="2" l="1"/>
  <c r="B119" i="2" l="1"/>
  <c r="B120" i="2" l="1"/>
  <c r="B121" i="2" l="1"/>
  <c r="B122" i="2" l="1"/>
  <c r="B123" i="2" l="1"/>
  <c r="B124" i="2" l="1"/>
  <c r="B125" i="2" l="1"/>
  <c r="B126" i="2" l="1"/>
  <c r="B127" i="2" l="1"/>
  <c r="B128" i="2" l="1"/>
  <c r="B129" i="2" l="1"/>
  <c r="B130" i="2" l="1"/>
  <c r="B131" i="2" l="1"/>
  <c r="B132" i="2" l="1"/>
  <c r="B133" i="2" l="1"/>
  <c r="B134" i="2" l="1"/>
  <c r="B135" i="2" l="1"/>
  <c r="B136" i="2" l="1"/>
  <c r="B137" i="2" l="1"/>
  <c r="B138" i="2" l="1"/>
  <c r="B139" i="2" l="1"/>
  <c r="B140" i="2" l="1"/>
  <c r="B141" i="2" l="1"/>
  <c r="B142" i="2" l="1"/>
  <c r="B143" i="2" l="1"/>
  <c r="B144" i="2" l="1"/>
  <c r="B145" i="2" l="1"/>
  <c r="B146" i="2" l="1"/>
  <c r="B147" i="2" l="1"/>
  <c r="B148" i="2" l="1"/>
  <c r="B149" i="2" l="1"/>
  <c r="B150" i="2" l="1"/>
  <c r="B151" i="2" l="1"/>
  <c r="B152" i="2" l="1"/>
  <c r="B153" i="2" l="1"/>
  <c r="B154" i="2" l="1"/>
  <c r="B155" i="2" l="1"/>
  <c r="B156" i="2" l="1"/>
  <c r="B157" i="2" l="1"/>
  <c r="B158" i="2" l="1"/>
  <c r="B159" i="2" l="1"/>
  <c r="B160" i="2" l="1"/>
  <c r="B161" i="2" l="1"/>
  <c r="B162" i="2" l="1"/>
  <c r="B163" i="2" l="1"/>
  <c r="B164" i="2" l="1"/>
  <c r="B165" i="2" l="1"/>
  <c r="B166" i="2" l="1"/>
  <c r="B167" i="2" l="1"/>
  <c r="B168" i="2" l="1"/>
  <c r="B169" i="2" l="1"/>
  <c r="B170" i="2" l="1"/>
  <c r="B171" i="2" l="1"/>
  <c r="B172" i="2" l="1"/>
  <c r="B173" i="2" l="1"/>
  <c r="B174" i="2" l="1"/>
  <c r="B175" i="2" l="1"/>
  <c r="B176" i="2" l="1"/>
  <c r="B177" i="2" l="1"/>
  <c r="B178" i="2" l="1"/>
  <c r="B179" i="2" l="1"/>
  <c r="B180" i="2" l="1"/>
  <c r="B181" i="2" l="1"/>
  <c r="B182" i="2" l="1"/>
  <c r="B183" i="2" l="1"/>
  <c r="B184" i="2" l="1"/>
  <c r="B185" i="2" l="1"/>
  <c r="B186" i="2" l="1"/>
  <c r="B187" i="2" l="1"/>
  <c r="B188" i="2" l="1"/>
  <c r="B189" i="2" l="1"/>
  <c r="B190" i="2" l="1"/>
  <c r="B191" i="2" l="1"/>
  <c r="B192" i="2" l="1"/>
  <c r="B193" i="2" l="1"/>
  <c r="B194" i="2" l="1"/>
  <c r="B195" i="2" l="1"/>
  <c r="B196" i="2" l="1"/>
  <c r="B197" i="2" l="1"/>
  <c r="B198" i="2" l="1"/>
  <c r="B199" i="2" l="1"/>
  <c r="B200" i="2" l="1"/>
  <c r="B201" i="2" l="1"/>
  <c r="B202" i="2" l="1"/>
  <c r="B203" i="2" l="1"/>
  <c r="B204" i="2" l="1"/>
  <c r="B205" i="2" l="1"/>
  <c r="B206" i="2" l="1"/>
  <c r="B207" i="2" l="1"/>
  <c r="B208" i="2" l="1"/>
  <c r="B209" i="2" l="1"/>
  <c r="B210" i="2" l="1"/>
  <c r="B211" i="2" l="1"/>
  <c r="B212" i="2" l="1"/>
  <c r="B213" i="2" l="1"/>
  <c r="B214" i="2" l="1"/>
  <c r="B215" i="2" l="1"/>
  <c r="B216" i="2" l="1"/>
  <c r="B217" i="2" l="1"/>
  <c r="B218" i="2" l="1"/>
  <c r="B219" i="2" l="1"/>
  <c r="B220" i="2" l="1"/>
  <c r="B221" i="2" l="1"/>
  <c r="B222" i="2" l="1"/>
  <c r="B223" i="2" l="1"/>
  <c r="B224" i="2" l="1"/>
  <c r="B225" i="2" l="1"/>
  <c r="B226" i="2" l="1"/>
  <c r="B227" i="2" l="1"/>
  <c r="B228" i="2" l="1"/>
  <c r="B229" i="2" l="1"/>
  <c r="B230" i="2" l="1"/>
  <c r="B231" i="2" l="1"/>
  <c r="B232" i="2" l="1"/>
  <c r="B233" i="2" l="1"/>
  <c r="B234" i="2" l="1"/>
  <c r="B235" i="2" l="1"/>
  <c r="B236" i="2" l="1"/>
  <c r="B237" i="2" l="1"/>
  <c r="B238" i="2" l="1"/>
  <c r="B239" i="2" l="1"/>
  <c r="B240" i="2" l="1"/>
  <c r="B241" i="2" l="1"/>
  <c r="B242" i="2" l="1"/>
  <c r="B243" i="2" l="1"/>
  <c r="B244" i="2" l="1"/>
  <c r="B245" i="2" l="1"/>
  <c r="B246" i="2" l="1"/>
  <c r="B247" i="2" l="1"/>
  <c r="B248" i="2" l="1"/>
  <c r="B249" i="2" l="1"/>
  <c r="B250" i="2" l="1"/>
  <c r="B251" i="2" l="1"/>
  <c r="B252" i="2" l="1"/>
  <c r="B253" i="2" l="1"/>
  <c r="B254" i="2" l="1"/>
  <c r="B255" i="2" l="1"/>
  <c r="B256" i="2" l="1"/>
  <c r="B257" i="2" l="1"/>
  <c r="B258" i="2" l="1"/>
  <c r="B259" i="2" l="1"/>
  <c r="B260" i="2" l="1"/>
  <c r="J7" i="2" l="1"/>
  <c r="J27" i="2"/>
  <c r="J121" i="2"/>
  <c r="M121" i="2" s="1"/>
  <c r="J46" i="2"/>
  <c r="J32" i="2"/>
  <c r="M32" i="2" s="1"/>
  <c r="J60" i="2"/>
  <c r="J50" i="2"/>
  <c r="N50" i="2" s="1"/>
  <c r="J128" i="2"/>
  <c r="J67" i="2"/>
  <c r="N67" i="2" s="1"/>
  <c r="J41" i="2"/>
  <c r="J18" i="2"/>
  <c r="N18" i="2" s="1"/>
  <c r="J153" i="2"/>
  <c r="J91" i="2"/>
  <c r="M91" i="2" s="1"/>
  <c r="J118" i="2"/>
  <c r="J246" i="2"/>
  <c r="M246" i="2" s="1"/>
  <c r="J77" i="2"/>
  <c r="J61" i="2"/>
  <c r="N61" i="2" s="1"/>
  <c r="K8" i="2"/>
  <c r="J29" i="2"/>
  <c r="J85" i="2"/>
  <c r="M85" i="2" s="1"/>
  <c r="K27" i="2"/>
  <c r="K58" i="2"/>
  <c r="J78" i="2"/>
  <c r="J37" i="2"/>
  <c r="N37" i="2" s="1"/>
  <c r="J96" i="2"/>
  <c r="J71" i="2"/>
  <c r="M71" i="2" s="1"/>
  <c r="K41" i="2"/>
  <c r="J84" i="2"/>
  <c r="M84" i="2" s="1"/>
  <c r="J65" i="2"/>
  <c r="J95" i="2"/>
  <c r="M95" i="2" s="1"/>
  <c r="J157" i="2"/>
  <c r="J247" i="2"/>
  <c r="N247" i="2" s="1"/>
  <c r="K33" i="2"/>
  <c r="J23" i="2"/>
  <c r="M23" i="2" s="1"/>
  <c r="J113" i="2"/>
  <c r="K29" i="2"/>
  <c r="J76" i="2"/>
  <c r="J58" i="2"/>
  <c r="N58" i="2" s="1"/>
  <c r="J14" i="2"/>
  <c r="J87" i="2"/>
  <c r="N87" i="2" s="1"/>
  <c r="K32" i="2"/>
  <c r="J69" i="2"/>
  <c r="M69" i="2" s="1"/>
  <c r="J19" i="2"/>
  <c r="J38" i="2"/>
  <c r="N38" i="2" s="1"/>
  <c r="J24" i="2"/>
  <c r="K9" i="2"/>
  <c r="J31" i="2"/>
  <c r="J8" i="2"/>
  <c r="N8" i="2" s="1"/>
  <c r="J36" i="2"/>
  <c r="J225" i="2"/>
  <c r="M225" i="2" s="1"/>
  <c r="J182" i="2"/>
  <c r="J68" i="2"/>
  <c r="M68" i="2" s="1"/>
  <c r="J54" i="2"/>
  <c r="K10" i="2"/>
  <c r="J42" i="2"/>
  <c r="J28" i="2"/>
  <c r="N28" i="2" s="1"/>
  <c r="J209" i="2"/>
  <c r="J166" i="2"/>
  <c r="M166" i="2" s="1"/>
  <c r="J45" i="2"/>
  <c r="J30" i="2"/>
  <c r="M30" i="2" s="1"/>
  <c r="J119" i="2"/>
  <c r="K14" i="2"/>
  <c r="K46" i="2"/>
  <c r="J145" i="2"/>
  <c r="N145" i="2" s="1"/>
  <c r="J83" i="2"/>
  <c r="K60" i="2"/>
  <c r="K19" i="2"/>
  <c r="J105" i="2"/>
  <c r="M105" i="2" s="1"/>
  <c r="K38" i="2"/>
  <c r="J62" i="2"/>
  <c r="M62" i="2" s="1"/>
  <c r="K24" i="2"/>
  <c r="J9" i="2"/>
  <c r="M9" i="2" s="1"/>
  <c r="J93" i="2"/>
  <c r="K31" i="2"/>
  <c r="J129" i="2"/>
  <c r="J86" i="2"/>
  <c r="N86" i="2" s="1"/>
  <c r="K36" i="2"/>
  <c r="J90" i="2"/>
  <c r="M90" i="2" s="1"/>
  <c r="J183" i="2"/>
  <c r="J33" i="2"/>
  <c r="N33" i="2" s="1"/>
  <c r="K23" i="2"/>
  <c r="K54" i="2"/>
  <c r="J10" i="2"/>
  <c r="J70" i="2"/>
  <c r="M70" i="2" s="1"/>
  <c r="J74" i="2"/>
  <c r="J167" i="2"/>
  <c r="N167" i="2" s="1"/>
  <c r="J11" i="2"/>
  <c r="J89" i="2"/>
  <c r="M89" i="2" s="1"/>
  <c r="J16" i="2"/>
  <c r="J115" i="2"/>
  <c r="M115" i="2" s="1"/>
  <c r="J52" i="2"/>
  <c r="K18" i="2"/>
  <c r="J137" i="2"/>
  <c r="J141" i="2"/>
  <c r="M141" i="2" s="1"/>
  <c r="J231" i="2"/>
  <c r="K13" i="2"/>
  <c r="K45" i="2"/>
  <c r="J43" i="2"/>
  <c r="N43" i="2" s="1"/>
  <c r="J59" i="2"/>
  <c r="J48" i="2"/>
  <c r="N48" i="2" s="1"/>
  <c r="K21" i="2"/>
  <c r="J92" i="2"/>
  <c r="M92" i="2" s="1"/>
  <c r="J73" i="2"/>
  <c r="J161" i="2"/>
  <c r="N161" i="2" s="1"/>
  <c r="J99" i="2"/>
  <c r="J56" i="2"/>
  <c r="M56" i="2" s="1"/>
  <c r="J34" i="2"/>
  <c r="J20" i="2"/>
  <c r="M20" i="2" s="1"/>
  <c r="J131" i="2"/>
  <c r="J151" i="2"/>
  <c r="M151" i="2" s="1"/>
  <c r="J17" i="2"/>
  <c r="J109" i="2"/>
  <c r="N109" i="2" s="1"/>
  <c r="J72" i="2"/>
  <c r="J55" i="2"/>
  <c r="N55" i="2" s="1"/>
  <c r="J108" i="2"/>
  <c r="J199" i="2"/>
  <c r="M199" i="2" s="1"/>
  <c r="J228" i="2"/>
  <c r="J217" i="2"/>
  <c r="N217" i="2" s="1"/>
  <c r="K11" i="2"/>
  <c r="K12" i="2"/>
  <c r="K50" i="2"/>
  <c r="J79" i="2"/>
  <c r="M79" i="2" s="1"/>
  <c r="J75" i="2"/>
  <c r="J102" i="2"/>
  <c r="N102" i="2" s="1"/>
  <c r="J13" i="2"/>
  <c r="J117" i="2"/>
  <c r="N117" i="2" s="1"/>
  <c r="K43" i="2"/>
  <c r="J80" i="2"/>
  <c r="N80" i="2" s="1"/>
  <c r="K59" i="2"/>
  <c r="J112" i="2"/>
  <c r="M112" i="2" s="1"/>
  <c r="K48" i="2"/>
  <c r="J21" i="2"/>
  <c r="N21" i="2" s="1"/>
  <c r="J22" i="2"/>
  <c r="J103" i="2"/>
  <c r="M103" i="2" s="1"/>
  <c r="K56" i="2"/>
  <c r="J15" i="2"/>
  <c r="M15" i="2" s="1"/>
  <c r="J97" i="2"/>
  <c r="J127" i="2"/>
  <c r="M127" i="2" s="1"/>
  <c r="K20" i="2"/>
  <c r="J193" i="2"/>
  <c r="M193" i="2" s="1"/>
  <c r="J150" i="2"/>
  <c r="J39" i="2"/>
  <c r="N39" i="2" s="1"/>
  <c r="J104" i="2"/>
  <c r="J44" i="2"/>
  <c r="M44" i="2" s="1"/>
  <c r="J241" i="2"/>
  <c r="J230" i="2"/>
  <c r="N230" i="2" s="1"/>
  <c r="J82" i="2"/>
  <c r="J175" i="2"/>
  <c r="M175" i="2" s="1"/>
  <c r="J188" i="2"/>
  <c r="J163" i="2"/>
  <c r="N163" i="2" s="1"/>
  <c r="J176" i="2"/>
  <c r="J219" i="2"/>
  <c r="M219" i="2" s="1"/>
  <c r="J232" i="2"/>
  <c r="K37" i="2"/>
  <c r="J101" i="2"/>
  <c r="K35" i="2"/>
  <c r="J64" i="2"/>
  <c r="J51" i="2"/>
  <c r="M51" i="2" s="1"/>
  <c r="J40" i="2"/>
  <c r="K25" i="2"/>
  <c r="J47" i="2"/>
  <c r="J63" i="2"/>
  <c r="M63" i="2" s="1"/>
  <c r="K53" i="2"/>
  <c r="J124" i="2"/>
  <c r="N124" i="2" s="1"/>
  <c r="J215" i="2"/>
  <c r="J49" i="2"/>
  <c r="M49" i="2" s="1"/>
  <c r="J81" i="2"/>
  <c r="K26" i="2"/>
  <c r="J111" i="2"/>
  <c r="J107" i="2"/>
  <c r="N107" i="2" s="1"/>
  <c r="J135" i="2"/>
  <c r="J164" i="2"/>
  <c r="N164" i="2" s="1"/>
  <c r="J149" i="2"/>
  <c r="J239" i="2"/>
  <c r="N239" i="2" s="1"/>
  <c r="J252" i="2"/>
  <c r="J227" i="2"/>
  <c r="J240" i="2"/>
  <c r="J154" i="2"/>
  <c r="J180" i="2"/>
  <c r="J169" i="2"/>
  <c r="J255" i="2"/>
  <c r="J57" i="2"/>
  <c r="J243" i="2"/>
  <c r="J213" i="2"/>
  <c r="J170" i="2"/>
  <c r="J148" i="2"/>
  <c r="J116" i="2"/>
  <c r="J207" i="2"/>
  <c r="J220" i="2"/>
  <c r="J195" i="2"/>
  <c r="J208" i="2"/>
  <c r="J251" i="2"/>
  <c r="J248" i="2"/>
  <c r="K30" i="2"/>
  <c r="K15" i="2"/>
  <c r="J174" i="2"/>
  <c r="J205" i="2"/>
  <c r="J162" i="2"/>
  <c r="J132" i="2"/>
  <c r="J218" i="2"/>
  <c r="J244" i="2"/>
  <c r="K42" i="2"/>
  <c r="K16" i="2"/>
  <c r="J35" i="2"/>
  <c r="K22" i="2"/>
  <c r="K51" i="2"/>
  <c r="J94" i="2"/>
  <c r="K40" i="2"/>
  <c r="J25" i="2"/>
  <c r="J125" i="2"/>
  <c r="K47" i="2"/>
  <c r="J88" i="2"/>
  <c r="J120" i="2"/>
  <c r="J53" i="2"/>
  <c r="J257" i="2"/>
  <c r="J214" i="2"/>
  <c r="K49" i="2"/>
  <c r="J100" i="2"/>
  <c r="J26" i="2"/>
  <c r="J12" i="2"/>
  <c r="J177" i="2"/>
  <c r="N177" i="2" s="1"/>
  <c r="J134" i="2"/>
  <c r="J181" i="2"/>
  <c r="M181" i="2" s="1"/>
  <c r="J110" i="2"/>
  <c r="J238" i="2"/>
  <c r="N238" i="2" s="1"/>
  <c r="J140" i="2"/>
  <c r="J226" i="2"/>
  <c r="M226" i="2" s="1"/>
  <c r="J155" i="2"/>
  <c r="J168" i="2"/>
  <c r="M168" i="2" s="1"/>
  <c r="J197" i="2"/>
  <c r="J126" i="2"/>
  <c r="N126" i="2" s="1"/>
  <c r="J254" i="2"/>
  <c r="J114" i="2"/>
  <c r="M114" i="2" s="1"/>
  <c r="J242" i="2"/>
  <c r="J171" i="2"/>
  <c r="M171" i="2" s="1"/>
  <c r="J184" i="2"/>
  <c r="J256" i="2"/>
  <c r="M256" i="2" s="1"/>
  <c r="J249" i="2"/>
  <c r="J206" i="2"/>
  <c r="N206" i="2" s="1"/>
  <c r="J237" i="2"/>
  <c r="J194" i="2"/>
  <c r="N194" i="2" s="1"/>
  <c r="J122" i="2"/>
  <c r="J250" i="2"/>
  <c r="N250" i="2" s="1"/>
  <c r="J165" i="2"/>
  <c r="K39" i="2"/>
  <c r="J98" i="2"/>
  <c r="J191" i="2"/>
  <c r="M191" i="2" s="1"/>
  <c r="J204" i="2"/>
  <c r="J179" i="2"/>
  <c r="M179" i="2" s="1"/>
  <c r="J192" i="2"/>
  <c r="J235" i="2"/>
  <c r="N235" i="2" s="1"/>
  <c r="J198" i="2"/>
  <c r="J123" i="2"/>
  <c r="N123" i="2" s="1"/>
  <c r="J143" i="2"/>
  <c r="J156" i="2"/>
  <c r="N156" i="2" s="1"/>
  <c r="J130" i="2"/>
  <c r="J144" i="2"/>
  <c r="N144" i="2" s="1"/>
  <c r="J187" i="2"/>
  <c r="J200" i="2"/>
  <c r="N200" i="2" s="1"/>
  <c r="J66" i="2"/>
  <c r="J159" i="2"/>
  <c r="N159" i="2" s="1"/>
  <c r="J172" i="2"/>
  <c r="J147" i="2"/>
  <c r="M147" i="2" s="1"/>
  <c r="J160" i="2"/>
  <c r="J203" i="2"/>
  <c r="N203" i="2" s="1"/>
  <c r="J216" i="2"/>
  <c r="K17" i="2"/>
  <c r="J133" i="2"/>
  <c r="J223" i="2"/>
  <c r="N223" i="2" s="1"/>
  <c r="J236" i="2"/>
  <c r="N236" i="2" s="1"/>
  <c r="J211" i="2"/>
  <c r="N211" i="2" s="1"/>
  <c r="J224" i="2"/>
  <c r="M224" i="2" s="1"/>
  <c r="J138" i="2"/>
  <c r="N138" i="2" s="1"/>
  <c r="K28" i="2"/>
  <c r="K34" i="2"/>
  <c r="K44" i="2"/>
  <c r="J233" i="2"/>
  <c r="N233" i="2" s="1"/>
  <c r="J190" i="2"/>
  <c r="M190" i="2" s="1"/>
  <c r="J221" i="2"/>
  <c r="N221" i="2" s="1"/>
  <c r="J178" i="2"/>
  <c r="N178" i="2" s="1"/>
  <c r="J106" i="2"/>
  <c r="M106" i="2" s="1"/>
  <c r="J234" i="2"/>
  <c r="N234" i="2" s="1"/>
  <c r="J196" i="2"/>
  <c r="N196" i="2" s="1"/>
  <c r="J185" i="2"/>
  <c r="N185" i="2" s="1"/>
  <c r="J142" i="2"/>
  <c r="M142" i="2" s="1"/>
  <c r="J173" i="2"/>
  <c r="M173" i="2" s="1"/>
  <c r="J258" i="2"/>
  <c r="M258" i="2" s="1"/>
  <c r="J229" i="2"/>
  <c r="M229" i="2" s="1"/>
  <c r="J186" i="2"/>
  <c r="N186" i="2" s="1"/>
  <c r="J212" i="2"/>
  <c r="N212" i="2" s="1"/>
  <c r="J201" i="2"/>
  <c r="N201" i="2" s="1"/>
  <c r="J158" i="2"/>
  <c r="N158" i="2" s="1"/>
  <c r="J189" i="2"/>
  <c r="M189" i="2" s="1"/>
  <c r="J146" i="2"/>
  <c r="N146" i="2" s="1"/>
  <c r="J245" i="2"/>
  <c r="M245" i="2" s="1"/>
  <c r="J202" i="2"/>
  <c r="N202" i="2" s="1"/>
  <c r="K55" i="2"/>
  <c r="K52" i="2"/>
  <c r="K57" i="2"/>
  <c r="J136" i="2"/>
  <c r="N136" i="2" s="1"/>
  <c r="J222" i="2"/>
  <c r="N222" i="2" s="1"/>
  <c r="J253" i="2"/>
  <c r="N253" i="2" s="1"/>
  <c r="J210" i="2"/>
  <c r="M210" i="2" s="1"/>
  <c r="J139" i="2"/>
  <c r="N139" i="2" s="1"/>
  <c r="K250" i="2"/>
  <c r="K218" i="2"/>
  <c r="K186" i="2"/>
  <c r="K228" i="2"/>
  <c r="K212" i="2"/>
  <c r="K182" i="2"/>
  <c r="K247" i="2"/>
  <c r="K231" i="2"/>
  <c r="K223" i="2"/>
  <c r="K207" i="2"/>
  <c r="K191" i="2"/>
  <c r="K156" i="2"/>
  <c r="K124" i="2"/>
  <c r="K92" i="2"/>
  <c r="K174" i="2"/>
  <c r="K158" i="2"/>
  <c r="K126" i="2"/>
  <c r="K62" i="2"/>
  <c r="K258" i="2"/>
  <c r="K242" i="2"/>
  <c r="K226" i="2"/>
  <c r="K210" i="2"/>
  <c r="K194" i="2"/>
  <c r="K252" i="2"/>
  <c r="K236" i="2"/>
  <c r="K220" i="2"/>
  <c r="K204" i="2"/>
  <c r="K188" i="2"/>
  <c r="K178" i="2"/>
  <c r="K251" i="2"/>
  <c r="K243" i="2"/>
  <c r="K235" i="2"/>
  <c r="K227" i="2"/>
  <c r="K219" i="2"/>
  <c r="K211" i="2"/>
  <c r="K203" i="2"/>
  <c r="K195" i="2"/>
  <c r="K187" i="2"/>
  <c r="K179" i="2"/>
  <c r="K164" i="2"/>
  <c r="K148" i="2"/>
  <c r="K132" i="2"/>
  <c r="K116" i="2"/>
  <c r="K100" i="2"/>
  <c r="K84" i="2"/>
  <c r="K68" i="2"/>
  <c r="K166" i="2"/>
  <c r="K150" i="2"/>
  <c r="K134" i="2"/>
  <c r="K118" i="2"/>
  <c r="K102" i="2"/>
  <c r="K86" i="2"/>
  <c r="K70" i="2"/>
  <c r="K175" i="2"/>
  <c r="K167" i="2"/>
  <c r="K159" i="2"/>
  <c r="K151" i="2"/>
  <c r="K143" i="2"/>
  <c r="K135" i="2"/>
  <c r="K127" i="2"/>
  <c r="K119" i="2"/>
  <c r="K111" i="2"/>
  <c r="K103" i="2"/>
  <c r="K95" i="2"/>
  <c r="K87" i="2"/>
  <c r="K79" i="2"/>
  <c r="K71" i="2"/>
  <c r="K63" i="2"/>
  <c r="K238" i="2"/>
  <c r="K206" i="2"/>
  <c r="K248" i="2"/>
  <c r="K216" i="2"/>
  <c r="K184" i="2"/>
  <c r="K249" i="2"/>
  <c r="K233" i="2"/>
  <c r="K217" i="2"/>
  <c r="K201" i="2"/>
  <c r="K185" i="2"/>
  <c r="K160" i="2"/>
  <c r="K128" i="2"/>
  <c r="K96" i="2"/>
  <c r="K64" i="2"/>
  <c r="K146" i="2"/>
  <c r="K114" i="2"/>
  <c r="K82" i="2"/>
  <c r="K173" i="2"/>
  <c r="K157" i="2"/>
  <c r="K141" i="2"/>
  <c r="K125" i="2"/>
  <c r="K109" i="2"/>
  <c r="K93" i="2"/>
  <c r="K77" i="2"/>
  <c r="K61" i="2"/>
  <c r="K246" i="2"/>
  <c r="K214" i="2"/>
  <c r="K256" i="2"/>
  <c r="K224" i="2"/>
  <c r="K192" i="2"/>
  <c r="K253" i="2"/>
  <c r="K237" i="2"/>
  <c r="K221" i="2"/>
  <c r="K205" i="2"/>
  <c r="K189" i="2"/>
  <c r="K168" i="2"/>
  <c r="K136" i="2"/>
  <c r="K104" i="2"/>
  <c r="K72" i="2"/>
  <c r="K154" i="2"/>
  <c r="K122" i="2"/>
  <c r="K90" i="2"/>
  <c r="K177" i="2"/>
  <c r="K161" i="2"/>
  <c r="K145" i="2"/>
  <c r="K129" i="2"/>
  <c r="K113" i="2"/>
  <c r="K97" i="2"/>
  <c r="K81" i="2"/>
  <c r="K65" i="2"/>
  <c r="K234" i="2"/>
  <c r="K202" i="2"/>
  <c r="K244" i="2"/>
  <c r="K196" i="2"/>
  <c r="K255" i="2"/>
  <c r="K239" i="2"/>
  <c r="K215" i="2"/>
  <c r="K199" i="2"/>
  <c r="K183" i="2"/>
  <c r="K172" i="2"/>
  <c r="K140" i="2"/>
  <c r="K108" i="2"/>
  <c r="K76" i="2"/>
  <c r="K142" i="2"/>
  <c r="K110" i="2"/>
  <c r="K94" i="2"/>
  <c r="K78" i="2"/>
  <c r="K171" i="2"/>
  <c r="K163" i="2"/>
  <c r="K155" i="2"/>
  <c r="K147" i="2"/>
  <c r="K139" i="2"/>
  <c r="K131" i="2"/>
  <c r="K123" i="2"/>
  <c r="K115" i="2"/>
  <c r="K107" i="2"/>
  <c r="K99" i="2"/>
  <c r="K91" i="2"/>
  <c r="K83" i="2"/>
  <c r="K75" i="2"/>
  <c r="K67" i="2"/>
  <c r="K254" i="2"/>
  <c r="K222" i="2"/>
  <c r="K190" i="2"/>
  <c r="K232" i="2"/>
  <c r="K200" i="2"/>
  <c r="K257" i="2"/>
  <c r="K241" i="2"/>
  <c r="K225" i="2"/>
  <c r="K209" i="2"/>
  <c r="K193" i="2"/>
  <c r="K176" i="2"/>
  <c r="K144" i="2"/>
  <c r="K112" i="2"/>
  <c r="K80" i="2"/>
  <c r="K162" i="2"/>
  <c r="K130" i="2"/>
  <c r="K98" i="2"/>
  <c r="K66" i="2"/>
  <c r="K165" i="2"/>
  <c r="K149" i="2"/>
  <c r="K133" i="2"/>
  <c r="K117" i="2"/>
  <c r="K101" i="2"/>
  <c r="K85" i="2"/>
  <c r="K69" i="2"/>
  <c r="K230" i="2"/>
  <c r="K198" i="2"/>
  <c r="K240" i="2"/>
  <c r="K208" i="2"/>
  <c r="K180" i="2"/>
  <c r="K245" i="2"/>
  <c r="K229" i="2"/>
  <c r="K213" i="2"/>
  <c r="K197" i="2"/>
  <c r="K181" i="2"/>
  <c r="K152" i="2"/>
  <c r="K120" i="2"/>
  <c r="K88" i="2"/>
  <c r="K170" i="2"/>
  <c r="K138" i="2"/>
  <c r="K106" i="2"/>
  <c r="K74" i="2"/>
  <c r="K169" i="2"/>
  <c r="K153" i="2"/>
  <c r="K137" i="2"/>
  <c r="K121" i="2"/>
  <c r="K105" i="2"/>
  <c r="K89" i="2"/>
  <c r="K73" i="2"/>
  <c r="J152" i="2"/>
  <c r="M152" i="2" s="1"/>
  <c r="M37" i="2" l="1"/>
  <c r="N85" i="2"/>
  <c r="M87" i="2"/>
  <c r="N69" i="2"/>
  <c r="M58" i="2"/>
  <c r="N23" i="2"/>
  <c r="M247" i="2"/>
  <c r="N95" i="2"/>
  <c r="N84" i="2"/>
  <c r="N71" i="2"/>
  <c r="N225" i="2"/>
  <c r="M8" i="2"/>
  <c r="M38" i="2"/>
  <c r="M86" i="2"/>
  <c r="N9" i="2"/>
  <c r="N62" i="2"/>
  <c r="N105" i="2"/>
  <c r="M145" i="2"/>
  <c r="N30" i="2"/>
  <c r="N166" i="2"/>
  <c r="M28" i="2"/>
  <c r="N68" i="2"/>
  <c r="M139" i="2"/>
  <c r="M253" i="2"/>
  <c r="M136" i="2"/>
  <c r="M202" i="2"/>
  <c r="M146" i="2"/>
  <c r="M158" i="2"/>
  <c r="M212" i="2"/>
  <c r="N229" i="2"/>
  <c r="N173" i="2"/>
  <c r="M185" i="2"/>
  <c r="M234" i="2"/>
  <c r="M178" i="2"/>
  <c r="N190" i="2"/>
  <c r="N224" i="2"/>
  <c r="M236" i="2"/>
  <c r="M133" i="2"/>
  <c r="N133" i="2"/>
  <c r="M216" i="2"/>
  <c r="N216" i="2"/>
  <c r="N160" i="2"/>
  <c r="M160" i="2"/>
  <c r="N172" i="2"/>
  <c r="M172" i="2"/>
  <c r="M66" i="2"/>
  <c r="N66" i="2"/>
  <c r="M187" i="2"/>
  <c r="N187" i="2"/>
  <c r="M130" i="2"/>
  <c r="N130" i="2"/>
  <c r="N143" i="2"/>
  <c r="M143" i="2"/>
  <c r="N198" i="2"/>
  <c r="M198" i="2"/>
  <c r="M192" i="2"/>
  <c r="N192" i="2"/>
  <c r="N204" i="2"/>
  <c r="M204" i="2"/>
  <c r="M98" i="2"/>
  <c r="N98" i="2"/>
  <c r="M165" i="2"/>
  <c r="N165" i="2"/>
  <c r="M122" i="2"/>
  <c r="N122" i="2"/>
  <c r="M237" i="2"/>
  <c r="N237" i="2"/>
  <c r="M249" i="2"/>
  <c r="N249" i="2"/>
  <c r="N184" i="2"/>
  <c r="M184" i="2"/>
  <c r="M242" i="2"/>
  <c r="N242" i="2"/>
  <c r="M254" i="2"/>
  <c r="N254" i="2"/>
  <c r="M197" i="2"/>
  <c r="N197" i="2"/>
  <c r="M155" i="2"/>
  <c r="N155" i="2"/>
  <c r="M140" i="2"/>
  <c r="N140" i="2"/>
  <c r="N110" i="2"/>
  <c r="M110" i="2"/>
  <c r="N134" i="2"/>
  <c r="M134" i="2"/>
  <c r="N12" i="2"/>
  <c r="M12" i="2"/>
  <c r="N100" i="2"/>
  <c r="M100" i="2"/>
  <c r="N214" i="2"/>
  <c r="M214" i="2"/>
  <c r="M53" i="2"/>
  <c r="N53" i="2"/>
  <c r="N88" i="2"/>
  <c r="M88" i="2"/>
  <c r="M125" i="2"/>
  <c r="N125" i="2"/>
  <c r="M35" i="2"/>
  <c r="N35" i="2"/>
  <c r="N218" i="2"/>
  <c r="M218" i="2"/>
  <c r="N162" i="2"/>
  <c r="M162" i="2"/>
  <c r="M174" i="2"/>
  <c r="N174" i="2"/>
  <c r="N251" i="2"/>
  <c r="M251" i="2"/>
  <c r="M195" i="2"/>
  <c r="N195" i="2"/>
  <c r="N207" i="2"/>
  <c r="M207" i="2"/>
  <c r="M148" i="2"/>
  <c r="N148" i="2"/>
  <c r="M213" i="2"/>
  <c r="N213" i="2"/>
  <c r="M57" i="2"/>
  <c r="N57" i="2"/>
  <c r="N169" i="2"/>
  <c r="M169" i="2"/>
  <c r="N154" i="2"/>
  <c r="M154" i="2"/>
  <c r="N227" i="2"/>
  <c r="M227" i="2"/>
  <c r="M239" i="2"/>
  <c r="M164" i="2"/>
  <c r="M107" i="2"/>
  <c r="N49" i="2"/>
  <c r="M124" i="2"/>
  <c r="N63" i="2"/>
  <c r="N51" i="2"/>
  <c r="N219" i="2"/>
  <c r="M163" i="2"/>
  <c r="N175" i="2"/>
  <c r="M230" i="2"/>
  <c r="N44" i="2"/>
  <c r="M39" i="2"/>
  <c r="N193" i="2"/>
  <c r="N127" i="2"/>
  <c r="N15" i="2"/>
  <c r="N103" i="2"/>
  <c r="M21" i="2"/>
  <c r="N112" i="2"/>
  <c r="M80" i="2"/>
  <c r="M117" i="2"/>
  <c r="M102" i="2"/>
  <c r="N79" i="2"/>
  <c r="M217" i="2"/>
  <c r="N199" i="2"/>
  <c r="M55" i="2"/>
  <c r="M109" i="2"/>
  <c r="N151" i="2"/>
  <c r="N20" i="2"/>
  <c r="N56" i="2"/>
  <c r="M161" i="2"/>
  <c r="N92" i="2"/>
  <c r="M48" i="2"/>
  <c r="M43" i="2"/>
  <c r="N141" i="2"/>
  <c r="N115" i="2"/>
  <c r="N89" i="2"/>
  <c r="M167" i="2"/>
  <c r="N70" i="2"/>
  <c r="M33" i="2"/>
  <c r="N90" i="2"/>
  <c r="M61" i="2"/>
  <c r="N246" i="2"/>
  <c r="N91" i="2"/>
  <c r="M18" i="2"/>
  <c r="M67" i="2"/>
  <c r="M50" i="2"/>
  <c r="N32" i="2"/>
  <c r="N121" i="2"/>
  <c r="K4" i="2"/>
  <c r="M77" i="2"/>
  <c r="N77" i="2"/>
  <c r="N118" i="2"/>
  <c r="M118" i="2"/>
  <c r="N153" i="2"/>
  <c r="M153" i="2"/>
  <c r="N41" i="2"/>
  <c r="M41" i="2"/>
  <c r="N128" i="2"/>
  <c r="M128" i="2"/>
  <c r="N60" i="2"/>
  <c r="M60" i="2"/>
  <c r="N46" i="2"/>
  <c r="M46" i="2"/>
  <c r="M27" i="2"/>
  <c r="N27" i="2"/>
  <c r="N152" i="2"/>
  <c r="N210" i="2"/>
  <c r="M222" i="2"/>
  <c r="N245" i="2"/>
  <c r="N189" i="2"/>
  <c r="M201" i="2"/>
  <c r="M186" i="2"/>
  <c r="N258" i="2"/>
  <c r="N142" i="2"/>
  <c r="M196" i="2"/>
  <c r="N106" i="2"/>
  <c r="M221" i="2"/>
  <c r="M233" i="2"/>
  <c r="M138" i="2"/>
  <c r="M211" i="2"/>
  <c r="M223" i="2"/>
  <c r="M203" i="2"/>
  <c r="N147" i="2"/>
  <c r="M159" i="2"/>
  <c r="M200" i="2"/>
  <c r="M144" i="2"/>
  <c r="M156" i="2"/>
  <c r="M123" i="2"/>
  <c r="M235" i="2"/>
  <c r="N179" i="2"/>
  <c r="N191" i="2"/>
  <c r="M250" i="2"/>
  <c r="M194" i="2"/>
  <c r="M206" i="2"/>
  <c r="N256" i="2"/>
  <c r="N171" i="2"/>
  <c r="N114" i="2"/>
  <c r="M126" i="2"/>
  <c r="N168" i="2"/>
  <c r="N226" i="2"/>
  <c r="M238" i="2"/>
  <c r="N181" i="2"/>
  <c r="M177" i="2"/>
  <c r="M26" i="2"/>
  <c r="N26" i="2"/>
  <c r="N257" i="2"/>
  <c r="M257" i="2"/>
  <c r="M120" i="2"/>
  <c r="N120" i="2"/>
  <c r="N25" i="2"/>
  <c r="M25" i="2"/>
  <c r="N94" i="2"/>
  <c r="M94" i="2"/>
  <c r="N244" i="2"/>
  <c r="M244" i="2"/>
  <c r="M132" i="2"/>
  <c r="N132" i="2"/>
  <c r="M205" i="2"/>
  <c r="N205" i="2"/>
  <c r="N248" i="2"/>
  <c r="M248" i="2"/>
  <c r="N208" i="2"/>
  <c r="M208" i="2"/>
  <c r="M220" i="2"/>
  <c r="N220" i="2"/>
  <c r="N116" i="2"/>
  <c r="M116" i="2"/>
  <c r="N170" i="2"/>
  <c r="M170" i="2"/>
  <c r="M243" i="2"/>
  <c r="N243" i="2"/>
  <c r="N255" i="2"/>
  <c r="M255" i="2"/>
  <c r="M180" i="2"/>
  <c r="N180" i="2"/>
  <c r="M240" i="2"/>
  <c r="N240" i="2"/>
  <c r="M252" i="2"/>
  <c r="N252" i="2"/>
  <c r="N149" i="2"/>
  <c r="M149" i="2"/>
  <c r="M135" i="2"/>
  <c r="N135" i="2"/>
  <c r="N111" i="2"/>
  <c r="M111" i="2"/>
  <c r="N81" i="2"/>
  <c r="M81" i="2"/>
  <c r="M215" i="2"/>
  <c r="N215" i="2"/>
  <c r="M47" i="2"/>
  <c r="N47" i="2"/>
  <c r="N40" i="2"/>
  <c r="M40" i="2"/>
  <c r="N64" i="2"/>
  <c r="M64" i="2"/>
  <c r="M101" i="2"/>
  <c r="N101" i="2"/>
  <c r="M232" i="2"/>
  <c r="N232" i="2"/>
  <c r="M176" i="2"/>
  <c r="N176" i="2"/>
  <c r="M188" i="2"/>
  <c r="N188" i="2"/>
  <c r="N82" i="2"/>
  <c r="M82" i="2"/>
  <c r="N241" i="2"/>
  <c r="M241" i="2"/>
  <c r="N104" i="2"/>
  <c r="M104" i="2"/>
  <c r="M150" i="2"/>
  <c r="N150" i="2"/>
  <c r="N97" i="2"/>
  <c r="M97" i="2"/>
  <c r="M22" i="2"/>
  <c r="N22" i="2"/>
  <c r="N13" i="2"/>
  <c r="M13" i="2"/>
  <c r="N75" i="2"/>
  <c r="M75" i="2"/>
  <c r="M228" i="2"/>
  <c r="N228" i="2"/>
  <c r="N108" i="2"/>
  <c r="M108" i="2"/>
  <c r="M72" i="2"/>
  <c r="N72" i="2"/>
  <c r="N17" i="2"/>
  <c r="M17" i="2"/>
  <c r="N131" i="2"/>
  <c r="M131" i="2"/>
  <c r="N34" i="2"/>
  <c r="M34" i="2"/>
  <c r="N99" i="2"/>
  <c r="M99" i="2"/>
  <c r="M73" i="2"/>
  <c r="N73" i="2"/>
  <c r="M59" i="2"/>
  <c r="N59" i="2"/>
  <c r="N231" i="2"/>
  <c r="M231" i="2"/>
  <c r="N137" i="2"/>
  <c r="M137" i="2"/>
  <c r="N52" i="2"/>
  <c r="M52" i="2"/>
  <c r="M16" i="2"/>
  <c r="N16" i="2"/>
  <c r="N11" i="2"/>
  <c r="M11" i="2"/>
  <c r="N74" i="2"/>
  <c r="M74" i="2"/>
  <c r="M10" i="2"/>
  <c r="N10" i="2"/>
  <c r="M183" i="2"/>
  <c r="N183" i="2"/>
  <c r="N129" i="2"/>
  <c r="M129" i="2"/>
  <c r="M93" i="2"/>
  <c r="N93" i="2"/>
  <c r="N83" i="2"/>
  <c r="M83" i="2"/>
  <c r="M119" i="2"/>
  <c r="N119" i="2"/>
  <c r="M45" i="2"/>
  <c r="N45" i="2"/>
  <c r="M209" i="2"/>
  <c r="N209" i="2"/>
  <c r="N42" i="2"/>
  <c r="M42" i="2"/>
  <c r="N54" i="2"/>
  <c r="M54" i="2"/>
  <c r="M182" i="2"/>
  <c r="N182" i="2"/>
  <c r="M36" i="2"/>
  <c r="N36" i="2"/>
  <c r="M31" i="2"/>
  <c r="N31" i="2"/>
  <c r="N24" i="2"/>
  <c r="M24" i="2"/>
  <c r="N19" i="2"/>
  <c r="M19" i="2"/>
  <c r="M14" i="2"/>
  <c r="N14" i="2"/>
  <c r="N76" i="2"/>
  <c r="M76" i="2"/>
  <c r="N113" i="2"/>
  <c r="M113" i="2"/>
  <c r="M157" i="2"/>
  <c r="N157" i="2"/>
  <c r="M65" i="2"/>
  <c r="N65" i="2"/>
  <c r="M96" i="2"/>
  <c r="N96" i="2"/>
  <c r="M78" i="2"/>
  <c r="N78" i="2"/>
  <c r="M29" i="2"/>
  <c r="N2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<sst xmlns="http://schemas.openxmlformats.org/spreadsheetml/2006/main" count="65" uniqueCount="40">
  <si>
    <t>Fecha</t>
  </si>
  <si>
    <r>
      <t>Rendimiento 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</si>
  <si>
    <r>
      <t>Lamda (</t>
    </r>
    <r>
      <rPr>
        <b/>
        <sz val="11"/>
        <color theme="1"/>
        <rFont val="Calibri"/>
        <family val="2"/>
      </rPr>
      <t>λ) :=</t>
    </r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</si>
  <si>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</si>
  <si>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-µ)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</si>
  <si>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(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i-1</t>
    </r>
  </si>
  <si>
    <t>Periodo</t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</si>
  <si>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*(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i-1</t>
    </r>
  </si>
  <si>
    <r>
      <t>Media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) :=</t>
    </r>
  </si>
  <si>
    <r>
      <t>Vol. Hist. (</t>
    </r>
    <r>
      <rPr>
        <b/>
        <sz val="11"/>
        <color rgb="FFFF0000"/>
        <rFont val="Calibri"/>
        <family val="2"/>
      </rPr>
      <t>σ</t>
    </r>
    <r>
      <rPr>
        <b/>
        <sz val="11"/>
        <color rgb="FFFF0000"/>
        <rFont val="Calibri"/>
        <family val="2"/>
        <scheme val="minor"/>
      </rPr>
      <t>) :=</t>
    </r>
  </si>
  <si>
    <r>
      <t>(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  <scheme val="minor"/>
      </rPr>
      <t>t+1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</si>
  <si>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</si>
  <si>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t>Volatilidad Histórica</t>
  </si>
  <si>
    <t>Volatilidad Dinámica</t>
  </si>
  <si>
    <t>K :=</t>
  </si>
  <si>
    <t>Vol. Dinámica (anual) :=</t>
  </si>
  <si>
    <t>Vol. Dinámica (diaria) :=</t>
  </si>
  <si>
    <t>Diaria</t>
  </si>
  <si>
    <t>Anual</t>
  </si>
  <si>
    <r>
      <rPr>
        <b/>
        <sz val="11"/>
        <color theme="1"/>
        <rFont val="Calibri"/>
        <family val="2"/>
      </rPr>
      <t>-K*σ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</si>
  <si>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r>
      <rPr>
        <b/>
        <sz val="11"/>
        <color theme="1"/>
        <rFont val="Calibri"/>
        <family val="2"/>
      </rPr>
      <t>+K*σ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</si>
  <si>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t>Modelo Original</t>
  </si>
  <si>
    <t>Modelo Recursivo</t>
  </si>
  <si>
    <r>
      <rPr>
        <b/>
        <sz val="11"/>
        <color theme="1"/>
        <rFont val="Calibri"/>
        <family val="2"/>
      </rPr>
      <t>-K*σ</t>
    </r>
  </si>
  <si>
    <r>
      <rPr>
        <b/>
        <sz val="11"/>
        <color theme="1"/>
        <rFont val="Calibri"/>
        <family val="2"/>
      </rPr>
      <t>+K*σ</t>
    </r>
  </si>
  <si>
    <t>No.</t>
  </si>
  <si>
    <t>Date</t>
  </si>
  <si>
    <t>CEMEX</t>
  </si>
  <si>
    <t>Instrumento: =</t>
  </si>
  <si>
    <t>PRECIOS</t>
  </si>
  <si>
    <t>Instrumento</t>
  </si>
  <si>
    <t>Histórica</t>
  </si>
  <si>
    <t>Dinámica</t>
  </si>
  <si>
    <t>NAFTRAC</t>
  </si>
  <si>
    <t>LACOMER</t>
  </si>
  <si>
    <t>PEÑOLES</t>
  </si>
  <si>
    <t>VOLAR</t>
  </si>
  <si>
    <t>GAP</t>
  </si>
  <si>
    <t>Error cuadrático</t>
  </si>
  <si>
    <t>Vol. Dinámica 
Visual Basic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</si>
</sst>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000_-;\-* #,##0.00000_-;_-* &quot;-&quot;??_-;_-@_-"/>
    <numFmt numFmtId="165" formatCode="0.0000%"/>
    <numFmt numFmtId="166" formatCode="#,##0.000_ ;\-#,##0.000\ "/>
    <numFmt numFmtId="167" formatCode="#,##0.0000_ ;\-#,##0.0000\ "/>
    <numFmt numFmtId="168" formatCode="0.0000"/>
    <numFmt numFmtId="169" formatCode="0.0%"/>
    <numFmt numFmtId="170" formatCode="0.000000%"/>
    <numFmt numFmtId="171" formatCode="0.000%"/>
    <numFmt numFmtId="172" formatCode="_-* #,##0.0000000000_-;\-* #,##0.00000000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1" fontId="0" fillId="0" borderId="0" xfId="0" applyNumberFormat="1" applyAlignment="1">
      <alignment horizontal="center"/>
    </xf>
    <xf numFmtId="4" fontId="0" fillId="0" borderId="0" xfId="0" applyNumberFormat="1"/>
    <xf numFmtId="14" fontId="3" fillId="0" borderId="0" xfId="0" applyNumberFormat="1" applyFont="1"/>
    <xf numFmtId="1" fontId="3" fillId="0" borderId="0" xfId="0" applyNumberFormat="1" applyFont="1" applyAlignment="1">
      <alignment horizontal="center"/>
    </xf>
    <xf numFmtId="4" fontId="3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0" applyNumberFormat="1"/>
    <xf numFmtId="0" fontId="2" fillId="0" borderId="0" xfId="0" applyFont="1"/>
    <xf numFmtId="164" fontId="0" fillId="0" borderId="0" xfId="1" applyNumberFormat="1" applyFont="1"/>
    <xf numFmtId="165" fontId="3" fillId="0" borderId="0" xfId="0" applyNumberFormat="1" applyFon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6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8" fillId="0" borderId="0" xfId="0" applyFont="1"/>
    <xf numFmtId="10" fontId="0" fillId="3" borderId="0" xfId="2" applyNumberFormat="1" applyFont="1" applyFill="1" applyAlignment="1">
      <alignment horizontal="center"/>
    </xf>
    <xf numFmtId="167" fontId="0" fillId="0" borderId="0" xfId="1" applyNumberFormat="1" applyFont="1" applyAlignment="1">
      <alignment horizontal="center"/>
    </xf>
    <xf numFmtId="166" fontId="0" fillId="0" borderId="0" xfId="0" applyNumberFormat="1"/>
    <xf numFmtId="0" fontId="2" fillId="0" borderId="1" xfId="0" quotePrefix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65" fontId="3" fillId="0" borderId="0" xfId="2" applyNumberFormat="1" applyFont="1" applyAlignment="1">
      <alignment horizontal="center"/>
    </xf>
    <xf numFmtId="168" fontId="0" fillId="4" borderId="0" xfId="0" applyNumberFormat="1" applyFill="1" applyAlignment="1">
      <alignment horizontal="center"/>
    </xf>
    <xf numFmtId="10" fontId="0" fillId="4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2" fontId="2" fillId="2" borderId="0" xfId="0" applyNumberFormat="1" applyFont="1" applyFill="1" applyAlignment="1">
      <alignment horizontal="center"/>
    </xf>
    <xf numFmtId="10" fontId="2" fillId="0" borderId="0" xfId="0" applyNumberFormat="1" applyFont="1" applyAlignment="1">
      <alignment horizontal="center"/>
    </xf>
    <xf numFmtId="43" fontId="0" fillId="0" borderId="0" xfId="1" applyFont="1"/>
    <xf numFmtId="169" fontId="0" fillId="0" borderId="0" xfId="0" applyNumberFormat="1"/>
    <xf numFmtId="0" fontId="0" fillId="0" borderId="0" xfId="0" applyAlignment="1">
      <alignment vertical="center"/>
    </xf>
    <xf numFmtId="170" fontId="3" fillId="0" borderId="0" xfId="0" applyNumberFormat="1" applyFont="1" applyAlignment="1">
      <alignment horizontal="center"/>
    </xf>
    <xf numFmtId="0" fontId="2" fillId="0" borderId="1" xfId="0" applyFont="1" applyBorder="1"/>
    <xf numFmtId="0" fontId="10" fillId="0" borderId="0" xfId="0" applyFont="1"/>
    <xf numFmtId="171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10" fontId="2" fillId="0" borderId="0" xfId="2" applyNumberFormat="1" applyFont="1" applyAlignment="1">
      <alignment horizontal="center"/>
    </xf>
    <xf numFmtId="170" fontId="3" fillId="3" borderId="0" xfId="2" applyNumberFormat="1" applyFont="1" applyFill="1" applyAlignment="1">
      <alignment horizontal="center"/>
    </xf>
    <xf numFmtId="10" fontId="0" fillId="0" borderId="0" xfId="2" applyNumberFormat="1" applyFont="1"/>
    <xf numFmtId="168" fontId="3" fillId="2" borderId="0" xfId="0" applyNumberFormat="1" applyFont="1" applyFill="1" applyAlignment="1">
      <alignment horizontal="center" vertical="center"/>
    </xf>
    <xf numFmtId="172" fontId="0" fillId="0" borderId="0" xfId="1" applyNumberFormat="1" applyFont="1"/>
    <xf numFmtId="0" fontId="0" fillId="0" borderId="0" xfId="0" applyAlignment="1">
      <alignment wrapText="1"/>
    </xf>
    <xf numFmtId="165" fontId="3" fillId="5" borderId="0" xfId="0" applyNumberFormat="1" applyFont="1" applyFill="1" applyAlignment="1">
      <alignment horizontal="center" vertical="center"/>
    </xf>
    <xf numFmtId="0" fontId="2" fillId="0" borderId="5" xfId="0" applyFont="1" applyBorder="1" applyAlignment="1">
      <alignment horizontal="left" indent="1"/>
    </xf>
    <xf numFmtId="169" fontId="0" fillId="0" borderId="5" xfId="2" applyNumberFormat="1" applyFont="1" applyFill="1" applyBorder="1" applyAlignment="1">
      <alignment horizontal="center"/>
    </xf>
    <xf numFmtId="0" fontId="2" fillId="0" borderId="6" xfId="0" applyFont="1" applyBorder="1" applyAlignment="1">
      <alignment horizontal="left" indent="1"/>
    </xf>
    <xf numFmtId="169" fontId="0" fillId="0" borderId="6" xfId="2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left" indent="1"/>
    </xf>
    <xf numFmtId="169" fontId="0" fillId="0" borderId="7" xfId="2" applyNumberFormat="1" applyFont="1" applyFill="1" applyBorder="1" applyAlignment="1">
      <alignment horizontal="center"/>
    </xf>
    <xf numFmtId="171" fontId="0" fillId="3" borderId="0" xfId="0" applyNumberFormat="1" applyFill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chemeClr val="tx1"/>
                </a:solidFill>
              </a:rPr>
              <a:t>Volatilidad </a:t>
            </a:r>
          </a:p>
        </c:rich>
      </c:tx>
      <c:layout>
        <c:manualLayout>
          <c:xMode val="edge"/>
          <c:yMode val="edge"/>
          <c:x val="0.45981645521742487"/>
          <c:y val="3.166561114629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Rendimientos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Histórica!$A$8:$A$259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Histórica!$D$8:$D$259</c:f>
              <c:numCache>
                <c:formatCode>0.00%</c:formatCode>
                <c:ptCount val="252"/>
                <c:pt idx="0">
                  <c:v>-2.2731246721453546E-3</c:v>
                </c:pt>
                <c:pt idx="1">
                  <c:v>6.1576354679802048E-3</c:v>
                </c:pt>
                <c:pt idx="2">
                  <c:v>5.4838139041217815E-3</c:v>
                </c:pt>
                <c:pt idx="3">
                  <c:v>1.0366398570151869E-2</c:v>
                </c:pt>
                <c:pt idx="4">
                  <c:v>1.4873934337021666E-2</c:v>
                </c:pt>
                <c:pt idx="5">
                  <c:v>-3.2543843789549776E-3</c:v>
                </c:pt>
                <c:pt idx="6">
                  <c:v>1.5607785530664664E-2</c:v>
                </c:pt>
                <c:pt idx="7">
                  <c:v>-1.2869313032445207E-2</c:v>
                </c:pt>
                <c:pt idx="8">
                  <c:v>1.3968020584451457E-2</c:v>
                </c:pt>
                <c:pt idx="9">
                  <c:v>-1.1015237745548578E-3</c:v>
                </c:pt>
                <c:pt idx="10">
                  <c:v>-6.5657486777311869E-3</c:v>
                </c:pt>
                <c:pt idx="11">
                  <c:v>-7.9609191242989708E-3</c:v>
                </c:pt>
                <c:pt idx="12">
                  <c:v>-1.0844026748598745E-3</c:v>
                </c:pt>
                <c:pt idx="13">
                  <c:v>2.9001268805508573E-3</c:v>
                </c:pt>
                <c:pt idx="14">
                  <c:v>2.5440668726148807E-3</c:v>
                </c:pt>
                <c:pt idx="15">
                  <c:v>3.4646243617797445E-3</c:v>
                </c:pt>
                <c:pt idx="16">
                  <c:v>-1.8611309949892574E-2</c:v>
                </c:pt>
                <c:pt idx="17">
                  <c:v>-8.9397461112095122E-4</c:v>
                </c:pt>
                <c:pt idx="18">
                  <c:v>1.4695210449927387E-2</c:v>
                </c:pt>
                <c:pt idx="19">
                  <c:v>-5.9513074842201252E-3</c:v>
                </c:pt>
                <c:pt idx="20">
                  <c:v>-2.1873346269183136E-2</c:v>
                </c:pt>
                <c:pt idx="21">
                  <c:v>-7.528011204481766E-3</c:v>
                </c:pt>
                <c:pt idx="22">
                  <c:v>-1.3986013986014845E-3</c:v>
                </c:pt>
                <c:pt idx="23">
                  <c:v>-2.4415765608650775E-3</c:v>
                </c:pt>
                <c:pt idx="24">
                  <c:v>-6.755586350251086E-3</c:v>
                </c:pt>
                <c:pt idx="25">
                  <c:v>7.5043630017452845E-3</c:v>
                </c:pt>
                <c:pt idx="26">
                  <c:v>-2.9580650774316819E-3</c:v>
                </c:pt>
                <c:pt idx="27">
                  <c:v>9.4853328649218138E-3</c:v>
                </c:pt>
                <c:pt idx="28">
                  <c:v>-1.317386028774481E-2</c:v>
                </c:pt>
                <c:pt idx="29">
                  <c:v>-1.0389610389610615E-3</c:v>
                </c:pt>
                <c:pt idx="30">
                  <c:v>1.0675533776688839E-2</c:v>
                </c:pt>
                <c:pt idx="31">
                  <c:v>2.4561403508771562E-3</c:v>
                </c:pt>
                <c:pt idx="32">
                  <c:v>3.3357505438723845E-2</c:v>
                </c:pt>
                <c:pt idx="33">
                  <c:v>1.3039485766758396E-2</c:v>
                </c:pt>
                <c:pt idx="34">
                  <c:v>1.1031439602868787E-3</c:v>
                </c:pt>
                <c:pt idx="35">
                  <c:v>-5.5126791620729865E-4</c:v>
                </c:pt>
                <c:pt idx="36">
                  <c:v>6.8455134135061435E-3</c:v>
                </c:pt>
                <c:pt idx="37">
                  <c:v>-9.2421441774503954E-4</c:v>
                </c:pt>
                <c:pt idx="38">
                  <c:v>1.1102886750555818E-3</c:v>
                </c:pt>
                <c:pt idx="39">
                  <c:v>4.2742984575356857E-3</c:v>
                </c:pt>
                <c:pt idx="40">
                  <c:v>-3.1493145609483575E-3</c:v>
                </c:pt>
                <c:pt idx="41">
                  <c:v>2.5261158594491961E-2</c:v>
                </c:pt>
                <c:pt idx="42">
                  <c:v>6.8846815834766595E-3</c:v>
                </c:pt>
                <c:pt idx="43">
                  <c:v>-5.7339449541282672E-4</c:v>
                </c:pt>
                <c:pt idx="44">
                  <c:v>-1.1151011151011136E-2</c:v>
                </c:pt>
                <c:pt idx="45">
                  <c:v>2.2731577950367843E-3</c:v>
                </c:pt>
                <c:pt idx="46">
                  <c:v>3.230710756366495E-3</c:v>
                </c:pt>
                <c:pt idx="47">
                  <c:v>3.8153376573826225E-3</c:v>
                </c:pt>
                <c:pt idx="48">
                  <c:v>-4.1793313069908855E-3</c:v>
                </c:pt>
                <c:pt idx="49">
                  <c:v>5.1556234485392594E-3</c:v>
                </c:pt>
                <c:pt idx="50">
                  <c:v>-6.2618595825427725E-3</c:v>
                </c:pt>
                <c:pt idx="51">
                  <c:v>5.1497234407782422E-3</c:v>
                </c:pt>
                <c:pt idx="52">
                  <c:v>2.7837678886492911E-2</c:v>
                </c:pt>
                <c:pt idx="53">
                  <c:v>-3.5163117796445098E-3</c:v>
                </c:pt>
                <c:pt idx="54">
                  <c:v>3.922337713277102E-3</c:v>
                </c:pt>
                <c:pt idx="55">
                  <c:v>2.753195673549591E-3</c:v>
                </c:pt>
                <c:pt idx="56">
                  <c:v>-3.9177277179235359E-3</c:v>
                </c:pt>
                <c:pt idx="57">
                  <c:v>-8.7378640776699656E-3</c:v>
                </c:pt>
                <c:pt idx="58">
                  <c:v>7.0394994133751165E-3</c:v>
                </c:pt>
                <c:pt idx="59">
                  <c:v>3.1464300121016642E-2</c:v>
                </c:pt>
                <c:pt idx="60">
                  <c:v>1.4735980352026168E-2</c:v>
                </c:pt>
                <c:pt idx="61">
                  <c:v>-3.4672649398327371E-3</c:v>
                </c:pt>
                <c:pt idx="62">
                  <c:v>5.7435897435897942E-3</c:v>
                </c:pt>
                <c:pt idx="63">
                  <c:v>-9.1463414634146423E-3</c:v>
                </c:pt>
                <c:pt idx="64">
                  <c:v>9.8522167487684609E-3</c:v>
                </c:pt>
                <c:pt idx="65">
                  <c:v>9.1135045567523054E-3</c:v>
                </c:pt>
                <c:pt idx="66">
                  <c:v>4.1442188147544634E-4</c:v>
                </c:pt>
                <c:pt idx="67">
                  <c:v>-1.8614270941055278E-3</c:v>
                </c:pt>
                <c:pt idx="68">
                  <c:v>-1.0235414534288667E-2</c:v>
                </c:pt>
                <c:pt idx="69">
                  <c:v>-8.9267599918847473E-3</c:v>
                </c:pt>
                <c:pt idx="70">
                  <c:v>-7.4506645187273346E-3</c:v>
                </c:pt>
                <c:pt idx="71">
                  <c:v>-3.6115569823436111E-3</c:v>
                </c:pt>
                <c:pt idx="72">
                  <c:v>9.1111561044745493E-3</c:v>
                </c:pt>
                <c:pt idx="73">
                  <c:v>-8.0337417152038793E-3</c:v>
                </c:pt>
                <c:pt idx="74">
                  <c:v>-7.7720207253886286E-3</c:v>
                </c:pt>
                <c:pt idx="75">
                  <c:v>1.396926761125572E-3</c:v>
                </c:pt>
                <c:pt idx="76">
                  <c:v>2.1194212349704422E-2</c:v>
                </c:pt>
                <c:pt idx="77">
                  <c:v>-8.0857085102081783E-3</c:v>
                </c:pt>
                <c:pt idx="78">
                  <c:v>4.467005076142172E-3</c:v>
                </c:pt>
                <c:pt idx="79">
                  <c:v>-2.4559318676965813E-2</c:v>
                </c:pt>
                <c:pt idx="80">
                  <c:v>6.5789473684212396E-3</c:v>
                </c:pt>
                <c:pt idx="81">
                  <c:v>-1.6856134849078885E-2</c:v>
                </c:pt>
                <c:pt idx="82">
                  <c:v>7.5039494470774404E-3</c:v>
                </c:pt>
                <c:pt idx="83">
                  <c:v>-1.3442431326709525E-2</c:v>
                </c:pt>
                <c:pt idx="84">
                  <c:v>2.3432923257176164E-3</c:v>
                </c:pt>
                <c:pt idx="85">
                  <c:v>5.6952081696779455E-3</c:v>
                </c:pt>
                <c:pt idx="86">
                  <c:v>-5.2744676694665982E-3</c:v>
                </c:pt>
                <c:pt idx="87">
                  <c:v>-6.019417475728206E-3</c:v>
                </c:pt>
                <c:pt idx="88">
                  <c:v>-4.2536736272235087E-3</c:v>
                </c:pt>
                <c:pt idx="89">
                  <c:v>-1.0522288119380274E-2</c:v>
                </c:pt>
                <c:pt idx="90">
                  <c:v>5.1923076923077183E-3</c:v>
                </c:pt>
                <c:pt idx="91">
                  <c:v>1.0493587252234704E-2</c:v>
                </c:pt>
                <c:pt idx="92">
                  <c:v>5.8639562157936087E-3</c:v>
                </c:pt>
                <c:pt idx="93">
                  <c:v>-5.2498541707175495E-3</c:v>
                </c:pt>
                <c:pt idx="94">
                  <c:v>2.1434138737335129E-3</c:v>
                </c:pt>
                <c:pt idx="95">
                  <c:v>-6.5814943863723441E-3</c:v>
                </c:pt>
                <c:pt idx="96">
                  <c:v>-7.1112819527197058E-3</c:v>
                </c:pt>
                <c:pt idx="97">
                  <c:v>-4.9722700325109948E-3</c:v>
                </c:pt>
                <c:pt idx="98">
                  <c:v>1.9127773527150005E-4</c:v>
                </c:pt>
                <c:pt idx="99">
                  <c:v>-9.4732853353542978E-3</c:v>
                </c:pt>
                <c:pt idx="100">
                  <c:v>1.5180265654648473E-3</c:v>
                </c:pt>
                <c:pt idx="101">
                  <c:v>-2.0829388373414526E-3</c:v>
                </c:pt>
                <c:pt idx="102">
                  <c:v>-1.7013232514176968E-3</c:v>
                </c:pt>
                <c:pt idx="103">
                  <c:v>1.135503406510141E-3</c:v>
                </c:pt>
                <c:pt idx="104">
                  <c:v>-2.4192059095106133E-2</c:v>
                </c:pt>
                <c:pt idx="105">
                  <c:v>2.5921125717460747E-3</c:v>
                </c:pt>
                <c:pt idx="106">
                  <c:v>1.4844043592634248E-2</c:v>
                </c:pt>
                <c:pt idx="107">
                  <c:v>4.1509433962263476E-3</c:v>
                </c:pt>
                <c:pt idx="108">
                  <c:v>2.8382213812676582E-3</c:v>
                </c:pt>
                <c:pt idx="109">
                  <c:v>-9.1863517060367661E-3</c:v>
                </c:pt>
                <c:pt idx="110">
                  <c:v>8.6989409984872257E-3</c:v>
                </c:pt>
                <c:pt idx="111">
                  <c:v>7.570022710068347E-4</c:v>
                </c:pt>
                <c:pt idx="112">
                  <c:v>-1.5117157974300355E-3</c:v>
                </c:pt>
                <c:pt idx="113">
                  <c:v>-5.6657223796041656E-4</c:v>
                </c:pt>
                <c:pt idx="114">
                  <c:v>-1.1204481792716936E-2</c:v>
                </c:pt>
                <c:pt idx="115">
                  <c:v>4.5019696117050145E-3</c:v>
                </c:pt>
                <c:pt idx="116">
                  <c:v>4.711647191858237E-3</c:v>
                </c:pt>
                <c:pt idx="117">
                  <c:v>5.6571751838574436E-4</c:v>
                </c:pt>
                <c:pt idx="118">
                  <c:v>-1.0449710766934128E-2</c:v>
                </c:pt>
                <c:pt idx="119">
                  <c:v>-6.1201780415429674E-3</c:v>
                </c:pt>
                <c:pt idx="120">
                  <c:v>9.7378277153559178E-3</c:v>
                </c:pt>
                <c:pt idx="121">
                  <c:v>-6.8811604984192476E-3</c:v>
                </c:pt>
                <c:pt idx="122">
                  <c:v>7.4446305602093865E-4</c:v>
                </c:pt>
                <c:pt idx="123">
                  <c:v>1.0152284263959421E-2</c:v>
                </c:pt>
                <c:pt idx="124">
                  <c:v>2.4500565397662655E-3</c:v>
                </c:pt>
                <c:pt idx="125">
                  <c:v>-1.6679021497405411E-2</c:v>
                </c:pt>
                <c:pt idx="126">
                  <c:v>-1.1178303096939679E-2</c:v>
                </c:pt>
                <c:pt idx="127">
                  <c:v>-1.0982976386600951E-3</c:v>
                </c:pt>
                <c:pt idx="128">
                  <c:v>3.1215571061329328E-3</c:v>
                </c:pt>
                <c:pt idx="129">
                  <c:v>1.8395879323032105E-3</c:v>
                </c:pt>
                <c:pt idx="130">
                  <c:v>8.7214696604194231E-3</c:v>
                </c:pt>
                <c:pt idx="131">
                  <c:v>8.0433969322857291E-3</c:v>
                </c:pt>
                <c:pt idx="132">
                  <c:v>-2.4258257137526051E-3</c:v>
                </c:pt>
                <c:pt idx="133">
                  <c:v>2.0568436798804601E-3</c:v>
                </c:pt>
                <c:pt idx="134">
                  <c:v>-3.3544539694372322E-3</c:v>
                </c:pt>
                <c:pt idx="135">
                  <c:v>-5.5596738324685813E-3</c:v>
                </c:pt>
                <c:pt idx="136">
                  <c:v>8.2212257100149344E-3</c:v>
                </c:pt>
                <c:pt idx="137">
                  <c:v>-2.0510908073839706E-3</c:v>
                </c:pt>
                <c:pt idx="138">
                  <c:v>-9.0539541759052655E-3</c:v>
                </c:pt>
                <c:pt idx="139">
                  <c:v>7.2585147962032082E-3</c:v>
                </c:pt>
                <c:pt idx="140">
                  <c:v>-3.8932146829810943E-3</c:v>
                </c:pt>
                <c:pt idx="141">
                  <c:v>1.0301554598239226E-2</c:v>
                </c:pt>
                <c:pt idx="142">
                  <c:v>-6.1429635145197059E-3</c:v>
                </c:pt>
                <c:pt idx="143">
                  <c:v>9.205335337215903E-3</c:v>
                </c:pt>
                <c:pt idx="144">
                  <c:v>-1.0410857036623922E-2</c:v>
                </c:pt>
                <c:pt idx="145">
                  <c:v>1.6759776536312554E-3</c:v>
                </c:pt>
                <c:pt idx="146">
                  <c:v>-8.8593576965669829E-3</c:v>
                </c:pt>
                <c:pt idx="147">
                  <c:v>1.593849615600984E-2</c:v>
                </c:pt>
                <c:pt idx="148">
                  <c:v>-1.1238059561715641E-3</c:v>
                </c:pt>
                <c:pt idx="149">
                  <c:v>2.4408561772437665E-3</c:v>
                </c:pt>
                <c:pt idx="150">
                  <c:v>-1.6980435585086773E-2</c:v>
                </c:pt>
                <c:pt idx="151">
                  <c:v>1.100951670087702E-2</c:v>
                </c:pt>
                <c:pt idx="152">
                  <c:v>5.6011949215828416E-4</c:v>
                </c:pt>
                <c:pt idx="153">
                  <c:v>-4.8309178743960457E-3</c:v>
                </c:pt>
                <c:pt idx="154">
                  <c:v>-8.6572112727942852E-3</c:v>
                </c:pt>
                <c:pt idx="155">
                  <c:v>-4.9486803519062095E-3</c:v>
                </c:pt>
                <c:pt idx="156">
                  <c:v>-1.087744742567065E-2</c:v>
                </c:pt>
                <c:pt idx="157">
                  <c:v>5.4416832940318294E-4</c:v>
                </c:pt>
                <c:pt idx="158">
                  <c:v>-7.2033135242210999E-3</c:v>
                </c:pt>
                <c:pt idx="159">
                  <c:v>3.9775809076116886E-3</c:v>
                </c:pt>
                <c:pt idx="160">
                  <c:v>1.0412860796492618E-2</c:v>
                </c:pt>
                <c:pt idx="161">
                  <c:v>4.9568569854967492E-3</c:v>
                </c:pt>
                <c:pt idx="162">
                  <c:v>-4.0226732492228967E-3</c:v>
                </c:pt>
                <c:pt idx="163">
                  <c:v>1.8318373328447546E-3</c:v>
                </c:pt>
                <c:pt idx="164">
                  <c:v>8.3117842630218153E-3</c:v>
                </c:pt>
                <c:pt idx="165">
                  <c:v>-2.5792188651436732E-3</c:v>
                </c:pt>
                <c:pt idx="166">
                  <c:v>1.6098839385997765E-2</c:v>
                </c:pt>
                <c:pt idx="167">
                  <c:v>5.6475903614459089E-3</c:v>
                </c:pt>
                <c:pt idx="168">
                  <c:v>9.1185410334346795E-3</c:v>
                </c:pt>
                <c:pt idx="169">
                  <c:v>-7.5930144267277733E-4</c:v>
                </c:pt>
                <c:pt idx="170">
                  <c:v>-1.0704225352112684E-2</c:v>
                </c:pt>
                <c:pt idx="171">
                  <c:v>-1.6802067946824151E-2</c:v>
                </c:pt>
                <c:pt idx="172">
                  <c:v>1.1090573012937366E-3</c:v>
                </c:pt>
                <c:pt idx="173">
                  <c:v>5.3893328377625505E-3</c:v>
                </c:pt>
                <c:pt idx="174">
                  <c:v>8.4332833583209421E-3</c:v>
                </c:pt>
                <c:pt idx="175">
                  <c:v>3.762227238525151E-3</c:v>
                </c:pt>
                <c:pt idx="176">
                  <c:v>-4.3079228319911067E-3</c:v>
                </c:pt>
                <c:pt idx="177">
                  <c:v>-1.6939790093905338E-2</c:v>
                </c:pt>
                <c:pt idx="178">
                  <c:v>-1.7191458559536632E-2</c:v>
                </c:pt>
                <c:pt idx="179">
                  <c:v>4.362050163576825E-3</c:v>
                </c:pt>
                <c:pt idx="180">
                  <c:v>-2.3572076155937705E-3</c:v>
                </c:pt>
                <c:pt idx="181">
                  <c:v>-1.0867596449919414E-3</c:v>
                </c:pt>
                <c:pt idx="182">
                  <c:v>4.9144521295960697E-3</c:v>
                </c:pt>
                <c:pt idx="183">
                  <c:v>-3.639010189229186E-4</c:v>
                </c:pt>
                <c:pt idx="184">
                  <c:v>-8.3002526163840074E-3</c:v>
                </c:pt>
                <c:pt idx="185">
                  <c:v>1.4456089627754576E-3</c:v>
                </c:pt>
                <c:pt idx="186">
                  <c:v>7.4640451483707349E-3</c:v>
                </c:pt>
                <c:pt idx="187">
                  <c:v>2.3722627737225999E-3</c:v>
                </c:pt>
                <c:pt idx="188">
                  <c:v>4.5829514207149646E-3</c:v>
                </c:pt>
                <c:pt idx="189">
                  <c:v>-3.2888726475425178E-3</c:v>
                </c:pt>
                <c:pt idx="190">
                  <c:v>-4.0036396724295598E-3</c:v>
                </c:pt>
                <c:pt idx="191">
                  <c:v>9.107468123863427E-4</c:v>
                </c:pt>
                <c:pt idx="192">
                  <c:v>1.2915129151291449E-2</c:v>
                </c:pt>
                <c:pt idx="193">
                  <c:v>7.8095946448493159E-3</c:v>
                </c:pt>
                <c:pt idx="194">
                  <c:v>-9.2114959469418167E-3</c:v>
                </c:pt>
                <c:pt idx="195">
                  <c:v>-5.1319648093841597E-3</c:v>
                </c:pt>
                <c:pt idx="196">
                  <c:v>9.0623266136489189E-3</c:v>
                </c:pt>
                <c:pt idx="197">
                  <c:v>-1.8460402436772938E-3</c:v>
                </c:pt>
                <c:pt idx="198">
                  <c:v>-9.2216894134999894E-4</c:v>
                </c:pt>
                <c:pt idx="199">
                  <c:v>1.8446781036707272E-4</c:v>
                </c:pt>
                <c:pt idx="200">
                  <c:v>-7.5064079091906599E-3</c:v>
                </c:pt>
                <c:pt idx="201">
                  <c:v>5.8931860036832706E-3</c:v>
                </c:pt>
                <c:pt idx="202">
                  <c:v>-3.8525041276830096E-3</c:v>
                </c:pt>
                <c:pt idx="203">
                  <c:v>7.3923489188689739E-3</c:v>
                </c:pt>
                <c:pt idx="204">
                  <c:v>-5.330882352941213E-3</c:v>
                </c:pt>
                <c:pt idx="205">
                  <c:v>8.1541882876203786E-3</c:v>
                </c:pt>
                <c:pt idx="206">
                  <c:v>1.1244377811094441E-2</c:v>
                </c:pt>
                <c:pt idx="207">
                  <c:v>-1.0385756676557945E-2</c:v>
                </c:pt>
                <c:pt idx="208">
                  <c:v>5.7825032643163965E-3</c:v>
                </c:pt>
                <c:pt idx="209">
                  <c:v>-5.5928411633110464E-4</c:v>
                </c:pt>
                <c:pt idx="210">
                  <c:v>-5.7460611677480067E-3</c:v>
                </c:pt>
                <c:pt idx="211">
                  <c:v>6.9055617767823652E-3</c:v>
                </c:pt>
                <c:pt idx="212">
                  <c:v>9.2296100960631566E-3</c:v>
                </c:pt>
                <c:pt idx="213">
                  <c:v>6.8272330741514509E-3</c:v>
                </c:pt>
                <c:pt idx="214">
                  <c:v>1.7097264437688775E-3</c:v>
                </c:pt>
                <c:pt idx="215">
                  <c:v>-1.7068082685377517E-3</c:v>
                </c:pt>
                <c:pt idx="216">
                  <c:v>6.4897881275052249E-3</c:v>
                </c:pt>
                <c:pt idx="217">
                  <c:v>-1.7149390243901275E-3</c:v>
                </c:pt>
                <c:pt idx="218">
                  <c:v>1.3714506470928978E-2</c:v>
                </c:pt>
                <c:pt idx="219">
                  <c:v>-1.2022900763358657E-2</c:v>
                </c:pt>
                <c:pt idx="220">
                  <c:v>8.0800307810697802E-3</c:v>
                </c:pt>
                <c:pt idx="221">
                  <c:v>-1.1599163339037988E-2</c:v>
                </c:pt>
                <c:pt idx="222">
                  <c:v>-6.0480060480059272E-3</c:v>
                </c:pt>
                <c:pt idx="223">
                  <c:v>4.747436384352488E-3</c:v>
                </c:pt>
                <c:pt idx="224">
                  <c:v>-1.1265490048817162E-2</c:v>
                </c:pt>
                <c:pt idx="225">
                  <c:v>7.5159714393091548E-4</c:v>
                </c:pt>
                <c:pt idx="226">
                  <c:v>5.8590058590060057E-3</c:v>
                </c:pt>
                <c:pt idx="227">
                  <c:v>-1.6359918200409052E-2</c:v>
                </c:pt>
                <c:pt idx="228">
                  <c:v>-4.8103607770582091E-3</c:v>
                </c:pt>
                <c:pt idx="229">
                  <c:v>1.5786506295808911E-2</c:v>
                </c:pt>
                <c:pt idx="230">
                  <c:v>-1.6885553470918913E-3</c:v>
                </c:pt>
                <c:pt idx="231">
                  <c:v>1.2345679012345734E-2</c:v>
                </c:pt>
                <c:pt idx="232">
                  <c:v>-3.0297292179511937E-3</c:v>
                </c:pt>
                <c:pt idx="233">
                  <c:v>5.9047619047618571E-3</c:v>
                </c:pt>
                <c:pt idx="234">
                  <c:v>-7.7490077490076636E-3</c:v>
                </c:pt>
                <c:pt idx="235">
                  <c:v>-1.6981132075472027E-3</c:v>
                </c:pt>
                <c:pt idx="236">
                  <c:v>-1.8864365214110723E-4</c:v>
                </c:pt>
                <c:pt idx="237">
                  <c:v>-1.4500836586726185E-2</c:v>
                </c:pt>
                <c:pt idx="238">
                  <c:v>3.3575825405707249E-3</c:v>
                </c:pt>
                <c:pt idx="239">
                  <c:v>-3.1610264038676172E-3</c:v>
                </c:pt>
                <c:pt idx="240">
                  <c:v>1.1092310584696508E-2</c:v>
                </c:pt>
                <c:pt idx="241">
                  <c:v>1.4108674928503318E-2</c:v>
                </c:pt>
                <c:pt idx="242">
                  <c:v>-6.8168907403900469E-3</c:v>
                </c:pt>
                <c:pt idx="243">
                  <c:v>1.1492051331162711E-2</c:v>
                </c:pt>
                <c:pt idx="244">
                  <c:v>-7.6031172780839373E-3</c:v>
                </c:pt>
                <c:pt idx="245">
                  <c:v>-5.4820415879016648E-3</c:v>
                </c:pt>
                <c:pt idx="246">
                  <c:v>-4.141566265060237E-3</c:v>
                </c:pt>
                <c:pt idx="247">
                  <c:v>-1.3189671187070373E-2</c:v>
                </c:pt>
                <c:pt idx="248">
                  <c:v>1.6747301823594185E-3</c:v>
                </c:pt>
                <c:pt idx="249">
                  <c:v>-1.9164081036685432E-2</c:v>
                </c:pt>
                <c:pt idx="250">
                  <c:v>7.5395365943360382E-3</c:v>
                </c:pt>
                <c:pt idx="251">
                  <c:v>1.6577638607480072E-3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2-4C62-9D15-F4BEA1EFC576}"/>
            </c:ext>
          </c:extLst>
        </c:ser>
        <c:ser>
          <c:idx val="1"/>
          <c:order val="1"/>
          <c:tx>
            <c:v>-volatilidad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Histórica!$A$8:$A$259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Histórica!$H$8:$H$259</c:f>
              <c:numCache>
                <c:formatCode>0.00%</c:formatCode>
                <c:ptCount val="252"/>
                <c:pt idx="0">
                  <c:v>-1.800005309804454E-2</c:v>
                </c:pt>
                <c:pt idx="1">
                  <c:v>-1.800005309804454E-2</c:v>
                </c:pt>
                <c:pt idx="2">
                  <c:v>-1.800005309804454E-2</c:v>
                </c:pt>
                <c:pt idx="3">
                  <c:v>-1.800005309804454E-2</c:v>
                </c:pt>
                <c:pt idx="4">
                  <c:v>-1.800005309804454E-2</c:v>
                </c:pt>
                <c:pt idx="5">
                  <c:v>-1.800005309804454E-2</c:v>
                </c:pt>
                <c:pt idx="6">
                  <c:v>-1.800005309804454E-2</c:v>
                </c:pt>
                <c:pt idx="7">
                  <c:v>-1.800005309804454E-2</c:v>
                </c:pt>
                <c:pt idx="8">
                  <c:v>-1.800005309804454E-2</c:v>
                </c:pt>
                <c:pt idx="9">
                  <c:v>-1.800005309804454E-2</c:v>
                </c:pt>
                <c:pt idx="10">
                  <c:v>-1.800005309804454E-2</c:v>
                </c:pt>
                <c:pt idx="11">
                  <c:v>-1.800005309804454E-2</c:v>
                </c:pt>
                <c:pt idx="12">
                  <c:v>-1.800005309804454E-2</c:v>
                </c:pt>
                <c:pt idx="13">
                  <c:v>-1.800005309804454E-2</c:v>
                </c:pt>
                <c:pt idx="14">
                  <c:v>-1.800005309804454E-2</c:v>
                </c:pt>
                <c:pt idx="15">
                  <c:v>-1.800005309804454E-2</c:v>
                </c:pt>
                <c:pt idx="16">
                  <c:v>-1.800005309804454E-2</c:v>
                </c:pt>
                <c:pt idx="17">
                  <c:v>-1.800005309804454E-2</c:v>
                </c:pt>
                <c:pt idx="18">
                  <c:v>-1.800005309804454E-2</c:v>
                </c:pt>
                <c:pt idx="19">
                  <c:v>-1.800005309804454E-2</c:v>
                </c:pt>
                <c:pt idx="20">
                  <c:v>-1.800005309804454E-2</c:v>
                </c:pt>
                <c:pt idx="21">
                  <c:v>-1.800005309804454E-2</c:v>
                </c:pt>
                <c:pt idx="22">
                  <c:v>-1.800005309804454E-2</c:v>
                </c:pt>
                <c:pt idx="23">
                  <c:v>-1.800005309804454E-2</c:v>
                </c:pt>
                <c:pt idx="24">
                  <c:v>-1.800005309804454E-2</c:v>
                </c:pt>
                <c:pt idx="25">
                  <c:v>-1.800005309804454E-2</c:v>
                </c:pt>
                <c:pt idx="26">
                  <c:v>-1.800005309804454E-2</c:v>
                </c:pt>
                <c:pt idx="27">
                  <c:v>-1.800005309804454E-2</c:v>
                </c:pt>
                <c:pt idx="28">
                  <c:v>-1.800005309804454E-2</c:v>
                </c:pt>
                <c:pt idx="29">
                  <c:v>-1.800005309804454E-2</c:v>
                </c:pt>
                <c:pt idx="30">
                  <c:v>-1.800005309804454E-2</c:v>
                </c:pt>
                <c:pt idx="31">
                  <c:v>-1.800005309804454E-2</c:v>
                </c:pt>
                <c:pt idx="32">
                  <c:v>-1.800005309804454E-2</c:v>
                </c:pt>
                <c:pt idx="33">
                  <c:v>-1.800005309804454E-2</c:v>
                </c:pt>
                <c:pt idx="34">
                  <c:v>-1.800005309804454E-2</c:v>
                </c:pt>
                <c:pt idx="35">
                  <c:v>-1.800005309804454E-2</c:v>
                </c:pt>
                <c:pt idx="36">
                  <c:v>-1.800005309804454E-2</c:v>
                </c:pt>
                <c:pt idx="37">
                  <c:v>-1.800005309804454E-2</c:v>
                </c:pt>
                <c:pt idx="38">
                  <c:v>-1.800005309804454E-2</c:v>
                </c:pt>
                <c:pt idx="39">
                  <c:v>-1.800005309804454E-2</c:v>
                </c:pt>
                <c:pt idx="40">
                  <c:v>-1.800005309804454E-2</c:v>
                </c:pt>
                <c:pt idx="41">
                  <c:v>-1.800005309804454E-2</c:v>
                </c:pt>
                <c:pt idx="42">
                  <c:v>-1.800005309804454E-2</c:v>
                </c:pt>
                <c:pt idx="43">
                  <c:v>-1.800005309804454E-2</c:v>
                </c:pt>
                <c:pt idx="44">
                  <c:v>-1.800005309804454E-2</c:v>
                </c:pt>
                <c:pt idx="45">
                  <c:v>-1.800005309804454E-2</c:v>
                </c:pt>
                <c:pt idx="46">
                  <c:v>-1.800005309804454E-2</c:v>
                </c:pt>
                <c:pt idx="47">
                  <c:v>-1.800005309804454E-2</c:v>
                </c:pt>
                <c:pt idx="48">
                  <c:v>-1.800005309804454E-2</c:v>
                </c:pt>
                <c:pt idx="49">
                  <c:v>-1.800005309804454E-2</c:v>
                </c:pt>
                <c:pt idx="50">
                  <c:v>-1.800005309804454E-2</c:v>
                </c:pt>
                <c:pt idx="51">
                  <c:v>-1.800005309804454E-2</c:v>
                </c:pt>
                <c:pt idx="52">
                  <c:v>-1.800005309804454E-2</c:v>
                </c:pt>
                <c:pt idx="53">
                  <c:v>-1.800005309804454E-2</c:v>
                </c:pt>
                <c:pt idx="54">
                  <c:v>-1.800005309804454E-2</c:v>
                </c:pt>
                <c:pt idx="55">
                  <c:v>-1.800005309804454E-2</c:v>
                </c:pt>
                <c:pt idx="56">
                  <c:v>-1.800005309804454E-2</c:v>
                </c:pt>
                <c:pt idx="57">
                  <c:v>-1.800005309804454E-2</c:v>
                </c:pt>
                <c:pt idx="58">
                  <c:v>-1.800005309804454E-2</c:v>
                </c:pt>
                <c:pt idx="59">
                  <c:v>-1.800005309804454E-2</c:v>
                </c:pt>
                <c:pt idx="60">
                  <c:v>-1.800005309804454E-2</c:v>
                </c:pt>
                <c:pt idx="61">
                  <c:v>-1.800005309804454E-2</c:v>
                </c:pt>
                <c:pt idx="62">
                  <c:v>-1.800005309804454E-2</c:v>
                </c:pt>
                <c:pt idx="63">
                  <c:v>-1.800005309804454E-2</c:v>
                </c:pt>
                <c:pt idx="64">
                  <c:v>-1.800005309804454E-2</c:v>
                </c:pt>
                <c:pt idx="65">
                  <c:v>-1.800005309804454E-2</c:v>
                </c:pt>
                <c:pt idx="66">
                  <c:v>-1.800005309804454E-2</c:v>
                </c:pt>
                <c:pt idx="67">
                  <c:v>-1.800005309804454E-2</c:v>
                </c:pt>
                <c:pt idx="68">
                  <c:v>-1.800005309804454E-2</c:v>
                </c:pt>
                <c:pt idx="69">
                  <c:v>-1.800005309804454E-2</c:v>
                </c:pt>
                <c:pt idx="70">
                  <c:v>-1.800005309804454E-2</c:v>
                </c:pt>
                <c:pt idx="71">
                  <c:v>-1.800005309804454E-2</c:v>
                </c:pt>
                <c:pt idx="72">
                  <c:v>-1.800005309804454E-2</c:v>
                </c:pt>
                <c:pt idx="73">
                  <c:v>-1.800005309804454E-2</c:v>
                </c:pt>
                <c:pt idx="74">
                  <c:v>-1.800005309804454E-2</c:v>
                </c:pt>
                <c:pt idx="75">
                  <c:v>-1.800005309804454E-2</c:v>
                </c:pt>
                <c:pt idx="76">
                  <c:v>-1.800005309804454E-2</c:v>
                </c:pt>
                <c:pt idx="77">
                  <c:v>-1.800005309804454E-2</c:v>
                </c:pt>
                <c:pt idx="78">
                  <c:v>-1.800005309804454E-2</c:v>
                </c:pt>
                <c:pt idx="79">
                  <c:v>-1.800005309804454E-2</c:v>
                </c:pt>
                <c:pt idx="80">
                  <c:v>-1.800005309804454E-2</c:v>
                </c:pt>
                <c:pt idx="81">
                  <c:v>-1.800005309804454E-2</c:v>
                </c:pt>
                <c:pt idx="82">
                  <c:v>-1.800005309804454E-2</c:v>
                </c:pt>
                <c:pt idx="83">
                  <c:v>-1.800005309804454E-2</c:v>
                </c:pt>
                <c:pt idx="84">
                  <c:v>-1.800005309804454E-2</c:v>
                </c:pt>
                <c:pt idx="85">
                  <c:v>-1.800005309804454E-2</c:v>
                </c:pt>
                <c:pt idx="86">
                  <c:v>-1.800005309804454E-2</c:v>
                </c:pt>
                <c:pt idx="87">
                  <c:v>-1.800005309804454E-2</c:v>
                </c:pt>
                <c:pt idx="88">
                  <c:v>-1.800005309804454E-2</c:v>
                </c:pt>
                <c:pt idx="89">
                  <c:v>-1.800005309804454E-2</c:v>
                </c:pt>
                <c:pt idx="90">
                  <c:v>-1.800005309804454E-2</c:v>
                </c:pt>
                <c:pt idx="91">
                  <c:v>-1.800005309804454E-2</c:v>
                </c:pt>
                <c:pt idx="92">
                  <c:v>-1.800005309804454E-2</c:v>
                </c:pt>
                <c:pt idx="93">
                  <c:v>-1.800005309804454E-2</c:v>
                </c:pt>
                <c:pt idx="94">
                  <c:v>-1.800005309804454E-2</c:v>
                </c:pt>
                <c:pt idx="95">
                  <c:v>-1.800005309804454E-2</c:v>
                </c:pt>
                <c:pt idx="96">
                  <c:v>-1.800005309804454E-2</c:v>
                </c:pt>
                <c:pt idx="97">
                  <c:v>-1.800005309804454E-2</c:v>
                </c:pt>
                <c:pt idx="98">
                  <c:v>-1.800005309804454E-2</c:v>
                </c:pt>
                <c:pt idx="99">
                  <c:v>-1.800005309804454E-2</c:v>
                </c:pt>
                <c:pt idx="100">
                  <c:v>-1.800005309804454E-2</c:v>
                </c:pt>
                <c:pt idx="101">
                  <c:v>-1.800005309804454E-2</c:v>
                </c:pt>
                <c:pt idx="102">
                  <c:v>-1.800005309804454E-2</c:v>
                </c:pt>
                <c:pt idx="103">
                  <c:v>-1.800005309804454E-2</c:v>
                </c:pt>
                <c:pt idx="104">
                  <c:v>-1.800005309804454E-2</c:v>
                </c:pt>
                <c:pt idx="105">
                  <c:v>-1.800005309804454E-2</c:v>
                </c:pt>
                <c:pt idx="106">
                  <c:v>-1.800005309804454E-2</c:v>
                </c:pt>
                <c:pt idx="107">
                  <c:v>-1.800005309804454E-2</c:v>
                </c:pt>
                <c:pt idx="108">
                  <c:v>-1.800005309804454E-2</c:v>
                </c:pt>
                <c:pt idx="109">
                  <c:v>-1.800005309804454E-2</c:v>
                </c:pt>
                <c:pt idx="110">
                  <c:v>-1.800005309804454E-2</c:v>
                </c:pt>
                <c:pt idx="111">
                  <c:v>-1.800005309804454E-2</c:v>
                </c:pt>
                <c:pt idx="112">
                  <c:v>-1.800005309804454E-2</c:v>
                </c:pt>
                <c:pt idx="113">
                  <c:v>-1.800005309804454E-2</c:v>
                </c:pt>
                <c:pt idx="114">
                  <c:v>-1.800005309804454E-2</c:v>
                </c:pt>
                <c:pt idx="115">
                  <c:v>-1.800005309804454E-2</c:v>
                </c:pt>
                <c:pt idx="116">
                  <c:v>-1.800005309804454E-2</c:v>
                </c:pt>
                <c:pt idx="117">
                  <c:v>-1.800005309804454E-2</c:v>
                </c:pt>
                <c:pt idx="118">
                  <c:v>-1.800005309804454E-2</c:v>
                </c:pt>
                <c:pt idx="119">
                  <c:v>-1.800005309804454E-2</c:v>
                </c:pt>
                <c:pt idx="120">
                  <c:v>-1.800005309804454E-2</c:v>
                </c:pt>
                <c:pt idx="121">
                  <c:v>-1.800005309804454E-2</c:v>
                </c:pt>
                <c:pt idx="122">
                  <c:v>-1.800005309804454E-2</c:v>
                </c:pt>
                <c:pt idx="123">
                  <c:v>-1.800005309804454E-2</c:v>
                </c:pt>
                <c:pt idx="124">
                  <c:v>-1.800005309804454E-2</c:v>
                </c:pt>
                <c:pt idx="125">
                  <c:v>-1.800005309804454E-2</c:v>
                </c:pt>
                <c:pt idx="126">
                  <c:v>-1.800005309804454E-2</c:v>
                </c:pt>
                <c:pt idx="127">
                  <c:v>-1.800005309804454E-2</c:v>
                </c:pt>
                <c:pt idx="128">
                  <c:v>-1.800005309804454E-2</c:v>
                </c:pt>
                <c:pt idx="129">
                  <c:v>-1.800005309804454E-2</c:v>
                </c:pt>
                <c:pt idx="130">
                  <c:v>-1.800005309804454E-2</c:v>
                </c:pt>
                <c:pt idx="131">
                  <c:v>-1.800005309804454E-2</c:v>
                </c:pt>
                <c:pt idx="132">
                  <c:v>-1.800005309804454E-2</c:v>
                </c:pt>
                <c:pt idx="133">
                  <c:v>-1.800005309804454E-2</c:v>
                </c:pt>
                <c:pt idx="134">
                  <c:v>-1.800005309804454E-2</c:v>
                </c:pt>
                <c:pt idx="135">
                  <c:v>-1.800005309804454E-2</c:v>
                </c:pt>
                <c:pt idx="136">
                  <c:v>-1.800005309804454E-2</c:v>
                </c:pt>
                <c:pt idx="137">
                  <c:v>-1.800005309804454E-2</c:v>
                </c:pt>
                <c:pt idx="138">
                  <c:v>-1.800005309804454E-2</c:v>
                </c:pt>
                <c:pt idx="139">
                  <c:v>-1.800005309804454E-2</c:v>
                </c:pt>
                <c:pt idx="140">
                  <c:v>-1.800005309804454E-2</c:v>
                </c:pt>
                <c:pt idx="141">
                  <c:v>-1.800005309804454E-2</c:v>
                </c:pt>
                <c:pt idx="142">
                  <c:v>-1.800005309804454E-2</c:v>
                </c:pt>
                <c:pt idx="143">
                  <c:v>-1.800005309804454E-2</c:v>
                </c:pt>
                <c:pt idx="144">
                  <c:v>-1.800005309804454E-2</c:v>
                </c:pt>
                <c:pt idx="145">
                  <c:v>-1.800005309804454E-2</c:v>
                </c:pt>
                <c:pt idx="146">
                  <c:v>-1.800005309804454E-2</c:v>
                </c:pt>
                <c:pt idx="147">
                  <c:v>-1.800005309804454E-2</c:v>
                </c:pt>
                <c:pt idx="148">
                  <c:v>-1.800005309804454E-2</c:v>
                </c:pt>
                <c:pt idx="149">
                  <c:v>-1.800005309804454E-2</c:v>
                </c:pt>
                <c:pt idx="150">
                  <c:v>-1.800005309804454E-2</c:v>
                </c:pt>
                <c:pt idx="151">
                  <c:v>-1.800005309804454E-2</c:v>
                </c:pt>
                <c:pt idx="152">
                  <c:v>-1.800005309804454E-2</c:v>
                </c:pt>
                <c:pt idx="153">
                  <c:v>-1.800005309804454E-2</c:v>
                </c:pt>
                <c:pt idx="154">
                  <c:v>-1.800005309804454E-2</c:v>
                </c:pt>
                <c:pt idx="155">
                  <c:v>-1.800005309804454E-2</c:v>
                </c:pt>
                <c:pt idx="156">
                  <c:v>-1.800005309804454E-2</c:v>
                </c:pt>
                <c:pt idx="157">
                  <c:v>-1.800005309804454E-2</c:v>
                </c:pt>
                <c:pt idx="158">
                  <c:v>-1.800005309804454E-2</c:v>
                </c:pt>
                <c:pt idx="159">
                  <c:v>-1.800005309804454E-2</c:v>
                </c:pt>
                <c:pt idx="160">
                  <c:v>-1.800005309804454E-2</c:v>
                </c:pt>
                <c:pt idx="161">
                  <c:v>-1.800005309804454E-2</c:v>
                </c:pt>
                <c:pt idx="162">
                  <c:v>-1.800005309804454E-2</c:v>
                </c:pt>
                <c:pt idx="163">
                  <c:v>-1.800005309804454E-2</c:v>
                </c:pt>
                <c:pt idx="164">
                  <c:v>-1.800005309804454E-2</c:v>
                </c:pt>
                <c:pt idx="165">
                  <c:v>-1.800005309804454E-2</c:v>
                </c:pt>
                <c:pt idx="166">
                  <c:v>-1.800005309804454E-2</c:v>
                </c:pt>
                <c:pt idx="167">
                  <c:v>-1.800005309804454E-2</c:v>
                </c:pt>
                <c:pt idx="168">
                  <c:v>-1.800005309804454E-2</c:v>
                </c:pt>
                <c:pt idx="169">
                  <c:v>-1.800005309804454E-2</c:v>
                </c:pt>
                <c:pt idx="170">
                  <c:v>-1.800005309804454E-2</c:v>
                </c:pt>
                <c:pt idx="171">
                  <c:v>-1.800005309804454E-2</c:v>
                </c:pt>
                <c:pt idx="172">
                  <c:v>-1.800005309804454E-2</c:v>
                </c:pt>
                <c:pt idx="173">
                  <c:v>-1.800005309804454E-2</c:v>
                </c:pt>
                <c:pt idx="174">
                  <c:v>-1.800005309804454E-2</c:v>
                </c:pt>
                <c:pt idx="175">
                  <c:v>-1.800005309804454E-2</c:v>
                </c:pt>
                <c:pt idx="176">
                  <c:v>-1.800005309804454E-2</c:v>
                </c:pt>
                <c:pt idx="177">
                  <c:v>-1.800005309804454E-2</c:v>
                </c:pt>
                <c:pt idx="178">
                  <c:v>-1.800005309804454E-2</c:v>
                </c:pt>
                <c:pt idx="179">
                  <c:v>-1.800005309804454E-2</c:v>
                </c:pt>
                <c:pt idx="180">
                  <c:v>-1.800005309804454E-2</c:v>
                </c:pt>
                <c:pt idx="181">
                  <c:v>-1.800005309804454E-2</c:v>
                </c:pt>
                <c:pt idx="182">
                  <c:v>-1.800005309804454E-2</c:v>
                </c:pt>
                <c:pt idx="183">
                  <c:v>-1.800005309804454E-2</c:v>
                </c:pt>
                <c:pt idx="184">
                  <c:v>-1.800005309804454E-2</c:v>
                </c:pt>
                <c:pt idx="185">
                  <c:v>-1.800005309804454E-2</c:v>
                </c:pt>
                <c:pt idx="186">
                  <c:v>-1.800005309804454E-2</c:v>
                </c:pt>
                <c:pt idx="187">
                  <c:v>-1.800005309804454E-2</c:v>
                </c:pt>
                <c:pt idx="188">
                  <c:v>-1.800005309804454E-2</c:v>
                </c:pt>
                <c:pt idx="189">
                  <c:v>-1.800005309804454E-2</c:v>
                </c:pt>
                <c:pt idx="190">
                  <c:v>-1.800005309804454E-2</c:v>
                </c:pt>
                <c:pt idx="191">
                  <c:v>-1.800005309804454E-2</c:v>
                </c:pt>
                <c:pt idx="192">
                  <c:v>-1.800005309804454E-2</c:v>
                </c:pt>
                <c:pt idx="193">
                  <c:v>-1.800005309804454E-2</c:v>
                </c:pt>
                <c:pt idx="194">
                  <c:v>-1.800005309804454E-2</c:v>
                </c:pt>
                <c:pt idx="195">
                  <c:v>-1.800005309804454E-2</c:v>
                </c:pt>
                <c:pt idx="196">
                  <c:v>-1.800005309804454E-2</c:v>
                </c:pt>
                <c:pt idx="197">
                  <c:v>-1.800005309804454E-2</c:v>
                </c:pt>
                <c:pt idx="198">
                  <c:v>-1.800005309804454E-2</c:v>
                </c:pt>
                <c:pt idx="199">
                  <c:v>-1.800005309804454E-2</c:v>
                </c:pt>
                <c:pt idx="200">
                  <c:v>-1.800005309804454E-2</c:v>
                </c:pt>
                <c:pt idx="201">
                  <c:v>-1.800005309804454E-2</c:v>
                </c:pt>
                <c:pt idx="202">
                  <c:v>-1.800005309804454E-2</c:v>
                </c:pt>
                <c:pt idx="203">
                  <c:v>-1.800005309804454E-2</c:v>
                </c:pt>
                <c:pt idx="204">
                  <c:v>-1.800005309804454E-2</c:v>
                </c:pt>
                <c:pt idx="205">
                  <c:v>-1.800005309804454E-2</c:v>
                </c:pt>
                <c:pt idx="206">
                  <c:v>-1.800005309804454E-2</c:v>
                </c:pt>
                <c:pt idx="207">
                  <c:v>-1.800005309804454E-2</c:v>
                </c:pt>
                <c:pt idx="208">
                  <c:v>-1.800005309804454E-2</c:v>
                </c:pt>
                <c:pt idx="209">
                  <c:v>-1.800005309804454E-2</c:v>
                </c:pt>
                <c:pt idx="210">
                  <c:v>-1.800005309804454E-2</c:v>
                </c:pt>
                <c:pt idx="211">
                  <c:v>-1.800005309804454E-2</c:v>
                </c:pt>
                <c:pt idx="212">
                  <c:v>-1.800005309804454E-2</c:v>
                </c:pt>
                <c:pt idx="213">
                  <c:v>-1.800005309804454E-2</c:v>
                </c:pt>
                <c:pt idx="214">
                  <c:v>-1.800005309804454E-2</c:v>
                </c:pt>
                <c:pt idx="215">
                  <c:v>-1.800005309804454E-2</c:v>
                </c:pt>
                <c:pt idx="216">
                  <c:v>-1.800005309804454E-2</c:v>
                </c:pt>
                <c:pt idx="217">
                  <c:v>-1.800005309804454E-2</c:v>
                </c:pt>
                <c:pt idx="218">
                  <c:v>-1.800005309804454E-2</c:v>
                </c:pt>
                <c:pt idx="219">
                  <c:v>-1.800005309804454E-2</c:v>
                </c:pt>
                <c:pt idx="220">
                  <c:v>-1.800005309804454E-2</c:v>
                </c:pt>
                <c:pt idx="221">
                  <c:v>-1.800005309804454E-2</c:v>
                </c:pt>
                <c:pt idx="222">
                  <c:v>-1.800005309804454E-2</c:v>
                </c:pt>
                <c:pt idx="223">
                  <c:v>-1.800005309804454E-2</c:v>
                </c:pt>
                <c:pt idx="224">
                  <c:v>-1.800005309804454E-2</c:v>
                </c:pt>
                <c:pt idx="225">
                  <c:v>-1.800005309804454E-2</c:v>
                </c:pt>
                <c:pt idx="226">
                  <c:v>-1.800005309804454E-2</c:v>
                </c:pt>
                <c:pt idx="227">
                  <c:v>-1.800005309804454E-2</c:v>
                </c:pt>
                <c:pt idx="228">
                  <c:v>-1.800005309804454E-2</c:v>
                </c:pt>
                <c:pt idx="229">
                  <c:v>-1.800005309804454E-2</c:v>
                </c:pt>
                <c:pt idx="230">
                  <c:v>-1.800005309804454E-2</c:v>
                </c:pt>
                <c:pt idx="231">
                  <c:v>-1.800005309804454E-2</c:v>
                </c:pt>
                <c:pt idx="232">
                  <c:v>-1.800005309804454E-2</c:v>
                </c:pt>
                <c:pt idx="233">
                  <c:v>-1.800005309804454E-2</c:v>
                </c:pt>
                <c:pt idx="234">
                  <c:v>-1.800005309804454E-2</c:v>
                </c:pt>
                <c:pt idx="235">
                  <c:v>-1.800005309804454E-2</c:v>
                </c:pt>
                <c:pt idx="236">
                  <c:v>-1.800005309804454E-2</c:v>
                </c:pt>
                <c:pt idx="237">
                  <c:v>-1.800005309804454E-2</c:v>
                </c:pt>
                <c:pt idx="238">
                  <c:v>-1.800005309804454E-2</c:v>
                </c:pt>
                <c:pt idx="239">
                  <c:v>-1.800005309804454E-2</c:v>
                </c:pt>
                <c:pt idx="240">
                  <c:v>-1.800005309804454E-2</c:v>
                </c:pt>
                <c:pt idx="241">
                  <c:v>-1.800005309804454E-2</c:v>
                </c:pt>
                <c:pt idx="242">
                  <c:v>-1.800005309804454E-2</c:v>
                </c:pt>
                <c:pt idx="243">
                  <c:v>-1.800005309804454E-2</c:v>
                </c:pt>
                <c:pt idx="244">
                  <c:v>-1.800005309804454E-2</c:v>
                </c:pt>
                <c:pt idx="245">
                  <c:v>-1.800005309804454E-2</c:v>
                </c:pt>
                <c:pt idx="246">
                  <c:v>-1.800005309804454E-2</c:v>
                </c:pt>
                <c:pt idx="247">
                  <c:v>-1.800005309804454E-2</c:v>
                </c:pt>
                <c:pt idx="248">
                  <c:v>-1.800005309804454E-2</c:v>
                </c:pt>
                <c:pt idx="249">
                  <c:v>-1.800005309804454E-2</c:v>
                </c:pt>
                <c:pt idx="250">
                  <c:v>-1.800005309804454E-2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2-4C62-9D15-F4BEA1EFC576}"/>
            </c:ext>
          </c:extLst>
        </c:ser>
        <c:ser>
          <c:idx val="2"/>
          <c:order val="2"/>
          <c:tx>
            <c:v>"+volatilidad"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Histórica!$A$8:$A$259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Histórica!$I$8:$I$259</c:f>
              <c:numCache>
                <c:formatCode>0.00%</c:formatCode>
                <c:ptCount val="252"/>
                <c:pt idx="0">
                  <c:v>1.800005309804454E-2</c:v>
                </c:pt>
                <c:pt idx="1">
                  <c:v>1.800005309804454E-2</c:v>
                </c:pt>
                <c:pt idx="2">
                  <c:v>1.800005309804454E-2</c:v>
                </c:pt>
                <c:pt idx="3">
                  <c:v>1.800005309804454E-2</c:v>
                </c:pt>
                <c:pt idx="4">
                  <c:v>1.800005309804454E-2</c:v>
                </c:pt>
                <c:pt idx="5">
                  <c:v>1.800005309804454E-2</c:v>
                </c:pt>
                <c:pt idx="6">
                  <c:v>1.800005309804454E-2</c:v>
                </c:pt>
                <c:pt idx="7">
                  <c:v>1.800005309804454E-2</c:v>
                </c:pt>
                <c:pt idx="8">
                  <c:v>1.800005309804454E-2</c:v>
                </c:pt>
                <c:pt idx="9">
                  <c:v>1.800005309804454E-2</c:v>
                </c:pt>
                <c:pt idx="10">
                  <c:v>1.800005309804454E-2</c:v>
                </c:pt>
                <c:pt idx="11">
                  <c:v>1.800005309804454E-2</c:v>
                </c:pt>
                <c:pt idx="12">
                  <c:v>1.800005309804454E-2</c:v>
                </c:pt>
                <c:pt idx="13">
                  <c:v>1.800005309804454E-2</c:v>
                </c:pt>
                <c:pt idx="14">
                  <c:v>1.800005309804454E-2</c:v>
                </c:pt>
                <c:pt idx="15">
                  <c:v>1.800005309804454E-2</c:v>
                </c:pt>
                <c:pt idx="16">
                  <c:v>1.800005309804454E-2</c:v>
                </c:pt>
                <c:pt idx="17">
                  <c:v>1.800005309804454E-2</c:v>
                </c:pt>
                <c:pt idx="18">
                  <c:v>1.800005309804454E-2</c:v>
                </c:pt>
                <c:pt idx="19">
                  <c:v>1.800005309804454E-2</c:v>
                </c:pt>
                <c:pt idx="20">
                  <c:v>1.800005309804454E-2</c:v>
                </c:pt>
                <c:pt idx="21">
                  <c:v>1.800005309804454E-2</c:v>
                </c:pt>
                <c:pt idx="22">
                  <c:v>1.800005309804454E-2</c:v>
                </c:pt>
                <c:pt idx="23">
                  <c:v>1.800005309804454E-2</c:v>
                </c:pt>
                <c:pt idx="24">
                  <c:v>1.800005309804454E-2</c:v>
                </c:pt>
                <c:pt idx="25">
                  <c:v>1.800005309804454E-2</c:v>
                </c:pt>
                <c:pt idx="26">
                  <c:v>1.800005309804454E-2</c:v>
                </c:pt>
                <c:pt idx="27">
                  <c:v>1.800005309804454E-2</c:v>
                </c:pt>
                <c:pt idx="28">
                  <c:v>1.800005309804454E-2</c:v>
                </c:pt>
                <c:pt idx="29">
                  <c:v>1.800005309804454E-2</c:v>
                </c:pt>
                <c:pt idx="30">
                  <c:v>1.800005309804454E-2</c:v>
                </c:pt>
                <c:pt idx="31">
                  <c:v>1.800005309804454E-2</c:v>
                </c:pt>
                <c:pt idx="32">
                  <c:v>1.800005309804454E-2</c:v>
                </c:pt>
                <c:pt idx="33">
                  <c:v>1.800005309804454E-2</c:v>
                </c:pt>
                <c:pt idx="34">
                  <c:v>1.800005309804454E-2</c:v>
                </c:pt>
                <c:pt idx="35">
                  <c:v>1.800005309804454E-2</c:v>
                </c:pt>
                <c:pt idx="36">
                  <c:v>1.800005309804454E-2</c:v>
                </c:pt>
                <c:pt idx="37">
                  <c:v>1.800005309804454E-2</c:v>
                </c:pt>
                <c:pt idx="38">
                  <c:v>1.800005309804454E-2</c:v>
                </c:pt>
                <c:pt idx="39">
                  <c:v>1.800005309804454E-2</c:v>
                </c:pt>
                <c:pt idx="40">
                  <c:v>1.800005309804454E-2</c:v>
                </c:pt>
                <c:pt idx="41">
                  <c:v>1.800005309804454E-2</c:v>
                </c:pt>
                <c:pt idx="42">
                  <c:v>1.800005309804454E-2</c:v>
                </c:pt>
                <c:pt idx="43">
                  <c:v>1.800005309804454E-2</c:v>
                </c:pt>
                <c:pt idx="44">
                  <c:v>1.800005309804454E-2</c:v>
                </c:pt>
                <c:pt idx="45">
                  <c:v>1.800005309804454E-2</c:v>
                </c:pt>
                <c:pt idx="46">
                  <c:v>1.800005309804454E-2</c:v>
                </c:pt>
                <c:pt idx="47">
                  <c:v>1.800005309804454E-2</c:v>
                </c:pt>
                <c:pt idx="48">
                  <c:v>1.800005309804454E-2</c:v>
                </c:pt>
                <c:pt idx="49">
                  <c:v>1.800005309804454E-2</c:v>
                </c:pt>
                <c:pt idx="50">
                  <c:v>1.800005309804454E-2</c:v>
                </c:pt>
                <c:pt idx="51">
                  <c:v>1.800005309804454E-2</c:v>
                </c:pt>
                <c:pt idx="52">
                  <c:v>1.800005309804454E-2</c:v>
                </c:pt>
                <c:pt idx="53">
                  <c:v>1.800005309804454E-2</c:v>
                </c:pt>
                <c:pt idx="54">
                  <c:v>1.800005309804454E-2</c:v>
                </c:pt>
                <c:pt idx="55">
                  <c:v>1.800005309804454E-2</c:v>
                </c:pt>
                <c:pt idx="56">
                  <c:v>1.800005309804454E-2</c:v>
                </c:pt>
                <c:pt idx="57">
                  <c:v>1.800005309804454E-2</c:v>
                </c:pt>
                <c:pt idx="58">
                  <c:v>1.800005309804454E-2</c:v>
                </c:pt>
                <c:pt idx="59">
                  <c:v>1.800005309804454E-2</c:v>
                </c:pt>
                <c:pt idx="60">
                  <c:v>1.800005309804454E-2</c:v>
                </c:pt>
                <c:pt idx="61">
                  <c:v>1.800005309804454E-2</c:v>
                </c:pt>
                <c:pt idx="62">
                  <c:v>1.800005309804454E-2</c:v>
                </c:pt>
                <c:pt idx="63">
                  <c:v>1.800005309804454E-2</c:v>
                </c:pt>
                <c:pt idx="64">
                  <c:v>1.800005309804454E-2</c:v>
                </c:pt>
                <c:pt idx="65">
                  <c:v>1.800005309804454E-2</c:v>
                </c:pt>
                <c:pt idx="66">
                  <c:v>1.800005309804454E-2</c:v>
                </c:pt>
                <c:pt idx="67">
                  <c:v>1.800005309804454E-2</c:v>
                </c:pt>
                <c:pt idx="68">
                  <c:v>1.800005309804454E-2</c:v>
                </c:pt>
                <c:pt idx="69">
                  <c:v>1.800005309804454E-2</c:v>
                </c:pt>
                <c:pt idx="70">
                  <c:v>1.800005309804454E-2</c:v>
                </c:pt>
                <c:pt idx="71">
                  <c:v>1.800005309804454E-2</c:v>
                </c:pt>
                <c:pt idx="72">
                  <c:v>1.800005309804454E-2</c:v>
                </c:pt>
                <c:pt idx="73">
                  <c:v>1.800005309804454E-2</c:v>
                </c:pt>
                <c:pt idx="74">
                  <c:v>1.800005309804454E-2</c:v>
                </c:pt>
                <c:pt idx="75">
                  <c:v>1.800005309804454E-2</c:v>
                </c:pt>
                <c:pt idx="76">
                  <c:v>1.800005309804454E-2</c:v>
                </c:pt>
                <c:pt idx="77">
                  <c:v>1.800005309804454E-2</c:v>
                </c:pt>
                <c:pt idx="78">
                  <c:v>1.800005309804454E-2</c:v>
                </c:pt>
                <c:pt idx="79">
                  <c:v>1.800005309804454E-2</c:v>
                </c:pt>
                <c:pt idx="80">
                  <c:v>1.800005309804454E-2</c:v>
                </c:pt>
                <c:pt idx="81">
                  <c:v>1.800005309804454E-2</c:v>
                </c:pt>
                <c:pt idx="82">
                  <c:v>1.800005309804454E-2</c:v>
                </c:pt>
                <c:pt idx="83">
                  <c:v>1.800005309804454E-2</c:v>
                </c:pt>
                <c:pt idx="84">
                  <c:v>1.800005309804454E-2</c:v>
                </c:pt>
                <c:pt idx="85">
                  <c:v>1.800005309804454E-2</c:v>
                </c:pt>
                <c:pt idx="86">
                  <c:v>1.800005309804454E-2</c:v>
                </c:pt>
                <c:pt idx="87">
                  <c:v>1.800005309804454E-2</c:v>
                </c:pt>
                <c:pt idx="88">
                  <c:v>1.800005309804454E-2</c:v>
                </c:pt>
                <c:pt idx="89">
                  <c:v>1.800005309804454E-2</c:v>
                </c:pt>
                <c:pt idx="90">
                  <c:v>1.800005309804454E-2</c:v>
                </c:pt>
                <c:pt idx="91">
                  <c:v>1.800005309804454E-2</c:v>
                </c:pt>
                <c:pt idx="92">
                  <c:v>1.800005309804454E-2</c:v>
                </c:pt>
                <c:pt idx="93">
                  <c:v>1.800005309804454E-2</c:v>
                </c:pt>
                <c:pt idx="94">
                  <c:v>1.800005309804454E-2</c:v>
                </c:pt>
                <c:pt idx="95">
                  <c:v>1.800005309804454E-2</c:v>
                </c:pt>
                <c:pt idx="96">
                  <c:v>1.800005309804454E-2</c:v>
                </c:pt>
                <c:pt idx="97">
                  <c:v>1.800005309804454E-2</c:v>
                </c:pt>
                <c:pt idx="98">
                  <c:v>1.800005309804454E-2</c:v>
                </c:pt>
                <c:pt idx="99">
                  <c:v>1.800005309804454E-2</c:v>
                </c:pt>
                <c:pt idx="100">
                  <c:v>1.800005309804454E-2</c:v>
                </c:pt>
                <c:pt idx="101">
                  <c:v>1.800005309804454E-2</c:v>
                </c:pt>
                <c:pt idx="102">
                  <c:v>1.800005309804454E-2</c:v>
                </c:pt>
                <c:pt idx="103">
                  <c:v>1.800005309804454E-2</c:v>
                </c:pt>
                <c:pt idx="104">
                  <c:v>1.800005309804454E-2</c:v>
                </c:pt>
                <c:pt idx="105">
                  <c:v>1.800005309804454E-2</c:v>
                </c:pt>
                <c:pt idx="106">
                  <c:v>1.800005309804454E-2</c:v>
                </c:pt>
                <c:pt idx="107">
                  <c:v>1.800005309804454E-2</c:v>
                </c:pt>
                <c:pt idx="108">
                  <c:v>1.800005309804454E-2</c:v>
                </c:pt>
                <c:pt idx="109">
                  <c:v>1.800005309804454E-2</c:v>
                </c:pt>
                <c:pt idx="110">
                  <c:v>1.800005309804454E-2</c:v>
                </c:pt>
                <c:pt idx="111">
                  <c:v>1.800005309804454E-2</c:v>
                </c:pt>
                <c:pt idx="112">
                  <c:v>1.800005309804454E-2</c:v>
                </c:pt>
                <c:pt idx="113">
                  <c:v>1.800005309804454E-2</c:v>
                </c:pt>
                <c:pt idx="114">
                  <c:v>1.800005309804454E-2</c:v>
                </c:pt>
                <c:pt idx="115">
                  <c:v>1.800005309804454E-2</c:v>
                </c:pt>
                <c:pt idx="116">
                  <c:v>1.800005309804454E-2</c:v>
                </c:pt>
                <c:pt idx="117">
                  <c:v>1.800005309804454E-2</c:v>
                </c:pt>
                <c:pt idx="118">
                  <c:v>1.800005309804454E-2</c:v>
                </c:pt>
                <c:pt idx="119">
                  <c:v>1.800005309804454E-2</c:v>
                </c:pt>
                <c:pt idx="120">
                  <c:v>1.800005309804454E-2</c:v>
                </c:pt>
                <c:pt idx="121">
                  <c:v>1.800005309804454E-2</c:v>
                </c:pt>
                <c:pt idx="122">
                  <c:v>1.800005309804454E-2</c:v>
                </c:pt>
                <c:pt idx="123">
                  <c:v>1.800005309804454E-2</c:v>
                </c:pt>
                <c:pt idx="124">
                  <c:v>1.800005309804454E-2</c:v>
                </c:pt>
                <c:pt idx="125">
                  <c:v>1.800005309804454E-2</c:v>
                </c:pt>
                <c:pt idx="126">
                  <c:v>1.800005309804454E-2</c:v>
                </c:pt>
                <c:pt idx="127">
                  <c:v>1.800005309804454E-2</c:v>
                </c:pt>
                <c:pt idx="128">
                  <c:v>1.800005309804454E-2</c:v>
                </c:pt>
                <c:pt idx="129">
                  <c:v>1.800005309804454E-2</c:v>
                </c:pt>
                <c:pt idx="130">
                  <c:v>1.800005309804454E-2</c:v>
                </c:pt>
                <c:pt idx="131">
                  <c:v>1.800005309804454E-2</c:v>
                </c:pt>
                <c:pt idx="132">
                  <c:v>1.800005309804454E-2</c:v>
                </c:pt>
                <c:pt idx="133">
                  <c:v>1.800005309804454E-2</c:v>
                </c:pt>
                <c:pt idx="134">
                  <c:v>1.800005309804454E-2</c:v>
                </c:pt>
                <c:pt idx="135">
                  <c:v>1.800005309804454E-2</c:v>
                </c:pt>
                <c:pt idx="136">
                  <c:v>1.800005309804454E-2</c:v>
                </c:pt>
                <c:pt idx="137">
                  <c:v>1.800005309804454E-2</c:v>
                </c:pt>
                <c:pt idx="138">
                  <c:v>1.800005309804454E-2</c:v>
                </c:pt>
                <c:pt idx="139">
                  <c:v>1.800005309804454E-2</c:v>
                </c:pt>
                <c:pt idx="140">
                  <c:v>1.800005309804454E-2</c:v>
                </c:pt>
                <c:pt idx="141">
                  <c:v>1.800005309804454E-2</c:v>
                </c:pt>
                <c:pt idx="142">
                  <c:v>1.800005309804454E-2</c:v>
                </c:pt>
                <c:pt idx="143">
                  <c:v>1.800005309804454E-2</c:v>
                </c:pt>
                <c:pt idx="144">
                  <c:v>1.800005309804454E-2</c:v>
                </c:pt>
                <c:pt idx="145">
                  <c:v>1.800005309804454E-2</c:v>
                </c:pt>
                <c:pt idx="146">
                  <c:v>1.800005309804454E-2</c:v>
                </c:pt>
                <c:pt idx="147">
                  <c:v>1.800005309804454E-2</c:v>
                </c:pt>
                <c:pt idx="148">
                  <c:v>1.800005309804454E-2</c:v>
                </c:pt>
                <c:pt idx="149">
                  <c:v>1.800005309804454E-2</c:v>
                </c:pt>
                <c:pt idx="150">
                  <c:v>1.800005309804454E-2</c:v>
                </c:pt>
                <c:pt idx="151">
                  <c:v>1.800005309804454E-2</c:v>
                </c:pt>
                <c:pt idx="152">
                  <c:v>1.800005309804454E-2</c:v>
                </c:pt>
                <c:pt idx="153">
                  <c:v>1.800005309804454E-2</c:v>
                </c:pt>
                <c:pt idx="154">
                  <c:v>1.800005309804454E-2</c:v>
                </c:pt>
                <c:pt idx="155">
                  <c:v>1.800005309804454E-2</c:v>
                </c:pt>
                <c:pt idx="156">
                  <c:v>1.800005309804454E-2</c:v>
                </c:pt>
                <c:pt idx="157">
                  <c:v>1.800005309804454E-2</c:v>
                </c:pt>
                <c:pt idx="158">
                  <c:v>1.800005309804454E-2</c:v>
                </c:pt>
                <c:pt idx="159">
                  <c:v>1.800005309804454E-2</c:v>
                </c:pt>
                <c:pt idx="160">
                  <c:v>1.800005309804454E-2</c:v>
                </c:pt>
                <c:pt idx="161">
                  <c:v>1.800005309804454E-2</c:v>
                </c:pt>
                <c:pt idx="162">
                  <c:v>1.800005309804454E-2</c:v>
                </c:pt>
                <c:pt idx="163">
                  <c:v>1.800005309804454E-2</c:v>
                </c:pt>
                <c:pt idx="164">
                  <c:v>1.800005309804454E-2</c:v>
                </c:pt>
                <c:pt idx="165">
                  <c:v>1.800005309804454E-2</c:v>
                </c:pt>
                <c:pt idx="166">
                  <c:v>1.800005309804454E-2</c:v>
                </c:pt>
                <c:pt idx="167">
                  <c:v>1.800005309804454E-2</c:v>
                </c:pt>
                <c:pt idx="168">
                  <c:v>1.800005309804454E-2</c:v>
                </c:pt>
                <c:pt idx="169">
                  <c:v>1.800005309804454E-2</c:v>
                </c:pt>
                <c:pt idx="170">
                  <c:v>1.800005309804454E-2</c:v>
                </c:pt>
                <c:pt idx="171">
                  <c:v>1.800005309804454E-2</c:v>
                </c:pt>
                <c:pt idx="172">
                  <c:v>1.800005309804454E-2</c:v>
                </c:pt>
                <c:pt idx="173">
                  <c:v>1.800005309804454E-2</c:v>
                </c:pt>
                <c:pt idx="174">
                  <c:v>1.800005309804454E-2</c:v>
                </c:pt>
                <c:pt idx="175">
                  <c:v>1.800005309804454E-2</c:v>
                </c:pt>
                <c:pt idx="176">
                  <c:v>1.800005309804454E-2</c:v>
                </c:pt>
                <c:pt idx="177">
                  <c:v>1.800005309804454E-2</c:v>
                </c:pt>
                <c:pt idx="178">
                  <c:v>1.800005309804454E-2</c:v>
                </c:pt>
                <c:pt idx="179">
                  <c:v>1.800005309804454E-2</c:v>
                </c:pt>
                <c:pt idx="180">
                  <c:v>1.800005309804454E-2</c:v>
                </c:pt>
                <c:pt idx="181">
                  <c:v>1.800005309804454E-2</c:v>
                </c:pt>
                <c:pt idx="182">
                  <c:v>1.800005309804454E-2</c:v>
                </c:pt>
                <c:pt idx="183">
                  <c:v>1.800005309804454E-2</c:v>
                </c:pt>
                <c:pt idx="184">
                  <c:v>1.800005309804454E-2</c:v>
                </c:pt>
                <c:pt idx="185">
                  <c:v>1.800005309804454E-2</c:v>
                </c:pt>
                <c:pt idx="186">
                  <c:v>1.800005309804454E-2</c:v>
                </c:pt>
                <c:pt idx="187">
                  <c:v>1.800005309804454E-2</c:v>
                </c:pt>
                <c:pt idx="188">
                  <c:v>1.800005309804454E-2</c:v>
                </c:pt>
                <c:pt idx="189">
                  <c:v>1.800005309804454E-2</c:v>
                </c:pt>
                <c:pt idx="190">
                  <c:v>1.800005309804454E-2</c:v>
                </c:pt>
                <c:pt idx="191">
                  <c:v>1.800005309804454E-2</c:v>
                </c:pt>
                <c:pt idx="192">
                  <c:v>1.800005309804454E-2</c:v>
                </c:pt>
                <c:pt idx="193">
                  <c:v>1.800005309804454E-2</c:v>
                </c:pt>
                <c:pt idx="194">
                  <c:v>1.800005309804454E-2</c:v>
                </c:pt>
                <c:pt idx="195">
                  <c:v>1.800005309804454E-2</c:v>
                </c:pt>
                <c:pt idx="196">
                  <c:v>1.800005309804454E-2</c:v>
                </c:pt>
                <c:pt idx="197">
                  <c:v>1.800005309804454E-2</c:v>
                </c:pt>
                <c:pt idx="198">
                  <c:v>1.800005309804454E-2</c:v>
                </c:pt>
                <c:pt idx="199">
                  <c:v>1.800005309804454E-2</c:v>
                </c:pt>
                <c:pt idx="200">
                  <c:v>1.800005309804454E-2</c:v>
                </c:pt>
                <c:pt idx="201">
                  <c:v>1.800005309804454E-2</c:v>
                </c:pt>
                <c:pt idx="202">
                  <c:v>1.800005309804454E-2</c:v>
                </c:pt>
                <c:pt idx="203">
                  <c:v>1.800005309804454E-2</c:v>
                </c:pt>
                <c:pt idx="204">
                  <c:v>1.800005309804454E-2</c:v>
                </c:pt>
                <c:pt idx="205">
                  <c:v>1.800005309804454E-2</c:v>
                </c:pt>
                <c:pt idx="206">
                  <c:v>1.800005309804454E-2</c:v>
                </c:pt>
                <c:pt idx="207">
                  <c:v>1.800005309804454E-2</c:v>
                </c:pt>
                <c:pt idx="208">
                  <c:v>1.800005309804454E-2</c:v>
                </c:pt>
                <c:pt idx="209">
                  <c:v>1.800005309804454E-2</c:v>
                </c:pt>
                <c:pt idx="210">
                  <c:v>1.800005309804454E-2</c:v>
                </c:pt>
                <c:pt idx="211">
                  <c:v>1.800005309804454E-2</c:v>
                </c:pt>
                <c:pt idx="212">
                  <c:v>1.800005309804454E-2</c:v>
                </c:pt>
                <c:pt idx="213">
                  <c:v>1.800005309804454E-2</c:v>
                </c:pt>
                <c:pt idx="214">
                  <c:v>1.800005309804454E-2</c:v>
                </c:pt>
                <c:pt idx="215">
                  <c:v>1.800005309804454E-2</c:v>
                </c:pt>
                <c:pt idx="216">
                  <c:v>1.800005309804454E-2</c:v>
                </c:pt>
                <c:pt idx="217">
                  <c:v>1.800005309804454E-2</c:v>
                </c:pt>
                <c:pt idx="218">
                  <c:v>1.800005309804454E-2</c:v>
                </c:pt>
                <c:pt idx="219">
                  <c:v>1.800005309804454E-2</c:v>
                </c:pt>
                <c:pt idx="220">
                  <c:v>1.800005309804454E-2</c:v>
                </c:pt>
                <c:pt idx="221">
                  <c:v>1.800005309804454E-2</c:v>
                </c:pt>
                <c:pt idx="222">
                  <c:v>1.800005309804454E-2</c:v>
                </c:pt>
                <c:pt idx="223">
                  <c:v>1.800005309804454E-2</c:v>
                </c:pt>
                <c:pt idx="224">
                  <c:v>1.800005309804454E-2</c:v>
                </c:pt>
                <c:pt idx="225">
                  <c:v>1.800005309804454E-2</c:v>
                </c:pt>
                <c:pt idx="226">
                  <c:v>1.800005309804454E-2</c:v>
                </c:pt>
                <c:pt idx="227">
                  <c:v>1.800005309804454E-2</c:v>
                </c:pt>
                <c:pt idx="228">
                  <c:v>1.800005309804454E-2</c:v>
                </c:pt>
                <c:pt idx="229">
                  <c:v>1.800005309804454E-2</c:v>
                </c:pt>
                <c:pt idx="230">
                  <c:v>1.800005309804454E-2</c:v>
                </c:pt>
                <c:pt idx="231">
                  <c:v>1.800005309804454E-2</c:v>
                </c:pt>
                <c:pt idx="232">
                  <c:v>1.800005309804454E-2</c:v>
                </c:pt>
                <c:pt idx="233">
                  <c:v>1.800005309804454E-2</c:v>
                </c:pt>
                <c:pt idx="234">
                  <c:v>1.800005309804454E-2</c:v>
                </c:pt>
                <c:pt idx="235">
                  <c:v>1.800005309804454E-2</c:v>
                </c:pt>
                <c:pt idx="236">
                  <c:v>1.800005309804454E-2</c:v>
                </c:pt>
                <c:pt idx="237">
                  <c:v>1.800005309804454E-2</c:v>
                </c:pt>
                <c:pt idx="238">
                  <c:v>1.800005309804454E-2</c:v>
                </c:pt>
                <c:pt idx="239">
                  <c:v>1.800005309804454E-2</c:v>
                </c:pt>
                <c:pt idx="240">
                  <c:v>1.800005309804454E-2</c:v>
                </c:pt>
                <c:pt idx="241">
                  <c:v>1.800005309804454E-2</c:v>
                </c:pt>
                <c:pt idx="242">
                  <c:v>1.800005309804454E-2</c:v>
                </c:pt>
                <c:pt idx="243">
                  <c:v>1.800005309804454E-2</c:v>
                </c:pt>
                <c:pt idx="244">
                  <c:v>1.800005309804454E-2</c:v>
                </c:pt>
                <c:pt idx="245">
                  <c:v>1.800005309804454E-2</c:v>
                </c:pt>
                <c:pt idx="246">
                  <c:v>1.800005309804454E-2</c:v>
                </c:pt>
                <c:pt idx="247">
                  <c:v>1.800005309804454E-2</c:v>
                </c:pt>
                <c:pt idx="248">
                  <c:v>1.800005309804454E-2</c:v>
                </c:pt>
                <c:pt idx="249">
                  <c:v>1.800005309804454E-2</c:v>
                </c:pt>
                <c:pt idx="250">
                  <c:v>1.800005309804454E-2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2-4C62-9D15-F4BEA1EFC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551480"/>
        <c:axId val="442549128"/>
      </c:lineChart>
      <c:dateAx>
        <c:axId val="4425514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9128"/>
        <c:crosses val="autoZero"/>
        <c:auto val="1"/>
        <c:lblOffset val="100"/>
        <c:baseTimeUnit val="days"/>
      </c:dateAx>
      <c:valAx>
        <c:axId val="44254912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51480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Volatilidad Dinámica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Rendimientos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Dinámica!$A$8:$A$259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Dinámica!$D$8:$D$259</c:f>
              <c:numCache>
                <c:formatCode>0.00%</c:formatCode>
                <c:ptCount val="252"/>
                <c:pt idx="0">
                  <c:v>-5.5632823365785455E-3</c:v>
                </c:pt>
                <c:pt idx="1">
                  <c:v>6.2981105668300508E-3</c:v>
                </c:pt>
                <c:pt idx="2">
                  <c:v>9.8939929328620835E-3</c:v>
                </c:pt>
                <c:pt idx="3">
                  <c:v>1.1436740528949274E-2</c:v>
                </c:pt>
                <c:pt idx="4">
                  <c:v>4.872563718140932E-2</c:v>
                </c:pt>
                <c:pt idx="5">
                  <c:v>2.1439509954058078E-2</c:v>
                </c:pt>
                <c:pt idx="6">
                  <c:v>1.9516003122560521E-2</c:v>
                </c:pt>
                <c:pt idx="7">
                  <c:v>-7.800312012480326E-4</c:v>
                </c:pt>
                <c:pt idx="8">
                  <c:v>6.2794348508634634E-3</c:v>
                </c:pt>
                <c:pt idx="9">
                  <c:v>-8.5603112840466622E-3</c:v>
                </c:pt>
                <c:pt idx="10">
                  <c:v>3.90625E-3</c:v>
                </c:pt>
                <c:pt idx="11">
                  <c:v>-1.9908116385911168E-2</c:v>
                </c:pt>
                <c:pt idx="12">
                  <c:v>-1.2102874432677768E-2</c:v>
                </c:pt>
                <c:pt idx="13">
                  <c:v>0</c:v>
                </c:pt>
                <c:pt idx="14">
                  <c:v>-7.5075075075075048E-3</c:v>
                </c:pt>
                <c:pt idx="15">
                  <c:v>8.3270249810749597E-3</c:v>
                </c:pt>
                <c:pt idx="16">
                  <c:v>9.9388379204894406E-3</c:v>
                </c:pt>
                <c:pt idx="17">
                  <c:v>6.1538461538461764E-3</c:v>
                </c:pt>
                <c:pt idx="18">
                  <c:v>2.6045777426992878E-2</c:v>
                </c:pt>
                <c:pt idx="19">
                  <c:v>-7.8864353312302349E-4</c:v>
                </c:pt>
                <c:pt idx="20">
                  <c:v>-2.4615384615384595E-2</c:v>
                </c:pt>
                <c:pt idx="21">
                  <c:v>-1.6641452344931973E-2</c:v>
                </c:pt>
                <c:pt idx="22">
                  <c:v>-1.4903129657227954E-2</c:v>
                </c:pt>
                <c:pt idx="23">
                  <c:v>-2.4709302325581439E-2</c:v>
                </c:pt>
                <c:pt idx="24">
                  <c:v>-2.17548948513413E-3</c:v>
                </c:pt>
                <c:pt idx="25">
                  <c:v>-9.339080459770166E-3</c:v>
                </c:pt>
                <c:pt idx="26">
                  <c:v>1.2363636363636354E-2</c:v>
                </c:pt>
                <c:pt idx="27">
                  <c:v>2.2304832713754719E-2</c:v>
                </c:pt>
                <c:pt idx="28">
                  <c:v>-1.1029411764705954E-2</c:v>
                </c:pt>
                <c:pt idx="29">
                  <c:v>7.3583517292119538E-4</c:v>
                </c:pt>
                <c:pt idx="30">
                  <c:v>5.177514792899407E-3</c:v>
                </c:pt>
                <c:pt idx="31">
                  <c:v>-1.477104874446078E-3</c:v>
                </c:pt>
                <c:pt idx="32">
                  <c:v>5.0426687354538258E-2</c:v>
                </c:pt>
                <c:pt idx="33">
                  <c:v>3.6173633440514497E-2</c:v>
                </c:pt>
                <c:pt idx="34">
                  <c:v>8.921330089213253E-3</c:v>
                </c:pt>
                <c:pt idx="35">
                  <c:v>8.1766148814390593E-3</c:v>
                </c:pt>
                <c:pt idx="36">
                  <c:v>7.4135090609555032E-3</c:v>
                </c:pt>
                <c:pt idx="37">
                  <c:v>0</c:v>
                </c:pt>
                <c:pt idx="38">
                  <c:v>-1.4610389610389629E-2</c:v>
                </c:pt>
                <c:pt idx="39">
                  <c:v>-8.110300081103361E-4</c:v>
                </c:pt>
                <c:pt idx="40">
                  <c:v>2.1541010770505409E-2</c:v>
                </c:pt>
                <c:pt idx="41">
                  <c:v>2.491694352159568E-3</c:v>
                </c:pt>
                <c:pt idx="42">
                  <c:v>3.3476394849785374E-2</c:v>
                </c:pt>
                <c:pt idx="43">
                  <c:v>1.0407632263660149E-2</c:v>
                </c:pt>
                <c:pt idx="44">
                  <c:v>-3.1092436974790028E-2</c:v>
                </c:pt>
                <c:pt idx="45">
                  <c:v>5.0675675675675436E-3</c:v>
                </c:pt>
                <c:pt idx="46">
                  <c:v>1.5437392795883298E-2</c:v>
                </c:pt>
                <c:pt idx="47">
                  <c:v>-1.1026293469041493E-2</c:v>
                </c:pt>
                <c:pt idx="48">
                  <c:v>-2.2388059701492602E-2</c:v>
                </c:pt>
                <c:pt idx="49">
                  <c:v>1.3445378151260456E-2</c:v>
                </c:pt>
                <c:pt idx="50">
                  <c:v>-2.3789991796554499E-2</c:v>
                </c:pt>
                <c:pt idx="51">
                  <c:v>-1.2955465587044523E-2</c:v>
                </c:pt>
                <c:pt idx="52">
                  <c:v>1.9818331957060398E-2</c:v>
                </c:pt>
                <c:pt idx="53">
                  <c:v>-1.2234910277324706E-2</c:v>
                </c:pt>
                <c:pt idx="54">
                  <c:v>-3.2520325203252431E-3</c:v>
                </c:pt>
                <c:pt idx="55">
                  <c:v>1.0682004930156141E-2</c:v>
                </c:pt>
                <c:pt idx="56">
                  <c:v>1.6708437761069339E-2</c:v>
                </c:pt>
                <c:pt idx="57">
                  <c:v>1.0126582278481067E-2</c:v>
                </c:pt>
                <c:pt idx="58">
                  <c:v>1.2820512820512775E-2</c:v>
                </c:pt>
                <c:pt idx="59">
                  <c:v>6.8493150684931559E-2</c:v>
                </c:pt>
                <c:pt idx="60">
                  <c:v>1.1080332409972193E-2</c:v>
                </c:pt>
                <c:pt idx="61">
                  <c:v>7.4418604651163012E-3</c:v>
                </c:pt>
                <c:pt idx="62">
                  <c:v>-2.7829313543599188E-3</c:v>
                </c:pt>
                <c:pt idx="63">
                  <c:v>-4.6861184792219346E-2</c:v>
                </c:pt>
                <c:pt idx="64">
                  <c:v>2.0758122743682383E-2</c:v>
                </c:pt>
                <c:pt idx="65">
                  <c:v>2.3084025854108958E-2</c:v>
                </c:pt>
                <c:pt idx="66">
                  <c:v>0</c:v>
                </c:pt>
                <c:pt idx="67">
                  <c:v>-1.0958904109588996E-2</c:v>
                </c:pt>
                <c:pt idx="68">
                  <c:v>-9.9457504520796824E-3</c:v>
                </c:pt>
                <c:pt idx="69">
                  <c:v>-9.8478066248880447E-3</c:v>
                </c:pt>
                <c:pt idx="70">
                  <c:v>-3.038194444444442E-2</c:v>
                </c:pt>
                <c:pt idx="71">
                  <c:v>-5.1813471502590858E-3</c:v>
                </c:pt>
                <c:pt idx="72">
                  <c:v>3.8565022421524597E-2</c:v>
                </c:pt>
                <c:pt idx="73">
                  <c:v>8.9766606822250239E-4</c:v>
                </c:pt>
                <c:pt idx="74">
                  <c:v>-2.707423580786017E-2</c:v>
                </c:pt>
                <c:pt idx="75">
                  <c:v>4.3755697356426593E-2</c:v>
                </c:pt>
                <c:pt idx="76">
                  <c:v>2.0465116279069884E-2</c:v>
                </c:pt>
                <c:pt idx="77">
                  <c:v>7.4976569821931793E-3</c:v>
                </c:pt>
                <c:pt idx="78">
                  <c:v>-4.6641791044776948E-3</c:v>
                </c:pt>
                <c:pt idx="79">
                  <c:v>-4.6263345195729499E-2</c:v>
                </c:pt>
                <c:pt idx="80">
                  <c:v>1.7194570135746545E-2</c:v>
                </c:pt>
                <c:pt idx="81">
                  <c:v>-3.6617262423713992E-2</c:v>
                </c:pt>
                <c:pt idx="82">
                  <c:v>8.7950747581355682E-3</c:v>
                </c:pt>
                <c:pt idx="83">
                  <c:v>-2.487135506003435E-2</c:v>
                </c:pt>
                <c:pt idx="84">
                  <c:v>4.3066322136089408E-3</c:v>
                </c:pt>
                <c:pt idx="85">
                  <c:v>9.565217391304337E-3</c:v>
                </c:pt>
                <c:pt idx="86">
                  <c:v>-8.6206896551723755E-3</c:v>
                </c:pt>
                <c:pt idx="87">
                  <c:v>6.9444444444444198E-3</c:v>
                </c:pt>
                <c:pt idx="88">
                  <c:v>-2.0408163265306145E-2</c:v>
                </c:pt>
                <c:pt idx="89">
                  <c:v>-3.6855036855036993E-2</c:v>
                </c:pt>
                <c:pt idx="90">
                  <c:v>-3.2653061224489077E-3</c:v>
                </c:pt>
                <c:pt idx="91">
                  <c:v>2.7684563758389347E-2</c:v>
                </c:pt>
                <c:pt idx="92">
                  <c:v>1.8803418803418959E-2</c:v>
                </c:pt>
                <c:pt idx="93">
                  <c:v>-3.4071550255537764E-3</c:v>
                </c:pt>
                <c:pt idx="94">
                  <c:v>-9.2827004219409037E-3</c:v>
                </c:pt>
                <c:pt idx="95">
                  <c:v>-9.1973244147157684E-3</c:v>
                </c:pt>
                <c:pt idx="96">
                  <c:v>-2.1276595744680882E-2</c:v>
                </c:pt>
                <c:pt idx="97">
                  <c:v>-3.9308176100628978E-2</c:v>
                </c:pt>
                <c:pt idx="98">
                  <c:v>-2.304147465437778E-2</c:v>
                </c:pt>
                <c:pt idx="99">
                  <c:v>-2.1788129226145814E-2</c:v>
                </c:pt>
                <c:pt idx="100">
                  <c:v>-1.2611275964391711E-2</c:v>
                </c:pt>
                <c:pt idx="101">
                  <c:v>-2.0348837209302251E-2</c:v>
                </c:pt>
                <c:pt idx="102">
                  <c:v>0</c:v>
                </c:pt>
                <c:pt idx="103">
                  <c:v>2.3048327137546565E-2</c:v>
                </c:pt>
                <c:pt idx="104">
                  <c:v>-3.6532951289398374E-2</c:v>
                </c:pt>
                <c:pt idx="105">
                  <c:v>-3.5688793718771095E-3</c:v>
                </c:pt>
                <c:pt idx="106">
                  <c:v>1.2283236994219626E-2</c:v>
                </c:pt>
                <c:pt idx="107">
                  <c:v>1.6899338721528379E-2</c:v>
                </c:pt>
                <c:pt idx="108">
                  <c:v>8.8954781319494636E-3</c:v>
                </c:pt>
                <c:pt idx="109">
                  <c:v>-1.2445095168374776E-2</c:v>
                </c:pt>
                <c:pt idx="110">
                  <c:v>2.2010271460013442E-3</c:v>
                </c:pt>
                <c:pt idx="111">
                  <c:v>8.8823094004442105E-3</c:v>
                </c:pt>
                <c:pt idx="112">
                  <c:v>1.8853695324283493E-2</c:v>
                </c:pt>
                <c:pt idx="113">
                  <c:v>3.0257186081694698E-3</c:v>
                </c:pt>
                <c:pt idx="114">
                  <c:v>-4.202898550724643E-2</c:v>
                </c:pt>
                <c:pt idx="115">
                  <c:v>8.0350620891163071E-3</c:v>
                </c:pt>
                <c:pt idx="116">
                  <c:v>7.3583517292126199E-3</c:v>
                </c:pt>
                <c:pt idx="117">
                  <c:v>2.9545454545454541E-2</c:v>
                </c:pt>
                <c:pt idx="118">
                  <c:v>-7.5187969924812581E-3</c:v>
                </c:pt>
                <c:pt idx="119">
                  <c:v>-1.8450184501844991E-2</c:v>
                </c:pt>
                <c:pt idx="120">
                  <c:v>2.9607698001481442E-3</c:v>
                </c:pt>
                <c:pt idx="121">
                  <c:v>1.0471204188481797E-2</c:v>
                </c:pt>
                <c:pt idx="122">
                  <c:v>2.2171253822629966E-2</c:v>
                </c:pt>
                <c:pt idx="123">
                  <c:v>7.7041602465330872E-3</c:v>
                </c:pt>
                <c:pt idx="124">
                  <c:v>7.763975155279379E-3</c:v>
                </c:pt>
                <c:pt idx="125">
                  <c:v>-1.5503875968991832E-3</c:v>
                </c:pt>
                <c:pt idx="126">
                  <c:v>1.4150943396226356E-2</c:v>
                </c:pt>
                <c:pt idx="127">
                  <c:v>-7.0257611241217877E-3</c:v>
                </c:pt>
                <c:pt idx="128">
                  <c:v>2.3474178403757318E-3</c:v>
                </c:pt>
                <c:pt idx="129">
                  <c:v>-3.1201248049922414E-3</c:v>
                </c:pt>
                <c:pt idx="130">
                  <c:v>1.3438735177865535E-2</c:v>
                </c:pt>
                <c:pt idx="131">
                  <c:v>1.688102893890675E-2</c:v>
                </c:pt>
                <c:pt idx="132">
                  <c:v>-1.1128775834658211E-2</c:v>
                </c:pt>
                <c:pt idx="133">
                  <c:v>-1.5873015873015817E-3</c:v>
                </c:pt>
                <c:pt idx="134">
                  <c:v>9.6153846153845812E-3</c:v>
                </c:pt>
                <c:pt idx="135">
                  <c:v>-3.1948881789136685E-3</c:v>
                </c:pt>
                <c:pt idx="136">
                  <c:v>1.3765182186234792E-2</c:v>
                </c:pt>
                <c:pt idx="137">
                  <c:v>1.0638297872340274E-2</c:v>
                </c:pt>
                <c:pt idx="138">
                  <c:v>-1.3720742534301889E-2</c:v>
                </c:pt>
                <c:pt idx="139">
                  <c:v>4.2929292929292817E-2</c:v>
                </c:pt>
                <c:pt idx="140">
                  <c:v>-1.6806722689075571E-3</c:v>
                </c:pt>
                <c:pt idx="141">
                  <c:v>1.7094017094017255E-2</c:v>
                </c:pt>
                <c:pt idx="142">
                  <c:v>1.3864818024263537E-2</c:v>
                </c:pt>
                <c:pt idx="143">
                  <c:v>1.6740088105726914E-2</c:v>
                </c:pt>
                <c:pt idx="144">
                  <c:v>-4.6218487394958041E-2</c:v>
                </c:pt>
                <c:pt idx="145">
                  <c:v>-1.7341040462427681E-2</c:v>
                </c:pt>
                <c:pt idx="146">
                  <c:v>-2.4711696869852418E-3</c:v>
                </c:pt>
                <c:pt idx="147">
                  <c:v>3.3057851239670644E-3</c:v>
                </c:pt>
                <c:pt idx="148">
                  <c:v>1.0860484544694904E-2</c:v>
                </c:pt>
                <c:pt idx="149">
                  <c:v>7.575757575757569E-3</c:v>
                </c:pt>
                <c:pt idx="150">
                  <c:v>-1.7369727047146344E-2</c:v>
                </c:pt>
                <c:pt idx="151">
                  <c:v>2.1114864864864913E-2</c:v>
                </c:pt>
                <c:pt idx="152">
                  <c:v>-4.205214465937801E-3</c:v>
                </c:pt>
                <c:pt idx="153">
                  <c:v>2.5295109612142319E-3</c:v>
                </c:pt>
                <c:pt idx="154">
                  <c:v>-1.6583747927031545E-2</c:v>
                </c:pt>
                <c:pt idx="155">
                  <c:v>-1.6556291390728006E-3</c:v>
                </c:pt>
                <c:pt idx="156">
                  <c:v>-2.1069692058346856E-2</c:v>
                </c:pt>
                <c:pt idx="157">
                  <c:v>-4.8387096774193949E-3</c:v>
                </c:pt>
                <c:pt idx="158">
                  <c:v>-1.1164274322168932E-2</c:v>
                </c:pt>
                <c:pt idx="159">
                  <c:v>3.1999999999998696E-3</c:v>
                </c:pt>
                <c:pt idx="160">
                  <c:v>1.5434606011372809E-2</c:v>
                </c:pt>
                <c:pt idx="161">
                  <c:v>2.6688907422852459E-2</c:v>
                </c:pt>
                <c:pt idx="162">
                  <c:v>-5.8043117744610573E-3</c:v>
                </c:pt>
                <c:pt idx="163">
                  <c:v>5.0000000000001155E-3</c:v>
                </c:pt>
                <c:pt idx="164">
                  <c:v>7.5566750629723067E-3</c:v>
                </c:pt>
                <c:pt idx="165">
                  <c:v>2.1440823327615766E-2</c:v>
                </c:pt>
                <c:pt idx="166">
                  <c:v>4.3867502238137845E-2</c:v>
                </c:pt>
                <c:pt idx="167">
                  <c:v>2.6929982046677292E-3</c:v>
                </c:pt>
                <c:pt idx="168">
                  <c:v>4.7977422389463786E-2</c:v>
                </c:pt>
                <c:pt idx="169">
                  <c:v>-9.3984962406012951E-4</c:v>
                </c:pt>
                <c:pt idx="170">
                  <c:v>7.575757575757569E-3</c:v>
                </c:pt>
                <c:pt idx="171">
                  <c:v>-3.208065994500453E-2</c:v>
                </c:pt>
                <c:pt idx="172">
                  <c:v>-1.534296028880866E-2</c:v>
                </c:pt>
                <c:pt idx="173">
                  <c:v>-1.8018018018017834E-3</c:v>
                </c:pt>
                <c:pt idx="174">
                  <c:v>1.0928961748633892E-2</c:v>
                </c:pt>
                <c:pt idx="175">
                  <c:v>-6.3348416289592535E-3</c:v>
                </c:pt>
                <c:pt idx="176">
                  <c:v>-2.3851590106007015E-2</c:v>
                </c:pt>
                <c:pt idx="177">
                  <c:v>-1.565217391304341E-2</c:v>
                </c:pt>
                <c:pt idx="178">
                  <c:v>-1.2027491408934776E-2</c:v>
                </c:pt>
                <c:pt idx="179">
                  <c:v>4.3140638481449223E-3</c:v>
                </c:pt>
                <c:pt idx="180">
                  <c:v>5.2038161318299636E-3</c:v>
                </c:pt>
                <c:pt idx="181">
                  <c:v>8.7489063867016714E-3</c:v>
                </c:pt>
                <c:pt idx="182">
                  <c:v>-1.380500431406384E-2</c:v>
                </c:pt>
                <c:pt idx="183">
                  <c:v>-4.2955326460482057E-3</c:v>
                </c:pt>
                <c:pt idx="184">
                  <c:v>6.9204152249136008E-3</c:v>
                </c:pt>
                <c:pt idx="185">
                  <c:v>-3.2635983263598178E-2</c:v>
                </c:pt>
                <c:pt idx="186">
                  <c:v>2.7515047291487349E-2</c:v>
                </c:pt>
                <c:pt idx="187">
                  <c:v>-3.4275921165380918E-3</c:v>
                </c:pt>
                <c:pt idx="188">
                  <c:v>3.1830238726790361E-2</c:v>
                </c:pt>
                <c:pt idx="189">
                  <c:v>1.7714791851197731E-3</c:v>
                </c:pt>
                <c:pt idx="190">
                  <c:v>-1.5693112467306092E-2</c:v>
                </c:pt>
                <c:pt idx="191">
                  <c:v>6.2037037037037113E-2</c:v>
                </c:pt>
                <c:pt idx="192">
                  <c:v>1.6949152542373058E-2</c:v>
                </c:pt>
                <c:pt idx="193">
                  <c:v>8.5470085470085166E-3</c:v>
                </c:pt>
                <c:pt idx="194">
                  <c:v>1.9029495718363432E-3</c:v>
                </c:pt>
                <c:pt idx="195">
                  <c:v>1.0576923076923039E-2</c:v>
                </c:pt>
                <c:pt idx="196">
                  <c:v>2.8929604628737948E-3</c:v>
                </c:pt>
                <c:pt idx="197">
                  <c:v>-9.551098376313405E-3</c:v>
                </c:pt>
                <c:pt idx="198">
                  <c:v>-1.5051740357478804E-2</c:v>
                </c:pt>
                <c:pt idx="199">
                  <c:v>-1.87793427230043E-3</c:v>
                </c:pt>
                <c:pt idx="200">
                  <c:v>-1.7527675276752697E-2</c:v>
                </c:pt>
                <c:pt idx="201">
                  <c:v>4.6339202965710591E-3</c:v>
                </c:pt>
                <c:pt idx="202">
                  <c:v>4.6554934823090921E-3</c:v>
                </c:pt>
                <c:pt idx="203">
                  <c:v>5.3974484789008903E-2</c:v>
                </c:pt>
                <c:pt idx="204">
                  <c:v>1.4940239043824688E-2</c:v>
                </c:pt>
                <c:pt idx="205">
                  <c:v>2.2403258655804281E-2</c:v>
                </c:pt>
                <c:pt idx="206">
                  <c:v>2.5052192066805867E-2</c:v>
                </c:pt>
                <c:pt idx="207">
                  <c:v>-1.9447287615148356E-2</c:v>
                </c:pt>
                <c:pt idx="208">
                  <c:v>2.0512820512819108E-3</c:v>
                </c:pt>
                <c:pt idx="209">
                  <c:v>-1.4155712841253831E-2</c:v>
                </c:pt>
                <c:pt idx="210">
                  <c:v>1.0214504596527174E-2</c:v>
                </c:pt>
                <c:pt idx="211">
                  <c:v>9.2783505154638846E-3</c:v>
                </c:pt>
                <c:pt idx="212">
                  <c:v>3.7433155080213831E-2</c:v>
                </c:pt>
                <c:pt idx="213">
                  <c:v>1.4099783080260275E-2</c:v>
                </c:pt>
                <c:pt idx="214">
                  <c:v>-2.1645021645021467E-3</c:v>
                </c:pt>
                <c:pt idx="215">
                  <c:v>-2.0148462354188656E-2</c:v>
                </c:pt>
                <c:pt idx="216">
                  <c:v>1.0718113612004254E-2</c:v>
                </c:pt>
                <c:pt idx="217">
                  <c:v>1.0729613733906351E-3</c:v>
                </c:pt>
                <c:pt idx="218">
                  <c:v>1.5250544662309462E-2</c:v>
                </c:pt>
                <c:pt idx="219">
                  <c:v>-1.2903225806451757E-2</c:v>
                </c:pt>
                <c:pt idx="220">
                  <c:v>1.0869565217391353E-2</c:v>
                </c:pt>
                <c:pt idx="221">
                  <c:v>-1.8143009605122717E-2</c:v>
                </c:pt>
                <c:pt idx="222">
                  <c:v>-7.4152542372881713E-3</c:v>
                </c:pt>
                <c:pt idx="223">
                  <c:v>2.0540540540540553E-2</c:v>
                </c:pt>
                <c:pt idx="224">
                  <c:v>-3.5453597497393075E-2</c:v>
                </c:pt>
                <c:pt idx="225">
                  <c:v>-7.2463768115942351E-3</c:v>
                </c:pt>
                <c:pt idx="226">
                  <c:v>4.1580041580042693E-3</c:v>
                </c:pt>
                <c:pt idx="227">
                  <c:v>-3.4136546184739158E-2</c:v>
                </c:pt>
                <c:pt idx="228">
                  <c:v>-1.6781836130306038E-2</c:v>
                </c:pt>
                <c:pt idx="229">
                  <c:v>3.3673469387755173E-2</c:v>
                </c:pt>
                <c:pt idx="230">
                  <c:v>4.4776119402984982E-2</c:v>
                </c:pt>
                <c:pt idx="231">
                  <c:v>2.4017467248908408E-2</c:v>
                </c:pt>
                <c:pt idx="232">
                  <c:v>2.1181716833890585E-2</c:v>
                </c:pt>
                <c:pt idx="233">
                  <c:v>8.9988751406073764E-3</c:v>
                </c:pt>
                <c:pt idx="234">
                  <c:v>-2.2002200220021972E-2</c:v>
                </c:pt>
                <c:pt idx="235">
                  <c:v>4.4198895027622864E-3</c:v>
                </c:pt>
                <c:pt idx="236">
                  <c:v>-1.0928961748633892E-2</c:v>
                </c:pt>
                <c:pt idx="237">
                  <c:v>-3.1746031746031633E-2</c:v>
                </c:pt>
                <c:pt idx="238">
                  <c:v>3.1847133757960666E-3</c:v>
                </c:pt>
                <c:pt idx="239">
                  <c:v>-1.9771071800208095E-2</c:v>
                </c:pt>
                <c:pt idx="240">
                  <c:v>-2.0387359836901209E-2</c:v>
                </c:pt>
                <c:pt idx="241">
                  <c:v>1.6580310880829119E-2</c:v>
                </c:pt>
                <c:pt idx="242">
                  <c:v>-1.1270491803278659E-2</c:v>
                </c:pt>
                <c:pt idx="243">
                  <c:v>9.3071354705274167E-3</c:v>
                </c:pt>
                <c:pt idx="244">
                  <c:v>-1.8274111675126825E-2</c:v>
                </c:pt>
                <c:pt idx="245">
                  <c:v>-1.005025125628134E-2</c:v>
                </c:pt>
                <c:pt idx="246">
                  <c:v>3.0241935483870108E-3</c:v>
                </c:pt>
                <c:pt idx="247">
                  <c:v>-3.5019455252918275E-2</c:v>
                </c:pt>
                <c:pt idx="248">
                  <c:v>1.9493177387914784E-3</c:v>
                </c:pt>
                <c:pt idx="249">
                  <c:v>9.7560975609756184E-4</c:v>
                </c:pt>
                <c:pt idx="250">
                  <c:v>2.0916334661354563E-2</c:v>
                </c:pt>
                <c:pt idx="251">
                  <c:v>1.0060362173038184E-2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77-8128-307132A2EE3A}"/>
            </c:ext>
          </c:extLst>
        </c:ser>
        <c:ser>
          <c:idx val="1"/>
          <c:order val="1"/>
          <c:tx>
            <c:v>-volatilidad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Dinámica!$A$8:$A$259</c:f>
              <c:numCache>
                <c:formatCode>m/d/yyyy</c:formatCode>
                <c:ptCount val="252"/>
                <c:pt idx="0">
                  <c:v>45322</c:v>
                </c:pt>
                <c:pt idx="1">
                  <c:v>45321</c:v>
                </c:pt>
                <c:pt idx="2">
                  <c:v>45320</c:v>
                </c:pt>
                <c:pt idx="3">
                  <c:v>45317</c:v>
                </c:pt>
                <c:pt idx="4">
                  <c:v>45316</c:v>
                </c:pt>
                <c:pt idx="5">
                  <c:v>45315</c:v>
                </c:pt>
                <c:pt idx="6">
                  <c:v>45314</c:v>
                </c:pt>
                <c:pt idx="7">
                  <c:v>45313</c:v>
                </c:pt>
                <c:pt idx="8">
                  <c:v>45310</c:v>
                </c:pt>
                <c:pt idx="9">
                  <c:v>45309</c:v>
                </c:pt>
                <c:pt idx="10">
                  <c:v>45308</c:v>
                </c:pt>
                <c:pt idx="11">
                  <c:v>45307</c:v>
                </c:pt>
                <c:pt idx="12">
                  <c:v>45306</c:v>
                </c:pt>
                <c:pt idx="13">
                  <c:v>45303</c:v>
                </c:pt>
                <c:pt idx="14">
                  <c:v>45302</c:v>
                </c:pt>
                <c:pt idx="15">
                  <c:v>45301</c:v>
                </c:pt>
                <c:pt idx="16">
                  <c:v>45300</c:v>
                </c:pt>
                <c:pt idx="17">
                  <c:v>45299</c:v>
                </c:pt>
                <c:pt idx="18">
                  <c:v>45296</c:v>
                </c:pt>
                <c:pt idx="19">
                  <c:v>45295</c:v>
                </c:pt>
                <c:pt idx="20">
                  <c:v>45294</c:v>
                </c:pt>
                <c:pt idx="21">
                  <c:v>45293</c:v>
                </c:pt>
                <c:pt idx="22">
                  <c:v>45289</c:v>
                </c:pt>
                <c:pt idx="23">
                  <c:v>45288</c:v>
                </c:pt>
                <c:pt idx="24">
                  <c:v>45287</c:v>
                </c:pt>
                <c:pt idx="25">
                  <c:v>45286</c:v>
                </c:pt>
                <c:pt idx="26">
                  <c:v>45282</c:v>
                </c:pt>
                <c:pt idx="27">
                  <c:v>45281</c:v>
                </c:pt>
                <c:pt idx="28">
                  <c:v>45280</c:v>
                </c:pt>
                <c:pt idx="29">
                  <c:v>45279</c:v>
                </c:pt>
                <c:pt idx="30">
                  <c:v>45278</c:v>
                </c:pt>
                <c:pt idx="31">
                  <c:v>45275</c:v>
                </c:pt>
                <c:pt idx="32">
                  <c:v>45274</c:v>
                </c:pt>
                <c:pt idx="33">
                  <c:v>45273</c:v>
                </c:pt>
                <c:pt idx="34">
                  <c:v>45271</c:v>
                </c:pt>
                <c:pt idx="35">
                  <c:v>45268</c:v>
                </c:pt>
                <c:pt idx="36">
                  <c:v>45267</c:v>
                </c:pt>
                <c:pt idx="37">
                  <c:v>45266</c:v>
                </c:pt>
                <c:pt idx="38">
                  <c:v>45265</c:v>
                </c:pt>
                <c:pt idx="39">
                  <c:v>45264</c:v>
                </c:pt>
                <c:pt idx="40">
                  <c:v>45261</c:v>
                </c:pt>
                <c:pt idx="41">
                  <c:v>45260</c:v>
                </c:pt>
                <c:pt idx="42">
                  <c:v>45259</c:v>
                </c:pt>
                <c:pt idx="43">
                  <c:v>45258</c:v>
                </c:pt>
                <c:pt idx="44">
                  <c:v>45257</c:v>
                </c:pt>
                <c:pt idx="45">
                  <c:v>45254</c:v>
                </c:pt>
                <c:pt idx="46">
                  <c:v>45253</c:v>
                </c:pt>
                <c:pt idx="47">
                  <c:v>45252</c:v>
                </c:pt>
                <c:pt idx="48">
                  <c:v>45251</c:v>
                </c:pt>
                <c:pt idx="49">
                  <c:v>45247</c:v>
                </c:pt>
                <c:pt idx="50">
                  <c:v>45246</c:v>
                </c:pt>
                <c:pt idx="51">
                  <c:v>45245</c:v>
                </c:pt>
                <c:pt idx="52">
                  <c:v>45244</c:v>
                </c:pt>
                <c:pt idx="53">
                  <c:v>45243</c:v>
                </c:pt>
                <c:pt idx="54">
                  <c:v>45240</c:v>
                </c:pt>
                <c:pt idx="55">
                  <c:v>45239</c:v>
                </c:pt>
                <c:pt idx="56">
                  <c:v>45238</c:v>
                </c:pt>
                <c:pt idx="57">
                  <c:v>45237</c:v>
                </c:pt>
                <c:pt idx="58">
                  <c:v>45236</c:v>
                </c:pt>
                <c:pt idx="59">
                  <c:v>45233</c:v>
                </c:pt>
                <c:pt idx="60">
                  <c:v>45231</c:v>
                </c:pt>
                <c:pt idx="61">
                  <c:v>45230</c:v>
                </c:pt>
                <c:pt idx="62">
                  <c:v>45229</c:v>
                </c:pt>
                <c:pt idx="63">
                  <c:v>45226</c:v>
                </c:pt>
                <c:pt idx="64">
                  <c:v>45225</c:v>
                </c:pt>
                <c:pt idx="65">
                  <c:v>45224</c:v>
                </c:pt>
                <c:pt idx="66">
                  <c:v>45223</c:v>
                </c:pt>
                <c:pt idx="67">
                  <c:v>45222</c:v>
                </c:pt>
                <c:pt idx="68">
                  <c:v>45219</c:v>
                </c:pt>
                <c:pt idx="69">
                  <c:v>45218</c:v>
                </c:pt>
                <c:pt idx="70">
                  <c:v>45217</c:v>
                </c:pt>
                <c:pt idx="71">
                  <c:v>45216</c:v>
                </c:pt>
                <c:pt idx="72">
                  <c:v>45215</c:v>
                </c:pt>
                <c:pt idx="73">
                  <c:v>45212</c:v>
                </c:pt>
                <c:pt idx="74">
                  <c:v>45211</c:v>
                </c:pt>
                <c:pt idx="75">
                  <c:v>45210</c:v>
                </c:pt>
                <c:pt idx="76">
                  <c:v>45209</c:v>
                </c:pt>
                <c:pt idx="77">
                  <c:v>45208</c:v>
                </c:pt>
                <c:pt idx="78">
                  <c:v>45205</c:v>
                </c:pt>
                <c:pt idx="79">
                  <c:v>45204</c:v>
                </c:pt>
                <c:pt idx="80">
                  <c:v>45203</c:v>
                </c:pt>
                <c:pt idx="81">
                  <c:v>45202</c:v>
                </c:pt>
                <c:pt idx="82">
                  <c:v>45201</c:v>
                </c:pt>
                <c:pt idx="83">
                  <c:v>45198</c:v>
                </c:pt>
                <c:pt idx="84">
                  <c:v>45197</c:v>
                </c:pt>
                <c:pt idx="85">
                  <c:v>45196</c:v>
                </c:pt>
                <c:pt idx="86">
                  <c:v>45195</c:v>
                </c:pt>
                <c:pt idx="87">
                  <c:v>45194</c:v>
                </c:pt>
                <c:pt idx="88">
                  <c:v>45191</c:v>
                </c:pt>
                <c:pt idx="89">
                  <c:v>45190</c:v>
                </c:pt>
                <c:pt idx="90">
                  <c:v>45189</c:v>
                </c:pt>
                <c:pt idx="91">
                  <c:v>45188</c:v>
                </c:pt>
                <c:pt idx="92">
                  <c:v>45187</c:v>
                </c:pt>
                <c:pt idx="93">
                  <c:v>45184</c:v>
                </c:pt>
                <c:pt idx="94">
                  <c:v>45183</c:v>
                </c:pt>
                <c:pt idx="95">
                  <c:v>45182</c:v>
                </c:pt>
                <c:pt idx="96">
                  <c:v>45181</c:v>
                </c:pt>
                <c:pt idx="97">
                  <c:v>45180</c:v>
                </c:pt>
                <c:pt idx="98">
                  <c:v>45177</c:v>
                </c:pt>
                <c:pt idx="99">
                  <c:v>45176</c:v>
                </c:pt>
                <c:pt idx="100">
                  <c:v>45175</c:v>
                </c:pt>
                <c:pt idx="101">
                  <c:v>45174</c:v>
                </c:pt>
                <c:pt idx="102">
                  <c:v>45173</c:v>
                </c:pt>
                <c:pt idx="103">
                  <c:v>45170</c:v>
                </c:pt>
                <c:pt idx="104">
                  <c:v>45169</c:v>
                </c:pt>
                <c:pt idx="105">
                  <c:v>45168</c:v>
                </c:pt>
                <c:pt idx="106">
                  <c:v>45167</c:v>
                </c:pt>
                <c:pt idx="107">
                  <c:v>45166</c:v>
                </c:pt>
                <c:pt idx="108">
                  <c:v>45163</c:v>
                </c:pt>
                <c:pt idx="109">
                  <c:v>45162</c:v>
                </c:pt>
                <c:pt idx="110">
                  <c:v>45161</c:v>
                </c:pt>
                <c:pt idx="111">
                  <c:v>45160</c:v>
                </c:pt>
                <c:pt idx="112">
                  <c:v>45159</c:v>
                </c:pt>
                <c:pt idx="113">
                  <c:v>45156</c:v>
                </c:pt>
                <c:pt idx="114">
                  <c:v>45155</c:v>
                </c:pt>
                <c:pt idx="115">
                  <c:v>45154</c:v>
                </c:pt>
                <c:pt idx="116">
                  <c:v>45153</c:v>
                </c:pt>
                <c:pt idx="117">
                  <c:v>45152</c:v>
                </c:pt>
                <c:pt idx="118">
                  <c:v>45149</c:v>
                </c:pt>
                <c:pt idx="119">
                  <c:v>45148</c:v>
                </c:pt>
                <c:pt idx="120">
                  <c:v>45147</c:v>
                </c:pt>
                <c:pt idx="121">
                  <c:v>45146</c:v>
                </c:pt>
                <c:pt idx="122">
                  <c:v>45145</c:v>
                </c:pt>
                <c:pt idx="123">
                  <c:v>45142</c:v>
                </c:pt>
                <c:pt idx="124">
                  <c:v>45141</c:v>
                </c:pt>
                <c:pt idx="125">
                  <c:v>45140</c:v>
                </c:pt>
                <c:pt idx="126">
                  <c:v>45139</c:v>
                </c:pt>
                <c:pt idx="127">
                  <c:v>45138</c:v>
                </c:pt>
                <c:pt idx="128">
                  <c:v>45135</c:v>
                </c:pt>
                <c:pt idx="129">
                  <c:v>45134</c:v>
                </c:pt>
                <c:pt idx="130">
                  <c:v>45133</c:v>
                </c:pt>
                <c:pt idx="131">
                  <c:v>45132</c:v>
                </c:pt>
                <c:pt idx="132">
                  <c:v>45131</c:v>
                </c:pt>
                <c:pt idx="133">
                  <c:v>45128</c:v>
                </c:pt>
                <c:pt idx="134">
                  <c:v>45127</c:v>
                </c:pt>
                <c:pt idx="135">
                  <c:v>45126</c:v>
                </c:pt>
                <c:pt idx="136">
                  <c:v>45125</c:v>
                </c:pt>
                <c:pt idx="137">
                  <c:v>45124</c:v>
                </c:pt>
                <c:pt idx="138">
                  <c:v>45121</c:v>
                </c:pt>
                <c:pt idx="139">
                  <c:v>45120</c:v>
                </c:pt>
                <c:pt idx="140">
                  <c:v>45119</c:v>
                </c:pt>
                <c:pt idx="141">
                  <c:v>45118</c:v>
                </c:pt>
                <c:pt idx="142">
                  <c:v>45117</c:v>
                </c:pt>
                <c:pt idx="143">
                  <c:v>45114</c:v>
                </c:pt>
                <c:pt idx="144">
                  <c:v>45113</c:v>
                </c:pt>
                <c:pt idx="145">
                  <c:v>45112</c:v>
                </c:pt>
                <c:pt idx="146">
                  <c:v>45111</c:v>
                </c:pt>
                <c:pt idx="147">
                  <c:v>45110</c:v>
                </c:pt>
                <c:pt idx="148">
                  <c:v>45107</c:v>
                </c:pt>
                <c:pt idx="149">
                  <c:v>45106</c:v>
                </c:pt>
                <c:pt idx="150">
                  <c:v>45105</c:v>
                </c:pt>
                <c:pt idx="151">
                  <c:v>45104</c:v>
                </c:pt>
                <c:pt idx="152">
                  <c:v>45103</c:v>
                </c:pt>
                <c:pt idx="153">
                  <c:v>45100</c:v>
                </c:pt>
                <c:pt idx="154">
                  <c:v>45099</c:v>
                </c:pt>
                <c:pt idx="155">
                  <c:v>45098</c:v>
                </c:pt>
                <c:pt idx="156">
                  <c:v>45097</c:v>
                </c:pt>
                <c:pt idx="157">
                  <c:v>45096</c:v>
                </c:pt>
                <c:pt idx="158">
                  <c:v>45093</c:v>
                </c:pt>
                <c:pt idx="159">
                  <c:v>45092</c:v>
                </c:pt>
                <c:pt idx="160">
                  <c:v>45091</c:v>
                </c:pt>
                <c:pt idx="161">
                  <c:v>45090</c:v>
                </c:pt>
                <c:pt idx="162">
                  <c:v>45089</c:v>
                </c:pt>
                <c:pt idx="163">
                  <c:v>45086</c:v>
                </c:pt>
                <c:pt idx="164">
                  <c:v>45085</c:v>
                </c:pt>
                <c:pt idx="165">
                  <c:v>45084</c:v>
                </c:pt>
                <c:pt idx="166">
                  <c:v>45083</c:v>
                </c:pt>
                <c:pt idx="167">
                  <c:v>45082</c:v>
                </c:pt>
                <c:pt idx="168">
                  <c:v>45079</c:v>
                </c:pt>
                <c:pt idx="169">
                  <c:v>45078</c:v>
                </c:pt>
                <c:pt idx="170">
                  <c:v>45077</c:v>
                </c:pt>
                <c:pt idx="171">
                  <c:v>45076</c:v>
                </c:pt>
                <c:pt idx="172">
                  <c:v>45075</c:v>
                </c:pt>
                <c:pt idx="173">
                  <c:v>45072</c:v>
                </c:pt>
                <c:pt idx="174">
                  <c:v>45071</c:v>
                </c:pt>
                <c:pt idx="175">
                  <c:v>45070</c:v>
                </c:pt>
                <c:pt idx="176">
                  <c:v>45069</c:v>
                </c:pt>
                <c:pt idx="177">
                  <c:v>45068</c:v>
                </c:pt>
                <c:pt idx="178">
                  <c:v>45065</c:v>
                </c:pt>
                <c:pt idx="179">
                  <c:v>45064</c:v>
                </c:pt>
                <c:pt idx="180">
                  <c:v>45063</c:v>
                </c:pt>
                <c:pt idx="181">
                  <c:v>45062</c:v>
                </c:pt>
                <c:pt idx="182">
                  <c:v>45061</c:v>
                </c:pt>
                <c:pt idx="183">
                  <c:v>45058</c:v>
                </c:pt>
                <c:pt idx="184">
                  <c:v>45057</c:v>
                </c:pt>
                <c:pt idx="185">
                  <c:v>45056</c:v>
                </c:pt>
                <c:pt idx="186">
                  <c:v>45055</c:v>
                </c:pt>
                <c:pt idx="187">
                  <c:v>45054</c:v>
                </c:pt>
                <c:pt idx="188">
                  <c:v>45051</c:v>
                </c:pt>
                <c:pt idx="189">
                  <c:v>45050</c:v>
                </c:pt>
                <c:pt idx="190">
                  <c:v>45049</c:v>
                </c:pt>
                <c:pt idx="191">
                  <c:v>45048</c:v>
                </c:pt>
                <c:pt idx="192">
                  <c:v>45044</c:v>
                </c:pt>
                <c:pt idx="193">
                  <c:v>45043</c:v>
                </c:pt>
                <c:pt idx="194">
                  <c:v>45042</c:v>
                </c:pt>
                <c:pt idx="195">
                  <c:v>45041</c:v>
                </c:pt>
                <c:pt idx="196">
                  <c:v>45040</c:v>
                </c:pt>
                <c:pt idx="197">
                  <c:v>45037</c:v>
                </c:pt>
                <c:pt idx="198">
                  <c:v>45036</c:v>
                </c:pt>
                <c:pt idx="199">
                  <c:v>45035</c:v>
                </c:pt>
                <c:pt idx="200">
                  <c:v>45034</c:v>
                </c:pt>
                <c:pt idx="201">
                  <c:v>45033</c:v>
                </c:pt>
                <c:pt idx="202">
                  <c:v>45030</c:v>
                </c:pt>
                <c:pt idx="203">
                  <c:v>45029</c:v>
                </c:pt>
                <c:pt idx="204">
                  <c:v>45028</c:v>
                </c:pt>
                <c:pt idx="205">
                  <c:v>45027</c:v>
                </c:pt>
                <c:pt idx="206">
                  <c:v>45026</c:v>
                </c:pt>
                <c:pt idx="207">
                  <c:v>45021</c:v>
                </c:pt>
                <c:pt idx="208">
                  <c:v>45020</c:v>
                </c:pt>
                <c:pt idx="209">
                  <c:v>45019</c:v>
                </c:pt>
                <c:pt idx="210">
                  <c:v>45016</c:v>
                </c:pt>
                <c:pt idx="211">
                  <c:v>45015</c:v>
                </c:pt>
                <c:pt idx="212">
                  <c:v>45014</c:v>
                </c:pt>
                <c:pt idx="213">
                  <c:v>45013</c:v>
                </c:pt>
                <c:pt idx="214">
                  <c:v>45012</c:v>
                </c:pt>
                <c:pt idx="215">
                  <c:v>45009</c:v>
                </c:pt>
                <c:pt idx="216">
                  <c:v>45008</c:v>
                </c:pt>
                <c:pt idx="217">
                  <c:v>45007</c:v>
                </c:pt>
                <c:pt idx="218">
                  <c:v>45006</c:v>
                </c:pt>
                <c:pt idx="219">
                  <c:v>45002</c:v>
                </c:pt>
                <c:pt idx="220">
                  <c:v>45001</c:v>
                </c:pt>
                <c:pt idx="221">
                  <c:v>45000</c:v>
                </c:pt>
                <c:pt idx="222">
                  <c:v>44999</c:v>
                </c:pt>
                <c:pt idx="223">
                  <c:v>44998</c:v>
                </c:pt>
                <c:pt idx="224">
                  <c:v>44995</c:v>
                </c:pt>
                <c:pt idx="225">
                  <c:v>44994</c:v>
                </c:pt>
                <c:pt idx="226">
                  <c:v>44993</c:v>
                </c:pt>
                <c:pt idx="227">
                  <c:v>44992</c:v>
                </c:pt>
                <c:pt idx="228">
                  <c:v>44991</c:v>
                </c:pt>
                <c:pt idx="229">
                  <c:v>44988</c:v>
                </c:pt>
                <c:pt idx="230">
                  <c:v>44987</c:v>
                </c:pt>
                <c:pt idx="231">
                  <c:v>44986</c:v>
                </c:pt>
                <c:pt idx="232">
                  <c:v>44985</c:v>
                </c:pt>
                <c:pt idx="233">
                  <c:v>44984</c:v>
                </c:pt>
                <c:pt idx="234">
                  <c:v>44981</c:v>
                </c:pt>
                <c:pt idx="235">
                  <c:v>44980</c:v>
                </c:pt>
                <c:pt idx="236">
                  <c:v>44979</c:v>
                </c:pt>
                <c:pt idx="237">
                  <c:v>44978</c:v>
                </c:pt>
                <c:pt idx="238">
                  <c:v>44977</c:v>
                </c:pt>
                <c:pt idx="239">
                  <c:v>44974</c:v>
                </c:pt>
                <c:pt idx="240">
                  <c:v>44973</c:v>
                </c:pt>
                <c:pt idx="241">
                  <c:v>44972</c:v>
                </c:pt>
                <c:pt idx="242">
                  <c:v>44971</c:v>
                </c:pt>
                <c:pt idx="243">
                  <c:v>44970</c:v>
                </c:pt>
                <c:pt idx="244">
                  <c:v>44967</c:v>
                </c:pt>
                <c:pt idx="245">
                  <c:v>44966</c:v>
                </c:pt>
                <c:pt idx="246">
                  <c:v>44965</c:v>
                </c:pt>
                <c:pt idx="247">
                  <c:v>44964</c:v>
                </c:pt>
                <c:pt idx="248">
                  <c:v>44960</c:v>
                </c:pt>
                <c:pt idx="249">
                  <c:v>44959</c:v>
                </c:pt>
                <c:pt idx="250">
                  <c:v>44958</c:v>
                </c:pt>
                <c:pt idx="251">
                  <c:v>44957</c:v>
                </c:pt>
              </c:numCache>
            </c:numRef>
          </c:cat>
          <c:val>
            <c:numRef>
              <c:f>Dinámica!$M$8:$M$259</c:f>
              <c:numCache>
                <c:formatCode>0.00%</c:formatCode>
                <c:ptCount val="252"/>
                <c:pt idx="0">
                  <c:v>-3.7808392226061228E-2</c:v>
                </c:pt>
                <c:pt idx="1">
                  <c:v>-3.8290769656109794E-2</c:v>
                </c:pt>
                <c:pt idx="2">
                  <c:v>-3.8693983998227884E-2</c:v>
                </c:pt>
                <c:pt idx="3">
                  <c:v>-3.9055858812697491E-2</c:v>
                </c:pt>
                <c:pt idx="4">
                  <c:v>-3.5987485190087702E-2</c:v>
                </c:pt>
                <c:pt idx="5">
                  <c:v>-3.5768691105637199E-2</c:v>
                </c:pt>
                <c:pt idx="6">
                  <c:v>-3.5669991015789104E-2</c:v>
                </c:pt>
                <c:pt idx="7">
                  <c:v>-3.6180532285416921E-2</c:v>
                </c:pt>
                <c:pt idx="8">
                  <c:v>-3.6637241297534803E-2</c:v>
                </c:pt>
                <c:pt idx="9">
                  <c:v>-3.7048532342059723E-2</c:v>
                </c:pt>
                <c:pt idx="10">
                  <c:v>-3.7556348802336881E-2</c:v>
                </c:pt>
                <c:pt idx="11">
                  <c:v>-3.7489045634804152E-2</c:v>
                </c:pt>
                <c:pt idx="12">
                  <c:v>-3.7803450329949043E-2</c:v>
                </c:pt>
                <c:pt idx="13">
                  <c:v>-3.8345557250624808E-2</c:v>
                </c:pt>
                <c:pt idx="14">
                  <c:v>-3.8811631634853683E-2</c:v>
                </c:pt>
                <c:pt idx="15">
                  <c:v>-3.9266310403314332E-2</c:v>
                </c:pt>
                <c:pt idx="16">
                  <c:v>-3.9685856882517877E-2</c:v>
                </c:pt>
                <c:pt idx="17">
                  <c:v>-4.020057221472035E-2</c:v>
                </c:pt>
                <c:pt idx="18">
                  <c:v>-3.9804337904706881E-2</c:v>
                </c:pt>
                <c:pt idx="19">
                  <c:v>-4.0374247885207958E-2</c:v>
                </c:pt>
                <c:pt idx="20">
                  <c:v>-4.0089354511417992E-2</c:v>
                </c:pt>
                <c:pt idx="21">
                  <c:v>-4.0268872722257813E-2</c:v>
                </c:pt>
                <c:pt idx="22">
                  <c:v>-4.0530980465587334E-2</c:v>
                </c:pt>
                <c:pt idx="23">
                  <c:v>-4.0245097417164491E-2</c:v>
                </c:pt>
                <c:pt idx="24">
                  <c:v>-4.0815519535610287E-2</c:v>
                </c:pt>
                <c:pt idx="25">
                  <c:v>-4.1278933528139654E-2</c:v>
                </c:pt>
                <c:pt idx="26">
                  <c:v>-4.1659435732834822E-2</c:v>
                </c:pt>
                <c:pt idx="27">
                  <c:v>-4.1571104415020974E-2</c:v>
                </c:pt>
                <c:pt idx="28">
                  <c:v>-4.2000243807269827E-2</c:v>
                </c:pt>
                <c:pt idx="29">
                  <c:v>-4.2601799097682427E-2</c:v>
                </c:pt>
                <c:pt idx="30">
                  <c:v>-4.3176861852249414E-2</c:v>
                </c:pt>
                <c:pt idx="31">
                  <c:v>-4.3793146083776817E-2</c:v>
                </c:pt>
                <c:pt idx="32">
                  <c:v>-4.098082239457379E-2</c:v>
                </c:pt>
                <c:pt idx="33">
                  <c:v>-3.9708273942329925E-2</c:v>
                </c:pt>
                <c:pt idx="34">
                  <c:v>-4.016337486870096E-2</c:v>
                </c:pt>
                <c:pt idx="35">
                  <c:v>-4.0644403864249445E-2</c:v>
                </c:pt>
                <c:pt idx="36">
                  <c:v>-4.1150162640102184E-2</c:v>
                </c:pt>
                <c:pt idx="37">
                  <c:v>-4.1740261897165502E-2</c:v>
                </c:pt>
                <c:pt idx="38">
                  <c:v>-4.2046540786824585E-2</c:v>
                </c:pt>
                <c:pt idx="39">
                  <c:v>-4.2648603229193428E-2</c:v>
                </c:pt>
                <c:pt idx="40">
                  <c:v>-4.2636018066352026E-2</c:v>
                </c:pt>
                <c:pt idx="41">
                  <c:v>-4.3239130260749742E-2</c:v>
                </c:pt>
                <c:pt idx="42">
                  <c:v>-4.2357312315019498E-2</c:v>
                </c:pt>
                <c:pt idx="43">
                  <c:v>-4.2818825331319206E-2</c:v>
                </c:pt>
                <c:pt idx="44">
                  <c:v>-4.2127331673760302E-2</c:v>
                </c:pt>
                <c:pt idx="45">
                  <c:v>-4.269671050847642E-2</c:v>
                </c:pt>
                <c:pt idx="46">
                  <c:v>-4.2989915299664429E-2</c:v>
                </c:pt>
                <c:pt idx="47">
                  <c:v>-4.3445024370190398E-2</c:v>
                </c:pt>
                <c:pt idx="48">
                  <c:v>-4.3405967873773356E-2</c:v>
                </c:pt>
                <c:pt idx="49">
                  <c:v>-4.3790565262070411E-2</c:v>
                </c:pt>
                <c:pt idx="50">
                  <c:v>-4.3676219007136148E-2</c:v>
                </c:pt>
                <c:pt idx="51">
                  <c:v>-4.4083125153644258E-2</c:v>
                </c:pt>
                <c:pt idx="52">
                  <c:v>-4.4204919480008091E-2</c:v>
                </c:pt>
                <c:pt idx="53">
                  <c:v>-4.4645538238138112E-2</c:v>
                </c:pt>
                <c:pt idx="54">
                  <c:v>-4.5272268044960887E-2</c:v>
                </c:pt>
                <c:pt idx="55">
                  <c:v>-4.5777702886433395E-2</c:v>
                </c:pt>
                <c:pt idx="56">
                  <c:v>-4.6085516377922464E-2</c:v>
                </c:pt>
                <c:pt idx="57">
                  <c:v>-4.6619482795523838E-2</c:v>
                </c:pt>
                <c:pt idx="58">
                  <c:v>-4.7086779012136114E-2</c:v>
                </c:pt>
                <c:pt idx="59">
                  <c:v>-4.1703213995243064E-2</c:v>
                </c:pt>
                <c:pt idx="60">
                  <c:v>-4.2133235276676673E-2</c:v>
                </c:pt>
                <c:pt idx="61">
                  <c:v>-4.2662502612163013E-2</c:v>
                </c:pt>
                <c:pt idx="62">
                  <c:v>-4.3263948501366195E-2</c:v>
                </c:pt>
                <c:pt idx="63">
                  <c:v>-4.0891398048589531E-2</c:v>
                </c:pt>
                <c:pt idx="64">
                  <c:v>-4.0873206801742584E-2</c:v>
                </c:pt>
                <c:pt idx="65">
                  <c:v>-4.0710027975864746E-2</c:v>
                </c:pt>
                <c:pt idx="66">
                  <c:v>-4.1293815638472266E-2</c:v>
                </c:pt>
                <c:pt idx="67">
                  <c:v>-4.1719999680944579E-2</c:v>
                </c:pt>
                <c:pt idx="68">
                  <c:v>-4.2183013992006552E-2</c:v>
                </c:pt>
                <c:pt idx="69">
                  <c:v>-4.2656782979799759E-2</c:v>
                </c:pt>
                <c:pt idx="70">
                  <c:v>-4.2017947699617163E-2</c:v>
                </c:pt>
                <c:pt idx="71">
                  <c:v>-4.2584085470978576E-2</c:v>
                </c:pt>
                <c:pt idx="72">
                  <c:v>-4.1157533361097447E-2</c:v>
                </c:pt>
                <c:pt idx="73">
                  <c:v>-4.1746623202611341E-2</c:v>
                </c:pt>
                <c:pt idx="74">
                  <c:v>-4.1333124680762341E-2</c:v>
                </c:pt>
                <c:pt idx="75">
                  <c:v>-3.9198995038083051E-2</c:v>
                </c:pt>
                <c:pt idx="76">
                  <c:v>-3.9147848949650829E-2</c:v>
                </c:pt>
                <c:pt idx="77">
                  <c:v>-3.9627364914847266E-2</c:v>
                </c:pt>
                <c:pt idx="78">
                  <c:v>-4.0164347738184038E-2</c:v>
                </c:pt>
                <c:pt idx="79">
                  <c:v>-3.7582908490927359E-2</c:v>
                </c:pt>
                <c:pt idx="80">
                  <c:v>-3.7671140000827261E-2</c:v>
                </c:pt>
                <c:pt idx="81">
                  <c:v>-3.6127322989724812E-2</c:v>
                </c:pt>
                <c:pt idx="82">
                  <c:v>-3.652324204794484E-2</c:v>
                </c:pt>
                <c:pt idx="83">
                  <c:v>-3.6069460580987651E-2</c:v>
                </c:pt>
                <c:pt idx="84">
                  <c:v>-3.6557403530488364E-2</c:v>
                </c:pt>
                <c:pt idx="85">
                  <c:v>-3.6938823552336485E-2</c:v>
                </c:pt>
                <c:pt idx="86">
                  <c:v>-3.7353769292650864E-2</c:v>
                </c:pt>
                <c:pt idx="87">
                  <c:v>-3.7815824756655798E-2</c:v>
                </c:pt>
                <c:pt idx="88">
                  <c:v>-3.7725606349096767E-2</c:v>
                </c:pt>
                <c:pt idx="89">
                  <c:v>-3.6157850391192049E-2</c:v>
                </c:pt>
                <c:pt idx="90">
                  <c:v>-3.6659560406058112E-2</c:v>
                </c:pt>
                <c:pt idx="91">
                  <c:v>-3.5974811887312434E-2</c:v>
                </c:pt>
                <c:pt idx="92">
                  <c:v>-3.5926567631158583E-2</c:v>
                </c:pt>
                <c:pt idx="93">
                  <c:v>-3.6423351620046659E-2</c:v>
                </c:pt>
                <c:pt idx="94">
                  <c:v>-3.681067959687355E-2</c:v>
                </c:pt>
                <c:pt idx="95">
                  <c:v>-3.7207437254683527E-2</c:v>
                </c:pt>
                <c:pt idx="96">
                  <c:v>-3.7041557532692095E-2</c:v>
                </c:pt>
                <c:pt idx="97">
                  <c:v>-3.511666747098028E-2</c:v>
                </c:pt>
                <c:pt idx="98">
                  <c:v>-3.4748505467953404E-2</c:v>
                </c:pt>
                <c:pt idx="99">
                  <c:v>-3.445991855880437E-2</c:v>
                </c:pt>
                <c:pt idx="100">
                  <c:v>-3.4690215551088088E-2</c:v>
                </c:pt>
                <c:pt idx="101">
                  <c:v>-3.4501143710818298E-2</c:v>
                </c:pt>
                <c:pt idx="102">
                  <c:v>-3.4995895079109322E-2</c:v>
                </c:pt>
                <c:pt idx="103">
                  <c:v>-3.4622389894190572E-2</c:v>
                </c:pt>
                <c:pt idx="104">
                  <c:v>-3.2850031368375089E-2</c:v>
                </c:pt>
                <c:pt idx="105">
                  <c:v>-3.3299015094313156E-2</c:v>
                </c:pt>
                <c:pt idx="106">
                  <c:v>-3.3517470581113464E-2</c:v>
                </c:pt>
                <c:pt idx="107">
                  <c:v>-3.3509312592143743E-2</c:v>
                </c:pt>
                <c:pt idx="108">
                  <c:v>-3.3855078921479667E-2</c:v>
                </c:pt>
                <c:pt idx="109">
                  <c:v>-3.4079011021607222E-2</c:v>
                </c:pt>
                <c:pt idx="110">
                  <c:v>-3.4559611512933422E-2</c:v>
                </c:pt>
                <c:pt idx="111">
                  <c:v>-3.4924937649459947E-2</c:v>
                </c:pt>
                <c:pt idx="112">
                  <c:v>-3.4841262006841851E-2</c:v>
                </c:pt>
                <c:pt idx="113">
                  <c:v>-3.5325921889636312E-2</c:v>
                </c:pt>
                <c:pt idx="114">
                  <c:v>-3.2861338673914421E-2</c:v>
                </c:pt>
                <c:pt idx="115">
                  <c:v>-3.3220487616250002E-2</c:v>
                </c:pt>
                <c:pt idx="116">
                  <c:v>-3.3603916092792306E-2</c:v>
                </c:pt>
                <c:pt idx="117">
                  <c:v>-3.257268511441281E-2</c:v>
                </c:pt>
                <c:pt idx="118">
                  <c:v>-3.2940783978623253E-2</c:v>
                </c:pt>
                <c:pt idx="119">
                  <c:v>-3.2819309520285923E-2</c:v>
                </c:pt>
                <c:pt idx="120">
                  <c:v>-3.3274726747747764E-2</c:v>
                </c:pt>
                <c:pt idx="121">
                  <c:v>-3.3563689233215822E-2</c:v>
                </c:pt>
                <c:pt idx="122">
                  <c:v>-3.3200371382329327E-2</c:v>
                </c:pt>
                <c:pt idx="123">
                  <c:v>-3.3574493383286087E-2</c:v>
                </c:pt>
                <c:pt idx="124">
                  <c:v>-3.3953545834096759E-2</c:v>
                </c:pt>
                <c:pt idx="125">
                  <c:v>-3.4436412263252301E-2</c:v>
                </c:pt>
                <c:pt idx="126">
                  <c:v>-3.4597453774844675E-2</c:v>
                </c:pt>
                <c:pt idx="127">
                  <c:v>-3.5012232225453362E-2</c:v>
                </c:pt>
                <c:pt idx="128">
                  <c:v>-3.5505347713214661E-2</c:v>
                </c:pt>
                <c:pt idx="129">
                  <c:v>-3.5998879654504316E-2</c:v>
                </c:pt>
                <c:pt idx="130">
                  <c:v>-3.6228248926889459E-2</c:v>
                </c:pt>
                <c:pt idx="131">
                  <c:v>-3.6296997188811374E-2</c:v>
                </c:pt>
                <c:pt idx="132">
                  <c:v>-3.6622648152098487E-2</c:v>
                </c:pt>
                <c:pt idx="133">
                  <c:v>-3.7143903655197874E-2</c:v>
                </c:pt>
                <c:pt idx="134">
                  <c:v>-3.7534516766146241E-2</c:v>
                </c:pt>
                <c:pt idx="135">
                  <c:v>-3.8057275352132665E-2</c:v>
                </c:pt>
                <c:pt idx="136">
                  <c:v>-3.8318403800029696E-2</c:v>
                </c:pt>
                <c:pt idx="137">
                  <c:v>-3.8699312745227421E-2</c:v>
                </c:pt>
                <c:pt idx="138">
                  <c:v>-3.8976214771799716E-2</c:v>
                </c:pt>
                <c:pt idx="139">
                  <c:v>-3.6743556442182176E-2</c:v>
                </c:pt>
                <c:pt idx="140">
                  <c:v>-3.7266085653062539E-2</c:v>
                </c:pt>
                <c:pt idx="141">
                  <c:v>-3.7351228831040466E-2</c:v>
                </c:pt>
                <c:pt idx="142">
                  <c:v>-3.759258079759259E-2</c:v>
                </c:pt>
                <c:pt idx="143">
                  <c:v>-3.7704706708854459E-2</c:v>
                </c:pt>
                <c:pt idx="144">
                  <c:v>-3.4869641619709658E-2</c:v>
                </c:pt>
                <c:pt idx="145">
                  <c:v>-3.4875044494698894E-2</c:v>
                </c:pt>
                <c:pt idx="146">
                  <c:v>-3.536518331107634E-2</c:v>
                </c:pt>
                <c:pt idx="147">
                  <c:v>-3.5854721081106856E-2</c:v>
                </c:pt>
                <c:pt idx="148">
                  <c:v>-3.618103441727024E-2</c:v>
                </c:pt>
                <c:pt idx="149">
                  <c:v>-3.6609419237953994E-2</c:v>
                </c:pt>
                <c:pt idx="150">
                  <c:v>-3.6662017602721662E-2</c:v>
                </c:pt>
                <c:pt idx="151">
                  <c:v>-3.6488566578557015E-2</c:v>
                </c:pt>
                <c:pt idx="152">
                  <c:v>-3.6984204836192094E-2</c:v>
                </c:pt>
                <c:pt idx="153">
                  <c:v>-3.7504708886236561E-2</c:v>
                </c:pt>
                <c:pt idx="154">
                  <c:v>-3.7622563907384485E-2</c:v>
                </c:pt>
                <c:pt idx="155">
                  <c:v>-3.8157927024942487E-2</c:v>
                </c:pt>
                <c:pt idx="156">
                  <c:v>-3.8036726398635722E-2</c:v>
                </c:pt>
                <c:pt idx="157">
                  <c:v>-3.8547104463096837E-2</c:v>
                </c:pt>
                <c:pt idx="158">
                  <c:v>-3.89152769144109E-2</c:v>
                </c:pt>
                <c:pt idx="159">
                  <c:v>-3.9458337817273655E-2</c:v>
                </c:pt>
                <c:pt idx="160">
                  <c:v>-3.9678823453760108E-2</c:v>
                </c:pt>
                <c:pt idx="161">
                  <c:v>-3.9212061505215966E-2</c:v>
                </c:pt>
                <c:pt idx="162">
                  <c:v>-3.9725403548677783E-2</c:v>
                </c:pt>
                <c:pt idx="163">
                  <c:v>-4.0259212596279154E-2</c:v>
                </c:pt>
                <c:pt idx="164">
                  <c:v>-4.0755670773401698E-2</c:v>
                </c:pt>
                <c:pt idx="165">
                  <c:v>-4.0692609486512245E-2</c:v>
                </c:pt>
                <c:pt idx="166">
                  <c:v>-3.8488607480306476E-2</c:v>
                </c:pt>
                <c:pt idx="167">
                  <c:v>-3.9029806376242739E-2</c:v>
                </c:pt>
                <c:pt idx="168">
                  <c:v>-3.6074452609341875E-2</c:v>
                </c:pt>
                <c:pt idx="169">
                  <c:v>-3.6590370827073414E-2</c:v>
                </c:pt>
                <c:pt idx="170">
                  <c:v>-3.7025639985042547E-2</c:v>
                </c:pt>
                <c:pt idx="171">
                  <c:v>-3.5938610181321697E-2</c:v>
                </c:pt>
                <c:pt idx="172">
                  <c:v>-3.6078976740917423E-2</c:v>
                </c:pt>
                <c:pt idx="173">
                  <c:v>-3.6591229119016216E-2</c:v>
                </c:pt>
                <c:pt idx="174">
                  <c:v>-3.6929570032619943E-2</c:v>
                </c:pt>
                <c:pt idx="175">
                  <c:v>-3.7397202817130291E-2</c:v>
                </c:pt>
                <c:pt idx="176">
                  <c:v>-3.7056937120247768E-2</c:v>
                </c:pt>
                <c:pt idx="177">
                  <c:v>-3.7209892592939123E-2</c:v>
                </c:pt>
                <c:pt idx="178">
                  <c:v>-3.7521410626187288E-2</c:v>
                </c:pt>
                <c:pt idx="179">
                  <c:v>-3.8031212029022508E-2</c:v>
                </c:pt>
                <c:pt idx="180">
                  <c:v>-3.8536009491722423E-2</c:v>
                </c:pt>
                <c:pt idx="181">
                  <c:v>-3.897532835053967E-2</c:v>
                </c:pt>
                <c:pt idx="182">
                  <c:v>-3.9254758181895902E-2</c:v>
                </c:pt>
                <c:pt idx="183">
                  <c:v>-3.9790896452915184E-2</c:v>
                </c:pt>
                <c:pt idx="184">
                  <c:v>-4.0292894404400037E-2</c:v>
                </c:pt>
                <c:pt idx="185">
                  <c:v>-3.9336340477849549E-2</c:v>
                </c:pt>
                <c:pt idx="186">
                  <c:v>-3.8788769946093392E-2</c:v>
                </c:pt>
                <c:pt idx="187">
                  <c:v>-3.9327752078370935E-2</c:v>
                </c:pt>
                <c:pt idx="188">
                  <c:v>-3.8396411317741908E-2</c:v>
                </c:pt>
                <c:pt idx="189">
                  <c:v>-3.894236616521949E-2</c:v>
                </c:pt>
                <c:pt idx="190">
                  <c:v>-3.9138960554721054E-2</c:v>
                </c:pt>
                <c:pt idx="191">
                  <c:v>-3.3636684611015731E-2</c:v>
                </c:pt>
                <c:pt idx="192">
                  <c:v>-3.3629097216067758E-2</c:v>
                </c:pt>
                <c:pt idx="193">
                  <c:v>-3.3987396456763255E-2</c:v>
                </c:pt>
                <c:pt idx="194">
                  <c:v>-3.4468711748862145E-2</c:v>
                </c:pt>
                <c:pt idx="195">
                  <c:v>-3.4777653838077807E-2</c:v>
                </c:pt>
                <c:pt idx="196">
                  <c:v>-3.5262661526528565E-2</c:v>
                </c:pt>
                <c:pt idx="197">
                  <c:v>-3.5620687224504156E-2</c:v>
                </c:pt>
                <c:pt idx="198">
                  <c:v>-3.5767412466652972E-2</c:v>
                </c:pt>
                <c:pt idx="199">
                  <c:v>-3.6274706149952422E-2</c:v>
                </c:pt>
                <c:pt idx="200">
                  <c:v>-3.6309319864782454E-2</c:v>
                </c:pt>
                <c:pt idx="201">
                  <c:v>-3.6796302249795868E-2</c:v>
                </c:pt>
                <c:pt idx="202">
                  <c:v>-3.7290403946657454E-2</c:v>
                </c:pt>
                <c:pt idx="203">
                  <c:v>-3.3077713259215234E-2</c:v>
                </c:pt>
                <c:pt idx="204">
                  <c:v>-3.3165488459641512E-2</c:v>
                </c:pt>
                <c:pt idx="205">
                  <c:v>-3.2767828865870263E-2</c:v>
                </c:pt>
                <c:pt idx="206">
                  <c:v>-3.2128331050346827E-2</c:v>
                </c:pt>
                <c:pt idx="207">
                  <c:v>-3.1911569736031299E-2</c:v>
                </c:pt>
                <c:pt idx="208">
                  <c:v>-3.2361675449582288E-2</c:v>
                </c:pt>
                <c:pt idx="209">
                  <c:v>-3.2471164143501013E-2</c:v>
                </c:pt>
                <c:pt idx="210">
                  <c:v>-3.2753286301606684E-2</c:v>
                </c:pt>
                <c:pt idx="211">
                  <c:v>-3.3072935188009668E-2</c:v>
                </c:pt>
                <c:pt idx="212">
                  <c:v>-3.1040464291407856E-2</c:v>
                </c:pt>
                <c:pt idx="213">
                  <c:v>-3.1118672489371679E-2</c:v>
                </c:pt>
                <c:pt idx="214">
                  <c:v>-3.1556342695458248E-2</c:v>
                </c:pt>
                <c:pt idx="215">
                  <c:v>-3.1267575286443312E-2</c:v>
                </c:pt>
                <c:pt idx="216">
                  <c:v>-3.1506007223468843E-2</c:v>
                </c:pt>
                <c:pt idx="217">
                  <c:v>-3.1955726665752082E-2</c:v>
                </c:pt>
                <c:pt idx="218">
                  <c:v>-3.1996762516268554E-2</c:v>
                </c:pt>
                <c:pt idx="219">
                  <c:v>-3.2157872602476385E-2</c:v>
                </c:pt>
                <c:pt idx="220">
                  <c:v>-3.2409093548538027E-2</c:v>
                </c:pt>
                <c:pt idx="221">
                  <c:v>-3.2290188533411368E-2</c:v>
                </c:pt>
                <c:pt idx="222">
                  <c:v>-3.2656103309403106E-2</c:v>
                </c:pt>
                <c:pt idx="223">
                  <c:v>-3.2380181576457813E-2</c:v>
                </c:pt>
                <c:pt idx="224">
                  <c:v>-3.0553703914509827E-2</c:v>
                </c:pt>
                <c:pt idx="225">
                  <c:v>-3.0893809596543163E-2</c:v>
                </c:pt>
                <c:pt idx="226">
                  <c:v>-3.1304941451149419E-2</c:v>
                </c:pt>
                <c:pt idx="227">
                  <c:v>-2.9557808213041201E-2</c:v>
                </c:pt>
                <c:pt idx="228">
                  <c:v>-2.9433994703853047E-2</c:v>
                </c:pt>
                <c:pt idx="229">
                  <c:v>-2.7574813700858587E-2</c:v>
                </c:pt>
                <c:pt idx="230">
                  <c:v>-2.3466586192295108E-2</c:v>
                </c:pt>
                <c:pt idx="231">
                  <c:v>-2.2359282227667795E-2</c:v>
                </c:pt>
                <c:pt idx="232">
                  <c:v>-2.1506701896860637E-2</c:v>
                </c:pt>
                <c:pt idx="233">
                  <c:v>-2.1599591917309292E-2</c:v>
                </c:pt>
                <c:pt idx="234">
                  <c:v>-2.0593312940633126E-2</c:v>
                </c:pt>
                <c:pt idx="235">
                  <c:v>-2.0834524661637047E-2</c:v>
                </c:pt>
                <c:pt idx="236">
                  <c:v>-2.0804214746179668E-2</c:v>
                </c:pt>
                <c:pt idx="237">
                  <c:v>-1.8134813359348429E-2</c:v>
                </c:pt>
                <c:pt idx="238">
                  <c:v>-1.8362987834606492E-2</c:v>
                </c:pt>
                <c:pt idx="239">
                  <c:v>-1.7371647770674081E-2</c:v>
                </c:pt>
                <c:pt idx="240">
                  <c:v>-1.620080465140852E-2</c:v>
                </c:pt>
                <c:pt idx="241">
                  <c:v>-1.5436447326116185E-2</c:v>
                </c:pt>
                <c:pt idx="242">
                  <c:v>-1.5181901563809636E-2</c:v>
                </c:pt>
                <c:pt idx="243">
                  <c:v>-1.5071142627872276E-2</c:v>
                </c:pt>
                <c:pt idx="244">
                  <c:v>-1.3968372813679056E-2</c:v>
                </c:pt>
                <c:pt idx="245">
                  <c:v>-1.3750663342103352E-2</c:v>
                </c:pt>
                <c:pt idx="246">
                  <c:v>-1.3909916660314775E-2</c:v>
                </c:pt>
                <c:pt idx="247">
                  <c:v>-7.5747180230786235E-3</c:v>
                </c:pt>
                <c:pt idx="248">
                  <c:v>-7.6547158499618755E-3</c:v>
                </c:pt>
                <c:pt idx="249">
                  <c:v>-7.7574003450902743E-3</c:v>
                </c:pt>
                <c:pt idx="250">
                  <c:v>-3.3713446895321342E-3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5-4377-8128-307132A2EE3A}"/>
            </c:ext>
          </c:extLst>
        </c:ser>
        <c:ser>
          <c:idx val="2"/>
          <c:order val="2"/>
          <c:tx>
            <c:v>"+volatilidad"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Dinámica!$N$8:$N$259</c:f>
              <c:numCache>
                <c:formatCode>0.00%</c:formatCode>
                <c:ptCount val="252"/>
                <c:pt idx="0">
                  <c:v>3.7808392226061228E-2</c:v>
                </c:pt>
                <c:pt idx="1">
                  <c:v>3.8290769656109794E-2</c:v>
                </c:pt>
                <c:pt idx="2">
                  <c:v>3.8693983998227884E-2</c:v>
                </c:pt>
                <c:pt idx="3">
                  <c:v>3.9055858812697491E-2</c:v>
                </c:pt>
                <c:pt idx="4">
                  <c:v>3.5987485190087702E-2</c:v>
                </c:pt>
                <c:pt idx="5">
                  <c:v>3.5768691105637199E-2</c:v>
                </c:pt>
                <c:pt idx="6">
                  <c:v>3.5669991015789104E-2</c:v>
                </c:pt>
                <c:pt idx="7">
                  <c:v>3.6180532285416921E-2</c:v>
                </c:pt>
                <c:pt idx="8">
                  <c:v>3.6637241297534803E-2</c:v>
                </c:pt>
                <c:pt idx="9">
                  <c:v>3.7048532342059723E-2</c:v>
                </c:pt>
                <c:pt idx="10">
                  <c:v>3.7556348802336881E-2</c:v>
                </c:pt>
                <c:pt idx="11">
                  <c:v>3.7489045634804152E-2</c:v>
                </c:pt>
                <c:pt idx="12">
                  <c:v>3.7803450329949043E-2</c:v>
                </c:pt>
                <c:pt idx="13">
                  <c:v>3.8345557250624808E-2</c:v>
                </c:pt>
                <c:pt idx="14">
                  <c:v>3.8811631634853683E-2</c:v>
                </c:pt>
                <c:pt idx="15">
                  <c:v>3.9266310403314332E-2</c:v>
                </c:pt>
                <c:pt idx="16">
                  <c:v>3.9685856882517877E-2</c:v>
                </c:pt>
                <c:pt idx="17">
                  <c:v>4.020057221472035E-2</c:v>
                </c:pt>
                <c:pt idx="18">
                  <c:v>3.9804337904706881E-2</c:v>
                </c:pt>
                <c:pt idx="19">
                  <c:v>4.0374247885207958E-2</c:v>
                </c:pt>
                <c:pt idx="20">
                  <c:v>4.0089354511417992E-2</c:v>
                </c:pt>
                <c:pt idx="21">
                  <c:v>4.0268872722257813E-2</c:v>
                </c:pt>
                <c:pt idx="22">
                  <c:v>4.0530980465587334E-2</c:v>
                </c:pt>
                <c:pt idx="23">
                  <c:v>4.0245097417164491E-2</c:v>
                </c:pt>
                <c:pt idx="24">
                  <c:v>4.0815519535610287E-2</c:v>
                </c:pt>
                <c:pt idx="25">
                  <c:v>4.1278933528139654E-2</c:v>
                </c:pt>
                <c:pt idx="26">
                  <c:v>4.1659435732834822E-2</c:v>
                </c:pt>
                <c:pt idx="27">
                  <c:v>4.1571104415020974E-2</c:v>
                </c:pt>
                <c:pt idx="28">
                  <c:v>4.2000243807269827E-2</c:v>
                </c:pt>
                <c:pt idx="29">
                  <c:v>4.2601799097682427E-2</c:v>
                </c:pt>
                <c:pt idx="30">
                  <c:v>4.3176861852249414E-2</c:v>
                </c:pt>
                <c:pt idx="31">
                  <c:v>4.3793146083776817E-2</c:v>
                </c:pt>
                <c:pt idx="32">
                  <c:v>4.098082239457379E-2</c:v>
                </c:pt>
                <c:pt idx="33">
                  <c:v>3.9708273942329925E-2</c:v>
                </c:pt>
                <c:pt idx="34">
                  <c:v>4.016337486870096E-2</c:v>
                </c:pt>
                <c:pt idx="35">
                  <c:v>4.0644403864249445E-2</c:v>
                </c:pt>
                <c:pt idx="36">
                  <c:v>4.1150162640102184E-2</c:v>
                </c:pt>
                <c:pt idx="37">
                  <c:v>4.1740261897165502E-2</c:v>
                </c:pt>
                <c:pt idx="38">
                  <c:v>4.2046540786824585E-2</c:v>
                </c:pt>
                <c:pt idx="39">
                  <c:v>4.2648603229193428E-2</c:v>
                </c:pt>
                <c:pt idx="40">
                  <c:v>4.2636018066352026E-2</c:v>
                </c:pt>
                <c:pt idx="41">
                  <c:v>4.3239130260749742E-2</c:v>
                </c:pt>
                <c:pt idx="42">
                  <c:v>4.2357312315019498E-2</c:v>
                </c:pt>
                <c:pt idx="43">
                  <c:v>4.2818825331319206E-2</c:v>
                </c:pt>
                <c:pt idx="44">
                  <c:v>4.2127331673760302E-2</c:v>
                </c:pt>
                <c:pt idx="45">
                  <c:v>4.269671050847642E-2</c:v>
                </c:pt>
                <c:pt idx="46">
                  <c:v>4.2989915299664429E-2</c:v>
                </c:pt>
                <c:pt idx="47">
                  <c:v>4.3445024370190398E-2</c:v>
                </c:pt>
                <c:pt idx="48">
                  <c:v>4.3405967873773356E-2</c:v>
                </c:pt>
                <c:pt idx="49">
                  <c:v>4.3790565262070411E-2</c:v>
                </c:pt>
                <c:pt idx="50">
                  <c:v>4.3676219007136148E-2</c:v>
                </c:pt>
                <c:pt idx="51">
                  <c:v>4.4083125153644258E-2</c:v>
                </c:pt>
                <c:pt idx="52">
                  <c:v>4.4204919480008091E-2</c:v>
                </c:pt>
                <c:pt idx="53">
                  <c:v>4.4645538238138112E-2</c:v>
                </c:pt>
                <c:pt idx="54">
                  <c:v>4.5272268044960887E-2</c:v>
                </c:pt>
                <c:pt idx="55">
                  <c:v>4.5777702886433395E-2</c:v>
                </c:pt>
                <c:pt idx="56">
                  <c:v>4.6085516377922464E-2</c:v>
                </c:pt>
                <c:pt idx="57">
                  <c:v>4.6619482795523838E-2</c:v>
                </c:pt>
                <c:pt idx="58">
                  <c:v>4.7086779012136114E-2</c:v>
                </c:pt>
                <c:pt idx="59">
                  <c:v>4.1703213995243064E-2</c:v>
                </c:pt>
                <c:pt idx="60">
                  <c:v>4.2133235276676673E-2</c:v>
                </c:pt>
                <c:pt idx="61">
                  <c:v>4.2662502612163013E-2</c:v>
                </c:pt>
                <c:pt idx="62">
                  <c:v>4.3263948501366195E-2</c:v>
                </c:pt>
                <c:pt idx="63">
                  <c:v>4.0891398048589531E-2</c:v>
                </c:pt>
                <c:pt idx="64">
                  <c:v>4.0873206801742584E-2</c:v>
                </c:pt>
                <c:pt idx="65">
                  <c:v>4.0710027975864746E-2</c:v>
                </c:pt>
                <c:pt idx="66">
                  <c:v>4.1293815638472266E-2</c:v>
                </c:pt>
                <c:pt idx="67">
                  <c:v>4.1719999680944579E-2</c:v>
                </c:pt>
                <c:pt idx="68">
                  <c:v>4.2183013992006552E-2</c:v>
                </c:pt>
                <c:pt idx="69">
                  <c:v>4.2656782979799759E-2</c:v>
                </c:pt>
                <c:pt idx="70">
                  <c:v>4.2017947699617163E-2</c:v>
                </c:pt>
                <c:pt idx="71">
                  <c:v>4.2584085470978576E-2</c:v>
                </c:pt>
                <c:pt idx="72">
                  <c:v>4.1157533361097447E-2</c:v>
                </c:pt>
                <c:pt idx="73">
                  <c:v>4.1746623202611341E-2</c:v>
                </c:pt>
                <c:pt idx="74">
                  <c:v>4.1333124680762341E-2</c:v>
                </c:pt>
                <c:pt idx="75">
                  <c:v>3.9198995038083051E-2</c:v>
                </c:pt>
                <c:pt idx="76">
                  <c:v>3.9147848949650829E-2</c:v>
                </c:pt>
                <c:pt idx="77">
                  <c:v>3.9627364914847266E-2</c:v>
                </c:pt>
                <c:pt idx="78">
                  <c:v>4.0164347738184038E-2</c:v>
                </c:pt>
                <c:pt idx="79">
                  <c:v>3.7582908490927359E-2</c:v>
                </c:pt>
                <c:pt idx="80">
                  <c:v>3.7671140000827261E-2</c:v>
                </c:pt>
                <c:pt idx="81">
                  <c:v>3.6127322989724812E-2</c:v>
                </c:pt>
                <c:pt idx="82">
                  <c:v>3.652324204794484E-2</c:v>
                </c:pt>
                <c:pt idx="83">
                  <c:v>3.6069460580987651E-2</c:v>
                </c:pt>
                <c:pt idx="84">
                  <c:v>3.6557403530488364E-2</c:v>
                </c:pt>
                <c:pt idx="85">
                  <c:v>3.6938823552336485E-2</c:v>
                </c:pt>
                <c:pt idx="86">
                  <c:v>3.7353769292650864E-2</c:v>
                </c:pt>
                <c:pt idx="87">
                  <c:v>3.7815824756655798E-2</c:v>
                </c:pt>
                <c:pt idx="88">
                  <c:v>3.7725606349096767E-2</c:v>
                </c:pt>
                <c:pt idx="89">
                  <c:v>3.6157850391192049E-2</c:v>
                </c:pt>
                <c:pt idx="90">
                  <c:v>3.6659560406058112E-2</c:v>
                </c:pt>
                <c:pt idx="91">
                  <c:v>3.5974811887312434E-2</c:v>
                </c:pt>
                <c:pt idx="92">
                  <c:v>3.5926567631158583E-2</c:v>
                </c:pt>
                <c:pt idx="93">
                  <c:v>3.6423351620046659E-2</c:v>
                </c:pt>
                <c:pt idx="94">
                  <c:v>3.681067959687355E-2</c:v>
                </c:pt>
                <c:pt idx="95">
                  <c:v>3.7207437254683527E-2</c:v>
                </c:pt>
                <c:pt idx="96">
                  <c:v>3.7041557532692095E-2</c:v>
                </c:pt>
                <c:pt idx="97">
                  <c:v>3.511666747098028E-2</c:v>
                </c:pt>
                <c:pt idx="98">
                  <c:v>3.4748505467953404E-2</c:v>
                </c:pt>
                <c:pt idx="99">
                  <c:v>3.445991855880437E-2</c:v>
                </c:pt>
                <c:pt idx="100">
                  <c:v>3.4690215551088088E-2</c:v>
                </c:pt>
                <c:pt idx="101">
                  <c:v>3.4501143710818298E-2</c:v>
                </c:pt>
                <c:pt idx="102">
                  <c:v>3.4995895079109322E-2</c:v>
                </c:pt>
                <c:pt idx="103">
                  <c:v>3.4622389894190572E-2</c:v>
                </c:pt>
                <c:pt idx="104">
                  <c:v>3.2850031368375089E-2</c:v>
                </c:pt>
                <c:pt idx="105">
                  <c:v>3.3299015094313156E-2</c:v>
                </c:pt>
                <c:pt idx="106">
                  <c:v>3.3517470581113464E-2</c:v>
                </c:pt>
                <c:pt idx="107">
                  <c:v>3.3509312592143743E-2</c:v>
                </c:pt>
                <c:pt idx="108">
                  <c:v>3.3855078921479667E-2</c:v>
                </c:pt>
                <c:pt idx="109">
                  <c:v>3.4079011021607222E-2</c:v>
                </c:pt>
                <c:pt idx="110">
                  <c:v>3.4559611512933422E-2</c:v>
                </c:pt>
                <c:pt idx="111">
                  <c:v>3.4924937649459947E-2</c:v>
                </c:pt>
                <c:pt idx="112">
                  <c:v>3.4841262006841851E-2</c:v>
                </c:pt>
                <c:pt idx="113">
                  <c:v>3.5325921889636312E-2</c:v>
                </c:pt>
                <c:pt idx="114">
                  <c:v>3.2861338673914421E-2</c:v>
                </c:pt>
                <c:pt idx="115">
                  <c:v>3.3220487616250002E-2</c:v>
                </c:pt>
                <c:pt idx="116">
                  <c:v>3.3603916092792306E-2</c:v>
                </c:pt>
                <c:pt idx="117">
                  <c:v>3.257268511441281E-2</c:v>
                </c:pt>
                <c:pt idx="118">
                  <c:v>3.2940783978623253E-2</c:v>
                </c:pt>
                <c:pt idx="119">
                  <c:v>3.2819309520285923E-2</c:v>
                </c:pt>
                <c:pt idx="120">
                  <c:v>3.3274726747747764E-2</c:v>
                </c:pt>
                <c:pt idx="121">
                  <c:v>3.3563689233215822E-2</c:v>
                </c:pt>
                <c:pt idx="122">
                  <c:v>3.3200371382329327E-2</c:v>
                </c:pt>
                <c:pt idx="123">
                  <c:v>3.3574493383286087E-2</c:v>
                </c:pt>
                <c:pt idx="124">
                  <c:v>3.3953545834096759E-2</c:v>
                </c:pt>
                <c:pt idx="125">
                  <c:v>3.4436412263252301E-2</c:v>
                </c:pt>
                <c:pt idx="126">
                  <c:v>3.4597453774844675E-2</c:v>
                </c:pt>
                <c:pt idx="127">
                  <c:v>3.5012232225453362E-2</c:v>
                </c:pt>
                <c:pt idx="128">
                  <c:v>3.5505347713214661E-2</c:v>
                </c:pt>
                <c:pt idx="129">
                  <c:v>3.5998879654504316E-2</c:v>
                </c:pt>
                <c:pt idx="130">
                  <c:v>3.6228248926889459E-2</c:v>
                </c:pt>
                <c:pt idx="131">
                  <c:v>3.6296997188811374E-2</c:v>
                </c:pt>
                <c:pt idx="132">
                  <c:v>3.6622648152098487E-2</c:v>
                </c:pt>
                <c:pt idx="133">
                  <c:v>3.7143903655197874E-2</c:v>
                </c:pt>
                <c:pt idx="134">
                  <c:v>3.7534516766146241E-2</c:v>
                </c:pt>
                <c:pt idx="135">
                  <c:v>3.8057275352132665E-2</c:v>
                </c:pt>
                <c:pt idx="136">
                  <c:v>3.8318403800029696E-2</c:v>
                </c:pt>
                <c:pt idx="137">
                  <c:v>3.8699312745227421E-2</c:v>
                </c:pt>
                <c:pt idx="138">
                  <c:v>3.8976214771799716E-2</c:v>
                </c:pt>
                <c:pt idx="139">
                  <c:v>3.6743556442182176E-2</c:v>
                </c:pt>
                <c:pt idx="140">
                  <c:v>3.7266085653062539E-2</c:v>
                </c:pt>
                <c:pt idx="141">
                  <c:v>3.7351228831040466E-2</c:v>
                </c:pt>
                <c:pt idx="142">
                  <c:v>3.759258079759259E-2</c:v>
                </c:pt>
                <c:pt idx="143">
                  <c:v>3.7704706708854459E-2</c:v>
                </c:pt>
                <c:pt idx="144">
                  <c:v>3.4869641619709658E-2</c:v>
                </c:pt>
                <c:pt idx="145">
                  <c:v>3.4875044494698894E-2</c:v>
                </c:pt>
                <c:pt idx="146">
                  <c:v>3.536518331107634E-2</c:v>
                </c:pt>
                <c:pt idx="147">
                  <c:v>3.5854721081106856E-2</c:v>
                </c:pt>
                <c:pt idx="148">
                  <c:v>3.618103441727024E-2</c:v>
                </c:pt>
                <c:pt idx="149">
                  <c:v>3.6609419237953994E-2</c:v>
                </c:pt>
                <c:pt idx="150">
                  <c:v>3.6662017602721662E-2</c:v>
                </c:pt>
                <c:pt idx="151">
                  <c:v>3.6488566578557015E-2</c:v>
                </c:pt>
                <c:pt idx="152">
                  <c:v>3.6984204836192094E-2</c:v>
                </c:pt>
                <c:pt idx="153">
                  <c:v>3.7504708886236561E-2</c:v>
                </c:pt>
                <c:pt idx="154">
                  <c:v>3.7622563907384485E-2</c:v>
                </c:pt>
                <c:pt idx="155">
                  <c:v>3.8157927024942487E-2</c:v>
                </c:pt>
                <c:pt idx="156">
                  <c:v>3.8036726398635722E-2</c:v>
                </c:pt>
                <c:pt idx="157">
                  <c:v>3.8547104463096837E-2</c:v>
                </c:pt>
                <c:pt idx="158">
                  <c:v>3.89152769144109E-2</c:v>
                </c:pt>
                <c:pt idx="159">
                  <c:v>3.9458337817273655E-2</c:v>
                </c:pt>
                <c:pt idx="160">
                  <c:v>3.9678823453760108E-2</c:v>
                </c:pt>
                <c:pt idx="161">
                  <c:v>3.9212061505215966E-2</c:v>
                </c:pt>
                <c:pt idx="162">
                  <c:v>3.9725403548677783E-2</c:v>
                </c:pt>
                <c:pt idx="163">
                  <c:v>4.0259212596279154E-2</c:v>
                </c:pt>
                <c:pt idx="164">
                  <c:v>4.0755670773401698E-2</c:v>
                </c:pt>
                <c:pt idx="165">
                  <c:v>4.0692609486512245E-2</c:v>
                </c:pt>
                <c:pt idx="166">
                  <c:v>3.8488607480306476E-2</c:v>
                </c:pt>
                <c:pt idx="167">
                  <c:v>3.9029806376242739E-2</c:v>
                </c:pt>
                <c:pt idx="168">
                  <c:v>3.6074452609341875E-2</c:v>
                </c:pt>
                <c:pt idx="169">
                  <c:v>3.6590370827073414E-2</c:v>
                </c:pt>
                <c:pt idx="170">
                  <c:v>3.7025639985042547E-2</c:v>
                </c:pt>
                <c:pt idx="171">
                  <c:v>3.5938610181321697E-2</c:v>
                </c:pt>
                <c:pt idx="172">
                  <c:v>3.6078976740917423E-2</c:v>
                </c:pt>
                <c:pt idx="173">
                  <c:v>3.6591229119016216E-2</c:v>
                </c:pt>
                <c:pt idx="174">
                  <c:v>3.6929570032619943E-2</c:v>
                </c:pt>
                <c:pt idx="175">
                  <c:v>3.7397202817130291E-2</c:v>
                </c:pt>
                <c:pt idx="176">
                  <c:v>3.7056937120247768E-2</c:v>
                </c:pt>
                <c:pt idx="177">
                  <c:v>3.7209892592939123E-2</c:v>
                </c:pt>
                <c:pt idx="178">
                  <c:v>3.7521410626187288E-2</c:v>
                </c:pt>
                <c:pt idx="179">
                  <c:v>3.8031212029022508E-2</c:v>
                </c:pt>
                <c:pt idx="180">
                  <c:v>3.8536009491722423E-2</c:v>
                </c:pt>
                <c:pt idx="181">
                  <c:v>3.897532835053967E-2</c:v>
                </c:pt>
                <c:pt idx="182">
                  <c:v>3.9254758181895902E-2</c:v>
                </c:pt>
                <c:pt idx="183">
                  <c:v>3.9790896452915184E-2</c:v>
                </c:pt>
                <c:pt idx="184">
                  <c:v>4.0292894404400037E-2</c:v>
                </c:pt>
                <c:pt idx="185">
                  <c:v>3.9336340477849549E-2</c:v>
                </c:pt>
                <c:pt idx="186">
                  <c:v>3.8788769946093392E-2</c:v>
                </c:pt>
                <c:pt idx="187">
                  <c:v>3.9327752078370935E-2</c:v>
                </c:pt>
                <c:pt idx="188">
                  <c:v>3.8396411317741908E-2</c:v>
                </c:pt>
                <c:pt idx="189">
                  <c:v>3.894236616521949E-2</c:v>
                </c:pt>
                <c:pt idx="190">
                  <c:v>3.9138960554721054E-2</c:v>
                </c:pt>
                <c:pt idx="191">
                  <c:v>3.3636684611015731E-2</c:v>
                </c:pt>
                <c:pt idx="192">
                  <c:v>3.3629097216067758E-2</c:v>
                </c:pt>
                <c:pt idx="193">
                  <c:v>3.3987396456763255E-2</c:v>
                </c:pt>
                <c:pt idx="194">
                  <c:v>3.4468711748862145E-2</c:v>
                </c:pt>
                <c:pt idx="195">
                  <c:v>3.4777653838077807E-2</c:v>
                </c:pt>
                <c:pt idx="196">
                  <c:v>3.5262661526528565E-2</c:v>
                </c:pt>
                <c:pt idx="197">
                  <c:v>3.5620687224504156E-2</c:v>
                </c:pt>
                <c:pt idx="198">
                  <c:v>3.5767412466652972E-2</c:v>
                </c:pt>
                <c:pt idx="199">
                  <c:v>3.6274706149952422E-2</c:v>
                </c:pt>
                <c:pt idx="200">
                  <c:v>3.6309319864782454E-2</c:v>
                </c:pt>
                <c:pt idx="201">
                  <c:v>3.6796302249795868E-2</c:v>
                </c:pt>
                <c:pt idx="202">
                  <c:v>3.7290403946657454E-2</c:v>
                </c:pt>
                <c:pt idx="203">
                  <c:v>3.3077713259215234E-2</c:v>
                </c:pt>
                <c:pt idx="204">
                  <c:v>3.3165488459641512E-2</c:v>
                </c:pt>
                <c:pt idx="205">
                  <c:v>3.2767828865870263E-2</c:v>
                </c:pt>
                <c:pt idx="206">
                  <c:v>3.2128331050346827E-2</c:v>
                </c:pt>
                <c:pt idx="207">
                  <c:v>3.1911569736031299E-2</c:v>
                </c:pt>
                <c:pt idx="208">
                  <c:v>3.2361675449582288E-2</c:v>
                </c:pt>
                <c:pt idx="209">
                  <c:v>3.2471164143501013E-2</c:v>
                </c:pt>
                <c:pt idx="210">
                  <c:v>3.2753286301606684E-2</c:v>
                </c:pt>
                <c:pt idx="211">
                  <c:v>3.3072935188009668E-2</c:v>
                </c:pt>
                <c:pt idx="212">
                  <c:v>3.1040464291407856E-2</c:v>
                </c:pt>
                <c:pt idx="213">
                  <c:v>3.1118672489371679E-2</c:v>
                </c:pt>
                <c:pt idx="214">
                  <c:v>3.1556342695458248E-2</c:v>
                </c:pt>
                <c:pt idx="215">
                  <c:v>3.1267575286443312E-2</c:v>
                </c:pt>
                <c:pt idx="216">
                  <c:v>3.1506007223468843E-2</c:v>
                </c:pt>
                <c:pt idx="217">
                  <c:v>3.1955726665752082E-2</c:v>
                </c:pt>
                <c:pt idx="218">
                  <c:v>3.1996762516268554E-2</c:v>
                </c:pt>
                <c:pt idx="219">
                  <c:v>3.2157872602476385E-2</c:v>
                </c:pt>
                <c:pt idx="220">
                  <c:v>3.2409093548538027E-2</c:v>
                </c:pt>
                <c:pt idx="221">
                  <c:v>3.2290188533411368E-2</c:v>
                </c:pt>
                <c:pt idx="222">
                  <c:v>3.2656103309403106E-2</c:v>
                </c:pt>
                <c:pt idx="223">
                  <c:v>3.2380181576457813E-2</c:v>
                </c:pt>
                <c:pt idx="224">
                  <c:v>3.0553703914509827E-2</c:v>
                </c:pt>
                <c:pt idx="225">
                  <c:v>3.0893809596543163E-2</c:v>
                </c:pt>
                <c:pt idx="226">
                  <c:v>3.1304941451149419E-2</c:v>
                </c:pt>
                <c:pt idx="227">
                  <c:v>2.9557808213041201E-2</c:v>
                </c:pt>
                <c:pt idx="228">
                  <c:v>2.9433994703853047E-2</c:v>
                </c:pt>
                <c:pt idx="229">
                  <c:v>2.7574813700858587E-2</c:v>
                </c:pt>
                <c:pt idx="230">
                  <c:v>2.3466586192295108E-2</c:v>
                </c:pt>
                <c:pt idx="231">
                  <c:v>2.2359282227667795E-2</c:v>
                </c:pt>
                <c:pt idx="232">
                  <c:v>2.1506701896860637E-2</c:v>
                </c:pt>
                <c:pt idx="233">
                  <c:v>2.1599591917309292E-2</c:v>
                </c:pt>
                <c:pt idx="234">
                  <c:v>2.0593312940633126E-2</c:v>
                </c:pt>
                <c:pt idx="235">
                  <c:v>2.0834524661637047E-2</c:v>
                </c:pt>
                <c:pt idx="236">
                  <c:v>2.0804214746179668E-2</c:v>
                </c:pt>
                <c:pt idx="237">
                  <c:v>1.8134813359348429E-2</c:v>
                </c:pt>
                <c:pt idx="238">
                  <c:v>1.8362987834606492E-2</c:v>
                </c:pt>
                <c:pt idx="239">
                  <c:v>1.7371647770674081E-2</c:v>
                </c:pt>
                <c:pt idx="240">
                  <c:v>1.620080465140852E-2</c:v>
                </c:pt>
                <c:pt idx="241">
                  <c:v>1.5436447326116185E-2</c:v>
                </c:pt>
                <c:pt idx="242">
                  <c:v>1.5181901563809636E-2</c:v>
                </c:pt>
                <c:pt idx="243">
                  <c:v>1.5071142627872276E-2</c:v>
                </c:pt>
                <c:pt idx="244">
                  <c:v>1.3968372813679056E-2</c:v>
                </c:pt>
                <c:pt idx="245">
                  <c:v>1.3750663342103352E-2</c:v>
                </c:pt>
                <c:pt idx="246">
                  <c:v>1.3909916660314775E-2</c:v>
                </c:pt>
                <c:pt idx="247">
                  <c:v>7.5747180230786235E-3</c:v>
                </c:pt>
                <c:pt idx="248">
                  <c:v>7.6547158499618755E-3</c:v>
                </c:pt>
                <c:pt idx="249">
                  <c:v>7.7574003450902743E-3</c:v>
                </c:pt>
                <c:pt idx="250">
                  <c:v>3.3713446895321342E-3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35-4377-8128-307132A2E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549912"/>
        <c:axId val="442545208"/>
      </c:lineChart>
      <c:dateAx>
        <c:axId val="4425499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5208"/>
        <c:crosses val="autoZero"/>
        <c:auto val="1"/>
        <c:lblOffset val="100"/>
        <c:baseTimeUnit val="days"/>
      </c:dateAx>
      <c:valAx>
        <c:axId val="442545208"/>
        <c:scaling>
          <c:orientation val="minMax"/>
          <c:max val="0.15000000000000002"/>
          <c:min val="-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9912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C3" fmlaRange="$XEZ$8:$XEZ$13" noThreeD="1" sel="1" val="0"/>
</file>

<file path=xl/ctrlProps/ctrlProp2.xml><?xml version="1.0" encoding="utf-8"?>
<formControlPr xmlns="http://schemas.microsoft.com/office/spreadsheetml/2009/9/main" objectType="Drop" dropStyle="combo" dx="16" fmlaLink="C3" fmlaRange="$XEZ$8:$XEZ$13" noThreeD="1" sel="3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780436</xdr:colOff>
      <xdr:row>10</xdr:row>
      <xdr:rowOff>12290</xdr:rowOff>
    </xdr:from>
    <xdr:to>
      <xdr:col>15</xdr:col>
      <xdr:colOff>449785</xdr:colOff>
      <xdr:row>31</xdr:row>
      <xdr:rowOff>22450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1</xdr:row>
          <xdr:rowOff>161925</xdr:rowOff>
        </xdr:from>
        <xdr:to>
          <xdr:col>3</xdr:col>
          <xdr:colOff>371475</xdr:colOff>
          <xdr:row>3</xdr:row>
          <xdr:rowOff>28575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1116745</xdr:colOff>
      <xdr:row>11</xdr:row>
      <xdr:rowOff>54952</xdr:rowOff>
    </xdr:from>
    <xdr:to>
      <xdr:col>20</xdr:col>
      <xdr:colOff>516019</xdr:colOff>
      <xdr:row>32</xdr:row>
      <xdr:rowOff>38963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1</xdr:row>
          <xdr:rowOff>85725</xdr:rowOff>
        </xdr:from>
        <xdr:to>
          <xdr:col>3</xdr:col>
          <xdr:colOff>676275</xdr:colOff>
          <xdr:row>2</xdr:row>
          <xdr:rowOff>333375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797820</xdr:colOff>
      <xdr:row>13</xdr:row>
      <xdr:rowOff>40822</xdr:rowOff>
    </xdr:from>
    <xdr:to>
      <xdr:col>5</xdr:col>
      <xdr:colOff>691986</xdr:colOff>
      <xdr:row>21</xdr:row>
      <xdr:rowOff>39207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1E267EA-142E-1FAF-6427-C4CD27801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3076" y="2939027"/>
          <a:ext cx="3248269" cy="14963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XER257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" sqref="C1:H1"/>
    </sheetView>
  </sheetViews>
  <sheetFormatPr baseColWidth="10" defaultColWidth="11.42578125" defaultRowHeight="15" x14ac:dyDescent="0.25"/>
  <cols>
    <col min="1" max="1" width="4.42578125" bestFit="1" customWidth="1"/>
    <col min="2" max="2" width="11.85546875" bestFit="1" customWidth="1"/>
  </cols>
  <sheetData>
    <row r="1" spans="1:15 16372:16372" ht="26.1" customHeight="1" x14ac:dyDescent="0.3">
      <c r="C1" s="54" t="s">
        <v>29</v>
      </c>
      <c r="D1" s="55"/>
      <c r="E1" s="55"/>
      <c r="F1" s="55"/>
      <c r="G1" s="55"/>
      <c r="H1" s="56"/>
    </row>
    <row r="2" spans="1:15 16372:16372" s="34" customFormat="1" ht="26.1" customHeight="1" x14ac:dyDescent="0.25">
      <c r="A2" s="16" t="s">
        <v>25</v>
      </c>
      <c r="B2" s="16" t="s">
        <v>26</v>
      </c>
      <c r="C2" s="16" t="s">
        <v>33</v>
      </c>
      <c r="D2" s="16" t="s">
        <v>34</v>
      </c>
      <c r="E2" s="16" t="s">
        <v>27</v>
      </c>
      <c r="F2" s="16" t="s">
        <v>35</v>
      </c>
      <c r="G2" s="16" t="s">
        <v>36</v>
      </c>
      <c r="H2" s="16" t="s">
        <v>37</v>
      </c>
    </row>
    <row r="3" spans="1:15 16372:16372" x14ac:dyDescent="0.25">
      <c r="A3" s="29">
        <v>0</v>
      </c>
      <c r="B3" s="4">
        <v>45322</v>
      </c>
      <c r="C3" s="6">
        <v>57.06</v>
      </c>
      <c r="D3" s="6">
        <v>40.409999999999997</v>
      </c>
      <c r="E3" s="6">
        <v>14.3</v>
      </c>
      <c r="F3" s="6">
        <v>226.34</v>
      </c>
      <c r="G3" s="6">
        <v>13.76</v>
      </c>
      <c r="H3" s="6">
        <v>267.95</v>
      </c>
      <c r="I3" s="33"/>
    </row>
    <row r="4" spans="1:15 16372:16372" x14ac:dyDescent="0.25">
      <c r="A4" s="29">
        <f>+A3+1</f>
        <v>1</v>
      </c>
      <c r="B4" s="1">
        <v>45321</v>
      </c>
      <c r="C4" s="3">
        <v>57.19</v>
      </c>
      <c r="D4" s="3">
        <v>40.630000000000003</v>
      </c>
      <c r="E4" s="3">
        <v>14.38</v>
      </c>
      <c r="F4" s="3">
        <v>232.22</v>
      </c>
      <c r="G4" s="3">
        <v>13.88</v>
      </c>
      <c r="H4" s="3">
        <v>271.60000000000002</v>
      </c>
      <c r="J4" s="33"/>
      <c r="K4" s="32"/>
      <c r="L4" s="33"/>
      <c r="M4" s="33"/>
      <c r="N4" s="33"/>
      <c r="O4" s="33"/>
      <c r="XER4" s="17"/>
    </row>
    <row r="5" spans="1:15 16372:16372" x14ac:dyDescent="0.25">
      <c r="A5" s="29">
        <f t="shared" ref="A5:A68" si="0">+A4+1</f>
        <v>2</v>
      </c>
      <c r="B5" s="1">
        <v>45320</v>
      </c>
      <c r="C5" s="3">
        <v>56.84</v>
      </c>
      <c r="D5" s="3">
        <v>40.69</v>
      </c>
      <c r="E5" s="3">
        <v>14.29</v>
      </c>
      <c r="F5" s="3">
        <v>238.66</v>
      </c>
      <c r="G5" s="3">
        <v>14.34</v>
      </c>
      <c r="H5" s="3">
        <v>275.64</v>
      </c>
      <c r="J5" s="33"/>
      <c r="K5" s="32"/>
      <c r="L5" s="33"/>
      <c r="M5" s="33"/>
      <c r="N5" s="33"/>
      <c r="O5" s="33"/>
      <c r="XER5" s="17"/>
    </row>
    <row r="6" spans="1:15 16372:16372" x14ac:dyDescent="0.25">
      <c r="A6" s="29">
        <f t="shared" si="0"/>
        <v>3</v>
      </c>
      <c r="B6" s="1">
        <v>45317</v>
      </c>
      <c r="C6" s="3">
        <v>56.53</v>
      </c>
      <c r="D6" s="3">
        <v>40.61</v>
      </c>
      <c r="E6" s="3">
        <v>14.15</v>
      </c>
      <c r="F6" s="3">
        <v>222.6</v>
      </c>
      <c r="G6" s="3">
        <v>13.99</v>
      </c>
      <c r="H6" s="3">
        <v>272.35000000000002</v>
      </c>
      <c r="J6" s="33"/>
      <c r="K6" s="32"/>
      <c r="XER6" s="17"/>
    </row>
    <row r="7" spans="1:15 16372:16372" x14ac:dyDescent="0.25">
      <c r="A7" s="29">
        <f t="shared" si="0"/>
        <v>4</v>
      </c>
      <c r="B7" s="1">
        <v>45316</v>
      </c>
      <c r="C7" s="3">
        <v>55.95</v>
      </c>
      <c r="D7" s="3">
        <v>41.17</v>
      </c>
      <c r="E7" s="3">
        <v>13.99</v>
      </c>
      <c r="F7" s="3">
        <v>220.21</v>
      </c>
      <c r="G7" s="3">
        <v>14.18</v>
      </c>
      <c r="H7" s="3">
        <v>266.27999999999997</v>
      </c>
      <c r="J7" s="33"/>
      <c r="K7" s="32"/>
      <c r="XER7" s="17"/>
    </row>
    <row r="8" spans="1:15 16372:16372" x14ac:dyDescent="0.25">
      <c r="A8" s="29">
        <f t="shared" si="0"/>
        <v>5</v>
      </c>
      <c r="B8" s="1">
        <v>45315</v>
      </c>
      <c r="C8" s="3">
        <v>55.13</v>
      </c>
      <c r="D8" s="3">
        <v>39.96</v>
      </c>
      <c r="E8" s="3">
        <v>13.34</v>
      </c>
      <c r="F8" s="3">
        <v>221.86</v>
      </c>
      <c r="G8" s="3">
        <v>14.44</v>
      </c>
      <c r="H8" s="3">
        <v>259.45999999999998</v>
      </c>
      <c r="J8" s="33"/>
      <c r="K8" s="32"/>
      <c r="XER8" s="17"/>
    </row>
    <row r="9" spans="1:15 16372:16372" x14ac:dyDescent="0.25">
      <c r="A9" s="29">
        <f t="shared" si="0"/>
        <v>6</v>
      </c>
      <c r="B9" s="1">
        <v>45314</v>
      </c>
      <c r="C9" s="3">
        <v>55.31</v>
      </c>
      <c r="D9" s="3">
        <v>39.81</v>
      </c>
      <c r="E9" s="3">
        <v>13.06</v>
      </c>
      <c r="F9" s="3">
        <v>211.48</v>
      </c>
      <c r="G9" s="3">
        <v>14.25</v>
      </c>
      <c r="H9" s="3">
        <v>260.60000000000002</v>
      </c>
      <c r="J9" s="33"/>
      <c r="K9" s="32"/>
      <c r="XER9" s="17"/>
    </row>
    <row r="10" spans="1:15 16372:16372" x14ac:dyDescent="0.25">
      <c r="A10" s="29">
        <f t="shared" si="0"/>
        <v>7</v>
      </c>
      <c r="B10" s="1">
        <v>45313</v>
      </c>
      <c r="C10" s="3">
        <v>54.46</v>
      </c>
      <c r="D10" s="3">
        <v>39.68</v>
      </c>
      <c r="E10" s="3">
        <v>12.81</v>
      </c>
      <c r="F10" s="3">
        <v>207.74</v>
      </c>
      <c r="G10" s="3">
        <v>13.91</v>
      </c>
      <c r="H10" s="3">
        <v>252.88</v>
      </c>
      <c r="J10" s="33"/>
      <c r="K10" s="32"/>
    </row>
    <row r="11" spans="1:15 16372:16372" x14ac:dyDescent="0.25">
      <c r="A11" s="29">
        <f t="shared" si="0"/>
        <v>8</v>
      </c>
      <c r="B11" s="1">
        <v>45310</v>
      </c>
      <c r="C11" s="3">
        <v>55.17</v>
      </c>
      <c r="D11" s="3">
        <v>40.06</v>
      </c>
      <c r="E11" s="3">
        <v>12.82</v>
      </c>
      <c r="F11" s="3">
        <v>211.82</v>
      </c>
      <c r="G11" s="3">
        <v>14.23</v>
      </c>
      <c r="H11" s="3">
        <v>265.58</v>
      </c>
      <c r="J11" s="33"/>
      <c r="K11" s="32"/>
    </row>
    <row r="12" spans="1:15 16372:16372" x14ac:dyDescent="0.25">
      <c r="A12" s="29">
        <f t="shared" si="0"/>
        <v>9</v>
      </c>
      <c r="B12" s="1">
        <v>45309</v>
      </c>
      <c r="C12" s="3">
        <v>54.41</v>
      </c>
      <c r="D12" s="3">
        <v>39.94</v>
      </c>
      <c r="E12" s="3">
        <v>12.74</v>
      </c>
      <c r="F12" s="3">
        <v>208.59</v>
      </c>
      <c r="G12" s="3">
        <v>14.11</v>
      </c>
      <c r="H12" s="3">
        <v>260.83999999999997</v>
      </c>
      <c r="J12" s="33"/>
      <c r="K12" s="32"/>
    </row>
    <row r="13" spans="1:15 16372:16372" x14ac:dyDescent="0.25">
      <c r="A13" s="29">
        <f t="shared" si="0"/>
        <v>10</v>
      </c>
      <c r="B13" s="1">
        <v>45308</v>
      </c>
      <c r="C13" s="3">
        <v>54.47</v>
      </c>
      <c r="D13" s="3">
        <v>37.049999999999997</v>
      </c>
      <c r="E13" s="3">
        <v>12.85</v>
      </c>
      <c r="F13" s="3">
        <v>208.1</v>
      </c>
      <c r="G13" s="3">
        <v>13.42</v>
      </c>
      <c r="H13" s="3">
        <v>259.64</v>
      </c>
      <c r="J13" s="33"/>
      <c r="K13" s="32"/>
    </row>
    <row r="14" spans="1:15 16372:16372" x14ac:dyDescent="0.25">
      <c r="A14" s="29">
        <f t="shared" si="0"/>
        <v>11</v>
      </c>
      <c r="B14" s="1">
        <v>45307</v>
      </c>
      <c r="C14" s="3">
        <v>54.83</v>
      </c>
      <c r="D14" s="3">
        <v>39.56</v>
      </c>
      <c r="E14" s="3">
        <v>12.8</v>
      </c>
      <c r="F14" s="3">
        <v>216.52</v>
      </c>
      <c r="G14" s="3">
        <v>14.11</v>
      </c>
      <c r="H14" s="3">
        <v>260.95999999999998</v>
      </c>
      <c r="J14" s="33"/>
      <c r="K14" s="32"/>
    </row>
    <row r="15" spans="1:15 16372:16372" x14ac:dyDescent="0.25">
      <c r="A15" s="29">
        <f t="shared" si="0"/>
        <v>12</v>
      </c>
      <c r="B15" s="1">
        <v>45306</v>
      </c>
      <c r="C15" s="3">
        <v>55.27</v>
      </c>
      <c r="D15" s="3">
        <v>40.700000000000003</v>
      </c>
      <c r="E15" s="3">
        <v>13.06</v>
      </c>
      <c r="F15" s="3">
        <v>223.29</v>
      </c>
      <c r="G15" s="3">
        <v>14.48</v>
      </c>
      <c r="H15" s="3">
        <v>270.07</v>
      </c>
      <c r="J15" s="33"/>
      <c r="K15" s="32"/>
    </row>
    <row r="16" spans="1:15 16372:16372" x14ac:dyDescent="0.25">
      <c r="A16" s="29">
        <f t="shared" si="0"/>
        <v>13</v>
      </c>
      <c r="B16" s="1">
        <v>45303</v>
      </c>
      <c r="C16" s="3">
        <v>55.33</v>
      </c>
      <c r="D16" s="3">
        <v>39.85</v>
      </c>
      <c r="E16" s="3">
        <v>13.22</v>
      </c>
      <c r="F16" s="3">
        <v>225.13</v>
      </c>
      <c r="G16" s="3">
        <v>14.34</v>
      </c>
      <c r="H16" s="3">
        <v>268.05</v>
      </c>
      <c r="J16" s="33"/>
      <c r="K16" s="32"/>
    </row>
    <row r="17" spans="1:11" x14ac:dyDescent="0.25">
      <c r="A17" s="29">
        <f t="shared" si="0"/>
        <v>14</v>
      </c>
      <c r="B17" s="1">
        <v>45302</v>
      </c>
      <c r="C17" s="3">
        <v>55.17</v>
      </c>
      <c r="D17" s="3">
        <v>41.36</v>
      </c>
      <c r="E17" s="3">
        <v>13.22</v>
      </c>
      <c r="F17" s="3">
        <v>226.15</v>
      </c>
      <c r="G17" s="3">
        <v>14.87</v>
      </c>
      <c r="H17" s="3">
        <v>272.22000000000003</v>
      </c>
      <c r="J17" s="33"/>
      <c r="K17" s="32"/>
    </row>
    <row r="18" spans="1:11" x14ac:dyDescent="0.25">
      <c r="A18" s="29">
        <f t="shared" si="0"/>
        <v>15</v>
      </c>
      <c r="B18" s="1">
        <v>45301</v>
      </c>
      <c r="C18" s="3">
        <v>55.03</v>
      </c>
      <c r="D18" s="3">
        <v>40.770000000000003</v>
      </c>
      <c r="E18" s="3">
        <v>13.32</v>
      </c>
      <c r="F18" s="3">
        <v>228.28</v>
      </c>
      <c r="G18" s="3">
        <v>14.68</v>
      </c>
      <c r="H18" s="3">
        <v>275.17</v>
      </c>
      <c r="J18" s="33"/>
      <c r="K18" s="32"/>
    </row>
    <row r="19" spans="1:11" x14ac:dyDescent="0.25">
      <c r="A19" s="29">
        <f t="shared" si="0"/>
        <v>16</v>
      </c>
      <c r="B19" s="1">
        <v>45300</v>
      </c>
      <c r="C19" s="3">
        <v>54.84</v>
      </c>
      <c r="D19" s="3">
        <v>41.04</v>
      </c>
      <c r="E19" s="3">
        <v>13.21</v>
      </c>
      <c r="F19" s="3">
        <v>229.7</v>
      </c>
      <c r="G19" s="3">
        <v>14.74</v>
      </c>
      <c r="H19" s="3">
        <v>273.20999999999998</v>
      </c>
      <c r="J19" s="33"/>
      <c r="K19" s="32"/>
    </row>
    <row r="20" spans="1:11" x14ac:dyDescent="0.25">
      <c r="A20" s="29">
        <f t="shared" si="0"/>
        <v>17</v>
      </c>
      <c r="B20" s="1">
        <v>45299</v>
      </c>
      <c r="C20" s="3">
        <v>55.88</v>
      </c>
      <c r="D20" s="3">
        <v>41.72</v>
      </c>
      <c r="E20" s="3">
        <v>13.08</v>
      </c>
      <c r="F20" s="3">
        <v>236.46</v>
      </c>
      <c r="G20" s="3">
        <v>15.34</v>
      </c>
      <c r="H20" s="3">
        <v>288.35000000000002</v>
      </c>
      <c r="J20" s="33"/>
      <c r="K20" s="32"/>
    </row>
    <row r="21" spans="1:11" x14ac:dyDescent="0.25">
      <c r="A21" s="29">
        <f t="shared" si="0"/>
        <v>18</v>
      </c>
      <c r="B21" s="1">
        <v>45296</v>
      </c>
      <c r="C21" s="3">
        <v>55.93</v>
      </c>
      <c r="D21" s="3">
        <v>42.7</v>
      </c>
      <c r="E21" s="3">
        <v>13</v>
      </c>
      <c r="F21" s="3">
        <v>229.74</v>
      </c>
      <c r="G21" s="3">
        <v>14.85</v>
      </c>
      <c r="H21" s="3">
        <v>284.52</v>
      </c>
      <c r="J21" s="33"/>
      <c r="K21" s="32"/>
    </row>
    <row r="22" spans="1:11" x14ac:dyDescent="0.25">
      <c r="A22" s="29">
        <f t="shared" si="0"/>
        <v>19</v>
      </c>
      <c r="B22" s="1">
        <v>45295</v>
      </c>
      <c r="C22" s="3">
        <v>55.12</v>
      </c>
      <c r="D22" s="3">
        <v>41.19</v>
      </c>
      <c r="E22" s="3">
        <v>12.67</v>
      </c>
      <c r="F22" s="3">
        <v>230.13</v>
      </c>
      <c r="G22" s="3">
        <v>14.8</v>
      </c>
      <c r="H22" s="3">
        <v>284.60000000000002</v>
      </c>
      <c r="J22" s="33"/>
      <c r="K22" s="32"/>
    </row>
    <row r="23" spans="1:11" x14ac:dyDescent="0.25">
      <c r="A23" s="29">
        <f t="shared" si="0"/>
        <v>20</v>
      </c>
      <c r="B23" s="1">
        <v>45294</v>
      </c>
      <c r="C23" s="3">
        <v>55.45</v>
      </c>
      <c r="D23" s="3">
        <v>41.65</v>
      </c>
      <c r="E23" s="3">
        <v>12.68</v>
      </c>
      <c r="F23" s="3">
        <v>234.88</v>
      </c>
      <c r="G23" s="3">
        <v>15.16</v>
      </c>
      <c r="H23" s="3">
        <v>284.82</v>
      </c>
      <c r="J23" s="33"/>
      <c r="K23" s="32"/>
    </row>
    <row r="24" spans="1:11" x14ac:dyDescent="0.25">
      <c r="A24" s="29">
        <f t="shared" si="0"/>
        <v>21</v>
      </c>
      <c r="B24" s="1">
        <v>45293</v>
      </c>
      <c r="C24" s="3">
        <v>56.69</v>
      </c>
      <c r="D24" s="3">
        <v>43.19</v>
      </c>
      <c r="E24" s="3">
        <v>13</v>
      </c>
      <c r="F24" s="3">
        <v>248.17</v>
      </c>
      <c r="G24" s="3">
        <v>15.33</v>
      </c>
      <c r="H24" s="3">
        <v>292.04000000000002</v>
      </c>
      <c r="J24" s="33"/>
      <c r="K24" s="32"/>
    </row>
    <row r="25" spans="1:11" x14ac:dyDescent="0.25">
      <c r="A25" s="29">
        <f t="shared" si="0"/>
        <v>22</v>
      </c>
      <c r="B25" s="1">
        <v>45289</v>
      </c>
      <c r="C25" s="3">
        <v>57.12</v>
      </c>
      <c r="D25" s="3">
        <v>43.7</v>
      </c>
      <c r="E25" s="3">
        <v>13.22</v>
      </c>
      <c r="F25" s="3">
        <v>248.24</v>
      </c>
      <c r="G25" s="3">
        <v>16</v>
      </c>
      <c r="H25" s="3">
        <v>296.43</v>
      </c>
      <c r="J25" s="33"/>
    </row>
    <row r="26" spans="1:11" x14ac:dyDescent="0.25">
      <c r="A26" s="29">
        <f t="shared" si="0"/>
        <v>23</v>
      </c>
      <c r="B26" s="1">
        <v>45288</v>
      </c>
      <c r="C26" s="3">
        <v>57.2</v>
      </c>
      <c r="D26" s="3">
        <v>43.44</v>
      </c>
      <c r="E26" s="3">
        <v>13.42</v>
      </c>
      <c r="F26" s="3">
        <v>251.85</v>
      </c>
      <c r="G26" s="3">
        <v>16.149999999999999</v>
      </c>
      <c r="H26" s="3">
        <v>296.92</v>
      </c>
      <c r="J26" s="33"/>
    </row>
    <row r="27" spans="1:11" x14ac:dyDescent="0.25">
      <c r="A27" s="29">
        <f t="shared" si="0"/>
        <v>24</v>
      </c>
      <c r="B27" s="1">
        <v>45287</v>
      </c>
      <c r="C27" s="3">
        <v>57.34</v>
      </c>
      <c r="D27" s="3">
        <v>42.96</v>
      </c>
      <c r="E27" s="3">
        <v>13.76</v>
      </c>
      <c r="F27" s="3">
        <v>252.71</v>
      </c>
      <c r="G27" s="3">
        <v>16.2</v>
      </c>
      <c r="H27" s="3">
        <v>298.91000000000003</v>
      </c>
      <c r="J27" s="33"/>
    </row>
    <row r="28" spans="1:11" x14ac:dyDescent="0.25">
      <c r="A28" s="29">
        <f t="shared" si="0"/>
        <v>25</v>
      </c>
      <c r="B28" s="1">
        <v>45286</v>
      </c>
      <c r="C28" s="3">
        <v>57.73</v>
      </c>
      <c r="D28" s="3">
        <v>43.05</v>
      </c>
      <c r="E28" s="3">
        <v>13.79</v>
      </c>
      <c r="F28" s="3">
        <v>248.2</v>
      </c>
      <c r="G28" s="3">
        <v>15.8</v>
      </c>
      <c r="H28" s="3">
        <v>300.79000000000002</v>
      </c>
      <c r="J28" s="33"/>
    </row>
    <row r="29" spans="1:11" x14ac:dyDescent="0.25">
      <c r="A29" s="29">
        <f t="shared" si="0"/>
        <v>26</v>
      </c>
      <c r="B29" s="1">
        <v>45282</v>
      </c>
      <c r="C29" s="3">
        <v>57.3</v>
      </c>
      <c r="D29" s="3">
        <v>42.69</v>
      </c>
      <c r="E29" s="3">
        <v>13.92</v>
      </c>
      <c r="F29" s="3">
        <v>247.29</v>
      </c>
      <c r="G29" s="3">
        <v>16.07</v>
      </c>
      <c r="H29" s="3">
        <v>301.29000000000002</v>
      </c>
      <c r="J29" s="33"/>
    </row>
    <row r="30" spans="1:11" x14ac:dyDescent="0.25">
      <c r="A30" s="29">
        <f t="shared" si="0"/>
        <v>27</v>
      </c>
      <c r="B30" s="1">
        <v>45281</v>
      </c>
      <c r="C30" s="3">
        <v>57.47</v>
      </c>
      <c r="D30" s="3">
        <v>41.83</v>
      </c>
      <c r="E30" s="3">
        <v>13.75</v>
      </c>
      <c r="F30" s="3">
        <v>243.19</v>
      </c>
      <c r="G30" s="3">
        <v>15.78</v>
      </c>
      <c r="H30" s="3">
        <v>299.24</v>
      </c>
      <c r="J30" s="33"/>
    </row>
    <row r="31" spans="1:11" x14ac:dyDescent="0.25">
      <c r="A31" s="29">
        <f t="shared" si="0"/>
        <v>28</v>
      </c>
      <c r="B31" s="1">
        <v>45280</v>
      </c>
      <c r="C31" s="3">
        <v>56.93</v>
      </c>
      <c r="D31" s="3">
        <v>42.31</v>
      </c>
      <c r="E31" s="3">
        <v>13.45</v>
      </c>
      <c r="F31" s="3">
        <v>242.13</v>
      </c>
      <c r="G31" s="3">
        <v>15.42</v>
      </c>
      <c r="H31" s="3">
        <v>301.3</v>
      </c>
    </row>
    <row r="32" spans="1:11" x14ac:dyDescent="0.25">
      <c r="A32" s="29">
        <f t="shared" si="0"/>
        <v>29</v>
      </c>
      <c r="B32" s="1">
        <v>45279</v>
      </c>
      <c r="C32" s="3">
        <v>57.69</v>
      </c>
      <c r="D32" s="3">
        <v>40.9</v>
      </c>
      <c r="E32" s="3">
        <v>13.6</v>
      </c>
      <c r="F32" s="3">
        <v>247.3</v>
      </c>
      <c r="G32" s="3">
        <v>15.94</v>
      </c>
      <c r="H32" s="3">
        <v>304.87</v>
      </c>
    </row>
    <row r="33" spans="1:8" x14ac:dyDescent="0.25">
      <c r="A33" s="29">
        <f t="shared" si="0"/>
        <v>30</v>
      </c>
      <c r="B33" s="1">
        <v>45278</v>
      </c>
      <c r="C33" s="3">
        <v>57.75</v>
      </c>
      <c r="D33" s="3">
        <v>38.869999999999997</v>
      </c>
      <c r="E33" s="3">
        <v>13.59</v>
      </c>
      <c r="F33" s="3">
        <v>253.94</v>
      </c>
      <c r="G33" s="3">
        <v>15.9</v>
      </c>
      <c r="H33" s="3">
        <v>308.32</v>
      </c>
    </row>
    <row r="34" spans="1:8" x14ac:dyDescent="0.25">
      <c r="A34" s="29">
        <f t="shared" si="0"/>
        <v>31</v>
      </c>
      <c r="B34" s="1">
        <v>45275</v>
      </c>
      <c r="C34" s="3">
        <v>57.14</v>
      </c>
      <c r="D34" s="3">
        <v>38.15</v>
      </c>
      <c r="E34" s="3">
        <v>13.52</v>
      </c>
      <c r="F34" s="3">
        <v>264.06</v>
      </c>
      <c r="G34" s="3">
        <v>15.94</v>
      </c>
      <c r="H34" s="3">
        <v>306.52</v>
      </c>
    </row>
    <row r="35" spans="1:8" x14ac:dyDescent="0.25">
      <c r="A35" s="29">
        <f t="shared" si="0"/>
        <v>32</v>
      </c>
      <c r="B35" s="1">
        <v>45274</v>
      </c>
      <c r="C35" s="3">
        <v>57</v>
      </c>
      <c r="D35" s="3">
        <v>38.71</v>
      </c>
      <c r="E35" s="3">
        <v>13.54</v>
      </c>
      <c r="F35" s="3">
        <v>262.12</v>
      </c>
      <c r="G35" s="3">
        <v>16.100000000000001</v>
      </c>
      <c r="H35" s="3">
        <v>297.45</v>
      </c>
    </row>
    <row r="36" spans="1:8" x14ac:dyDescent="0.25">
      <c r="A36" s="29">
        <f t="shared" si="0"/>
        <v>33</v>
      </c>
      <c r="B36" s="1">
        <v>45273</v>
      </c>
      <c r="C36" s="3">
        <v>55.16</v>
      </c>
      <c r="D36" s="3">
        <v>37.31</v>
      </c>
      <c r="E36" s="3">
        <v>12.89</v>
      </c>
      <c r="F36" s="3">
        <v>257.52999999999997</v>
      </c>
      <c r="G36" s="3">
        <v>14.76</v>
      </c>
      <c r="H36" s="3">
        <v>253.8</v>
      </c>
    </row>
    <row r="37" spans="1:8" x14ac:dyDescent="0.25">
      <c r="A37" s="29">
        <f t="shared" si="0"/>
        <v>34</v>
      </c>
      <c r="B37" s="1">
        <v>45271</v>
      </c>
      <c r="C37" s="3">
        <v>54.45</v>
      </c>
      <c r="D37" s="3">
        <v>37.4</v>
      </c>
      <c r="E37" s="3">
        <v>12.44</v>
      </c>
      <c r="F37" s="3">
        <v>258.95999999999998</v>
      </c>
      <c r="G37" s="3">
        <v>14.23</v>
      </c>
      <c r="H37" s="3">
        <v>250.22</v>
      </c>
    </row>
    <row r="38" spans="1:8" x14ac:dyDescent="0.25">
      <c r="A38" s="29">
        <f t="shared" si="0"/>
        <v>35</v>
      </c>
      <c r="B38" s="1">
        <v>45268</v>
      </c>
      <c r="C38" s="3">
        <v>54.39</v>
      </c>
      <c r="D38" s="3">
        <v>37.46</v>
      </c>
      <c r="E38" s="3">
        <v>12.33</v>
      </c>
      <c r="F38" s="3">
        <v>256.47000000000003</v>
      </c>
      <c r="G38" s="3">
        <v>14.56</v>
      </c>
      <c r="H38" s="3">
        <v>256.04000000000002</v>
      </c>
    </row>
    <row r="39" spans="1:8" x14ac:dyDescent="0.25">
      <c r="A39" s="29">
        <f t="shared" si="0"/>
        <v>36</v>
      </c>
      <c r="B39" s="1">
        <v>45267</v>
      </c>
      <c r="C39" s="3">
        <v>54.42</v>
      </c>
      <c r="D39" s="3">
        <v>37.72</v>
      </c>
      <c r="E39" s="3">
        <v>12.23</v>
      </c>
      <c r="F39" s="3">
        <v>259.31</v>
      </c>
      <c r="G39" s="3">
        <v>14.73</v>
      </c>
      <c r="H39" s="3">
        <v>260.91000000000003</v>
      </c>
    </row>
    <row r="40" spans="1:8" x14ac:dyDescent="0.25">
      <c r="A40" s="29">
        <f t="shared" si="0"/>
        <v>37</v>
      </c>
      <c r="B40" s="1">
        <v>45266</v>
      </c>
      <c r="C40" s="3">
        <v>54.05</v>
      </c>
      <c r="D40" s="3">
        <v>37.56</v>
      </c>
      <c r="E40" s="3">
        <v>12.14</v>
      </c>
      <c r="F40" s="3">
        <v>260.77</v>
      </c>
      <c r="G40" s="3">
        <v>14.94</v>
      </c>
      <c r="H40" s="3">
        <v>260.94</v>
      </c>
    </row>
    <row r="41" spans="1:8" x14ac:dyDescent="0.25">
      <c r="A41" s="29">
        <f t="shared" si="0"/>
        <v>38</v>
      </c>
      <c r="B41" s="1">
        <v>45265</v>
      </c>
      <c r="C41" s="3">
        <v>54.1</v>
      </c>
      <c r="D41" s="3">
        <v>37.119999999999997</v>
      </c>
      <c r="E41" s="3">
        <v>12.14</v>
      </c>
      <c r="F41" s="3">
        <v>260.77999999999997</v>
      </c>
      <c r="G41" s="3">
        <v>14.23</v>
      </c>
      <c r="H41" s="3">
        <v>260.55</v>
      </c>
    </row>
    <row r="42" spans="1:8" x14ac:dyDescent="0.25">
      <c r="A42" s="29">
        <f t="shared" si="0"/>
        <v>39</v>
      </c>
      <c r="B42" s="1">
        <v>45264</v>
      </c>
      <c r="C42" s="3">
        <v>54.04</v>
      </c>
      <c r="D42" s="3">
        <v>36.43</v>
      </c>
      <c r="E42" s="3">
        <v>12.32</v>
      </c>
      <c r="F42" s="3">
        <v>260.67</v>
      </c>
      <c r="G42" s="3">
        <v>13.89</v>
      </c>
      <c r="H42" s="3">
        <v>262.11</v>
      </c>
    </row>
    <row r="43" spans="1:8" x14ac:dyDescent="0.25">
      <c r="A43" s="29">
        <f t="shared" si="0"/>
        <v>40</v>
      </c>
      <c r="B43" s="1">
        <v>45261</v>
      </c>
      <c r="C43" s="3">
        <v>53.81</v>
      </c>
      <c r="D43" s="3">
        <v>36.97</v>
      </c>
      <c r="E43" s="3">
        <v>12.33</v>
      </c>
      <c r="F43" s="3">
        <v>260.10000000000002</v>
      </c>
      <c r="G43" s="3">
        <v>13.68</v>
      </c>
      <c r="H43" s="3">
        <v>261.93</v>
      </c>
    </row>
    <row r="44" spans="1:8" x14ac:dyDescent="0.25">
      <c r="A44" s="29">
        <f t="shared" si="0"/>
        <v>41</v>
      </c>
      <c r="B44" s="1">
        <v>45260</v>
      </c>
      <c r="C44" s="3">
        <v>53.98</v>
      </c>
      <c r="D44" s="3">
        <v>37.130000000000003</v>
      </c>
      <c r="E44" s="3">
        <v>12.07</v>
      </c>
      <c r="F44" s="3">
        <v>254.75</v>
      </c>
      <c r="G44" s="3">
        <v>13.9</v>
      </c>
      <c r="H44" s="3">
        <v>264.56</v>
      </c>
    </row>
    <row r="45" spans="1:8" x14ac:dyDescent="0.25">
      <c r="A45" s="29">
        <f t="shared" si="0"/>
        <v>42</v>
      </c>
      <c r="B45" s="1">
        <v>45259</v>
      </c>
      <c r="C45" s="3">
        <v>52.65</v>
      </c>
      <c r="D45" s="3">
        <v>36.74</v>
      </c>
      <c r="E45" s="3">
        <v>12.04</v>
      </c>
      <c r="F45" s="3">
        <v>250.1</v>
      </c>
      <c r="G45" s="3">
        <v>13.96</v>
      </c>
      <c r="H45" s="3">
        <v>253.71</v>
      </c>
    </row>
    <row r="46" spans="1:8" x14ac:dyDescent="0.25">
      <c r="A46" s="29">
        <f t="shared" si="0"/>
        <v>43</v>
      </c>
      <c r="B46" s="1">
        <v>45258</v>
      </c>
      <c r="C46" s="3">
        <v>52.29</v>
      </c>
      <c r="D46" s="3">
        <v>37.11</v>
      </c>
      <c r="E46" s="3">
        <v>11.65</v>
      </c>
      <c r="F46" s="3">
        <v>238.86</v>
      </c>
      <c r="G46" s="3">
        <v>13.77</v>
      </c>
      <c r="H46" s="3">
        <v>255.83</v>
      </c>
    </row>
    <row r="47" spans="1:8" x14ac:dyDescent="0.25">
      <c r="A47" s="29">
        <f t="shared" si="0"/>
        <v>44</v>
      </c>
      <c r="B47" s="1">
        <v>45257</v>
      </c>
      <c r="C47" s="3">
        <v>52.32</v>
      </c>
      <c r="D47" s="3">
        <v>36.71</v>
      </c>
      <c r="E47" s="3">
        <v>11.53</v>
      </c>
      <c r="F47" s="3">
        <v>235.82</v>
      </c>
      <c r="G47" s="3">
        <v>13.14</v>
      </c>
      <c r="H47" s="3">
        <v>253.18</v>
      </c>
    </row>
    <row r="48" spans="1:8" x14ac:dyDescent="0.25">
      <c r="A48" s="29">
        <f t="shared" si="0"/>
        <v>45</v>
      </c>
      <c r="B48" s="1">
        <v>45254</v>
      </c>
      <c r="C48" s="3">
        <v>52.91</v>
      </c>
      <c r="D48" s="3">
        <v>36.75</v>
      </c>
      <c r="E48" s="3">
        <v>11.9</v>
      </c>
      <c r="F48" s="3">
        <v>224.52</v>
      </c>
      <c r="G48" s="3">
        <v>12.5</v>
      </c>
      <c r="H48" s="3">
        <v>250.64</v>
      </c>
    </row>
    <row r="49" spans="1:8" x14ac:dyDescent="0.25">
      <c r="A49" s="29">
        <f t="shared" si="0"/>
        <v>46</v>
      </c>
      <c r="B49" s="1">
        <v>45253</v>
      </c>
      <c r="C49" s="3">
        <v>52.79</v>
      </c>
      <c r="D49" s="3">
        <v>36.82</v>
      </c>
      <c r="E49" s="3">
        <v>11.84</v>
      </c>
      <c r="F49" s="3">
        <v>222.41</v>
      </c>
      <c r="G49" s="3">
        <v>12.19</v>
      </c>
      <c r="H49" s="3">
        <v>252.67</v>
      </c>
    </row>
    <row r="50" spans="1:8" x14ac:dyDescent="0.25">
      <c r="A50" s="29">
        <f t="shared" si="0"/>
        <v>47</v>
      </c>
      <c r="B50" s="1">
        <v>45252</v>
      </c>
      <c r="C50" s="3">
        <v>52.62</v>
      </c>
      <c r="D50" s="3">
        <v>36.700000000000003</v>
      </c>
      <c r="E50" s="3">
        <v>11.66</v>
      </c>
      <c r="F50" s="3">
        <v>220.33</v>
      </c>
      <c r="G50" s="3">
        <v>11.7</v>
      </c>
      <c r="H50" s="3">
        <v>246.71</v>
      </c>
    </row>
    <row r="51" spans="1:8" x14ac:dyDescent="0.25">
      <c r="A51" s="29">
        <f t="shared" si="0"/>
        <v>48</v>
      </c>
      <c r="B51" s="1">
        <v>45251</v>
      </c>
      <c r="C51" s="3">
        <v>52.42</v>
      </c>
      <c r="D51" s="3">
        <v>36.64</v>
      </c>
      <c r="E51" s="3">
        <v>11.79</v>
      </c>
      <c r="F51" s="3">
        <v>232.17</v>
      </c>
      <c r="G51" s="3">
        <v>11.58</v>
      </c>
      <c r="H51" s="3">
        <v>243.64</v>
      </c>
    </row>
    <row r="52" spans="1:8" x14ac:dyDescent="0.25">
      <c r="A52" s="29">
        <f t="shared" si="0"/>
        <v>49</v>
      </c>
      <c r="B52" s="1">
        <v>45247</v>
      </c>
      <c r="C52" s="3">
        <v>52.64</v>
      </c>
      <c r="D52" s="3">
        <v>36.83</v>
      </c>
      <c r="E52" s="3">
        <v>12.06</v>
      </c>
      <c r="F52" s="3">
        <v>233.11</v>
      </c>
      <c r="G52" s="3">
        <v>11.72</v>
      </c>
      <c r="H52" s="3">
        <v>244.51</v>
      </c>
    </row>
    <row r="53" spans="1:8" x14ac:dyDescent="0.25">
      <c r="A53" s="29">
        <f t="shared" si="0"/>
        <v>50</v>
      </c>
      <c r="B53" s="1">
        <v>45246</v>
      </c>
      <c r="C53" s="3">
        <v>52.37</v>
      </c>
      <c r="D53" s="3">
        <v>36.799999999999997</v>
      </c>
      <c r="E53" s="3">
        <v>11.9</v>
      </c>
      <c r="F53" s="3">
        <v>229.12</v>
      </c>
      <c r="G53" s="3">
        <v>11.52</v>
      </c>
      <c r="H53" s="3">
        <v>234.19</v>
      </c>
    </row>
    <row r="54" spans="1:8" x14ac:dyDescent="0.25">
      <c r="A54" s="29">
        <f t="shared" si="0"/>
        <v>51</v>
      </c>
      <c r="B54" s="1">
        <v>45245</v>
      </c>
      <c r="C54" s="3">
        <v>52.7</v>
      </c>
      <c r="D54" s="3">
        <v>36.909999999999997</v>
      </c>
      <c r="E54" s="3">
        <v>12.19</v>
      </c>
      <c r="F54" s="3">
        <v>234.98</v>
      </c>
      <c r="G54" s="3">
        <v>11.47</v>
      </c>
      <c r="H54" s="3">
        <v>229.51</v>
      </c>
    </row>
    <row r="55" spans="1:8" x14ac:dyDescent="0.25">
      <c r="A55" s="29">
        <f t="shared" si="0"/>
        <v>52</v>
      </c>
      <c r="B55" s="1">
        <v>45244</v>
      </c>
      <c r="C55" s="3">
        <v>52.43</v>
      </c>
      <c r="D55" s="3">
        <v>37.21</v>
      </c>
      <c r="E55" s="3">
        <v>12.35</v>
      </c>
      <c r="F55" s="3">
        <v>227.32</v>
      </c>
      <c r="G55" s="3">
        <v>11.33</v>
      </c>
      <c r="H55" s="3">
        <v>225.97</v>
      </c>
    </row>
    <row r="56" spans="1:8" x14ac:dyDescent="0.25">
      <c r="A56" s="29">
        <f t="shared" si="0"/>
        <v>53</v>
      </c>
      <c r="B56" s="1">
        <v>45243</v>
      </c>
      <c r="C56" s="3">
        <v>51.01</v>
      </c>
      <c r="D56" s="3">
        <v>36.97</v>
      </c>
      <c r="E56" s="3">
        <v>12.11</v>
      </c>
      <c r="F56" s="3">
        <v>217.38</v>
      </c>
      <c r="G56" s="3">
        <v>10.74</v>
      </c>
      <c r="H56" s="3">
        <v>223.71</v>
      </c>
    </row>
    <row r="57" spans="1:8" x14ac:dyDescent="0.25">
      <c r="A57" s="29">
        <f t="shared" si="0"/>
        <v>54</v>
      </c>
      <c r="B57" s="1">
        <v>45240</v>
      </c>
      <c r="C57" s="3">
        <v>51.19</v>
      </c>
      <c r="D57" s="3">
        <v>36.950000000000003</v>
      </c>
      <c r="E57" s="3">
        <v>12.26</v>
      </c>
      <c r="F57" s="3">
        <v>219.04</v>
      </c>
      <c r="G57" s="3">
        <v>11.16</v>
      </c>
      <c r="H57" s="3">
        <v>223.84</v>
      </c>
    </row>
    <row r="58" spans="1:8" x14ac:dyDescent="0.25">
      <c r="A58" s="29">
        <f t="shared" si="0"/>
        <v>55</v>
      </c>
      <c r="B58" s="1">
        <v>45239</v>
      </c>
      <c r="C58" s="3">
        <v>50.99</v>
      </c>
      <c r="D58" s="3">
        <v>36.94</v>
      </c>
      <c r="E58" s="3">
        <v>12.3</v>
      </c>
      <c r="F58" s="3">
        <v>222.3</v>
      </c>
      <c r="G58" s="3">
        <v>11.27</v>
      </c>
      <c r="H58" s="3">
        <v>226.88</v>
      </c>
    </row>
    <row r="59" spans="1:8" x14ac:dyDescent="0.25">
      <c r="A59" s="29">
        <f t="shared" si="0"/>
        <v>56</v>
      </c>
      <c r="B59" s="1">
        <v>45238</v>
      </c>
      <c r="C59" s="3">
        <v>50.85</v>
      </c>
      <c r="D59" s="3">
        <v>36.99</v>
      </c>
      <c r="E59" s="3">
        <v>12.17</v>
      </c>
      <c r="F59" s="3">
        <v>228.2</v>
      </c>
      <c r="G59" s="3">
        <v>11.86</v>
      </c>
      <c r="H59" s="3">
        <v>226.24</v>
      </c>
    </row>
    <row r="60" spans="1:8" x14ac:dyDescent="0.25">
      <c r="A60" s="29">
        <f t="shared" si="0"/>
        <v>57</v>
      </c>
      <c r="B60" s="1">
        <v>45237</v>
      </c>
      <c r="C60" s="3">
        <v>51.05</v>
      </c>
      <c r="D60" s="3">
        <v>36.67</v>
      </c>
      <c r="E60" s="3">
        <v>11.97</v>
      </c>
      <c r="F60" s="3">
        <v>223.28</v>
      </c>
      <c r="G60" s="3">
        <v>11.82</v>
      </c>
      <c r="H60" s="3">
        <v>228.27</v>
      </c>
    </row>
    <row r="61" spans="1:8" x14ac:dyDescent="0.25">
      <c r="A61" s="29">
        <f t="shared" si="0"/>
        <v>58</v>
      </c>
      <c r="B61" s="1">
        <v>45236</v>
      </c>
      <c r="C61" s="3">
        <v>51.5</v>
      </c>
      <c r="D61" s="3">
        <v>37.1</v>
      </c>
      <c r="E61" s="3">
        <v>11.85</v>
      </c>
      <c r="F61" s="3">
        <v>228.44</v>
      </c>
      <c r="G61" s="3">
        <v>11.05</v>
      </c>
      <c r="H61" s="3">
        <v>232.22</v>
      </c>
    </row>
    <row r="62" spans="1:8" x14ac:dyDescent="0.25">
      <c r="A62" s="29">
        <f t="shared" si="0"/>
        <v>59</v>
      </c>
      <c r="B62" s="1">
        <v>45233</v>
      </c>
      <c r="C62" s="3">
        <v>51.14</v>
      </c>
      <c r="D62" s="3">
        <v>36.75</v>
      </c>
      <c r="E62" s="3">
        <v>11.7</v>
      </c>
      <c r="F62" s="3">
        <v>217.57</v>
      </c>
      <c r="G62" s="3">
        <v>11.43</v>
      </c>
      <c r="H62" s="3">
        <v>224.28</v>
      </c>
    </row>
    <row r="63" spans="1:8" x14ac:dyDescent="0.25">
      <c r="A63" s="29">
        <f t="shared" si="0"/>
        <v>60</v>
      </c>
      <c r="B63" s="1">
        <v>45231</v>
      </c>
      <c r="C63" s="3">
        <v>49.58</v>
      </c>
      <c r="D63" s="3">
        <v>36.15</v>
      </c>
      <c r="E63" s="3">
        <v>10.95</v>
      </c>
      <c r="F63" s="3">
        <v>200.49</v>
      </c>
      <c r="G63" s="3">
        <v>10.27</v>
      </c>
      <c r="H63" s="3">
        <v>212.41</v>
      </c>
    </row>
    <row r="64" spans="1:8" x14ac:dyDescent="0.25">
      <c r="A64" s="29">
        <f t="shared" si="0"/>
        <v>61</v>
      </c>
      <c r="B64" s="1">
        <v>45230</v>
      </c>
      <c r="C64" s="3">
        <v>48.86</v>
      </c>
      <c r="D64" s="3">
        <v>35.950000000000003</v>
      </c>
      <c r="E64" s="3">
        <v>10.83</v>
      </c>
      <c r="F64" s="3">
        <v>201.27</v>
      </c>
      <c r="G64" s="3">
        <v>10.28</v>
      </c>
      <c r="H64" s="3">
        <v>210.31</v>
      </c>
    </row>
    <row r="65" spans="1:8" x14ac:dyDescent="0.25">
      <c r="A65" s="29">
        <f t="shared" si="0"/>
        <v>62</v>
      </c>
      <c r="B65" s="1">
        <v>45229</v>
      </c>
      <c r="C65" s="3">
        <v>49.03</v>
      </c>
      <c r="D65" s="3">
        <v>35.99</v>
      </c>
      <c r="E65" s="3">
        <v>10.75</v>
      </c>
      <c r="F65" s="3">
        <v>205</v>
      </c>
      <c r="G65" s="3">
        <v>10.98</v>
      </c>
      <c r="H65" s="3">
        <v>204.98</v>
      </c>
    </row>
    <row r="66" spans="1:8" x14ac:dyDescent="0.25">
      <c r="A66" s="29">
        <f t="shared" si="0"/>
        <v>63</v>
      </c>
      <c r="B66" s="1">
        <v>45226</v>
      </c>
      <c r="C66" s="3">
        <v>48.75</v>
      </c>
      <c r="D66" s="3">
        <v>35.700000000000003</v>
      </c>
      <c r="E66" s="3">
        <v>10.78</v>
      </c>
      <c r="F66" s="3">
        <v>203.26</v>
      </c>
      <c r="G66" s="3">
        <v>10.77</v>
      </c>
      <c r="H66" s="3">
        <v>195.92</v>
      </c>
    </row>
    <row r="67" spans="1:8" x14ac:dyDescent="0.25">
      <c r="A67" s="29">
        <f t="shared" si="0"/>
        <v>64</v>
      </c>
      <c r="B67" s="1">
        <v>45225</v>
      </c>
      <c r="C67" s="3">
        <v>49.2</v>
      </c>
      <c r="D67" s="3">
        <v>36.29</v>
      </c>
      <c r="E67" s="3">
        <v>11.31</v>
      </c>
      <c r="F67" s="3">
        <v>202.92</v>
      </c>
      <c r="G67" s="3">
        <v>10.65</v>
      </c>
      <c r="H67" s="3">
        <v>200.36</v>
      </c>
    </row>
    <row r="68" spans="1:8" x14ac:dyDescent="0.25">
      <c r="A68" s="29">
        <f t="shared" si="0"/>
        <v>65</v>
      </c>
      <c r="B68" s="1">
        <v>45224</v>
      </c>
      <c r="C68" s="3">
        <v>48.72</v>
      </c>
      <c r="D68" s="3">
        <v>35.69</v>
      </c>
      <c r="E68" s="3">
        <v>11.08</v>
      </c>
      <c r="F68" s="3">
        <v>205.97</v>
      </c>
      <c r="G68" s="3">
        <v>10.89</v>
      </c>
      <c r="H68" s="3">
        <v>210.23</v>
      </c>
    </row>
    <row r="69" spans="1:8" x14ac:dyDescent="0.25">
      <c r="A69" s="29">
        <f t="shared" ref="A69:A132" si="1">+A68+1</f>
        <v>66</v>
      </c>
      <c r="B69" s="1">
        <v>45223</v>
      </c>
      <c r="C69" s="3">
        <v>48.28</v>
      </c>
      <c r="D69" s="3">
        <v>35.39</v>
      </c>
      <c r="E69" s="3">
        <v>10.83</v>
      </c>
      <c r="F69" s="3">
        <v>201.9</v>
      </c>
      <c r="G69" s="3">
        <v>10.87</v>
      </c>
      <c r="H69" s="3">
        <v>211.02</v>
      </c>
    </row>
    <row r="70" spans="1:8" x14ac:dyDescent="0.25">
      <c r="A70" s="29">
        <f t="shared" si="1"/>
        <v>67</v>
      </c>
      <c r="B70" s="1">
        <v>45222</v>
      </c>
      <c r="C70" s="3">
        <v>48.26</v>
      </c>
      <c r="D70" s="3">
        <v>35.29</v>
      </c>
      <c r="E70" s="3">
        <v>10.83</v>
      </c>
      <c r="F70" s="3">
        <v>201.35</v>
      </c>
      <c r="G70" s="3">
        <v>11.21</v>
      </c>
      <c r="H70" s="3">
        <v>226.15</v>
      </c>
    </row>
    <row r="71" spans="1:8" x14ac:dyDescent="0.25">
      <c r="A71" s="29">
        <f t="shared" si="1"/>
        <v>68</v>
      </c>
      <c r="B71" s="1">
        <v>45219</v>
      </c>
      <c r="C71" s="3">
        <v>48.35</v>
      </c>
      <c r="D71" s="3">
        <v>35.29</v>
      </c>
      <c r="E71" s="3">
        <v>10.95</v>
      </c>
      <c r="F71" s="3">
        <v>207.8</v>
      </c>
      <c r="G71" s="3">
        <v>10.77</v>
      </c>
      <c r="H71" s="3">
        <v>229.4</v>
      </c>
    </row>
    <row r="72" spans="1:8" x14ac:dyDescent="0.25">
      <c r="A72" s="29">
        <f t="shared" si="1"/>
        <v>69</v>
      </c>
      <c r="B72" s="1">
        <v>45218</v>
      </c>
      <c r="C72" s="3">
        <v>48.85</v>
      </c>
      <c r="D72" s="3">
        <v>35.42</v>
      </c>
      <c r="E72" s="3">
        <v>11.06</v>
      </c>
      <c r="F72" s="3">
        <v>205.11</v>
      </c>
      <c r="G72" s="3">
        <v>11.23</v>
      </c>
      <c r="H72" s="3">
        <v>233.22</v>
      </c>
    </row>
    <row r="73" spans="1:8" x14ac:dyDescent="0.25">
      <c r="A73" s="29">
        <f t="shared" si="1"/>
        <v>70</v>
      </c>
      <c r="B73" s="1">
        <v>45217</v>
      </c>
      <c r="C73" s="3">
        <v>49.29</v>
      </c>
      <c r="D73" s="3">
        <v>35.57</v>
      </c>
      <c r="E73" s="3">
        <v>11.17</v>
      </c>
      <c r="F73" s="3">
        <v>207.3</v>
      </c>
      <c r="G73" s="3">
        <v>11.32</v>
      </c>
      <c r="H73" s="3">
        <v>239.63</v>
      </c>
    </row>
    <row r="74" spans="1:8" x14ac:dyDescent="0.25">
      <c r="A74" s="29">
        <f t="shared" si="1"/>
        <v>71</v>
      </c>
      <c r="B74" s="1">
        <v>45216</v>
      </c>
      <c r="C74" s="3">
        <v>49.66</v>
      </c>
      <c r="D74" s="3">
        <v>36.409999999999997</v>
      </c>
      <c r="E74" s="3">
        <v>11.52</v>
      </c>
      <c r="F74" s="3">
        <v>209.24</v>
      </c>
      <c r="G74" s="3">
        <v>12.1</v>
      </c>
      <c r="H74" s="3">
        <v>239.43</v>
      </c>
    </row>
    <row r="75" spans="1:8" x14ac:dyDescent="0.25">
      <c r="A75" s="29">
        <f t="shared" si="1"/>
        <v>72</v>
      </c>
      <c r="B75" s="1">
        <v>45215</v>
      </c>
      <c r="C75" s="3">
        <v>49.84</v>
      </c>
      <c r="D75" s="3">
        <v>36.369999999999997</v>
      </c>
      <c r="E75" s="3">
        <v>11.58</v>
      </c>
      <c r="F75" s="3">
        <v>209.16</v>
      </c>
      <c r="G75" s="3">
        <v>12.37</v>
      </c>
      <c r="H75" s="3">
        <v>245.74</v>
      </c>
    </row>
    <row r="76" spans="1:8" x14ac:dyDescent="0.25">
      <c r="A76" s="29">
        <f t="shared" si="1"/>
        <v>73</v>
      </c>
      <c r="B76" s="1">
        <v>45212</v>
      </c>
      <c r="C76" s="3">
        <v>49.39</v>
      </c>
      <c r="D76" s="3">
        <v>36.4</v>
      </c>
      <c r="E76" s="3">
        <v>11.15</v>
      </c>
      <c r="F76" s="3">
        <v>202.94</v>
      </c>
      <c r="G76" s="3">
        <v>12.11</v>
      </c>
      <c r="H76" s="3">
        <v>242.92</v>
      </c>
    </row>
    <row r="77" spans="1:8" x14ac:dyDescent="0.25">
      <c r="A77" s="29">
        <f t="shared" si="1"/>
        <v>74</v>
      </c>
      <c r="B77" s="1">
        <v>45211</v>
      </c>
      <c r="C77" s="3">
        <v>49.79</v>
      </c>
      <c r="D77" s="3">
        <v>36.72</v>
      </c>
      <c r="E77" s="3">
        <v>11.14</v>
      </c>
      <c r="F77" s="3">
        <v>200.28</v>
      </c>
      <c r="G77" s="3">
        <v>12.25</v>
      </c>
      <c r="H77" s="3">
        <v>246.56</v>
      </c>
    </row>
    <row r="78" spans="1:8" x14ac:dyDescent="0.25">
      <c r="A78" s="29">
        <f t="shared" si="1"/>
        <v>75</v>
      </c>
      <c r="B78" s="1">
        <v>45210</v>
      </c>
      <c r="C78" s="3">
        <v>50.18</v>
      </c>
      <c r="D78" s="3">
        <v>37.49</v>
      </c>
      <c r="E78" s="3">
        <v>11.45</v>
      </c>
      <c r="F78" s="3">
        <v>200.6</v>
      </c>
      <c r="G78" s="3">
        <v>12.23</v>
      </c>
      <c r="H78" s="3">
        <v>254.05</v>
      </c>
    </row>
    <row r="79" spans="1:8" x14ac:dyDescent="0.25">
      <c r="A79" s="29">
        <f t="shared" si="1"/>
        <v>76</v>
      </c>
      <c r="B79" s="1">
        <v>45209</v>
      </c>
      <c r="C79" s="3">
        <v>50.11</v>
      </c>
      <c r="D79" s="3">
        <v>37.08</v>
      </c>
      <c r="E79" s="3">
        <v>10.97</v>
      </c>
      <c r="F79" s="3">
        <v>199.57</v>
      </c>
      <c r="G79" s="3">
        <v>12.25</v>
      </c>
      <c r="H79" s="3">
        <v>251.89</v>
      </c>
    </row>
    <row r="80" spans="1:8" x14ac:dyDescent="0.25">
      <c r="A80" s="29">
        <f t="shared" si="1"/>
        <v>77</v>
      </c>
      <c r="B80" s="1">
        <v>45208</v>
      </c>
      <c r="C80" s="3">
        <v>49.07</v>
      </c>
      <c r="D80" s="3">
        <v>36.75</v>
      </c>
      <c r="E80" s="3">
        <v>10.75</v>
      </c>
      <c r="F80" s="3">
        <v>196.17</v>
      </c>
      <c r="G80" s="3">
        <v>11.73</v>
      </c>
      <c r="H80" s="3">
        <v>240.85</v>
      </c>
    </row>
    <row r="81" spans="1:8" x14ac:dyDescent="0.25">
      <c r="A81" s="29">
        <f t="shared" si="1"/>
        <v>78</v>
      </c>
      <c r="B81" s="1">
        <v>45205</v>
      </c>
      <c r="C81" s="3">
        <v>49.47</v>
      </c>
      <c r="D81" s="3">
        <v>36.86</v>
      </c>
      <c r="E81" s="3">
        <v>10.67</v>
      </c>
      <c r="F81" s="3">
        <v>196.39</v>
      </c>
      <c r="G81" s="3">
        <v>12.44</v>
      </c>
      <c r="H81" s="3">
        <v>240.68</v>
      </c>
    </row>
    <row r="82" spans="1:8" x14ac:dyDescent="0.25">
      <c r="A82" s="29">
        <f t="shared" si="1"/>
        <v>79</v>
      </c>
      <c r="B82" s="1">
        <v>45204</v>
      </c>
      <c r="C82" s="3">
        <v>49.25</v>
      </c>
      <c r="D82" s="3">
        <v>36.53</v>
      </c>
      <c r="E82" s="3">
        <v>10.72</v>
      </c>
      <c r="F82" s="3">
        <v>193.23</v>
      </c>
      <c r="G82" s="3">
        <v>11.59</v>
      </c>
      <c r="H82" s="3">
        <v>228.39</v>
      </c>
    </row>
    <row r="83" spans="1:8" x14ac:dyDescent="0.25">
      <c r="A83" s="29">
        <f t="shared" si="1"/>
        <v>80</v>
      </c>
      <c r="B83" s="1">
        <v>45203</v>
      </c>
      <c r="C83" s="3">
        <v>50.49</v>
      </c>
      <c r="D83" s="3">
        <v>36.729999999999997</v>
      </c>
      <c r="E83" s="3">
        <v>11.24</v>
      </c>
      <c r="F83" s="3">
        <v>194.03</v>
      </c>
      <c r="G83" s="3">
        <v>11.95</v>
      </c>
      <c r="H83" s="3">
        <v>293.85000000000002</v>
      </c>
    </row>
    <row r="84" spans="1:8" x14ac:dyDescent="0.25">
      <c r="A84" s="29">
        <f t="shared" si="1"/>
        <v>81</v>
      </c>
      <c r="B84" s="1">
        <v>45202</v>
      </c>
      <c r="C84" s="3">
        <v>50.16</v>
      </c>
      <c r="D84" s="3">
        <v>36.590000000000003</v>
      </c>
      <c r="E84" s="3">
        <v>11.05</v>
      </c>
      <c r="F84" s="3">
        <v>195.21</v>
      </c>
      <c r="G84" s="3">
        <v>11.19</v>
      </c>
      <c r="H84" s="3">
        <v>286.74</v>
      </c>
    </row>
    <row r="85" spans="1:8" x14ac:dyDescent="0.25">
      <c r="A85" s="29">
        <f t="shared" si="1"/>
        <v>82</v>
      </c>
      <c r="B85" s="1">
        <v>45201</v>
      </c>
      <c r="C85" s="3">
        <v>51.02</v>
      </c>
      <c r="D85" s="3">
        <v>36.85</v>
      </c>
      <c r="E85" s="3">
        <v>11.47</v>
      </c>
      <c r="F85" s="3">
        <v>195.45</v>
      </c>
      <c r="G85" s="3">
        <v>11.26</v>
      </c>
      <c r="H85" s="3">
        <v>292.94</v>
      </c>
    </row>
    <row r="86" spans="1:8" x14ac:dyDescent="0.25">
      <c r="A86" s="29">
        <f t="shared" si="1"/>
        <v>83</v>
      </c>
      <c r="B86" s="1">
        <v>45198</v>
      </c>
      <c r="C86" s="3">
        <v>50.64</v>
      </c>
      <c r="D86" s="3">
        <v>36.590000000000003</v>
      </c>
      <c r="E86" s="3">
        <v>11.37</v>
      </c>
      <c r="F86" s="3">
        <v>205.45</v>
      </c>
      <c r="G86" s="3">
        <v>11.85</v>
      </c>
      <c r="H86" s="3">
        <v>286.44</v>
      </c>
    </row>
    <row r="87" spans="1:8" x14ac:dyDescent="0.25">
      <c r="A87" s="29">
        <f t="shared" si="1"/>
        <v>84</v>
      </c>
      <c r="B87" s="1">
        <v>45197</v>
      </c>
      <c r="C87" s="3">
        <v>51.33</v>
      </c>
      <c r="D87" s="3">
        <v>37.450000000000003</v>
      </c>
      <c r="E87" s="3">
        <v>11.66</v>
      </c>
      <c r="F87" s="3">
        <v>208.73</v>
      </c>
      <c r="G87" s="3">
        <v>12.6</v>
      </c>
      <c r="H87" s="3">
        <v>305.62</v>
      </c>
    </row>
    <row r="88" spans="1:8" x14ac:dyDescent="0.25">
      <c r="A88" s="29">
        <f t="shared" si="1"/>
        <v>85</v>
      </c>
      <c r="B88" s="1">
        <v>45196</v>
      </c>
      <c r="C88" s="3">
        <v>51.21</v>
      </c>
      <c r="D88" s="3">
        <v>37.49</v>
      </c>
      <c r="E88" s="3">
        <v>11.61</v>
      </c>
      <c r="F88" s="3">
        <v>209.87</v>
      </c>
      <c r="G88" s="3">
        <v>12.85</v>
      </c>
      <c r="H88" s="3">
        <v>305.07</v>
      </c>
    </row>
    <row r="89" spans="1:8" x14ac:dyDescent="0.25">
      <c r="A89" s="29">
        <f t="shared" si="1"/>
        <v>86</v>
      </c>
      <c r="B89" s="1">
        <v>45195</v>
      </c>
      <c r="C89" s="3">
        <v>50.92</v>
      </c>
      <c r="D89" s="3">
        <v>36.770000000000003</v>
      </c>
      <c r="E89" s="3">
        <v>11.5</v>
      </c>
      <c r="F89" s="3">
        <v>213.8</v>
      </c>
      <c r="G89" s="3">
        <v>12.29</v>
      </c>
      <c r="H89" s="3">
        <v>304.3</v>
      </c>
    </row>
    <row r="90" spans="1:8" x14ac:dyDescent="0.25">
      <c r="A90" s="29">
        <f t="shared" si="1"/>
        <v>87</v>
      </c>
      <c r="B90" s="1">
        <v>45194</v>
      </c>
      <c r="C90" s="3">
        <v>51.19</v>
      </c>
      <c r="D90" s="3">
        <v>36.619999999999997</v>
      </c>
      <c r="E90" s="3">
        <v>11.6</v>
      </c>
      <c r="F90" s="3">
        <v>213.31</v>
      </c>
      <c r="G90" s="3">
        <v>12.96</v>
      </c>
      <c r="H90" s="3">
        <v>308.08999999999997</v>
      </c>
    </row>
    <row r="91" spans="1:8" x14ac:dyDescent="0.25">
      <c r="A91" s="29">
        <f t="shared" si="1"/>
        <v>88</v>
      </c>
      <c r="B91" s="1">
        <v>45191</v>
      </c>
      <c r="C91" s="3">
        <v>51.5</v>
      </c>
      <c r="D91" s="3">
        <v>36.700000000000003</v>
      </c>
      <c r="E91" s="3">
        <v>11.52</v>
      </c>
      <c r="F91" s="3">
        <v>217.96</v>
      </c>
      <c r="G91" s="3">
        <v>13.67</v>
      </c>
      <c r="H91" s="3">
        <v>304.64</v>
      </c>
    </row>
    <row r="92" spans="1:8" x14ac:dyDescent="0.25">
      <c r="A92" s="29">
        <f t="shared" si="1"/>
        <v>89</v>
      </c>
      <c r="B92" s="1">
        <v>45190</v>
      </c>
      <c r="C92" s="3">
        <v>51.72</v>
      </c>
      <c r="D92" s="3">
        <v>36.43</v>
      </c>
      <c r="E92" s="3">
        <v>11.76</v>
      </c>
      <c r="F92" s="3">
        <v>221.04</v>
      </c>
      <c r="G92" s="3">
        <v>14.39</v>
      </c>
      <c r="H92" s="3">
        <v>307.14</v>
      </c>
    </row>
    <row r="93" spans="1:8" x14ac:dyDescent="0.25">
      <c r="A93" s="29">
        <f t="shared" si="1"/>
        <v>90</v>
      </c>
      <c r="B93" s="1">
        <v>45189</v>
      </c>
      <c r="C93" s="3">
        <v>52.27</v>
      </c>
      <c r="D93" s="3">
        <v>37.14</v>
      </c>
      <c r="E93" s="3">
        <v>12.21</v>
      </c>
      <c r="F93" s="3">
        <v>222.78</v>
      </c>
      <c r="G93" s="3">
        <v>14.91</v>
      </c>
      <c r="H93" s="3">
        <v>308.14</v>
      </c>
    </row>
    <row r="94" spans="1:8" x14ac:dyDescent="0.25">
      <c r="A94" s="29">
        <f t="shared" si="1"/>
        <v>91</v>
      </c>
      <c r="B94" s="1">
        <v>45188</v>
      </c>
      <c r="C94" s="3">
        <v>52</v>
      </c>
      <c r="D94" s="3">
        <v>35.69</v>
      </c>
      <c r="E94" s="3">
        <v>12.25</v>
      </c>
      <c r="F94" s="3">
        <v>222.58</v>
      </c>
      <c r="G94" s="3">
        <v>14.61</v>
      </c>
      <c r="H94" s="3">
        <v>309.01</v>
      </c>
    </row>
    <row r="95" spans="1:8" x14ac:dyDescent="0.25">
      <c r="A95" s="29">
        <f t="shared" si="1"/>
        <v>92</v>
      </c>
      <c r="B95" s="1">
        <v>45187</v>
      </c>
      <c r="C95" s="3">
        <v>51.46</v>
      </c>
      <c r="D95" s="3">
        <v>35.979999999999997</v>
      </c>
      <c r="E95" s="3">
        <v>11.92</v>
      </c>
      <c r="F95" s="3">
        <v>222.22</v>
      </c>
      <c r="G95" s="3">
        <v>14.67</v>
      </c>
      <c r="H95" s="3">
        <v>308.48</v>
      </c>
    </row>
    <row r="96" spans="1:8" x14ac:dyDescent="0.25">
      <c r="A96" s="29">
        <f t="shared" si="1"/>
        <v>93</v>
      </c>
      <c r="B96" s="1">
        <v>45184</v>
      </c>
      <c r="C96" s="3">
        <v>51.16</v>
      </c>
      <c r="D96" s="3">
        <v>35.79</v>
      </c>
      <c r="E96" s="3">
        <v>11.7</v>
      </c>
      <c r="F96" s="3">
        <v>221.72</v>
      </c>
      <c r="G96" s="3">
        <v>15.47</v>
      </c>
      <c r="H96" s="3">
        <v>312.87</v>
      </c>
    </row>
    <row r="97" spans="1:8" x14ac:dyDescent="0.25">
      <c r="A97" s="29">
        <f t="shared" si="1"/>
        <v>94</v>
      </c>
      <c r="B97" s="1">
        <v>45183</v>
      </c>
      <c r="C97" s="3">
        <v>51.43</v>
      </c>
      <c r="D97" s="3">
        <v>35.72</v>
      </c>
      <c r="E97" s="3">
        <v>11.74</v>
      </c>
      <c r="F97" s="3">
        <v>218.1</v>
      </c>
      <c r="G97" s="3">
        <v>16.28</v>
      </c>
      <c r="H97" s="3">
        <v>310.63</v>
      </c>
    </row>
    <row r="98" spans="1:8" x14ac:dyDescent="0.25">
      <c r="A98" s="29">
        <f t="shared" si="1"/>
        <v>95</v>
      </c>
      <c r="B98" s="1">
        <v>45182</v>
      </c>
      <c r="C98" s="3">
        <v>51.32</v>
      </c>
      <c r="D98" s="3">
        <v>36.200000000000003</v>
      </c>
      <c r="E98" s="3">
        <v>11.85</v>
      </c>
      <c r="F98" s="3">
        <v>210.71</v>
      </c>
      <c r="G98" s="3">
        <v>16.190000000000001</v>
      </c>
      <c r="H98" s="3">
        <v>308.73</v>
      </c>
    </row>
    <row r="99" spans="1:8" x14ac:dyDescent="0.25">
      <c r="A99" s="29">
        <f t="shared" si="1"/>
        <v>96</v>
      </c>
      <c r="B99" s="1">
        <v>45181</v>
      </c>
      <c r="C99" s="3">
        <v>51.66</v>
      </c>
      <c r="D99" s="3">
        <v>36.32</v>
      </c>
      <c r="E99" s="3">
        <v>11.96</v>
      </c>
      <c r="F99" s="3">
        <v>216.51</v>
      </c>
      <c r="G99" s="3">
        <v>17.190000000000001</v>
      </c>
      <c r="H99" s="3">
        <v>309.02</v>
      </c>
    </row>
    <row r="100" spans="1:8" x14ac:dyDescent="0.25">
      <c r="A100" s="29">
        <f t="shared" si="1"/>
        <v>97</v>
      </c>
      <c r="B100" s="1">
        <v>45180</v>
      </c>
      <c r="C100" s="3">
        <v>52.03</v>
      </c>
      <c r="D100" s="3">
        <v>36.619999999999997</v>
      </c>
      <c r="E100" s="3">
        <v>12.22</v>
      </c>
      <c r="F100" s="3">
        <v>223.17</v>
      </c>
      <c r="G100" s="3">
        <v>17.36</v>
      </c>
      <c r="H100" s="3">
        <v>308.83</v>
      </c>
    </row>
    <row r="101" spans="1:8" x14ac:dyDescent="0.25">
      <c r="A101" s="29">
        <f t="shared" si="1"/>
        <v>98</v>
      </c>
      <c r="B101" s="1">
        <v>45177</v>
      </c>
      <c r="C101" s="3">
        <v>52.29</v>
      </c>
      <c r="D101" s="3">
        <v>36.99</v>
      </c>
      <c r="E101" s="3">
        <v>12.72</v>
      </c>
      <c r="F101" s="3">
        <v>227.48</v>
      </c>
      <c r="G101" s="3">
        <v>18.100000000000001</v>
      </c>
      <c r="H101" s="3">
        <v>308.39</v>
      </c>
    </row>
    <row r="102" spans="1:8" x14ac:dyDescent="0.25">
      <c r="A102" s="29">
        <f t="shared" si="1"/>
        <v>99</v>
      </c>
      <c r="B102" s="1">
        <v>45176</v>
      </c>
      <c r="C102" s="3">
        <v>52.28</v>
      </c>
      <c r="D102" s="3">
        <v>36.64</v>
      </c>
      <c r="E102" s="3">
        <v>13.02</v>
      </c>
      <c r="F102" s="3">
        <v>227.46</v>
      </c>
      <c r="G102" s="3">
        <v>16.12</v>
      </c>
      <c r="H102" s="3">
        <v>302.7</v>
      </c>
    </row>
    <row r="103" spans="1:8" x14ac:dyDescent="0.25">
      <c r="A103" s="29">
        <f t="shared" si="1"/>
        <v>100</v>
      </c>
      <c r="B103" s="1">
        <v>45175</v>
      </c>
      <c r="C103" s="3">
        <v>52.78</v>
      </c>
      <c r="D103" s="3">
        <v>36.909999999999997</v>
      </c>
      <c r="E103" s="3">
        <v>13.31</v>
      </c>
      <c r="F103" s="3">
        <v>227.45</v>
      </c>
      <c r="G103" s="3">
        <v>16.23</v>
      </c>
      <c r="H103" s="3">
        <v>302.33</v>
      </c>
    </row>
    <row r="104" spans="1:8" x14ac:dyDescent="0.25">
      <c r="A104" s="29">
        <f t="shared" si="1"/>
        <v>101</v>
      </c>
      <c r="B104" s="1">
        <v>45174</v>
      </c>
      <c r="C104" s="3">
        <v>52.7</v>
      </c>
      <c r="D104" s="3">
        <v>36.56</v>
      </c>
      <c r="E104" s="3">
        <v>13.48</v>
      </c>
      <c r="F104" s="3">
        <v>230.35</v>
      </c>
      <c r="G104" s="3">
        <v>16.190000000000001</v>
      </c>
      <c r="H104" s="3">
        <v>307.33999999999997</v>
      </c>
    </row>
    <row r="105" spans="1:8" x14ac:dyDescent="0.25">
      <c r="A105" s="29">
        <f t="shared" si="1"/>
        <v>102</v>
      </c>
      <c r="B105" s="1">
        <v>45173</v>
      </c>
      <c r="C105" s="3">
        <v>52.81</v>
      </c>
      <c r="D105" s="3">
        <v>37.32</v>
      </c>
      <c r="E105" s="3">
        <v>13.76</v>
      </c>
      <c r="F105" s="3">
        <v>236.31</v>
      </c>
      <c r="G105" s="3">
        <v>16.61</v>
      </c>
      <c r="H105" s="3">
        <v>306.01</v>
      </c>
    </row>
    <row r="106" spans="1:8" x14ac:dyDescent="0.25">
      <c r="A106" s="29">
        <f t="shared" si="1"/>
        <v>103</v>
      </c>
      <c r="B106" s="1">
        <v>45170</v>
      </c>
      <c r="C106" s="3">
        <v>52.9</v>
      </c>
      <c r="D106" s="3">
        <v>36.93</v>
      </c>
      <c r="E106" s="3">
        <v>13.76</v>
      </c>
      <c r="F106" s="3">
        <v>236.45</v>
      </c>
      <c r="G106" s="3">
        <v>16.649999999999999</v>
      </c>
      <c r="H106" s="3">
        <v>303.86</v>
      </c>
    </row>
    <row r="107" spans="1:8" x14ac:dyDescent="0.25">
      <c r="A107" s="29">
        <f t="shared" si="1"/>
        <v>104</v>
      </c>
      <c r="B107" s="1">
        <v>45169</v>
      </c>
      <c r="C107" s="3">
        <v>52.84</v>
      </c>
      <c r="D107" s="3">
        <v>37</v>
      </c>
      <c r="E107" s="3">
        <v>13.45</v>
      </c>
      <c r="F107" s="3">
        <v>241.16</v>
      </c>
      <c r="G107" s="3">
        <v>17</v>
      </c>
      <c r="H107" s="3">
        <v>313.26</v>
      </c>
    </row>
    <row r="108" spans="1:8" x14ac:dyDescent="0.25">
      <c r="A108" s="29">
        <f t="shared" si="1"/>
        <v>105</v>
      </c>
      <c r="B108" s="1">
        <v>45168</v>
      </c>
      <c r="C108" s="3">
        <v>54.15</v>
      </c>
      <c r="D108" s="3">
        <v>38.07</v>
      </c>
      <c r="E108" s="3">
        <v>13.96</v>
      </c>
      <c r="F108" s="3">
        <v>246.2</v>
      </c>
      <c r="G108" s="3">
        <v>16.96</v>
      </c>
      <c r="H108" s="3">
        <v>322.43</v>
      </c>
    </row>
    <row r="109" spans="1:8" x14ac:dyDescent="0.25">
      <c r="A109" s="29">
        <f t="shared" si="1"/>
        <v>106</v>
      </c>
      <c r="B109" s="1">
        <v>45167</v>
      </c>
      <c r="C109" s="3">
        <v>54.01</v>
      </c>
      <c r="D109" s="3">
        <v>38.29</v>
      </c>
      <c r="E109" s="3">
        <v>14.01</v>
      </c>
      <c r="F109" s="3">
        <v>243.72</v>
      </c>
      <c r="G109" s="3">
        <v>16.73</v>
      </c>
      <c r="H109" s="3">
        <v>315.52999999999997</v>
      </c>
    </row>
    <row r="110" spans="1:8" x14ac:dyDescent="0.25">
      <c r="A110" s="29">
        <f t="shared" si="1"/>
        <v>107</v>
      </c>
      <c r="B110" s="1">
        <v>45166</v>
      </c>
      <c r="C110" s="3">
        <v>53.22</v>
      </c>
      <c r="D110" s="3">
        <v>38.79</v>
      </c>
      <c r="E110" s="3">
        <v>13.84</v>
      </c>
      <c r="F110" s="3">
        <v>237.27</v>
      </c>
      <c r="G110" s="3">
        <v>16.21</v>
      </c>
      <c r="H110" s="3">
        <v>309.07</v>
      </c>
    </row>
    <row r="111" spans="1:8" x14ac:dyDescent="0.25">
      <c r="A111" s="29">
        <f t="shared" si="1"/>
        <v>108</v>
      </c>
      <c r="B111" s="1">
        <v>45163</v>
      </c>
      <c r="C111" s="3">
        <v>53</v>
      </c>
      <c r="D111" s="3">
        <v>37.99</v>
      </c>
      <c r="E111" s="3">
        <v>13.61</v>
      </c>
      <c r="F111" s="3">
        <v>233.27</v>
      </c>
      <c r="G111" s="3">
        <v>15.58</v>
      </c>
      <c r="H111" s="3">
        <v>306.64</v>
      </c>
    </row>
    <row r="112" spans="1:8" x14ac:dyDescent="0.25">
      <c r="A112" s="29">
        <f t="shared" si="1"/>
        <v>109</v>
      </c>
      <c r="B112" s="1">
        <v>45162</v>
      </c>
      <c r="C112" s="3">
        <v>52.85</v>
      </c>
      <c r="D112" s="3">
        <v>38.659999999999997</v>
      </c>
      <c r="E112" s="3">
        <v>13.49</v>
      </c>
      <c r="F112" s="3">
        <v>236.47</v>
      </c>
      <c r="G112" s="3">
        <v>15.83</v>
      </c>
      <c r="H112" s="3">
        <v>304.14999999999998</v>
      </c>
    </row>
    <row r="113" spans="1:8" x14ac:dyDescent="0.25">
      <c r="A113" s="29">
        <f t="shared" si="1"/>
        <v>110</v>
      </c>
      <c r="B113" s="1">
        <v>45161</v>
      </c>
      <c r="C113" s="3">
        <v>53.34</v>
      </c>
      <c r="D113" s="3">
        <v>38.14</v>
      </c>
      <c r="E113" s="3">
        <v>13.66</v>
      </c>
      <c r="F113" s="3">
        <v>236.34</v>
      </c>
      <c r="G113" s="3">
        <v>16.22</v>
      </c>
      <c r="H113" s="3">
        <v>303.35000000000002</v>
      </c>
    </row>
    <row r="114" spans="1:8" x14ac:dyDescent="0.25">
      <c r="A114" s="29">
        <f t="shared" si="1"/>
        <v>111</v>
      </c>
      <c r="B114" s="1">
        <v>45160</v>
      </c>
      <c r="C114" s="3">
        <v>52.88</v>
      </c>
      <c r="D114" s="3">
        <v>37.72</v>
      </c>
      <c r="E114" s="3">
        <v>13.63</v>
      </c>
      <c r="F114" s="3">
        <v>228.78</v>
      </c>
      <c r="G114" s="3">
        <v>16.350000000000001</v>
      </c>
      <c r="H114" s="3">
        <v>303.14999999999998</v>
      </c>
    </row>
    <row r="115" spans="1:8" x14ac:dyDescent="0.25">
      <c r="A115" s="29">
        <f t="shared" si="1"/>
        <v>112</v>
      </c>
      <c r="B115" s="1">
        <v>45159</v>
      </c>
      <c r="C115" s="3">
        <v>52.84</v>
      </c>
      <c r="D115" s="3">
        <v>39.450000000000003</v>
      </c>
      <c r="E115" s="3">
        <v>13.51</v>
      </c>
      <c r="F115" s="3">
        <v>218.73</v>
      </c>
      <c r="G115" s="3">
        <v>16.48</v>
      </c>
      <c r="H115" s="3">
        <v>301.76</v>
      </c>
    </row>
    <row r="116" spans="1:8" x14ac:dyDescent="0.25">
      <c r="A116" s="29">
        <f t="shared" si="1"/>
        <v>113</v>
      </c>
      <c r="B116" s="1">
        <v>45156</v>
      </c>
      <c r="C116" s="3">
        <v>52.92</v>
      </c>
      <c r="D116" s="3">
        <v>38.53</v>
      </c>
      <c r="E116" s="3">
        <v>13.26</v>
      </c>
      <c r="F116" s="3">
        <v>217.93</v>
      </c>
      <c r="G116" s="3">
        <v>16.899999999999999</v>
      </c>
      <c r="H116" s="3">
        <v>303.02</v>
      </c>
    </row>
    <row r="117" spans="1:8" x14ac:dyDescent="0.25">
      <c r="A117" s="29">
        <f t="shared" si="1"/>
        <v>114</v>
      </c>
      <c r="B117" s="1">
        <v>45155</v>
      </c>
      <c r="C117" s="3">
        <v>52.95</v>
      </c>
      <c r="D117" s="3">
        <v>38.54</v>
      </c>
      <c r="E117" s="3">
        <v>13.22</v>
      </c>
      <c r="F117" s="3">
        <v>215.3</v>
      </c>
      <c r="G117" s="3">
        <v>16.920000000000002</v>
      </c>
      <c r="H117" s="3">
        <v>303.33</v>
      </c>
    </row>
    <row r="118" spans="1:8" x14ac:dyDescent="0.25">
      <c r="A118" s="29">
        <f t="shared" si="1"/>
        <v>115</v>
      </c>
      <c r="B118" s="1">
        <v>45154</v>
      </c>
      <c r="C118" s="3">
        <v>53.55</v>
      </c>
      <c r="D118" s="3">
        <v>37.97</v>
      </c>
      <c r="E118" s="3">
        <v>13.8</v>
      </c>
      <c r="F118" s="3">
        <v>224.36</v>
      </c>
      <c r="G118" s="3">
        <v>17.43</v>
      </c>
      <c r="H118" s="3">
        <v>314.10000000000002</v>
      </c>
    </row>
    <row r="119" spans="1:8" x14ac:dyDescent="0.25">
      <c r="A119" s="29">
        <f t="shared" si="1"/>
        <v>116</v>
      </c>
      <c r="B119" s="1">
        <v>45153</v>
      </c>
      <c r="C119" s="3">
        <v>53.31</v>
      </c>
      <c r="D119" s="3">
        <v>38.96</v>
      </c>
      <c r="E119" s="3">
        <v>13.69</v>
      </c>
      <c r="F119" s="3">
        <v>224.98</v>
      </c>
      <c r="G119" s="3">
        <v>17.66</v>
      </c>
      <c r="H119" s="3">
        <v>314.69</v>
      </c>
    </row>
    <row r="120" spans="1:8" x14ac:dyDescent="0.25">
      <c r="A120" s="29">
        <f t="shared" si="1"/>
        <v>117</v>
      </c>
      <c r="B120" s="1">
        <v>45152</v>
      </c>
      <c r="C120" s="3">
        <v>53.06</v>
      </c>
      <c r="D120" s="3">
        <v>39.86</v>
      </c>
      <c r="E120" s="3">
        <v>13.59</v>
      </c>
      <c r="F120" s="3">
        <v>223.82</v>
      </c>
      <c r="G120" s="3">
        <v>17.89</v>
      </c>
      <c r="H120" s="3">
        <v>309.61</v>
      </c>
    </row>
    <row r="121" spans="1:8" x14ac:dyDescent="0.25">
      <c r="A121" s="29">
        <f t="shared" si="1"/>
        <v>118</v>
      </c>
      <c r="B121" s="1">
        <v>45149</v>
      </c>
      <c r="C121" s="3">
        <v>53.03</v>
      </c>
      <c r="D121" s="3">
        <v>39.81</v>
      </c>
      <c r="E121" s="3">
        <v>13.2</v>
      </c>
      <c r="F121" s="3">
        <v>224.4</v>
      </c>
      <c r="G121" s="3">
        <v>18.3</v>
      </c>
      <c r="H121" s="3">
        <v>306.43</v>
      </c>
    </row>
    <row r="122" spans="1:8" x14ac:dyDescent="0.25">
      <c r="A122" s="29">
        <f t="shared" si="1"/>
        <v>119</v>
      </c>
      <c r="B122" s="1">
        <v>45148</v>
      </c>
      <c r="C122" s="3">
        <v>53.59</v>
      </c>
      <c r="D122" s="3">
        <v>39.54</v>
      </c>
      <c r="E122" s="3">
        <v>13.3</v>
      </c>
      <c r="F122" s="3">
        <v>226.88</v>
      </c>
      <c r="G122" s="3">
        <v>19.13</v>
      </c>
      <c r="H122" s="3">
        <v>310.75</v>
      </c>
    </row>
    <row r="123" spans="1:8" x14ac:dyDescent="0.25">
      <c r="A123" s="29">
        <f t="shared" si="1"/>
        <v>120</v>
      </c>
      <c r="B123" s="1">
        <v>45147</v>
      </c>
      <c r="C123" s="3">
        <v>53.92</v>
      </c>
      <c r="D123" s="3">
        <v>40.020000000000003</v>
      </c>
      <c r="E123" s="3">
        <v>13.55</v>
      </c>
      <c r="F123" s="3">
        <v>226.52</v>
      </c>
      <c r="G123" s="3">
        <v>19.350000000000001</v>
      </c>
      <c r="H123" s="3">
        <v>310.85000000000002</v>
      </c>
    </row>
    <row r="124" spans="1:8" x14ac:dyDescent="0.25">
      <c r="A124" s="29">
        <f t="shared" si="1"/>
        <v>121</v>
      </c>
      <c r="B124" s="1">
        <v>45146</v>
      </c>
      <c r="C124" s="3">
        <v>53.4</v>
      </c>
      <c r="D124" s="3">
        <v>40.159999999999997</v>
      </c>
      <c r="E124" s="3">
        <v>13.51</v>
      </c>
      <c r="F124" s="3">
        <v>220.3</v>
      </c>
      <c r="G124" s="3">
        <v>19.579999999999998</v>
      </c>
      <c r="H124" s="3">
        <v>310.06</v>
      </c>
    </row>
    <row r="125" spans="1:8" x14ac:dyDescent="0.25">
      <c r="A125" s="29">
        <f t="shared" si="1"/>
        <v>122</v>
      </c>
      <c r="B125" s="1">
        <v>45145</v>
      </c>
      <c r="C125" s="3">
        <v>53.77</v>
      </c>
      <c r="D125" s="3">
        <v>40.799999999999997</v>
      </c>
      <c r="E125" s="3">
        <v>13.37</v>
      </c>
      <c r="F125" s="3">
        <v>223.12</v>
      </c>
      <c r="G125" s="3">
        <v>20.04</v>
      </c>
      <c r="H125" s="3">
        <v>310.04000000000002</v>
      </c>
    </row>
    <row r="126" spans="1:8" x14ac:dyDescent="0.25">
      <c r="A126" s="29">
        <f t="shared" si="1"/>
        <v>123</v>
      </c>
      <c r="B126" s="1">
        <v>45142</v>
      </c>
      <c r="C126" s="3">
        <v>53.73</v>
      </c>
      <c r="D126" s="3">
        <v>40.200000000000003</v>
      </c>
      <c r="E126" s="3">
        <v>13.08</v>
      </c>
      <c r="F126" s="3">
        <v>223.52</v>
      </c>
      <c r="G126" s="3">
        <v>19.64</v>
      </c>
      <c r="H126" s="3">
        <v>310.45999999999998</v>
      </c>
    </row>
    <row r="127" spans="1:8" x14ac:dyDescent="0.25">
      <c r="A127" s="29">
        <f t="shared" si="1"/>
        <v>124</v>
      </c>
      <c r="B127" s="1">
        <v>45141</v>
      </c>
      <c r="C127" s="3">
        <v>53.19</v>
      </c>
      <c r="D127" s="3">
        <v>38.83</v>
      </c>
      <c r="E127" s="3">
        <v>12.98</v>
      </c>
      <c r="F127" s="3">
        <v>220.02</v>
      </c>
      <c r="G127" s="3">
        <v>19.28</v>
      </c>
      <c r="H127" s="3">
        <v>308.72000000000003</v>
      </c>
    </row>
    <row r="128" spans="1:8" x14ac:dyDescent="0.25">
      <c r="A128" s="29">
        <f t="shared" si="1"/>
        <v>125</v>
      </c>
      <c r="B128" s="1">
        <v>45140</v>
      </c>
      <c r="C128" s="3">
        <v>53.06</v>
      </c>
      <c r="D128" s="3">
        <v>39.53</v>
      </c>
      <c r="E128" s="3">
        <v>12.88</v>
      </c>
      <c r="F128" s="3">
        <v>220.31</v>
      </c>
      <c r="G128" s="3">
        <v>19.36</v>
      </c>
      <c r="H128" s="3">
        <v>307.83</v>
      </c>
    </row>
    <row r="129" spans="1:8" x14ac:dyDescent="0.25">
      <c r="A129" s="29">
        <f t="shared" si="1"/>
        <v>126</v>
      </c>
      <c r="B129" s="1">
        <v>45139</v>
      </c>
      <c r="C129" s="3">
        <v>53.96</v>
      </c>
      <c r="D129" s="3">
        <v>40.96</v>
      </c>
      <c r="E129" s="3">
        <v>12.9</v>
      </c>
      <c r="F129" s="3">
        <v>232.81</v>
      </c>
      <c r="G129" s="3">
        <v>19.73</v>
      </c>
      <c r="H129" s="3">
        <v>313.58</v>
      </c>
    </row>
    <row r="130" spans="1:8" x14ac:dyDescent="0.25">
      <c r="A130" s="29">
        <f t="shared" si="1"/>
        <v>127</v>
      </c>
      <c r="B130" s="1">
        <v>45138</v>
      </c>
      <c r="C130" s="3">
        <v>54.57</v>
      </c>
      <c r="D130" s="3">
        <v>41.63</v>
      </c>
      <c r="E130" s="3">
        <v>12.72</v>
      </c>
      <c r="F130" s="3">
        <v>239.43</v>
      </c>
      <c r="G130" s="3">
        <v>20.14</v>
      </c>
      <c r="H130" s="3">
        <v>319.05</v>
      </c>
    </row>
    <row r="131" spans="1:8" x14ac:dyDescent="0.25">
      <c r="A131" s="29">
        <f t="shared" si="1"/>
        <v>128</v>
      </c>
      <c r="B131" s="1">
        <v>45135</v>
      </c>
      <c r="C131" s="3">
        <v>54.63</v>
      </c>
      <c r="D131" s="3">
        <v>40.590000000000003</v>
      </c>
      <c r="E131" s="3">
        <v>12.81</v>
      </c>
      <c r="F131" s="3">
        <v>233.2</v>
      </c>
      <c r="G131" s="3">
        <v>20.76</v>
      </c>
      <c r="H131" s="3">
        <v>315.98</v>
      </c>
    </row>
    <row r="132" spans="1:8" x14ac:dyDescent="0.25">
      <c r="A132" s="29">
        <f t="shared" si="1"/>
        <v>129</v>
      </c>
      <c r="B132" s="1">
        <v>45134</v>
      </c>
      <c r="C132" s="3">
        <v>54.46</v>
      </c>
      <c r="D132" s="3">
        <v>40.86</v>
      </c>
      <c r="E132" s="3">
        <v>12.78</v>
      </c>
      <c r="F132" s="3">
        <v>232.15</v>
      </c>
      <c r="G132" s="3">
        <v>20.84</v>
      </c>
      <c r="H132" s="3">
        <v>314.37</v>
      </c>
    </row>
    <row r="133" spans="1:8" x14ac:dyDescent="0.25">
      <c r="A133" s="29">
        <f t="shared" ref="A133:A196" si="2">+A132+1</f>
        <v>130</v>
      </c>
      <c r="B133" s="1">
        <v>45133</v>
      </c>
      <c r="C133" s="3">
        <v>54.36</v>
      </c>
      <c r="D133" s="3">
        <v>40.53</v>
      </c>
      <c r="E133" s="3">
        <v>12.82</v>
      </c>
      <c r="F133" s="3">
        <v>231.77</v>
      </c>
      <c r="G133" s="3">
        <v>21.85</v>
      </c>
      <c r="H133" s="3">
        <v>310.87</v>
      </c>
    </row>
    <row r="134" spans="1:8" x14ac:dyDescent="0.25">
      <c r="A134" s="29">
        <f t="shared" si="2"/>
        <v>131</v>
      </c>
      <c r="B134" s="1">
        <v>45132</v>
      </c>
      <c r="C134" s="3">
        <v>53.89</v>
      </c>
      <c r="D134" s="3">
        <v>40.869999999999997</v>
      </c>
      <c r="E134" s="3">
        <v>12.65</v>
      </c>
      <c r="F134" s="3">
        <v>238.79</v>
      </c>
      <c r="G134" s="3">
        <v>21.76</v>
      </c>
      <c r="H134" s="3">
        <v>296.56</v>
      </c>
    </row>
    <row r="135" spans="1:8" x14ac:dyDescent="0.25">
      <c r="A135" s="29">
        <f t="shared" si="2"/>
        <v>132</v>
      </c>
      <c r="B135" s="1">
        <v>45131</v>
      </c>
      <c r="C135" s="3">
        <v>53.46</v>
      </c>
      <c r="D135" s="3">
        <v>39.909999999999997</v>
      </c>
      <c r="E135" s="3">
        <v>12.44</v>
      </c>
      <c r="F135" s="3">
        <v>233.28</v>
      </c>
      <c r="G135" s="3">
        <v>23.07</v>
      </c>
      <c r="H135" s="3">
        <v>299.14999999999998</v>
      </c>
    </row>
    <row r="136" spans="1:8" x14ac:dyDescent="0.25">
      <c r="A136" s="29">
        <f t="shared" si="2"/>
        <v>133</v>
      </c>
      <c r="B136" s="1">
        <v>45128</v>
      </c>
      <c r="C136" s="3">
        <v>53.59</v>
      </c>
      <c r="D136" s="3">
        <v>40.64</v>
      </c>
      <c r="E136" s="3">
        <v>12.58</v>
      </c>
      <c r="F136" s="3">
        <v>234.21</v>
      </c>
      <c r="G136" s="3">
        <v>23.46</v>
      </c>
      <c r="H136" s="3">
        <v>307.01</v>
      </c>
    </row>
    <row r="137" spans="1:8" x14ac:dyDescent="0.25">
      <c r="A137" s="29">
        <f t="shared" si="2"/>
        <v>134</v>
      </c>
      <c r="B137" s="1">
        <v>45127</v>
      </c>
      <c r="C137" s="3">
        <v>53.48</v>
      </c>
      <c r="D137" s="3">
        <v>39.54</v>
      </c>
      <c r="E137" s="3">
        <v>12.6</v>
      </c>
      <c r="F137" s="3">
        <v>232.6</v>
      </c>
      <c r="G137" s="3">
        <v>23.08</v>
      </c>
      <c r="H137" s="3">
        <v>307.08999999999997</v>
      </c>
    </row>
    <row r="138" spans="1:8" x14ac:dyDescent="0.25">
      <c r="A138" s="29">
        <f t="shared" si="2"/>
        <v>135</v>
      </c>
      <c r="B138" s="1">
        <v>45126</v>
      </c>
      <c r="C138" s="3">
        <v>53.66</v>
      </c>
      <c r="D138" s="3">
        <v>40.369999999999997</v>
      </c>
      <c r="E138" s="3">
        <v>12.48</v>
      </c>
      <c r="F138" s="3">
        <v>238.19</v>
      </c>
      <c r="G138" s="3">
        <v>22.9</v>
      </c>
      <c r="H138" s="3">
        <v>313.62</v>
      </c>
    </row>
    <row r="139" spans="1:8" x14ac:dyDescent="0.25">
      <c r="A139" s="29">
        <f t="shared" si="2"/>
        <v>136</v>
      </c>
      <c r="B139" s="1">
        <v>45125</v>
      </c>
      <c r="C139" s="3">
        <v>53.96</v>
      </c>
      <c r="D139" s="3">
        <v>40.44</v>
      </c>
      <c r="E139" s="3">
        <v>12.52</v>
      </c>
      <c r="F139" s="3">
        <v>240.25</v>
      </c>
      <c r="G139" s="3">
        <v>22.79</v>
      </c>
      <c r="H139" s="3">
        <v>314.06</v>
      </c>
    </row>
    <row r="140" spans="1:8" x14ac:dyDescent="0.25">
      <c r="A140" s="29">
        <f t="shared" si="2"/>
        <v>137</v>
      </c>
      <c r="B140" s="1">
        <v>45124</v>
      </c>
      <c r="C140" s="3">
        <v>53.52</v>
      </c>
      <c r="D140" s="3">
        <v>40.9</v>
      </c>
      <c r="E140" s="3">
        <v>12.35</v>
      </c>
      <c r="F140" s="3">
        <v>240.14</v>
      </c>
      <c r="G140" s="3">
        <v>22.56</v>
      </c>
      <c r="H140" s="3">
        <v>309.13</v>
      </c>
    </row>
    <row r="141" spans="1:8" x14ac:dyDescent="0.25">
      <c r="A141" s="29">
        <f t="shared" si="2"/>
        <v>138</v>
      </c>
      <c r="B141" s="1">
        <v>45121</v>
      </c>
      <c r="C141" s="3">
        <v>53.63</v>
      </c>
      <c r="D141" s="3">
        <v>40.29</v>
      </c>
      <c r="E141" s="3">
        <v>12.22</v>
      </c>
      <c r="F141" s="3">
        <v>241.33</v>
      </c>
      <c r="G141" s="3">
        <v>22.71</v>
      </c>
      <c r="H141" s="3">
        <v>308.3</v>
      </c>
    </row>
    <row r="142" spans="1:8" x14ac:dyDescent="0.25">
      <c r="A142" s="29">
        <f t="shared" si="2"/>
        <v>139</v>
      </c>
      <c r="B142" s="1">
        <v>45120</v>
      </c>
      <c r="C142" s="3">
        <v>54.12</v>
      </c>
      <c r="D142" s="3">
        <v>39.58</v>
      </c>
      <c r="E142" s="3">
        <v>12.39</v>
      </c>
      <c r="F142" s="3">
        <v>244.32</v>
      </c>
      <c r="G142" s="3">
        <v>23.61</v>
      </c>
      <c r="H142" s="3">
        <v>314.44</v>
      </c>
    </row>
    <row r="143" spans="1:8" x14ac:dyDescent="0.25">
      <c r="A143" s="29">
        <f t="shared" si="2"/>
        <v>140</v>
      </c>
      <c r="B143" s="1">
        <v>45119</v>
      </c>
      <c r="C143" s="3">
        <v>53.73</v>
      </c>
      <c r="D143" s="3">
        <v>39.18</v>
      </c>
      <c r="E143" s="3">
        <v>11.88</v>
      </c>
      <c r="F143" s="3">
        <v>241.71</v>
      </c>
      <c r="G143" s="3">
        <v>23.3</v>
      </c>
      <c r="H143" s="3">
        <v>313.31</v>
      </c>
    </row>
    <row r="144" spans="1:8" x14ac:dyDescent="0.25">
      <c r="A144" s="29">
        <f t="shared" si="2"/>
        <v>141</v>
      </c>
      <c r="B144" s="1">
        <v>45118</v>
      </c>
      <c r="C144" s="3">
        <v>53.94</v>
      </c>
      <c r="D144" s="3">
        <v>38.770000000000003</v>
      </c>
      <c r="E144" s="3">
        <v>11.9</v>
      </c>
      <c r="F144" s="3">
        <v>237.29</v>
      </c>
      <c r="G144" s="3">
        <v>23.48</v>
      </c>
      <c r="H144" s="3">
        <v>316.05</v>
      </c>
    </row>
    <row r="145" spans="1:8" x14ac:dyDescent="0.25">
      <c r="A145" s="29">
        <f t="shared" si="2"/>
        <v>142</v>
      </c>
      <c r="B145" s="1">
        <v>45117</v>
      </c>
      <c r="C145" s="3">
        <v>53.39</v>
      </c>
      <c r="D145" s="3">
        <v>39.07</v>
      </c>
      <c r="E145" s="3">
        <v>11.7</v>
      </c>
      <c r="F145" s="3">
        <v>233.41</v>
      </c>
      <c r="G145" s="3">
        <v>22.91</v>
      </c>
      <c r="H145" s="3">
        <v>317.25</v>
      </c>
    </row>
    <row r="146" spans="1:8" x14ac:dyDescent="0.25">
      <c r="A146" s="29">
        <f t="shared" si="2"/>
        <v>143</v>
      </c>
      <c r="B146" s="1">
        <v>45114</v>
      </c>
      <c r="C146" s="3">
        <v>53.72</v>
      </c>
      <c r="D146" s="3">
        <v>39.270000000000003</v>
      </c>
      <c r="E146" s="3">
        <v>11.54</v>
      </c>
      <c r="F146" s="3">
        <v>232.92</v>
      </c>
      <c r="G146" s="3">
        <v>23.31</v>
      </c>
      <c r="H146" s="3">
        <v>319.58</v>
      </c>
    </row>
    <row r="147" spans="1:8" x14ac:dyDescent="0.25">
      <c r="A147" s="29">
        <f t="shared" si="2"/>
        <v>144</v>
      </c>
      <c r="B147" s="1">
        <v>45113</v>
      </c>
      <c r="C147" s="3">
        <v>53.23</v>
      </c>
      <c r="D147" s="3">
        <v>37.840000000000003</v>
      </c>
      <c r="E147" s="3">
        <v>11.35</v>
      </c>
      <c r="F147" s="3">
        <v>233.18</v>
      </c>
      <c r="G147" s="3">
        <v>23.08</v>
      </c>
      <c r="H147" s="3">
        <v>313.37</v>
      </c>
    </row>
    <row r="148" spans="1:8" x14ac:dyDescent="0.25">
      <c r="A148" s="29">
        <f t="shared" si="2"/>
        <v>145</v>
      </c>
      <c r="B148" s="1">
        <v>45112</v>
      </c>
      <c r="C148" s="3">
        <v>53.79</v>
      </c>
      <c r="D148" s="3">
        <v>38.340000000000003</v>
      </c>
      <c r="E148" s="3">
        <v>11.9</v>
      </c>
      <c r="F148" s="3">
        <v>241.65</v>
      </c>
      <c r="G148" s="3">
        <v>23.78</v>
      </c>
      <c r="H148" s="3">
        <v>317.3</v>
      </c>
    </row>
    <row r="149" spans="1:8" x14ac:dyDescent="0.25">
      <c r="A149" s="29">
        <f t="shared" si="2"/>
        <v>146</v>
      </c>
      <c r="B149" s="1">
        <v>45111</v>
      </c>
      <c r="C149" s="3">
        <v>53.7</v>
      </c>
      <c r="D149" s="3">
        <v>38.21</v>
      </c>
      <c r="E149" s="3">
        <v>12.11</v>
      </c>
      <c r="F149" s="3">
        <v>241.1</v>
      </c>
      <c r="G149" s="3">
        <v>23.98</v>
      </c>
      <c r="H149" s="3">
        <v>314.77</v>
      </c>
    </row>
    <row r="150" spans="1:8" x14ac:dyDescent="0.25">
      <c r="A150" s="29">
        <f t="shared" si="2"/>
        <v>147</v>
      </c>
      <c r="B150" s="1">
        <v>45110</v>
      </c>
      <c r="C150" s="3">
        <v>54.18</v>
      </c>
      <c r="D150" s="3">
        <v>38.229999999999997</v>
      </c>
      <c r="E150" s="3">
        <v>12.14</v>
      </c>
      <c r="F150" s="3">
        <v>240.23</v>
      </c>
      <c r="G150" s="3">
        <v>23.99</v>
      </c>
      <c r="H150" s="3">
        <v>325.85000000000002</v>
      </c>
    </row>
    <row r="151" spans="1:8" x14ac:dyDescent="0.25">
      <c r="A151" s="29">
        <f t="shared" si="2"/>
        <v>148</v>
      </c>
      <c r="B151" s="1">
        <v>45107</v>
      </c>
      <c r="C151" s="3">
        <v>53.33</v>
      </c>
      <c r="D151" s="3">
        <v>37.630000000000003</v>
      </c>
      <c r="E151" s="3">
        <v>12.1</v>
      </c>
      <c r="F151" s="3">
        <v>240.43</v>
      </c>
      <c r="G151" s="3">
        <v>23.97</v>
      </c>
      <c r="H151" s="3">
        <v>307.23</v>
      </c>
    </row>
    <row r="152" spans="1:8" x14ac:dyDescent="0.25">
      <c r="A152" s="29">
        <f t="shared" si="2"/>
        <v>149</v>
      </c>
      <c r="B152" s="1">
        <v>45106</v>
      </c>
      <c r="C152" s="3">
        <v>53.39</v>
      </c>
      <c r="D152" s="3">
        <v>39</v>
      </c>
      <c r="E152" s="3">
        <v>11.97</v>
      </c>
      <c r="F152" s="3">
        <v>239.98</v>
      </c>
      <c r="G152" s="3">
        <v>24.13</v>
      </c>
      <c r="H152" s="3">
        <v>304.19</v>
      </c>
    </row>
    <row r="153" spans="1:8" x14ac:dyDescent="0.25">
      <c r="A153" s="29">
        <f t="shared" si="2"/>
        <v>150</v>
      </c>
      <c r="B153" s="1">
        <v>45105</v>
      </c>
      <c r="C153" s="3">
        <v>53.26</v>
      </c>
      <c r="D153" s="3">
        <v>39</v>
      </c>
      <c r="E153" s="3">
        <v>11.88</v>
      </c>
      <c r="F153" s="3">
        <v>241.67</v>
      </c>
      <c r="G153" s="3">
        <v>24.25</v>
      </c>
      <c r="H153" s="3">
        <v>305.37</v>
      </c>
    </row>
    <row r="154" spans="1:8" x14ac:dyDescent="0.25">
      <c r="A154" s="29">
        <f t="shared" si="2"/>
        <v>151</v>
      </c>
      <c r="B154" s="1">
        <v>45104</v>
      </c>
      <c r="C154" s="3">
        <v>54.18</v>
      </c>
      <c r="D154" s="3">
        <v>39.32</v>
      </c>
      <c r="E154" s="3">
        <v>12.09</v>
      </c>
      <c r="F154" s="3">
        <v>243.84</v>
      </c>
      <c r="G154" s="3">
        <v>24.21</v>
      </c>
      <c r="H154" s="3">
        <v>308.13</v>
      </c>
    </row>
    <row r="155" spans="1:8" x14ac:dyDescent="0.25">
      <c r="A155" s="29">
        <f t="shared" si="2"/>
        <v>152</v>
      </c>
      <c r="B155" s="1">
        <v>45103</v>
      </c>
      <c r="C155" s="3">
        <v>53.59</v>
      </c>
      <c r="D155" s="3">
        <v>38.39</v>
      </c>
      <c r="E155" s="3">
        <v>11.84</v>
      </c>
      <c r="F155" s="3">
        <v>246.37</v>
      </c>
      <c r="G155" s="3">
        <v>23.97</v>
      </c>
      <c r="H155" s="3">
        <v>306.13</v>
      </c>
    </row>
    <row r="156" spans="1:8" x14ac:dyDescent="0.25">
      <c r="A156" s="29">
        <f t="shared" si="2"/>
        <v>153</v>
      </c>
      <c r="B156" s="1">
        <v>45100</v>
      </c>
      <c r="C156" s="3">
        <v>53.56</v>
      </c>
      <c r="D156" s="3">
        <v>38.21</v>
      </c>
      <c r="E156" s="3">
        <v>11.89</v>
      </c>
      <c r="F156" s="3">
        <v>247.03</v>
      </c>
      <c r="G156" s="3">
        <v>23.98</v>
      </c>
      <c r="H156" s="3">
        <v>307.67</v>
      </c>
    </row>
    <row r="157" spans="1:8" x14ac:dyDescent="0.25">
      <c r="A157" s="29">
        <f t="shared" si="2"/>
        <v>154</v>
      </c>
      <c r="B157" s="1">
        <v>45099</v>
      </c>
      <c r="C157" s="3">
        <v>53.82</v>
      </c>
      <c r="D157" s="3">
        <v>39</v>
      </c>
      <c r="E157" s="3">
        <v>11.86</v>
      </c>
      <c r="F157" s="3">
        <v>247.75</v>
      </c>
      <c r="G157" s="3">
        <v>24.17</v>
      </c>
      <c r="H157" s="3">
        <v>314.41000000000003</v>
      </c>
    </row>
    <row r="158" spans="1:8" x14ac:dyDescent="0.25">
      <c r="A158" s="29">
        <f t="shared" si="2"/>
        <v>155</v>
      </c>
      <c r="B158" s="1">
        <v>45098</v>
      </c>
      <c r="C158" s="3">
        <v>54.29</v>
      </c>
      <c r="D158" s="3">
        <v>39.5</v>
      </c>
      <c r="E158" s="3">
        <v>12.06</v>
      </c>
      <c r="F158" s="3">
        <v>258.47000000000003</v>
      </c>
      <c r="G158" s="3">
        <v>24.19</v>
      </c>
      <c r="H158" s="3">
        <v>316.77</v>
      </c>
    </row>
    <row r="159" spans="1:8" x14ac:dyDescent="0.25">
      <c r="A159" s="29">
        <f t="shared" si="2"/>
        <v>156</v>
      </c>
      <c r="B159" s="1">
        <v>45097</v>
      </c>
      <c r="C159" s="3">
        <v>54.56</v>
      </c>
      <c r="D159" s="3">
        <v>39.78</v>
      </c>
      <c r="E159" s="3">
        <v>12.08</v>
      </c>
      <c r="F159" s="3">
        <v>265.86</v>
      </c>
      <c r="G159" s="3">
        <v>24.48</v>
      </c>
      <c r="H159" s="3">
        <v>317.64</v>
      </c>
    </row>
    <row r="160" spans="1:8" x14ac:dyDescent="0.25">
      <c r="A160" s="29">
        <f t="shared" si="2"/>
        <v>157</v>
      </c>
      <c r="B160" s="1">
        <v>45096</v>
      </c>
      <c r="C160" s="3">
        <v>55.16</v>
      </c>
      <c r="D160" s="3">
        <v>39.700000000000003</v>
      </c>
      <c r="E160" s="3">
        <v>12.34</v>
      </c>
      <c r="F160" s="3">
        <v>265.48</v>
      </c>
      <c r="G160" s="3">
        <v>24.92</v>
      </c>
      <c r="H160" s="3">
        <v>324.47000000000003</v>
      </c>
    </row>
    <row r="161" spans="1:8" x14ac:dyDescent="0.25">
      <c r="A161" s="29">
        <f t="shared" si="2"/>
        <v>158</v>
      </c>
      <c r="B161" s="1">
        <v>45093</v>
      </c>
      <c r="C161" s="3">
        <v>55.13</v>
      </c>
      <c r="D161" s="3">
        <v>39.67</v>
      </c>
      <c r="E161" s="3">
        <v>12.4</v>
      </c>
      <c r="F161" s="3">
        <v>266.62</v>
      </c>
      <c r="G161" s="3">
        <v>24.98</v>
      </c>
      <c r="H161" s="3">
        <v>331.23</v>
      </c>
    </row>
    <row r="162" spans="1:8" x14ac:dyDescent="0.25">
      <c r="A162" s="29">
        <f t="shared" si="2"/>
        <v>159</v>
      </c>
      <c r="B162" s="1">
        <v>45092</v>
      </c>
      <c r="C162" s="3">
        <v>55.53</v>
      </c>
      <c r="D162" s="3">
        <v>39.71</v>
      </c>
      <c r="E162" s="3">
        <v>12.54</v>
      </c>
      <c r="F162" s="3">
        <v>270.11</v>
      </c>
      <c r="G162" s="3">
        <v>25.1</v>
      </c>
      <c r="H162" s="3">
        <v>327.76</v>
      </c>
    </row>
    <row r="163" spans="1:8" x14ac:dyDescent="0.25">
      <c r="A163" s="29">
        <f t="shared" si="2"/>
        <v>160</v>
      </c>
      <c r="B163" s="1">
        <v>45091</v>
      </c>
      <c r="C163" s="3">
        <v>55.31</v>
      </c>
      <c r="D163" s="3">
        <v>39.82</v>
      </c>
      <c r="E163" s="3">
        <v>12.5</v>
      </c>
      <c r="F163" s="3">
        <v>270.72000000000003</v>
      </c>
      <c r="G163" s="3">
        <v>25.49</v>
      </c>
      <c r="H163" s="3">
        <v>326.2</v>
      </c>
    </row>
    <row r="164" spans="1:8" x14ac:dyDescent="0.25">
      <c r="A164" s="29">
        <f t="shared" si="2"/>
        <v>161</v>
      </c>
      <c r="B164" s="1">
        <v>45090</v>
      </c>
      <c r="C164" s="3">
        <v>54.74</v>
      </c>
      <c r="D164" s="3">
        <v>39.4</v>
      </c>
      <c r="E164" s="3">
        <v>12.31</v>
      </c>
      <c r="F164" s="3">
        <v>275.31</v>
      </c>
      <c r="G164" s="3">
        <v>25.1</v>
      </c>
      <c r="H164" s="3">
        <v>319.77999999999997</v>
      </c>
    </row>
    <row r="165" spans="1:8" x14ac:dyDescent="0.25">
      <c r="A165" s="29">
        <f t="shared" si="2"/>
        <v>162</v>
      </c>
      <c r="B165" s="1">
        <v>45089</v>
      </c>
      <c r="C165" s="3">
        <v>54.47</v>
      </c>
      <c r="D165" s="3">
        <v>39.36</v>
      </c>
      <c r="E165" s="3">
        <v>11.99</v>
      </c>
      <c r="F165" s="3">
        <v>278.49</v>
      </c>
      <c r="G165" s="3">
        <v>25.04</v>
      </c>
      <c r="H165" s="3">
        <v>316</v>
      </c>
    </row>
    <row r="166" spans="1:8" x14ac:dyDescent="0.25">
      <c r="A166" s="29">
        <f t="shared" si="2"/>
        <v>163</v>
      </c>
      <c r="B166" s="1">
        <v>45086</v>
      </c>
      <c r="C166" s="3">
        <v>54.69</v>
      </c>
      <c r="D166" s="3">
        <v>39.57</v>
      </c>
      <c r="E166" s="3">
        <v>12.06</v>
      </c>
      <c r="F166" s="3">
        <v>292.16000000000003</v>
      </c>
      <c r="G166" s="3">
        <v>25.34</v>
      </c>
      <c r="H166" s="3">
        <v>307.22000000000003</v>
      </c>
    </row>
    <row r="167" spans="1:8" x14ac:dyDescent="0.25">
      <c r="A167" s="29">
        <f t="shared" si="2"/>
        <v>164</v>
      </c>
      <c r="B167" s="1">
        <v>45085</v>
      </c>
      <c r="C167" s="3">
        <v>54.59</v>
      </c>
      <c r="D167" s="3">
        <v>39.04</v>
      </c>
      <c r="E167" s="3">
        <v>12</v>
      </c>
      <c r="F167" s="3">
        <v>289.83</v>
      </c>
      <c r="G167" s="3">
        <v>25.32</v>
      </c>
      <c r="H167" s="3">
        <v>310.97000000000003</v>
      </c>
    </row>
    <row r="168" spans="1:8" x14ac:dyDescent="0.25">
      <c r="A168" s="29">
        <f t="shared" si="2"/>
        <v>165</v>
      </c>
      <c r="B168" s="1">
        <v>45084</v>
      </c>
      <c r="C168" s="3">
        <v>54.14</v>
      </c>
      <c r="D168" s="3">
        <v>38.99</v>
      </c>
      <c r="E168" s="3">
        <v>11.91</v>
      </c>
      <c r="F168" s="3">
        <v>274.75</v>
      </c>
      <c r="G168" s="3">
        <v>25.18</v>
      </c>
      <c r="H168" s="3">
        <v>314.48</v>
      </c>
    </row>
    <row r="169" spans="1:8" x14ac:dyDescent="0.25">
      <c r="A169" s="29">
        <f t="shared" si="2"/>
        <v>166</v>
      </c>
      <c r="B169" s="1">
        <v>45083</v>
      </c>
      <c r="C169" s="3">
        <v>54.28</v>
      </c>
      <c r="D169" s="3">
        <v>39.24</v>
      </c>
      <c r="E169" s="3">
        <v>11.66</v>
      </c>
      <c r="F169" s="3">
        <v>277.77</v>
      </c>
      <c r="G169" s="3">
        <v>25.16</v>
      </c>
      <c r="H169" s="3">
        <v>317.10000000000002</v>
      </c>
    </row>
    <row r="170" spans="1:8" x14ac:dyDescent="0.25">
      <c r="A170" s="29">
        <f t="shared" si="2"/>
        <v>167</v>
      </c>
      <c r="B170" s="1">
        <v>45082</v>
      </c>
      <c r="C170" s="3">
        <v>53.42</v>
      </c>
      <c r="D170" s="3">
        <v>39.08</v>
      </c>
      <c r="E170" s="3">
        <v>11.17</v>
      </c>
      <c r="F170" s="3">
        <v>271.04000000000002</v>
      </c>
      <c r="G170" s="3">
        <v>25.04</v>
      </c>
      <c r="H170" s="3">
        <v>304.76</v>
      </c>
    </row>
    <row r="171" spans="1:8" x14ac:dyDescent="0.25">
      <c r="A171" s="29">
        <f t="shared" si="2"/>
        <v>168</v>
      </c>
      <c r="B171" s="1">
        <v>45079</v>
      </c>
      <c r="C171" s="3">
        <v>53.12</v>
      </c>
      <c r="D171" s="3">
        <v>39.32</v>
      </c>
      <c r="E171" s="3">
        <v>11.14</v>
      </c>
      <c r="F171" s="3">
        <v>272.81</v>
      </c>
      <c r="G171" s="3">
        <v>25</v>
      </c>
      <c r="H171" s="3">
        <v>311.22000000000003</v>
      </c>
    </row>
    <row r="172" spans="1:8" x14ac:dyDescent="0.25">
      <c r="A172" s="29">
        <f t="shared" si="2"/>
        <v>169</v>
      </c>
      <c r="B172" s="1">
        <v>45078</v>
      </c>
      <c r="C172" s="3">
        <v>52.64</v>
      </c>
      <c r="D172" s="3">
        <v>38.479999999999997</v>
      </c>
      <c r="E172" s="3">
        <v>10.63</v>
      </c>
      <c r="F172" s="3">
        <v>270.14</v>
      </c>
      <c r="G172" s="3">
        <v>24.86</v>
      </c>
      <c r="H172" s="3">
        <v>301.39</v>
      </c>
    </row>
    <row r="173" spans="1:8" x14ac:dyDescent="0.25">
      <c r="A173" s="29">
        <f t="shared" si="2"/>
        <v>170</v>
      </c>
      <c r="B173" s="1">
        <v>45077</v>
      </c>
      <c r="C173" s="3">
        <v>52.68</v>
      </c>
      <c r="D173" s="3">
        <v>38.28</v>
      </c>
      <c r="E173" s="3">
        <v>10.64</v>
      </c>
      <c r="F173" s="3">
        <v>270.68</v>
      </c>
      <c r="G173" s="3">
        <v>24.4</v>
      </c>
      <c r="H173" s="3">
        <v>312.97000000000003</v>
      </c>
    </row>
    <row r="174" spans="1:8" x14ac:dyDescent="0.25">
      <c r="A174" s="29">
        <f t="shared" si="2"/>
        <v>171</v>
      </c>
      <c r="B174" s="1">
        <v>45076</v>
      </c>
      <c r="C174" s="3">
        <v>53.25</v>
      </c>
      <c r="D174" s="3">
        <v>38.020000000000003</v>
      </c>
      <c r="E174" s="3">
        <v>10.56</v>
      </c>
      <c r="F174" s="3">
        <v>291.02999999999997</v>
      </c>
      <c r="G174" s="3">
        <v>23.97</v>
      </c>
      <c r="H174" s="3">
        <v>311.74</v>
      </c>
    </row>
    <row r="175" spans="1:8" x14ac:dyDescent="0.25">
      <c r="A175" s="29">
        <f t="shared" si="2"/>
        <v>172</v>
      </c>
      <c r="B175" s="1">
        <v>45075</v>
      </c>
      <c r="C175" s="3">
        <v>54.16</v>
      </c>
      <c r="D175" s="3">
        <v>38.89</v>
      </c>
      <c r="E175" s="3">
        <v>10.91</v>
      </c>
      <c r="F175" s="3">
        <v>277.68</v>
      </c>
      <c r="G175" s="3">
        <v>23.99</v>
      </c>
      <c r="H175" s="3">
        <v>328.9</v>
      </c>
    </row>
    <row r="176" spans="1:8" x14ac:dyDescent="0.25">
      <c r="A176" s="29">
        <f t="shared" si="2"/>
        <v>173</v>
      </c>
      <c r="B176" s="1">
        <v>45072</v>
      </c>
      <c r="C176" s="3">
        <v>54.1</v>
      </c>
      <c r="D176" s="3">
        <v>39.049999999999997</v>
      </c>
      <c r="E176" s="3">
        <v>11.08</v>
      </c>
      <c r="F176" s="3">
        <v>267.83999999999997</v>
      </c>
      <c r="G176" s="3">
        <v>24.12</v>
      </c>
      <c r="H176" s="3">
        <v>318.47000000000003</v>
      </c>
    </row>
    <row r="177" spans="1:8" x14ac:dyDescent="0.25">
      <c r="A177" s="29">
        <f t="shared" si="2"/>
        <v>174</v>
      </c>
      <c r="B177" s="1">
        <v>45071</v>
      </c>
      <c r="C177" s="3">
        <v>53.81</v>
      </c>
      <c r="D177" s="3">
        <v>38.94</v>
      </c>
      <c r="E177" s="3">
        <v>11.1</v>
      </c>
      <c r="F177" s="3">
        <v>261.85000000000002</v>
      </c>
      <c r="G177" s="3">
        <v>23.07</v>
      </c>
      <c r="H177" s="3">
        <v>312.41000000000003</v>
      </c>
    </row>
    <row r="178" spans="1:8" x14ac:dyDescent="0.25">
      <c r="A178" s="29">
        <f t="shared" si="2"/>
        <v>175</v>
      </c>
      <c r="B178" s="1">
        <v>45070</v>
      </c>
      <c r="C178" s="3">
        <v>53.36</v>
      </c>
      <c r="D178" s="3">
        <v>39.58</v>
      </c>
      <c r="E178" s="3">
        <v>10.98</v>
      </c>
      <c r="F178" s="3">
        <v>257.8</v>
      </c>
      <c r="G178" s="3">
        <v>22.58</v>
      </c>
      <c r="H178" s="3">
        <v>312.83999999999997</v>
      </c>
    </row>
    <row r="179" spans="1:8" x14ac:dyDescent="0.25">
      <c r="A179" s="29">
        <f t="shared" si="2"/>
        <v>176</v>
      </c>
      <c r="B179" s="1">
        <v>45069</v>
      </c>
      <c r="C179" s="3">
        <v>53.16</v>
      </c>
      <c r="D179" s="3">
        <v>39.82</v>
      </c>
      <c r="E179" s="3">
        <v>11.05</v>
      </c>
      <c r="F179" s="3">
        <v>251.55</v>
      </c>
      <c r="G179" s="3">
        <v>22.66</v>
      </c>
      <c r="H179" s="3">
        <v>311.47000000000003</v>
      </c>
    </row>
    <row r="180" spans="1:8" x14ac:dyDescent="0.25">
      <c r="A180" s="29">
        <f t="shared" si="2"/>
        <v>177</v>
      </c>
      <c r="B180" s="1">
        <v>45068</v>
      </c>
      <c r="C180" s="3">
        <v>53.39</v>
      </c>
      <c r="D180" s="3">
        <v>41.37</v>
      </c>
      <c r="E180" s="3">
        <v>11.32</v>
      </c>
      <c r="F180" s="3">
        <v>264.81</v>
      </c>
      <c r="G180" s="3">
        <v>22.84</v>
      </c>
      <c r="H180" s="3">
        <v>319.47000000000003</v>
      </c>
    </row>
    <row r="181" spans="1:8" x14ac:dyDescent="0.25">
      <c r="A181" s="29">
        <f t="shared" si="2"/>
        <v>178</v>
      </c>
      <c r="B181" s="1">
        <v>45065</v>
      </c>
      <c r="C181" s="3">
        <v>54.31</v>
      </c>
      <c r="D181" s="3">
        <v>39.83</v>
      </c>
      <c r="E181" s="3">
        <v>11.5</v>
      </c>
      <c r="F181" s="3">
        <v>276.7</v>
      </c>
      <c r="G181" s="3">
        <v>23.25</v>
      </c>
      <c r="H181" s="3">
        <v>318.75</v>
      </c>
    </row>
    <row r="182" spans="1:8" x14ac:dyDescent="0.25">
      <c r="A182" s="29">
        <f t="shared" si="2"/>
        <v>179</v>
      </c>
      <c r="B182" s="1">
        <v>45064</v>
      </c>
      <c r="C182" s="3">
        <v>55.26</v>
      </c>
      <c r="D182" s="3">
        <v>39.82</v>
      </c>
      <c r="E182" s="3">
        <v>11.64</v>
      </c>
      <c r="F182" s="3">
        <v>276</v>
      </c>
      <c r="G182" s="3">
        <v>23.41</v>
      </c>
      <c r="H182" s="3">
        <v>327.94</v>
      </c>
    </row>
    <row r="183" spans="1:8" x14ac:dyDescent="0.25">
      <c r="A183" s="29">
        <f t="shared" si="2"/>
        <v>180</v>
      </c>
      <c r="B183" s="1">
        <v>45063</v>
      </c>
      <c r="C183" s="3">
        <v>55.02</v>
      </c>
      <c r="D183" s="3">
        <v>39.78</v>
      </c>
      <c r="E183" s="3">
        <v>11.59</v>
      </c>
      <c r="F183" s="3">
        <v>280.17</v>
      </c>
      <c r="G183" s="3">
        <v>23.1</v>
      </c>
      <c r="H183" s="3">
        <v>325.95</v>
      </c>
    </row>
    <row r="184" spans="1:8" x14ac:dyDescent="0.25">
      <c r="A184" s="29">
        <f t="shared" si="2"/>
        <v>181</v>
      </c>
      <c r="B184" s="1">
        <v>45062</v>
      </c>
      <c r="C184" s="3">
        <v>55.15</v>
      </c>
      <c r="D184" s="3">
        <v>39.75</v>
      </c>
      <c r="E184" s="3">
        <v>11.53</v>
      </c>
      <c r="F184" s="3">
        <v>278.36</v>
      </c>
      <c r="G184" s="3">
        <v>22.61</v>
      </c>
      <c r="H184" s="3">
        <v>322.7</v>
      </c>
    </row>
    <row r="185" spans="1:8" x14ac:dyDescent="0.25">
      <c r="A185" s="29">
        <f t="shared" si="2"/>
        <v>182</v>
      </c>
      <c r="B185" s="1">
        <v>45061</v>
      </c>
      <c r="C185" s="3">
        <v>55.21</v>
      </c>
      <c r="D185" s="3">
        <v>40.049999999999997</v>
      </c>
      <c r="E185" s="3">
        <v>11.43</v>
      </c>
      <c r="F185" s="3">
        <v>282.14</v>
      </c>
      <c r="G185" s="3">
        <v>22.02</v>
      </c>
      <c r="H185" s="3">
        <v>324.75</v>
      </c>
    </row>
    <row r="186" spans="1:8" x14ac:dyDescent="0.25">
      <c r="A186" s="29">
        <f t="shared" si="2"/>
        <v>183</v>
      </c>
      <c r="B186" s="1">
        <v>45058</v>
      </c>
      <c r="C186" s="3">
        <v>54.94</v>
      </c>
      <c r="D186" s="3">
        <v>39.47</v>
      </c>
      <c r="E186" s="3">
        <v>11.59</v>
      </c>
      <c r="F186" s="3">
        <v>269.20999999999998</v>
      </c>
      <c r="G186" s="3">
        <v>21.14</v>
      </c>
      <c r="H186" s="3">
        <v>320.57</v>
      </c>
    </row>
    <row r="187" spans="1:8" x14ac:dyDescent="0.25">
      <c r="A187" s="29">
        <f t="shared" si="2"/>
        <v>184</v>
      </c>
      <c r="B187" s="1">
        <v>45057</v>
      </c>
      <c r="C187" s="3">
        <v>54.96</v>
      </c>
      <c r="D187" s="3">
        <v>39.5</v>
      </c>
      <c r="E187" s="3">
        <v>11.64</v>
      </c>
      <c r="F187" s="3">
        <v>269.93</v>
      </c>
      <c r="G187" s="3">
        <v>21.34</v>
      </c>
      <c r="H187" s="3">
        <v>321.51</v>
      </c>
    </row>
    <row r="188" spans="1:8" x14ac:dyDescent="0.25">
      <c r="A188" s="29">
        <f t="shared" si="2"/>
        <v>185</v>
      </c>
      <c r="B188" s="1">
        <v>45056</v>
      </c>
      <c r="C188" s="3">
        <v>55.42</v>
      </c>
      <c r="D188" s="3">
        <v>39.700000000000003</v>
      </c>
      <c r="E188" s="3">
        <v>11.56</v>
      </c>
      <c r="F188" s="3">
        <v>281.04000000000002</v>
      </c>
      <c r="G188" s="3">
        <v>21.23</v>
      </c>
      <c r="H188" s="3">
        <v>323.77</v>
      </c>
    </row>
    <row r="189" spans="1:8" x14ac:dyDescent="0.25">
      <c r="A189" s="29">
        <f t="shared" si="2"/>
        <v>186</v>
      </c>
      <c r="B189" s="1">
        <v>45055</v>
      </c>
      <c r="C189" s="3">
        <v>55.34</v>
      </c>
      <c r="D189" s="3">
        <v>39.32</v>
      </c>
      <c r="E189" s="3">
        <v>11.95</v>
      </c>
      <c r="F189" s="3">
        <v>281.41000000000003</v>
      </c>
      <c r="G189" s="3">
        <v>20.93</v>
      </c>
      <c r="H189" s="3">
        <v>322.41000000000003</v>
      </c>
    </row>
    <row r="190" spans="1:8" x14ac:dyDescent="0.25">
      <c r="A190" s="29">
        <f t="shared" si="2"/>
        <v>187</v>
      </c>
      <c r="B190" s="1">
        <v>45054</v>
      </c>
      <c r="C190" s="3">
        <v>54.93</v>
      </c>
      <c r="D190" s="3">
        <v>39.03</v>
      </c>
      <c r="E190" s="3">
        <v>11.63</v>
      </c>
      <c r="F190" s="3">
        <v>276.98</v>
      </c>
      <c r="G190" s="3">
        <v>21.19</v>
      </c>
      <c r="H190" s="3">
        <v>319.52999999999997</v>
      </c>
    </row>
    <row r="191" spans="1:8" x14ac:dyDescent="0.25">
      <c r="A191" s="29">
        <f t="shared" si="2"/>
        <v>188</v>
      </c>
      <c r="B191" s="1">
        <v>45051</v>
      </c>
      <c r="C191" s="3">
        <v>54.8</v>
      </c>
      <c r="D191" s="3">
        <v>39.130000000000003</v>
      </c>
      <c r="E191" s="3">
        <v>11.67</v>
      </c>
      <c r="F191" s="3">
        <v>269.27999999999997</v>
      </c>
      <c r="G191" s="3">
        <v>20.83</v>
      </c>
      <c r="H191" s="3">
        <v>314.55</v>
      </c>
    </row>
    <row r="192" spans="1:8" x14ac:dyDescent="0.25">
      <c r="A192" s="29">
        <f t="shared" si="2"/>
        <v>189</v>
      </c>
      <c r="B192" s="1">
        <v>45050</v>
      </c>
      <c r="C192" s="3">
        <v>54.55</v>
      </c>
      <c r="D192" s="3">
        <v>39.01</v>
      </c>
      <c r="E192" s="3">
        <v>11.31</v>
      </c>
      <c r="F192" s="3">
        <v>267.04000000000002</v>
      </c>
      <c r="G192" s="3">
        <v>20.43</v>
      </c>
      <c r="H192" s="3">
        <v>310.74</v>
      </c>
    </row>
    <row r="193" spans="1:8" x14ac:dyDescent="0.25">
      <c r="A193" s="29">
        <f t="shared" si="2"/>
        <v>190</v>
      </c>
      <c r="B193" s="1">
        <v>45049</v>
      </c>
      <c r="C193" s="3">
        <v>54.73</v>
      </c>
      <c r="D193" s="3">
        <v>39.369999999999997</v>
      </c>
      <c r="E193" s="3">
        <v>11.29</v>
      </c>
      <c r="F193" s="3">
        <v>269.04000000000002</v>
      </c>
      <c r="G193" s="3">
        <v>21.5</v>
      </c>
      <c r="H193" s="3">
        <v>317.81</v>
      </c>
    </row>
    <row r="194" spans="1:8" x14ac:dyDescent="0.25">
      <c r="A194" s="29">
        <f t="shared" si="2"/>
        <v>191</v>
      </c>
      <c r="B194" s="1">
        <v>45048</v>
      </c>
      <c r="C194" s="3">
        <v>54.95</v>
      </c>
      <c r="D194" s="3">
        <v>39.18</v>
      </c>
      <c r="E194" s="3">
        <v>11.47</v>
      </c>
      <c r="F194" s="3">
        <v>271.95</v>
      </c>
      <c r="G194" s="3">
        <v>21.68</v>
      </c>
      <c r="H194" s="3">
        <v>323.47000000000003</v>
      </c>
    </row>
    <row r="195" spans="1:8" x14ac:dyDescent="0.25">
      <c r="A195" s="29">
        <f t="shared" si="2"/>
        <v>192</v>
      </c>
      <c r="B195" s="1">
        <v>45044</v>
      </c>
      <c r="C195" s="3">
        <v>54.9</v>
      </c>
      <c r="D195" s="3">
        <v>39.18</v>
      </c>
      <c r="E195" s="3">
        <v>10.8</v>
      </c>
      <c r="F195" s="3">
        <v>276.29000000000002</v>
      </c>
      <c r="G195" s="3">
        <v>21.18</v>
      </c>
      <c r="H195" s="3">
        <v>319.89</v>
      </c>
    </row>
    <row r="196" spans="1:8" x14ac:dyDescent="0.25">
      <c r="A196" s="29">
        <f t="shared" si="2"/>
        <v>193</v>
      </c>
      <c r="B196" s="1">
        <v>45043</v>
      </c>
      <c r="C196" s="3">
        <v>54.2</v>
      </c>
      <c r="D196" s="3">
        <v>39.82</v>
      </c>
      <c r="E196" s="3">
        <v>10.62</v>
      </c>
      <c r="F196" s="3">
        <v>276.70999999999998</v>
      </c>
      <c r="G196" s="3">
        <v>20.52</v>
      </c>
      <c r="H196" s="3">
        <v>313.72000000000003</v>
      </c>
    </row>
    <row r="197" spans="1:8" x14ac:dyDescent="0.25">
      <c r="A197" s="29">
        <f t="shared" ref="A197:A255" si="3">+A196+1</f>
        <v>194</v>
      </c>
      <c r="B197" s="1">
        <v>45042</v>
      </c>
      <c r="C197" s="3">
        <v>53.78</v>
      </c>
      <c r="D197" s="3">
        <v>39.11</v>
      </c>
      <c r="E197" s="3">
        <v>10.53</v>
      </c>
      <c r="F197" s="3">
        <v>279.22000000000003</v>
      </c>
      <c r="G197" s="3">
        <v>19.73</v>
      </c>
      <c r="H197" s="3">
        <v>311.08</v>
      </c>
    </row>
    <row r="198" spans="1:8" x14ac:dyDescent="0.25">
      <c r="A198" s="29">
        <f t="shared" si="3"/>
        <v>195</v>
      </c>
      <c r="B198" s="1">
        <v>45041</v>
      </c>
      <c r="C198" s="3">
        <v>54.28</v>
      </c>
      <c r="D198" s="3">
        <v>39.74</v>
      </c>
      <c r="E198" s="3">
        <v>10.51</v>
      </c>
      <c r="F198" s="3">
        <v>285</v>
      </c>
      <c r="G198" s="3">
        <v>19.760000000000002</v>
      </c>
      <c r="H198" s="3">
        <v>312.8</v>
      </c>
    </row>
    <row r="199" spans="1:8" x14ac:dyDescent="0.25">
      <c r="A199" s="29">
        <f t="shared" si="3"/>
        <v>196</v>
      </c>
      <c r="B199" s="1">
        <v>45040</v>
      </c>
      <c r="C199" s="3">
        <v>54.56</v>
      </c>
      <c r="D199" s="3">
        <v>39.9</v>
      </c>
      <c r="E199" s="3">
        <v>10.4</v>
      </c>
      <c r="F199" s="3">
        <v>281.32</v>
      </c>
      <c r="G199" s="3">
        <v>21.25</v>
      </c>
      <c r="H199" s="3">
        <v>316.37</v>
      </c>
    </row>
    <row r="200" spans="1:8" x14ac:dyDescent="0.25">
      <c r="A200" s="29">
        <f t="shared" si="3"/>
        <v>197</v>
      </c>
      <c r="B200" s="1">
        <v>45037</v>
      </c>
      <c r="C200" s="3">
        <v>54.07</v>
      </c>
      <c r="D200" s="3">
        <v>39.6</v>
      </c>
      <c r="E200" s="3">
        <v>10.37</v>
      </c>
      <c r="F200" s="3">
        <v>276.77999999999997</v>
      </c>
      <c r="G200" s="3">
        <v>21.14</v>
      </c>
      <c r="H200" s="3">
        <v>313.52</v>
      </c>
    </row>
    <row r="201" spans="1:8" x14ac:dyDescent="0.25">
      <c r="A201" s="29">
        <f t="shared" si="3"/>
        <v>198</v>
      </c>
      <c r="B201" s="1">
        <v>45036</v>
      </c>
      <c r="C201" s="3">
        <v>54.17</v>
      </c>
      <c r="D201" s="3">
        <v>39.71</v>
      </c>
      <c r="E201" s="3">
        <v>10.47</v>
      </c>
      <c r="F201" s="3">
        <v>273.7</v>
      </c>
      <c r="G201" s="3">
        <v>21.39</v>
      </c>
      <c r="H201" s="3">
        <v>324.33</v>
      </c>
    </row>
    <row r="202" spans="1:8" x14ac:dyDescent="0.25">
      <c r="A202" s="29">
        <f t="shared" si="3"/>
        <v>199</v>
      </c>
      <c r="B202" s="1">
        <v>45035</v>
      </c>
      <c r="C202" s="3">
        <v>54.22</v>
      </c>
      <c r="D202" s="3">
        <v>39.700000000000003</v>
      </c>
      <c r="E202" s="3">
        <v>10.63</v>
      </c>
      <c r="F202" s="3">
        <v>274.58999999999997</v>
      </c>
      <c r="G202" s="3">
        <v>21.42</v>
      </c>
      <c r="H202" s="3">
        <v>335.38</v>
      </c>
    </row>
    <row r="203" spans="1:8" x14ac:dyDescent="0.25">
      <c r="A203" s="29">
        <f t="shared" si="3"/>
        <v>200</v>
      </c>
      <c r="B203" s="1">
        <v>45034</v>
      </c>
      <c r="C203" s="3">
        <v>54.21</v>
      </c>
      <c r="D203" s="3">
        <v>39.68</v>
      </c>
      <c r="E203" s="3">
        <v>10.65</v>
      </c>
      <c r="F203" s="3">
        <v>278.18</v>
      </c>
      <c r="G203" s="3">
        <v>21.4</v>
      </c>
      <c r="H203" s="3">
        <v>334.14</v>
      </c>
    </row>
    <row r="204" spans="1:8" x14ac:dyDescent="0.25">
      <c r="A204" s="29">
        <f t="shared" si="3"/>
        <v>201</v>
      </c>
      <c r="B204" s="1">
        <v>45033</v>
      </c>
      <c r="C204" s="3">
        <v>54.62</v>
      </c>
      <c r="D204" s="3">
        <v>40.19</v>
      </c>
      <c r="E204" s="3">
        <v>10.84</v>
      </c>
      <c r="F204" s="3">
        <v>277.95</v>
      </c>
      <c r="G204" s="3">
        <v>21.87</v>
      </c>
      <c r="H204" s="3">
        <v>352.38</v>
      </c>
    </row>
    <row r="205" spans="1:8" x14ac:dyDescent="0.25">
      <c r="A205" s="29">
        <f t="shared" si="3"/>
        <v>202</v>
      </c>
      <c r="B205" s="1">
        <v>45030</v>
      </c>
      <c r="C205" s="3">
        <v>54.3</v>
      </c>
      <c r="D205" s="3">
        <v>39.86</v>
      </c>
      <c r="E205" s="3">
        <v>10.79</v>
      </c>
      <c r="F205" s="3">
        <v>279.29000000000002</v>
      </c>
      <c r="G205" s="3">
        <v>21.77</v>
      </c>
      <c r="H205" s="3">
        <v>349.06</v>
      </c>
    </row>
    <row r="206" spans="1:8" x14ac:dyDescent="0.25">
      <c r="A206" s="29">
        <f t="shared" si="3"/>
        <v>203</v>
      </c>
      <c r="B206" s="1">
        <v>45029</v>
      </c>
      <c r="C206" s="3">
        <v>54.51</v>
      </c>
      <c r="D206" s="3">
        <v>40.840000000000003</v>
      </c>
      <c r="E206" s="3">
        <v>10.74</v>
      </c>
      <c r="F206" s="3">
        <v>283.5</v>
      </c>
      <c r="G206" s="3">
        <v>22.73</v>
      </c>
      <c r="H206" s="3">
        <v>349.92</v>
      </c>
    </row>
    <row r="207" spans="1:8" x14ac:dyDescent="0.25">
      <c r="A207" s="29">
        <f t="shared" si="3"/>
        <v>204</v>
      </c>
      <c r="B207" s="1">
        <v>45028</v>
      </c>
      <c r="C207" s="3">
        <v>54.11</v>
      </c>
      <c r="D207" s="3">
        <v>40.64</v>
      </c>
      <c r="E207" s="3">
        <v>10.19</v>
      </c>
      <c r="F207" s="3">
        <v>280.62</v>
      </c>
      <c r="G207" s="3">
        <v>20.49</v>
      </c>
      <c r="H207" s="3">
        <v>351.15</v>
      </c>
    </row>
    <row r="208" spans="1:8" x14ac:dyDescent="0.25">
      <c r="A208" s="29">
        <f t="shared" si="3"/>
        <v>205</v>
      </c>
      <c r="B208" s="1">
        <v>45027</v>
      </c>
      <c r="C208" s="3">
        <v>54.4</v>
      </c>
      <c r="D208" s="3">
        <v>40.98</v>
      </c>
      <c r="E208" s="3">
        <v>10.039999999999999</v>
      </c>
      <c r="F208" s="3">
        <v>280.64</v>
      </c>
      <c r="G208" s="3">
        <v>20.65</v>
      </c>
      <c r="H208" s="3">
        <v>351.97</v>
      </c>
    </row>
    <row r="209" spans="1:8" x14ac:dyDescent="0.25">
      <c r="A209" s="29">
        <f t="shared" si="3"/>
        <v>206</v>
      </c>
      <c r="B209" s="1">
        <v>45026</v>
      </c>
      <c r="C209" s="3">
        <v>53.96</v>
      </c>
      <c r="D209" s="3">
        <v>41.18</v>
      </c>
      <c r="E209" s="3">
        <v>9.82</v>
      </c>
      <c r="F209" s="3">
        <v>271.33</v>
      </c>
      <c r="G209" s="3">
        <v>20.329999999999998</v>
      </c>
      <c r="H209" s="3">
        <v>358.15</v>
      </c>
    </row>
    <row r="210" spans="1:8" x14ac:dyDescent="0.25">
      <c r="A210" s="29">
        <f t="shared" si="3"/>
        <v>207</v>
      </c>
      <c r="B210" s="1">
        <v>45021</v>
      </c>
      <c r="C210" s="3">
        <v>53.36</v>
      </c>
      <c r="D210" s="3">
        <v>40.93</v>
      </c>
      <c r="E210" s="3">
        <v>9.58</v>
      </c>
      <c r="F210" s="3">
        <v>268.42</v>
      </c>
      <c r="G210" s="3">
        <v>20.32</v>
      </c>
      <c r="H210" s="3">
        <v>350.09</v>
      </c>
    </row>
    <row r="211" spans="1:8" x14ac:dyDescent="0.25">
      <c r="A211" s="29">
        <f t="shared" si="3"/>
        <v>208</v>
      </c>
      <c r="B211" s="1">
        <v>45020</v>
      </c>
      <c r="C211" s="3">
        <v>53.92</v>
      </c>
      <c r="D211" s="3">
        <v>41.12</v>
      </c>
      <c r="E211" s="3">
        <v>9.77</v>
      </c>
      <c r="F211" s="3">
        <v>272.99</v>
      </c>
      <c r="G211" s="3">
        <v>21.08</v>
      </c>
      <c r="H211" s="3">
        <v>356.02</v>
      </c>
    </row>
    <row r="212" spans="1:8" x14ac:dyDescent="0.25">
      <c r="A212" s="29">
        <f t="shared" si="3"/>
        <v>209</v>
      </c>
      <c r="B212" s="1">
        <v>45019</v>
      </c>
      <c r="C212" s="3">
        <v>53.61</v>
      </c>
      <c r="D212" s="3">
        <v>41.06</v>
      </c>
      <c r="E212" s="3">
        <v>9.75</v>
      </c>
      <c r="F212" s="3">
        <v>261.93</v>
      </c>
      <c r="G212" s="3">
        <v>21.05</v>
      </c>
      <c r="H212" s="3">
        <v>352.56</v>
      </c>
    </row>
    <row r="213" spans="1:8" x14ac:dyDescent="0.25">
      <c r="A213" s="29">
        <f t="shared" si="3"/>
        <v>210</v>
      </c>
      <c r="B213" s="1">
        <v>45016</v>
      </c>
      <c r="C213" s="3">
        <v>53.64</v>
      </c>
      <c r="D213" s="3">
        <v>41.97</v>
      </c>
      <c r="E213" s="3">
        <v>9.89</v>
      </c>
      <c r="F213" s="3">
        <v>265.8</v>
      </c>
      <c r="G213" s="3">
        <v>22.2</v>
      </c>
      <c r="H213" s="3">
        <v>350.61</v>
      </c>
    </row>
    <row r="214" spans="1:8" x14ac:dyDescent="0.25">
      <c r="A214" s="29">
        <f t="shared" si="3"/>
        <v>211</v>
      </c>
      <c r="B214" s="1">
        <v>45015</v>
      </c>
      <c r="C214" s="3">
        <v>53.95</v>
      </c>
      <c r="D214" s="3">
        <v>42.08</v>
      </c>
      <c r="E214" s="3">
        <v>9.7899999999999991</v>
      </c>
      <c r="F214" s="3">
        <v>268.95</v>
      </c>
      <c r="G214" s="3">
        <v>21.88</v>
      </c>
      <c r="H214" s="3">
        <v>352.44</v>
      </c>
    </row>
    <row r="215" spans="1:8" x14ac:dyDescent="0.25">
      <c r="A215" s="29">
        <f t="shared" si="3"/>
        <v>212</v>
      </c>
      <c r="B215" s="1">
        <v>45014</v>
      </c>
      <c r="C215" s="3">
        <v>53.58</v>
      </c>
      <c r="D215" s="3">
        <v>41.94</v>
      </c>
      <c r="E215" s="3">
        <v>9.6999999999999993</v>
      </c>
      <c r="F215" s="3">
        <v>261.08</v>
      </c>
      <c r="G215" s="3">
        <v>21.46</v>
      </c>
      <c r="H215" s="3">
        <v>354.35</v>
      </c>
    </row>
    <row r="216" spans="1:8" x14ac:dyDescent="0.25">
      <c r="A216" s="29">
        <f t="shared" si="3"/>
        <v>213</v>
      </c>
      <c r="B216" s="1">
        <v>45013</v>
      </c>
      <c r="C216" s="3">
        <v>53.09</v>
      </c>
      <c r="D216" s="3">
        <v>42.7</v>
      </c>
      <c r="E216" s="3">
        <v>9.35</v>
      </c>
      <c r="F216" s="3">
        <v>270.33999999999997</v>
      </c>
      <c r="G216" s="3">
        <v>21.03</v>
      </c>
      <c r="H216" s="3">
        <v>352.78</v>
      </c>
    </row>
    <row r="217" spans="1:8" x14ac:dyDescent="0.25">
      <c r="A217" s="29">
        <f t="shared" si="3"/>
        <v>214</v>
      </c>
      <c r="B217" s="1">
        <v>45012</v>
      </c>
      <c r="C217" s="3">
        <v>52.73</v>
      </c>
      <c r="D217" s="3">
        <v>41.96</v>
      </c>
      <c r="E217" s="3">
        <v>9.2200000000000006</v>
      </c>
      <c r="F217" s="3">
        <v>257.27999999999997</v>
      </c>
      <c r="G217" s="3">
        <v>20.81</v>
      </c>
      <c r="H217" s="3">
        <v>342.62</v>
      </c>
    </row>
    <row r="218" spans="1:8" x14ac:dyDescent="0.25">
      <c r="A218" s="29">
        <f t="shared" si="3"/>
        <v>215</v>
      </c>
      <c r="B218" s="1">
        <v>45009</v>
      </c>
      <c r="C218" s="3">
        <v>52.64</v>
      </c>
      <c r="D218" s="3">
        <v>40.85</v>
      </c>
      <c r="E218" s="3">
        <v>9.24</v>
      </c>
      <c r="F218" s="3">
        <v>257.29000000000002</v>
      </c>
      <c r="G218" s="3">
        <v>20.67</v>
      </c>
      <c r="H218" s="3">
        <v>336.85</v>
      </c>
    </row>
    <row r="219" spans="1:8" x14ac:dyDescent="0.25">
      <c r="A219" s="29">
        <f t="shared" si="3"/>
        <v>216</v>
      </c>
      <c r="B219" s="1">
        <v>45008</v>
      </c>
      <c r="C219" s="3">
        <v>52.73</v>
      </c>
      <c r="D219" s="3">
        <v>41.01</v>
      </c>
      <c r="E219" s="3">
        <v>9.43</v>
      </c>
      <c r="F219" s="3">
        <v>258.10000000000002</v>
      </c>
      <c r="G219" s="3">
        <v>20.82</v>
      </c>
      <c r="H219" s="3">
        <v>336.16</v>
      </c>
    </row>
    <row r="220" spans="1:8" x14ac:dyDescent="0.25">
      <c r="A220" s="29">
        <f t="shared" si="3"/>
        <v>217</v>
      </c>
      <c r="B220" s="1">
        <v>45007</v>
      </c>
      <c r="C220" s="3">
        <v>52.39</v>
      </c>
      <c r="D220" s="3">
        <v>40.53</v>
      </c>
      <c r="E220" s="3">
        <v>9.33</v>
      </c>
      <c r="F220" s="3">
        <v>259.52999999999997</v>
      </c>
      <c r="G220" s="3">
        <v>20.65</v>
      </c>
      <c r="H220" s="3">
        <v>334.43</v>
      </c>
    </row>
    <row r="221" spans="1:8" x14ac:dyDescent="0.25">
      <c r="A221" s="29">
        <f t="shared" si="3"/>
        <v>218</v>
      </c>
      <c r="B221" s="1">
        <v>45006</v>
      </c>
      <c r="C221" s="3">
        <v>52.48</v>
      </c>
      <c r="D221" s="3">
        <v>39.4</v>
      </c>
      <c r="E221" s="3">
        <v>9.32</v>
      </c>
      <c r="F221" s="3">
        <v>257.42</v>
      </c>
      <c r="G221" s="3">
        <v>20.260000000000002</v>
      </c>
      <c r="H221" s="3">
        <v>331.6</v>
      </c>
    </row>
    <row r="222" spans="1:8" x14ac:dyDescent="0.25">
      <c r="A222" s="29">
        <f t="shared" si="3"/>
        <v>219</v>
      </c>
      <c r="B222" s="1">
        <v>45002</v>
      </c>
      <c r="C222" s="3">
        <v>51.77</v>
      </c>
      <c r="D222" s="3">
        <v>39.89</v>
      </c>
      <c r="E222" s="3">
        <v>9.18</v>
      </c>
      <c r="F222" s="3">
        <v>259.86</v>
      </c>
      <c r="G222" s="3">
        <v>19.36</v>
      </c>
      <c r="H222" s="3">
        <v>335.04</v>
      </c>
    </row>
    <row r="223" spans="1:8" x14ac:dyDescent="0.25">
      <c r="A223" s="29">
        <f t="shared" si="3"/>
        <v>220</v>
      </c>
      <c r="B223" s="1">
        <v>45001</v>
      </c>
      <c r="C223" s="3">
        <v>52.4</v>
      </c>
      <c r="D223" s="3">
        <v>40.17</v>
      </c>
      <c r="E223" s="3">
        <v>9.3000000000000007</v>
      </c>
      <c r="F223" s="3">
        <v>238.72</v>
      </c>
      <c r="G223" s="3">
        <v>20.14</v>
      </c>
      <c r="H223" s="3">
        <v>337.23</v>
      </c>
    </row>
    <row r="224" spans="1:8" x14ac:dyDescent="0.25">
      <c r="A224" s="29">
        <f t="shared" si="3"/>
        <v>221</v>
      </c>
      <c r="B224" s="1">
        <v>45000</v>
      </c>
      <c r="C224" s="3">
        <v>51.98</v>
      </c>
      <c r="D224" s="3">
        <v>39.71</v>
      </c>
      <c r="E224" s="3">
        <v>9.1999999999999993</v>
      </c>
      <c r="F224" s="3">
        <v>242.87</v>
      </c>
      <c r="G224" s="3">
        <v>19.75</v>
      </c>
      <c r="H224" s="3">
        <v>333.93</v>
      </c>
    </row>
    <row r="225" spans="1:8" x14ac:dyDescent="0.25">
      <c r="A225" s="29">
        <f t="shared" si="3"/>
        <v>222</v>
      </c>
      <c r="B225" s="1">
        <v>44999</v>
      </c>
      <c r="C225" s="3">
        <v>52.59</v>
      </c>
      <c r="D225" s="3">
        <v>40.590000000000003</v>
      </c>
      <c r="E225" s="3">
        <v>9.3699999999999992</v>
      </c>
      <c r="F225" s="3">
        <v>237.97</v>
      </c>
      <c r="G225" s="3">
        <v>20.07</v>
      </c>
      <c r="H225" s="3">
        <v>341.83</v>
      </c>
    </row>
    <row r="226" spans="1:8" x14ac:dyDescent="0.25">
      <c r="A226" s="29">
        <f t="shared" si="3"/>
        <v>223</v>
      </c>
      <c r="B226" s="1">
        <v>44998</v>
      </c>
      <c r="C226" s="3">
        <v>52.91</v>
      </c>
      <c r="D226" s="3">
        <v>40.99</v>
      </c>
      <c r="E226" s="3">
        <v>9.44</v>
      </c>
      <c r="F226" s="3">
        <v>236.59</v>
      </c>
      <c r="G226" s="3">
        <v>20.22</v>
      </c>
      <c r="H226" s="3">
        <v>344.68</v>
      </c>
    </row>
    <row r="227" spans="1:8" x14ac:dyDescent="0.25">
      <c r="A227" s="29">
        <f t="shared" si="3"/>
        <v>224</v>
      </c>
      <c r="B227" s="1">
        <v>44995</v>
      </c>
      <c r="C227" s="3">
        <v>52.66</v>
      </c>
      <c r="D227" s="3">
        <v>40.909999999999997</v>
      </c>
      <c r="E227" s="3">
        <v>9.25</v>
      </c>
      <c r="F227" s="3">
        <v>223.87</v>
      </c>
      <c r="G227" s="3">
        <v>20.87</v>
      </c>
      <c r="H227" s="3">
        <v>337.32</v>
      </c>
    </row>
    <row r="228" spans="1:8" x14ac:dyDescent="0.25">
      <c r="A228" s="29">
        <f t="shared" si="3"/>
        <v>225</v>
      </c>
      <c r="B228" s="1">
        <v>44994</v>
      </c>
      <c r="C228" s="3">
        <v>53.26</v>
      </c>
      <c r="D228" s="3">
        <v>41.59</v>
      </c>
      <c r="E228" s="3">
        <v>9.59</v>
      </c>
      <c r="F228" s="3">
        <v>222.38</v>
      </c>
      <c r="G228" s="3">
        <v>22.82</v>
      </c>
      <c r="H228" s="3">
        <v>335.46</v>
      </c>
    </row>
    <row r="229" spans="1:8" x14ac:dyDescent="0.25">
      <c r="A229" s="29">
        <f t="shared" si="3"/>
        <v>226</v>
      </c>
      <c r="B229" s="1">
        <v>44993</v>
      </c>
      <c r="C229" s="3">
        <v>53.22</v>
      </c>
      <c r="D229" s="3">
        <v>40.700000000000003</v>
      </c>
      <c r="E229" s="3">
        <v>9.66</v>
      </c>
      <c r="F229" s="3">
        <v>221.21</v>
      </c>
      <c r="G229" s="3">
        <v>21.7</v>
      </c>
      <c r="H229" s="3">
        <v>337.24</v>
      </c>
    </row>
    <row r="230" spans="1:8" x14ac:dyDescent="0.25">
      <c r="A230" s="29">
        <f t="shared" si="3"/>
        <v>227</v>
      </c>
      <c r="B230" s="1">
        <v>44992</v>
      </c>
      <c r="C230" s="3">
        <v>52.91</v>
      </c>
      <c r="D230" s="3">
        <v>40.4</v>
      </c>
      <c r="E230" s="3">
        <v>9.6199999999999992</v>
      </c>
      <c r="F230" s="3">
        <v>220.21</v>
      </c>
      <c r="G230" s="3">
        <v>21.86</v>
      </c>
      <c r="H230" s="3">
        <v>337.35</v>
      </c>
    </row>
    <row r="231" spans="1:8" x14ac:dyDescent="0.25">
      <c r="A231" s="29">
        <f t="shared" si="3"/>
        <v>228</v>
      </c>
      <c r="B231" s="1">
        <v>44991</v>
      </c>
      <c r="C231" s="3">
        <v>53.79</v>
      </c>
      <c r="D231" s="3">
        <v>41.03</v>
      </c>
      <c r="E231" s="3">
        <v>9.9600000000000009</v>
      </c>
      <c r="F231" s="3">
        <v>233.03</v>
      </c>
      <c r="G231" s="3">
        <v>21.75</v>
      </c>
      <c r="H231" s="3">
        <v>340.11</v>
      </c>
    </row>
    <row r="232" spans="1:8" x14ac:dyDescent="0.25">
      <c r="A232" s="29">
        <f t="shared" si="3"/>
        <v>229</v>
      </c>
      <c r="B232" s="1">
        <v>44988</v>
      </c>
      <c r="C232" s="3">
        <v>54.05</v>
      </c>
      <c r="D232" s="3">
        <v>40.92</v>
      </c>
      <c r="E232" s="3">
        <v>10.130000000000001</v>
      </c>
      <c r="F232" s="3">
        <v>233.56</v>
      </c>
      <c r="G232" s="3">
        <v>21.53</v>
      </c>
      <c r="H232" s="3">
        <v>346.02</v>
      </c>
    </row>
    <row r="233" spans="1:8" x14ac:dyDescent="0.25">
      <c r="A233" s="29">
        <f t="shared" si="3"/>
        <v>230</v>
      </c>
      <c r="B233" s="1">
        <v>44987</v>
      </c>
      <c r="C233" s="3">
        <v>53.21</v>
      </c>
      <c r="D233" s="3">
        <v>39.9</v>
      </c>
      <c r="E233" s="3">
        <v>9.8000000000000007</v>
      </c>
      <c r="F233" s="3">
        <v>227.2</v>
      </c>
      <c r="G233" s="3">
        <v>21.19</v>
      </c>
      <c r="H233" s="3">
        <v>344.37</v>
      </c>
    </row>
    <row r="234" spans="1:8" x14ac:dyDescent="0.25">
      <c r="A234" s="29">
        <f t="shared" si="3"/>
        <v>231</v>
      </c>
      <c r="B234" s="1">
        <v>44986</v>
      </c>
      <c r="C234" s="3">
        <v>53.3</v>
      </c>
      <c r="D234" s="3">
        <v>40.17</v>
      </c>
      <c r="E234" s="3">
        <v>9.3800000000000008</v>
      </c>
      <c r="F234" s="3">
        <v>233.38</v>
      </c>
      <c r="G234" s="3">
        <v>21.75</v>
      </c>
      <c r="H234" s="3">
        <v>343.99</v>
      </c>
    </row>
    <row r="235" spans="1:8" x14ac:dyDescent="0.25">
      <c r="A235" s="29">
        <f t="shared" si="3"/>
        <v>232</v>
      </c>
      <c r="B235" s="1">
        <v>44985</v>
      </c>
      <c r="C235" s="3">
        <v>52.65</v>
      </c>
      <c r="D235" s="3">
        <v>40.090000000000003</v>
      </c>
      <c r="E235" s="3">
        <v>9.16</v>
      </c>
      <c r="F235" s="3">
        <v>218.91</v>
      </c>
      <c r="G235" s="3">
        <v>21.71</v>
      </c>
      <c r="H235" s="3">
        <v>347.97</v>
      </c>
    </row>
    <row r="236" spans="1:8" x14ac:dyDescent="0.25">
      <c r="A236" s="29">
        <f t="shared" si="3"/>
        <v>233</v>
      </c>
      <c r="B236" s="1">
        <v>44984</v>
      </c>
      <c r="C236" s="3">
        <v>52.81</v>
      </c>
      <c r="D236" s="3">
        <v>39.94</v>
      </c>
      <c r="E236" s="3">
        <v>8.9700000000000006</v>
      </c>
      <c r="F236" s="3">
        <v>227.98</v>
      </c>
      <c r="G236" s="3">
        <v>21.64</v>
      </c>
      <c r="H236" s="3">
        <v>344.4</v>
      </c>
    </row>
    <row r="237" spans="1:8" x14ac:dyDescent="0.25">
      <c r="A237" s="29">
        <f t="shared" si="3"/>
        <v>234</v>
      </c>
      <c r="B237" s="1">
        <v>44981</v>
      </c>
      <c r="C237" s="3">
        <v>52.5</v>
      </c>
      <c r="D237" s="3">
        <v>39.42</v>
      </c>
      <c r="E237" s="3">
        <v>8.89</v>
      </c>
      <c r="F237" s="3">
        <v>231.66</v>
      </c>
      <c r="G237" s="3">
        <v>21.22</v>
      </c>
      <c r="H237" s="3">
        <v>346.2</v>
      </c>
    </row>
    <row r="238" spans="1:8" x14ac:dyDescent="0.25">
      <c r="A238" s="29">
        <f t="shared" si="3"/>
        <v>235</v>
      </c>
      <c r="B238" s="1">
        <v>44980</v>
      </c>
      <c r="C238" s="3">
        <v>52.91</v>
      </c>
      <c r="D238" s="3">
        <v>38.64</v>
      </c>
      <c r="E238" s="3">
        <v>9.09</v>
      </c>
      <c r="F238" s="3">
        <v>232.96</v>
      </c>
      <c r="G238" s="3">
        <v>21.19</v>
      </c>
      <c r="H238" s="3">
        <v>347.15</v>
      </c>
    </row>
    <row r="239" spans="1:8" x14ac:dyDescent="0.25">
      <c r="A239" s="29">
        <f t="shared" si="3"/>
        <v>236</v>
      </c>
      <c r="B239" s="1">
        <v>44979</v>
      </c>
      <c r="C239" s="3">
        <v>53</v>
      </c>
      <c r="D239" s="3">
        <v>38.700000000000003</v>
      </c>
      <c r="E239" s="3">
        <v>9.0500000000000007</v>
      </c>
      <c r="F239" s="3">
        <v>234.11</v>
      </c>
      <c r="G239" s="3">
        <v>20.88</v>
      </c>
      <c r="H239" s="3">
        <v>345.92</v>
      </c>
    </row>
    <row r="240" spans="1:8" x14ac:dyDescent="0.25">
      <c r="A240" s="29">
        <f t="shared" si="3"/>
        <v>237</v>
      </c>
      <c r="B240" s="1">
        <v>44978</v>
      </c>
      <c r="C240" s="3">
        <v>53.01</v>
      </c>
      <c r="D240" s="3">
        <v>38.76</v>
      </c>
      <c r="E240" s="3">
        <v>9.15</v>
      </c>
      <c r="F240" s="3">
        <v>237.7</v>
      </c>
      <c r="G240" s="3">
        <v>20.38</v>
      </c>
      <c r="H240" s="3">
        <v>345.77</v>
      </c>
    </row>
    <row r="241" spans="1:8" x14ac:dyDescent="0.25">
      <c r="A241" s="29">
        <f t="shared" si="3"/>
        <v>238</v>
      </c>
      <c r="B241" s="1">
        <v>44977</v>
      </c>
      <c r="C241" s="3">
        <v>53.79</v>
      </c>
      <c r="D241" s="3">
        <v>39.51</v>
      </c>
      <c r="E241" s="3">
        <v>9.4499999999999993</v>
      </c>
      <c r="F241" s="3">
        <v>240.07</v>
      </c>
      <c r="G241" s="3">
        <v>21.15</v>
      </c>
      <c r="H241" s="3">
        <v>371.58</v>
      </c>
    </row>
    <row r="242" spans="1:8" x14ac:dyDescent="0.25">
      <c r="A242" s="29">
        <f t="shared" si="3"/>
        <v>239</v>
      </c>
      <c r="B242" s="1">
        <v>44974</v>
      </c>
      <c r="C242" s="3">
        <v>53.61</v>
      </c>
      <c r="D242" s="3">
        <v>39.56</v>
      </c>
      <c r="E242" s="3">
        <v>9.42</v>
      </c>
      <c r="F242" s="3">
        <v>239.11</v>
      </c>
      <c r="G242" s="3">
        <v>20.84</v>
      </c>
      <c r="H242" s="3">
        <v>356.44</v>
      </c>
    </row>
    <row r="243" spans="1:8" x14ac:dyDescent="0.25">
      <c r="A243" s="29">
        <f t="shared" si="3"/>
        <v>240</v>
      </c>
      <c r="B243" s="1">
        <v>44973</v>
      </c>
      <c r="C243" s="3">
        <v>53.78</v>
      </c>
      <c r="D243" s="3">
        <v>40.340000000000003</v>
      </c>
      <c r="E243" s="3">
        <v>9.61</v>
      </c>
      <c r="F243" s="3">
        <v>235.76</v>
      </c>
      <c r="G243" s="3">
        <v>21.17</v>
      </c>
      <c r="H243" s="3">
        <v>357.98</v>
      </c>
    </row>
    <row r="244" spans="1:8" x14ac:dyDescent="0.25">
      <c r="A244" s="29">
        <f t="shared" si="3"/>
        <v>241</v>
      </c>
      <c r="B244" s="1">
        <v>44972</v>
      </c>
      <c r="C244" s="3">
        <v>53.19</v>
      </c>
      <c r="D244" s="3">
        <v>39.950000000000003</v>
      </c>
      <c r="E244" s="3">
        <v>9.81</v>
      </c>
      <c r="F244" s="3">
        <v>238.1</v>
      </c>
      <c r="G244" s="3">
        <v>21.21</v>
      </c>
      <c r="H244" s="3">
        <v>360.49</v>
      </c>
    </row>
    <row r="245" spans="1:8" x14ac:dyDescent="0.25">
      <c r="A245" s="29">
        <f t="shared" si="3"/>
        <v>242</v>
      </c>
      <c r="B245" s="1">
        <v>44971</v>
      </c>
      <c r="C245" s="3">
        <v>52.45</v>
      </c>
      <c r="D245" s="3">
        <v>40.07</v>
      </c>
      <c r="E245" s="3">
        <v>9.65</v>
      </c>
      <c r="F245" s="3">
        <v>237.5</v>
      </c>
      <c r="G245" s="3">
        <v>20.97</v>
      </c>
      <c r="H245" s="3">
        <v>357.79</v>
      </c>
    </row>
    <row r="246" spans="1:8" x14ac:dyDescent="0.25">
      <c r="A246" s="29">
        <f t="shared" si="3"/>
        <v>243</v>
      </c>
      <c r="B246" s="1">
        <v>44970</v>
      </c>
      <c r="C246" s="3">
        <v>52.81</v>
      </c>
      <c r="D246" s="3">
        <v>40.159999999999997</v>
      </c>
      <c r="E246" s="3">
        <v>9.76</v>
      </c>
      <c r="F246" s="3">
        <v>243.1</v>
      </c>
      <c r="G246" s="3">
        <v>20.99</v>
      </c>
      <c r="H246" s="3">
        <v>357.14</v>
      </c>
    </row>
    <row r="247" spans="1:8" x14ac:dyDescent="0.25">
      <c r="A247" s="29">
        <f t="shared" si="3"/>
        <v>244</v>
      </c>
      <c r="B247" s="1">
        <v>44967</v>
      </c>
      <c r="C247" s="3">
        <v>52.21</v>
      </c>
      <c r="D247" s="3">
        <v>39.880000000000003</v>
      </c>
      <c r="E247" s="3">
        <v>9.67</v>
      </c>
      <c r="F247" s="3">
        <v>243.63</v>
      </c>
      <c r="G247" s="3">
        <v>20.87</v>
      </c>
      <c r="H247" s="3">
        <v>349.58</v>
      </c>
    </row>
    <row r="248" spans="1:8" x14ac:dyDescent="0.25">
      <c r="A248" s="29">
        <f t="shared" si="3"/>
        <v>245</v>
      </c>
      <c r="B248" s="1">
        <v>44966</v>
      </c>
      <c r="C248" s="3">
        <v>52.61</v>
      </c>
      <c r="D248" s="3">
        <v>38.51</v>
      </c>
      <c r="E248" s="3">
        <v>9.85</v>
      </c>
      <c r="F248" s="3">
        <v>248.28</v>
      </c>
      <c r="G248" s="3">
        <v>21.4</v>
      </c>
      <c r="H248" s="3">
        <v>349.15</v>
      </c>
    </row>
    <row r="249" spans="1:8" x14ac:dyDescent="0.25">
      <c r="A249" s="29">
        <f t="shared" si="3"/>
        <v>246</v>
      </c>
      <c r="B249" s="1">
        <v>44965</v>
      </c>
      <c r="C249" s="3">
        <v>52.9</v>
      </c>
      <c r="D249" s="3">
        <v>39.369999999999997</v>
      </c>
      <c r="E249" s="3">
        <v>9.9499999999999993</v>
      </c>
      <c r="F249" s="3">
        <v>257.64</v>
      </c>
      <c r="G249" s="3">
        <v>22.07</v>
      </c>
      <c r="H249" s="3">
        <v>347.77</v>
      </c>
    </row>
    <row r="250" spans="1:8" x14ac:dyDescent="0.25">
      <c r="A250" s="29">
        <f t="shared" si="3"/>
        <v>247</v>
      </c>
      <c r="B250" s="1">
        <v>44964</v>
      </c>
      <c r="C250" s="3">
        <v>53.12</v>
      </c>
      <c r="D250" s="3">
        <v>39.43</v>
      </c>
      <c r="E250" s="3">
        <v>9.92</v>
      </c>
      <c r="F250" s="3">
        <v>252.09</v>
      </c>
      <c r="G250" s="3">
        <v>21.52</v>
      </c>
      <c r="H250" s="3">
        <v>345.33</v>
      </c>
    </row>
    <row r="251" spans="1:8" x14ac:dyDescent="0.25">
      <c r="A251" s="29">
        <f t="shared" si="3"/>
        <v>248</v>
      </c>
      <c r="B251" s="1">
        <v>44960</v>
      </c>
      <c r="C251" s="3">
        <v>53.83</v>
      </c>
      <c r="D251" s="3">
        <v>41.04</v>
      </c>
      <c r="E251" s="3">
        <v>10.28</v>
      </c>
      <c r="F251" s="3">
        <v>263.73</v>
      </c>
      <c r="G251" s="3">
        <v>21.49</v>
      </c>
      <c r="H251" s="3">
        <v>342.2</v>
      </c>
    </row>
    <row r="252" spans="1:8" x14ac:dyDescent="0.25">
      <c r="A252" s="29">
        <f t="shared" si="3"/>
        <v>249</v>
      </c>
      <c r="B252" s="1">
        <v>44959</v>
      </c>
      <c r="C252" s="3">
        <v>53.74</v>
      </c>
      <c r="D252" s="3">
        <v>41.34</v>
      </c>
      <c r="E252" s="3">
        <v>10.26</v>
      </c>
      <c r="F252" s="3">
        <v>268.13</v>
      </c>
      <c r="G252" s="3">
        <v>21.51</v>
      </c>
      <c r="H252" s="3">
        <v>336.33</v>
      </c>
    </row>
    <row r="253" spans="1:8" x14ac:dyDescent="0.25">
      <c r="A253" s="29">
        <f t="shared" si="3"/>
        <v>250</v>
      </c>
      <c r="B253" s="1">
        <v>44958</v>
      </c>
      <c r="C253" s="3">
        <v>54.79</v>
      </c>
      <c r="D253" s="3">
        <v>41.19</v>
      </c>
      <c r="E253" s="3">
        <v>10.25</v>
      </c>
      <c r="F253" s="3">
        <v>271.66000000000003</v>
      </c>
      <c r="G253" s="3">
        <v>21.03</v>
      </c>
      <c r="H253" s="3">
        <v>335.49</v>
      </c>
    </row>
    <row r="254" spans="1:8" x14ac:dyDescent="0.25">
      <c r="A254" s="29">
        <f t="shared" si="3"/>
        <v>251</v>
      </c>
      <c r="B254" s="1">
        <v>44957</v>
      </c>
      <c r="C254" s="3">
        <v>54.38</v>
      </c>
      <c r="D254" s="3">
        <v>41.91</v>
      </c>
      <c r="E254" s="3">
        <v>10.039999999999999</v>
      </c>
      <c r="F254" s="3">
        <v>268.36</v>
      </c>
      <c r="G254" s="3">
        <v>21.02</v>
      </c>
      <c r="H254" s="3">
        <v>325.08999999999997</v>
      </c>
    </row>
    <row r="255" spans="1:8" x14ac:dyDescent="0.25">
      <c r="A255" s="29">
        <f t="shared" si="3"/>
        <v>252</v>
      </c>
      <c r="B255" s="1">
        <v>44956</v>
      </c>
      <c r="C255" s="3">
        <v>54.29</v>
      </c>
      <c r="D255" s="3">
        <v>39.82</v>
      </c>
      <c r="E255" s="3">
        <v>9.94</v>
      </c>
      <c r="F255" s="3">
        <v>269.22000000000003</v>
      </c>
      <c r="G255" s="3">
        <v>20.56</v>
      </c>
      <c r="H255" s="3">
        <v>325.95999999999998</v>
      </c>
    </row>
    <row r="257" spans="8:8" x14ac:dyDescent="0.25">
      <c r="H257" s="39"/>
    </row>
  </sheetData>
  <autoFilter ref="A2:H255" xr:uid="{00000000-0001-0000-0000-000000000000}"/>
  <mergeCells count="1">
    <mergeCell ref="C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XEZ270"/>
  <sheetViews>
    <sheetView zoomScale="70" zoomScaleNormal="70" workbookViewId="0">
      <pane xSplit="1" ySplit="6" topLeftCell="B7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baseColWidth="10" defaultColWidth="11.42578125" defaultRowHeight="15" x14ac:dyDescent="0.25"/>
  <cols>
    <col min="2" max="2" width="14" bestFit="1" customWidth="1"/>
    <col min="3" max="3" width="13" bestFit="1" customWidth="1"/>
    <col min="4" max="4" width="15.85546875" bestFit="1" customWidth="1"/>
    <col min="5" max="6" width="15.5703125" customWidth="1"/>
    <col min="8" max="8" width="12.5703125" bestFit="1" customWidth="1"/>
    <col min="9" max="9" width="12" bestFit="1" customWidth="1"/>
  </cols>
  <sheetData>
    <row r="1" spans="1:9 16380:16380" ht="21" x14ac:dyDescent="0.35">
      <c r="A1" s="20" t="s">
        <v>12</v>
      </c>
    </row>
    <row r="2" spans="1:9 16380:16380" x14ac:dyDescent="0.25">
      <c r="A2" s="1"/>
      <c r="B2" s="2"/>
      <c r="C2" s="3"/>
      <c r="D2" s="10"/>
      <c r="E2" s="9"/>
      <c r="F2" s="9"/>
      <c r="H2" s="22"/>
      <c r="I2" s="22"/>
    </row>
    <row r="3" spans="1:9 16380:16380" ht="21" x14ac:dyDescent="0.35">
      <c r="A3" s="20"/>
      <c r="B3" s="12" t="s">
        <v>28</v>
      </c>
      <c r="C3">
        <v>1</v>
      </c>
    </row>
    <row r="4" spans="1:9 16380:16380" x14ac:dyDescent="0.25">
      <c r="A4" s="1"/>
      <c r="B4" s="2"/>
      <c r="C4" s="3"/>
      <c r="D4" s="10"/>
      <c r="E4" s="9"/>
      <c r="F4" s="9"/>
      <c r="H4" s="22"/>
      <c r="I4" s="22"/>
    </row>
    <row r="5" spans="1:9 16380:16380" x14ac:dyDescent="0.25">
      <c r="F5" s="9"/>
      <c r="H5" s="17" t="s">
        <v>14</v>
      </c>
      <c r="I5" s="30">
        <v>2</v>
      </c>
    </row>
    <row r="6" spans="1:9 16380:16380" ht="18" x14ac:dyDescent="0.35">
      <c r="A6" s="7" t="s">
        <v>0</v>
      </c>
      <c r="B6" s="7" t="s">
        <v>6</v>
      </c>
      <c r="C6" s="8" t="s">
        <v>30</v>
      </c>
      <c r="D6" s="8" t="s">
        <v>1</v>
      </c>
      <c r="E6" s="7" t="s">
        <v>4</v>
      </c>
      <c r="F6" s="9"/>
      <c r="H6" s="24" t="s">
        <v>23</v>
      </c>
      <c r="I6" s="24" t="s">
        <v>24</v>
      </c>
    </row>
    <row r="7" spans="1:9 16380:16380" x14ac:dyDescent="0.25">
      <c r="A7" s="16"/>
      <c r="B7" s="16"/>
      <c r="C7" s="17"/>
      <c r="D7" s="17"/>
      <c r="E7" s="16"/>
      <c r="F7" s="9"/>
    </row>
    <row r="8" spans="1:9 16380:16380" x14ac:dyDescent="0.25">
      <c r="A8" s="1">
        <v>45322</v>
      </c>
      <c r="B8" s="2">
        <v>1</v>
      </c>
      <c r="C8" s="3">
        <f>+VLOOKUP(A8,Precios!$B:$H,1+$C$3,0)</f>
        <v>57.06</v>
      </c>
      <c r="D8" s="10">
        <f>C8/C9-1</f>
        <v>-2.2731246721453546E-3</v>
      </c>
      <c r="E8" s="53">
        <f>(D8-$E$264)^2</f>
        <v>6.3045895223979527E-6</v>
      </c>
      <c r="F8" s="9"/>
      <c r="H8" s="10">
        <f>-$I$5*$E$266</f>
        <v>-1.800005309804454E-2</v>
      </c>
      <c r="I8" s="10">
        <f>+$I$5*$E$266</f>
        <v>1.800005309804454E-2</v>
      </c>
      <c r="XEZ8" s="17" t="s">
        <v>33</v>
      </c>
    </row>
    <row r="9" spans="1:9 16380:16380" x14ac:dyDescent="0.25">
      <c r="A9" s="1">
        <v>45321</v>
      </c>
      <c r="B9" s="2">
        <f>+B8+1</f>
        <v>2</v>
      </c>
      <c r="C9" s="3">
        <f>+VLOOKUP(A9,Precios!$B:$H,1+$C$3,0)</f>
        <v>57.19</v>
      </c>
      <c r="D9" s="10">
        <f t="shared" ref="D9:D72" si="0">C9/C10-1</f>
        <v>6.1576354679802048E-3</v>
      </c>
      <c r="E9" s="53">
        <f t="shared" ref="E9:E72" si="1">(D9-$E$264)^2</f>
        <v>3.50448131291053E-5</v>
      </c>
      <c r="F9" s="9"/>
      <c r="H9" s="10">
        <f t="shared" ref="H9:H72" si="2">-$I$5*$E$266</f>
        <v>-1.800005309804454E-2</v>
      </c>
      <c r="I9" s="10">
        <f t="shared" ref="I9:I72" si="3">+$I$5*$E$266</f>
        <v>1.800005309804454E-2</v>
      </c>
      <c r="XEZ9" s="17" t="s">
        <v>34</v>
      </c>
    </row>
    <row r="10" spans="1:9 16380:16380" x14ac:dyDescent="0.25">
      <c r="A10" s="1">
        <v>45320</v>
      </c>
      <c r="B10" s="2">
        <f t="shared" ref="B10:B73" si="4">+B9+1</f>
        <v>3</v>
      </c>
      <c r="C10" s="3">
        <f>+VLOOKUP(A10,Precios!$B:$H,1+$C$3,0)</f>
        <v>56.84</v>
      </c>
      <c r="D10" s="10">
        <f t="shared" si="0"/>
        <v>5.4838139041217815E-3</v>
      </c>
      <c r="E10" s="53">
        <f t="shared" si="1"/>
        <v>2.7520981934552323E-5</v>
      </c>
      <c r="F10" s="9"/>
      <c r="H10" s="10">
        <f t="shared" si="2"/>
        <v>-1.800005309804454E-2</v>
      </c>
      <c r="I10" s="10">
        <f t="shared" si="3"/>
        <v>1.800005309804454E-2</v>
      </c>
      <c r="XEZ10" s="17" t="s">
        <v>27</v>
      </c>
    </row>
    <row r="11" spans="1:9 16380:16380" x14ac:dyDescent="0.25">
      <c r="A11" s="1">
        <v>45317</v>
      </c>
      <c r="B11" s="2">
        <f t="shared" si="4"/>
        <v>4</v>
      </c>
      <c r="C11" s="3">
        <f>+VLOOKUP(A11,Precios!$B:$H,1+$C$3,0)</f>
        <v>56.53</v>
      </c>
      <c r="D11" s="10">
        <f t="shared" si="0"/>
        <v>1.0366398570151869E-2</v>
      </c>
      <c r="E11" s="53">
        <f t="shared" si="1"/>
        <v>1.0258912692670973E-4</v>
      </c>
      <c r="F11" s="9"/>
      <c r="H11" s="10">
        <f t="shared" si="2"/>
        <v>-1.800005309804454E-2</v>
      </c>
      <c r="I11" s="10">
        <f t="shared" si="3"/>
        <v>1.800005309804454E-2</v>
      </c>
      <c r="XEZ11" s="17" t="s">
        <v>35</v>
      </c>
    </row>
    <row r="12" spans="1:9 16380:16380" x14ac:dyDescent="0.25">
      <c r="A12" s="1">
        <v>45316</v>
      </c>
      <c r="B12" s="2">
        <f t="shared" si="4"/>
        <v>5</v>
      </c>
      <c r="C12" s="3">
        <f>+VLOOKUP(A12,Precios!$B:$H,1+$C$3,0)</f>
        <v>55.95</v>
      </c>
      <c r="D12" s="10">
        <f t="shared" si="0"/>
        <v>1.4873934337021666E-2</v>
      </c>
      <c r="E12" s="53">
        <f t="shared" si="1"/>
        <v>2.1421732126071917E-4</v>
      </c>
      <c r="F12" s="9"/>
      <c r="H12" s="10">
        <f t="shared" si="2"/>
        <v>-1.800005309804454E-2</v>
      </c>
      <c r="I12" s="10">
        <f t="shared" si="3"/>
        <v>1.800005309804454E-2</v>
      </c>
      <c r="XEZ12" s="17" t="s">
        <v>36</v>
      </c>
    </row>
    <row r="13" spans="1:9 16380:16380" x14ac:dyDescent="0.25">
      <c r="A13" s="1">
        <v>45315</v>
      </c>
      <c r="B13" s="2">
        <f t="shared" si="4"/>
        <v>6</v>
      </c>
      <c r="C13" s="3">
        <f>+VLOOKUP(A13,Precios!$B:$H,1+$C$3,0)</f>
        <v>55.13</v>
      </c>
      <c r="D13" s="10">
        <f t="shared" si="0"/>
        <v>-3.2543843789549776E-3</v>
      </c>
      <c r="E13" s="53">
        <f t="shared" si="1"/>
        <v>1.2195138684654605E-5</v>
      </c>
      <c r="F13" s="9"/>
      <c r="H13" s="10">
        <f t="shared" si="2"/>
        <v>-1.800005309804454E-2</v>
      </c>
      <c r="I13" s="10">
        <f t="shared" si="3"/>
        <v>1.800005309804454E-2</v>
      </c>
      <c r="XEZ13" s="17" t="s">
        <v>37</v>
      </c>
    </row>
    <row r="14" spans="1:9 16380:16380" x14ac:dyDescent="0.25">
      <c r="A14" s="1">
        <v>45314</v>
      </c>
      <c r="B14" s="2">
        <f t="shared" si="4"/>
        <v>7</v>
      </c>
      <c r="C14" s="3">
        <f>+VLOOKUP(A14,Precios!$B:$H,1+$C$3,0)</f>
        <v>55.31</v>
      </c>
      <c r="D14" s="10">
        <f t="shared" si="0"/>
        <v>1.5607785530664664E-2</v>
      </c>
      <c r="E14" s="53">
        <f t="shared" si="1"/>
        <v>2.362373929133683E-4</v>
      </c>
      <c r="F14" s="9"/>
      <c r="H14" s="10">
        <f t="shared" si="2"/>
        <v>-1.800005309804454E-2</v>
      </c>
      <c r="I14" s="10">
        <f t="shared" si="3"/>
        <v>1.800005309804454E-2</v>
      </c>
    </row>
    <row r="15" spans="1:9 16380:16380" x14ac:dyDescent="0.25">
      <c r="A15" s="1">
        <v>45313</v>
      </c>
      <c r="B15" s="2">
        <f t="shared" si="4"/>
        <v>8</v>
      </c>
      <c r="C15" s="3">
        <f>+VLOOKUP(A15,Precios!$B:$H,1+$C$3,0)</f>
        <v>54.46</v>
      </c>
      <c r="D15" s="10">
        <f t="shared" si="0"/>
        <v>-1.2869313032445207E-2</v>
      </c>
      <c r="E15" s="53">
        <f t="shared" si="1"/>
        <v>1.7179561240106126E-4</v>
      </c>
      <c r="F15" s="9"/>
      <c r="H15" s="10">
        <f t="shared" si="2"/>
        <v>-1.800005309804454E-2</v>
      </c>
      <c r="I15" s="10">
        <f t="shared" si="3"/>
        <v>1.800005309804454E-2</v>
      </c>
    </row>
    <row r="16" spans="1:9 16380:16380" x14ac:dyDescent="0.25">
      <c r="A16" s="1">
        <v>45310</v>
      </c>
      <c r="B16" s="2">
        <f t="shared" si="4"/>
        <v>9</v>
      </c>
      <c r="C16" s="3">
        <f>+VLOOKUP(A16,Precios!$B:$H,1+$C$3,0)</f>
        <v>55.17</v>
      </c>
      <c r="D16" s="10">
        <f t="shared" si="0"/>
        <v>1.3968020584451457E-2</v>
      </c>
      <c r="E16" s="53">
        <f t="shared" si="1"/>
        <v>1.8851979495863961E-4</v>
      </c>
      <c r="F16" s="9"/>
      <c r="H16" s="10">
        <f t="shared" si="2"/>
        <v>-1.800005309804454E-2</v>
      </c>
      <c r="I16" s="10">
        <f t="shared" si="3"/>
        <v>1.800005309804454E-2</v>
      </c>
    </row>
    <row r="17" spans="1:9" x14ac:dyDescent="0.25">
      <c r="A17" s="1">
        <v>45309</v>
      </c>
      <c r="B17" s="2">
        <f t="shared" si="4"/>
        <v>10</v>
      </c>
      <c r="C17" s="3">
        <f>+VLOOKUP(A17,Precios!$B:$H,1+$C$3,0)</f>
        <v>54.41</v>
      </c>
      <c r="D17" s="10">
        <f t="shared" si="0"/>
        <v>-1.1015237745548578E-3</v>
      </c>
      <c r="E17" s="53">
        <f t="shared" si="1"/>
        <v>1.793706463898308E-6</v>
      </c>
      <c r="F17" s="9"/>
      <c r="H17" s="10">
        <f t="shared" si="2"/>
        <v>-1.800005309804454E-2</v>
      </c>
      <c r="I17" s="10">
        <f t="shared" si="3"/>
        <v>1.800005309804454E-2</v>
      </c>
    </row>
    <row r="18" spans="1:9" x14ac:dyDescent="0.25">
      <c r="A18" s="1">
        <v>45308</v>
      </c>
      <c r="B18" s="2">
        <f t="shared" si="4"/>
        <v>11</v>
      </c>
      <c r="C18" s="3">
        <f>+VLOOKUP(A18,Precios!$B:$H,1+$C$3,0)</f>
        <v>54.47</v>
      </c>
      <c r="D18" s="10">
        <f t="shared" si="0"/>
        <v>-6.5657486777311869E-3</v>
      </c>
      <c r="E18" s="53">
        <f t="shared" si="1"/>
        <v>4.6287859536962072E-5</v>
      </c>
      <c r="F18" s="9"/>
      <c r="H18" s="10">
        <f t="shared" si="2"/>
        <v>-1.800005309804454E-2</v>
      </c>
      <c r="I18" s="10">
        <f t="shared" si="3"/>
        <v>1.800005309804454E-2</v>
      </c>
    </row>
    <row r="19" spans="1:9" x14ac:dyDescent="0.25">
      <c r="A19" s="1">
        <v>45307</v>
      </c>
      <c r="B19" s="2">
        <f t="shared" si="4"/>
        <v>12</v>
      </c>
      <c r="C19" s="3">
        <f>+VLOOKUP(A19,Precios!$B:$H,1+$C$3,0)</f>
        <v>54.83</v>
      </c>
      <c r="D19" s="10">
        <f t="shared" si="0"/>
        <v>-7.9609191242989708E-3</v>
      </c>
      <c r="E19" s="53">
        <f t="shared" si="1"/>
        <v>6.7218495088608828E-5</v>
      </c>
      <c r="F19" s="9"/>
      <c r="H19" s="10">
        <f t="shared" si="2"/>
        <v>-1.800005309804454E-2</v>
      </c>
      <c r="I19" s="10">
        <f t="shared" si="3"/>
        <v>1.800005309804454E-2</v>
      </c>
    </row>
    <row r="20" spans="1:9" x14ac:dyDescent="0.25">
      <c r="A20" s="1">
        <v>45306</v>
      </c>
      <c r="B20" s="2">
        <f t="shared" si="4"/>
        <v>13</v>
      </c>
      <c r="C20" s="3">
        <f>+VLOOKUP(A20,Precios!$B:$H,1+$C$3,0)</f>
        <v>55.27</v>
      </c>
      <c r="D20" s="10">
        <f t="shared" si="0"/>
        <v>-1.0844026748598745E-3</v>
      </c>
      <c r="E20" s="53">
        <f t="shared" si="1"/>
        <v>1.7481392487494697E-6</v>
      </c>
      <c r="F20" s="9"/>
      <c r="H20" s="10">
        <f t="shared" si="2"/>
        <v>-1.800005309804454E-2</v>
      </c>
      <c r="I20" s="10">
        <f t="shared" si="3"/>
        <v>1.800005309804454E-2</v>
      </c>
    </row>
    <row r="21" spans="1:9" x14ac:dyDescent="0.25">
      <c r="A21" s="1">
        <v>45303</v>
      </c>
      <c r="B21" s="2">
        <f t="shared" si="4"/>
        <v>14</v>
      </c>
      <c r="C21" s="3">
        <f>+VLOOKUP(A21,Precios!$B:$H,1+$C$3,0)</f>
        <v>55.33</v>
      </c>
      <c r="D21" s="10">
        <f t="shared" si="0"/>
        <v>2.9001268805508573E-3</v>
      </c>
      <c r="E21" s="53">
        <f t="shared" si="1"/>
        <v>7.0881468443749807E-6</v>
      </c>
      <c r="F21" s="9"/>
      <c r="H21" s="10">
        <f t="shared" si="2"/>
        <v>-1.800005309804454E-2</v>
      </c>
      <c r="I21" s="10">
        <f t="shared" si="3"/>
        <v>1.800005309804454E-2</v>
      </c>
    </row>
    <row r="22" spans="1:9" x14ac:dyDescent="0.25">
      <c r="A22" s="1">
        <v>45302</v>
      </c>
      <c r="B22" s="2">
        <f t="shared" si="4"/>
        <v>15</v>
      </c>
      <c r="C22" s="3">
        <f>+VLOOKUP(A22,Precios!$B:$H,1+$C$3,0)</f>
        <v>55.17</v>
      </c>
      <c r="D22" s="10">
        <f t="shared" si="0"/>
        <v>2.5440668726148807E-3</v>
      </c>
      <c r="E22" s="53">
        <f t="shared" si="1"/>
        <v>5.3190075905089864E-6</v>
      </c>
      <c r="F22" s="9"/>
      <c r="H22" s="10">
        <f t="shared" si="2"/>
        <v>-1.800005309804454E-2</v>
      </c>
      <c r="I22" s="10">
        <f t="shared" si="3"/>
        <v>1.800005309804454E-2</v>
      </c>
    </row>
    <row r="23" spans="1:9" x14ac:dyDescent="0.25">
      <c r="A23" s="1">
        <v>45301</v>
      </c>
      <c r="B23" s="2">
        <f t="shared" si="4"/>
        <v>16</v>
      </c>
      <c r="C23" s="3">
        <f>+VLOOKUP(A23,Precios!$B:$H,1+$C$3,0)</f>
        <v>55.03</v>
      </c>
      <c r="D23" s="10">
        <f t="shared" si="0"/>
        <v>3.4646243617797445E-3</v>
      </c>
      <c r="E23" s="53">
        <f t="shared" si="1"/>
        <v>1.041259232638508E-5</v>
      </c>
      <c r="F23" s="9"/>
      <c r="H23" s="10">
        <f t="shared" si="2"/>
        <v>-1.800005309804454E-2</v>
      </c>
      <c r="I23" s="10">
        <f t="shared" si="3"/>
        <v>1.800005309804454E-2</v>
      </c>
    </row>
    <row r="24" spans="1:9" x14ac:dyDescent="0.25">
      <c r="A24" s="1">
        <v>45300</v>
      </c>
      <c r="B24" s="2">
        <f t="shared" si="4"/>
        <v>17</v>
      </c>
      <c r="C24" s="3">
        <f>+VLOOKUP(A24,Precios!$B:$H,1+$C$3,0)</f>
        <v>54.84</v>
      </c>
      <c r="D24" s="10">
        <f t="shared" si="0"/>
        <v>-1.8611309949892574E-2</v>
      </c>
      <c r="E24" s="53">
        <f t="shared" si="1"/>
        <v>3.5528779594834844E-4</v>
      </c>
      <c r="F24" s="9"/>
      <c r="H24" s="10">
        <f t="shared" si="2"/>
        <v>-1.800005309804454E-2</v>
      </c>
      <c r="I24" s="10">
        <f t="shared" si="3"/>
        <v>1.800005309804454E-2</v>
      </c>
    </row>
    <row r="25" spans="1:9" x14ac:dyDescent="0.25">
      <c r="A25" s="1">
        <v>45299</v>
      </c>
      <c r="B25" s="2">
        <f t="shared" si="4"/>
        <v>18</v>
      </c>
      <c r="C25" s="3">
        <f>+VLOOKUP(A25,Precios!$B:$H,1+$C$3,0)</f>
        <v>55.88</v>
      </c>
      <c r="D25" s="10">
        <f t="shared" si="0"/>
        <v>-8.9397461112095122E-4</v>
      </c>
      <c r="E25" s="53">
        <f t="shared" si="1"/>
        <v>1.2808447234493184E-6</v>
      </c>
      <c r="F25" s="9"/>
      <c r="H25" s="10">
        <f t="shared" si="2"/>
        <v>-1.800005309804454E-2</v>
      </c>
      <c r="I25" s="10">
        <f t="shared" si="3"/>
        <v>1.800005309804454E-2</v>
      </c>
    </row>
    <row r="26" spans="1:9" x14ac:dyDescent="0.25">
      <c r="A26" s="1">
        <v>45296</v>
      </c>
      <c r="B26" s="2">
        <f t="shared" si="4"/>
        <v>19</v>
      </c>
      <c r="C26" s="3">
        <f>+VLOOKUP(A26,Precios!$B:$H,1+$C$3,0)</f>
        <v>55.93</v>
      </c>
      <c r="D26" s="10">
        <f t="shared" si="0"/>
        <v>1.4695210449927387E-2</v>
      </c>
      <c r="E26" s="53">
        <f t="shared" si="1"/>
        <v>2.0901759894336979E-4</v>
      </c>
      <c r="F26" s="9"/>
      <c r="H26" s="10">
        <f t="shared" si="2"/>
        <v>-1.800005309804454E-2</v>
      </c>
      <c r="I26" s="10">
        <f t="shared" si="3"/>
        <v>1.800005309804454E-2</v>
      </c>
    </row>
    <row r="27" spans="1:9" x14ac:dyDescent="0.25">
      <c r="A27" s="1">
        <v>45295</v>
      </c>
      <c r="B27" s="2">
        <f t="shared" si="4"/>
        <v>20</v>
      </c>
      <c r="C27" s="3">
        <f>+VLOOKUP(A27,Precios!$B:$H,1+$C$3,0)</f>
        <v>55.12</v>
      </c>
      <c r="D27" s="10">
        <f t="shared" si="0"/>
        <v>-5.9513074842201252E-3</v>
      </c>
      <c r="E27" s="53">
        <f t="shared" si="1"/>
        <v>3.8304673864062794E-5</v>
      </c>
      <c r="F27" s="9"/>
      <c r="H27" s="10">
        <f t="shared" si="2"/>
        <v>-1.800005309804454E-2</v>
      </c>
      <c r="I27" s="10">
        <f t="shared" si="3"/>
        <v>1.800005309804454E-2</v>
      </c>
    </row>
    <row r="28" spans="1:9" x14ac:dyDescent="0.25">
      <c r="A28" s="1">
        <v>45294</v>
      </c>
      <c r="B28" s="2">
        <f t="shared" si="4"/>
        <v>21</v>
      </c>
      <c r="C28" s="3">
        <f>+VLOOKUP(A28,Precios!$B:$H,1+$C$3,0)</f>
        <v>55.45</v>
      </c>
      <c r="D28" s="10">
        <f t="shared" si="0"/>
        <v>-2.1873346269183136E-2</v>
      </c>
      <c r="E28" s="53">
        <f t="shared" si="1"/>
        <v>4.8890144037051287E-4</v>
      </c>
      <c r="F28" s="9"/>
      <c r="H28" s="10">
        <f t="shared" si="2"/>
        <v>-1.800005309804454E-2</v>
      </c>
      <c r="I28" s="10">
        <f t="shared" si="3"/>
        <v>1.800005309804454E-2</v>
      </c>
    </row>
    <row r="29" spans="1:9" x14ac:dyDescent="0.25">
      <c r="A29" s="1">
        <v>45293</v>
      </c>
      <c r="B29" s="2">
        <f t="shared" si="4"/>
        <v>22</v>
      </c>
      <c r="C29" s="3">
        <f>+VLOOKUP(A29,Precios!$B:$H,1+$C$3,0)</f>
        <v>56.69</v>
      </c>
      <c r="D29" s="10">
        <f t="shared" si="0"/>
        <v>-7.528011204481766E-3</v>
      </c>
      <c r="E29" s="53">
        <f t="shared" si="1"/>
        <v>6.0307349884175828E-5</v>
      </c>
      <c r="F29" s="9"/>
      <c r="H29" s="10">
        <f t="shared" si="2"/>
        <v>-1.800005309804454E-2</v>
      </c>
      <c r="I29" s="10">
        <f t="shared" si="3"/>
        <v>1.800005309804454E-2</v>
      </c>
    </row>
    <row r="30" spans="1:9" x14ac:dyDescent="0.25">
      <c r="A30" s="1">
        <v>45289</v>
      </c>
      <c r="B30" s="2">
        <f t="shared" si="4"/>
        <v>23</v>
      </c>
      <c r="C30" s="3">
        <f>+VLOOKUP(A30,Precios!$B:$H,1+$C$3,0)</f>
        <v>57.12</v>
      </c>
      <c r="D30" s="10">
        <f t="shared" si="0"/>
        <v>-1.3986013986014845E-3</v>
      </c>
      <c r="E30" s="53">
        <f t="shared" si="1"/>
        <v>2.6777097038983042E-6</v>
      </c>
      <c r="F30" s="9"/>
      <c r="H30" s="10">
        <f t="shared" si="2"/>
        <v>-1.800005309804454E-2</v>
      </c>
      <c r="I30" s="10">
        <f t="shared" si="3"/>
        <v>1.800005309804454E-2</v>
      </c>
    </row>
    <row r="31" spans="1:9" x14ac:dyDescent="0.25">
      <c r="A31" s="1">
        <v>45288</v>
      </c>
      <c r="B31" s="2">
        <f t="shared" si="4"/>
        <v>24</v>
      </c>
      <c r="C31" s="3">
        <f>+VLOOKUP(A31,Precios!$B:$H,1+$C$3,0)</f>
        <v>57.2</v>
      </c>
      <c r="D31" s="10">
        <f t="shared" si="0"/>
        <v>-2.4415765608650775E-3</v>
      </c>
      <c r="E31" s="53">
        <f t="shared" si="1"/>
        <v>7.1788952911276283E-6</v>
      </c>
      <c r="F31" s="9"/>
      <c r="H31" s="10">
        <f t="shared" si="2"/>
        <v>-1.800005309804454E-2</v>
      </c>
      <c r="I31" s="10">
        <f t="shared" si="3"/>
        <v>1.800005309804454E-2</v>
      </c>
    </row>
    <row r="32" spans="1:9" x14ac:dyDescent="0.25">
      <c r="A32" s="1">
        <v>45287</v>
      </c>
      <c r="B32" s="2">
        <f t="shared" si="4"/>
        <v>25</v>
      </c>
      <c r="C32" s="3">
        <f>+VLOOKUP(A32,Precios!$B:$H,1+$C$3,0)</f>
        <v>57.34</v>
      </c>
      <c r="D32" s="10">
        <f t="shared" si="0"/>
        <v>-6.755586350251086E-3</v>
      </c>
      <c r="E32" s="53">
        <f t="shared" si="1"/>
        <v>4.8907025988872896E-5</v>
      </c>
      <c r="F32" s="9"/>
      <c r="H32" s="10">
        <f t="shared" si="2"/>
        <v>-1.800005309804454E-2</v>
      </c>
      <c r="I32" s="10">
        <f t="shared" si="3"/>
        <v>1.800005309804454E-2</v>
      </c>
    </row>
    <row r="33" spans="1:9" x14ac:dyDescent="0.25">
      <c r="A33" s="1">
        <v>45286</v>
      </c>
      <c r="B33" s="2">
        <f t="shared" si="4"/>
        <v>26</v>
      </c>
      <c r="C33" s="3">
        <f>+VLOOKUP(A33,Precios!$B:$H,1+$C$3,0)</f>
        <v>57.73</v>
      </c>
      <c r="D33" s="10">
        <f t="shared" si="0"/>
        <v>7.5043630017452845E-3</v>
      </c>
      <c r="E33" s="53">
        <f t="shared" si="1"/>
        <v>5.2803381181294566E-5</v>
      </c>
      <c r="F33" s="9"/>
      <c r="H33" s="10">
        <f t="shared" si="2"/>
        <v>-1.800005309804454E-2</v>
      </c>
      <c r="I33" s="10">
        <f t="shared" si="3"/>
        <v>1.800005309804454E-2</v>
      </c>
    </row>
    <row r="34" spans="1:9" x14ac:dyDescent="0.25">
      <c r="A34" s="1">
        <v>45282</v>
      </c>
      <c r="B34" s="2">
        <f t="shared" si="4"/>
        <v>27</v>
      </c>
      <c r="C34" s="3">
        <f>+VLOOKUP(A34,Precios!$B:$H,1+$C$3,0)</f>
        <v>57.3</v>
      </c>
      <c r="D34" s="10">
        <f t="shared" si="0"/>
        <v>-2.9580650774316819E-3</v>
      </c>
      <c r="E34" s="53">
        <f t="shared" si="1"/>
        <v>1.0213358619177769E-5</v>
      </c>
      <c r="F34" s="9"/>
      <c r="H34" s="10">
        <f t="shared" si="2"/>
        <v>-1.800005309804454E-2</v>
      </c>
      <c r="I34" s="10">
        <f t="shared" si="3"/>
        <v>1.800005309804454E-2</v>
      </c>
    </row>
    <row r="35" spans="1:9" x14ac:dyDescent="0.25">
      <c r="A35" s="1">
        <v>45281</v>
      </c>
      <c r="B35" s="2">
        <f t="shared" si="4"/>
        <v>28</v>
      </c>
      <c r="C35" s="3">
        <f>+VLOOKUP(A35,Precios!$B:$H,1+$C$3,0)</f>
        <v>57.47</v>
      </c>
      <c r="D35" s="10">
        <f t="shared" si="0"/>
        <v>9.4853328649218138E-3</v>
      </c>
      <c r="E35" s="53">
        <f t="shared" si="1"/>
        <v>8.5517428266748712E-5</v>
      </c>
      <c r="F35" s="9"/>
      <c r="H35" s="10">
        <f t="shared" si="2"/>
        <v>-1.800005309804454E-2</v>
      </c>
      <c r="I35" s="10">
        <f t="shared" si="3"/>
        <v>1.800005309804454E-2</v>
      </c>
    </row>
    <row r="36" spans="1:9" x14ac:dyDescent="0.25">
      <c r="A36" s="1">
        <v>45280</v>
      </c>
      <c r="B36" s="2">
        <f t="shared" si="4"/>
        <v>29</v>
      </c>
      <c r="C36" s="3">
        <f>+VLOOKUP(A36,Precios!$B:$H,1+$C$3,0)</f>
        <v>56.93</v>
      </c>
      <c r="D36" s="10">
        <f t="shared" si="0"/>
        <v>-1.317386028774481E-2</v>
      </c>
      <c r="E36" s="53">
        <f t="shared" si="1"/>
        <v>1.7987181344966953E-4</v>
      </c>
      <c r="F36" s="9"/>
      <c r="H36" s="10">
        <f t="shared" si="2"/>
        <v>-1.800005309804454E-2</v>
      </c>
      <c r="I36" s="10">
        <f t="shared" si="3"/>
        <v>1.800005309804454E-2</v>
      </c>
    </row>
    <row r="37" spans="1:9" x14ac:dyDescent="0.25">
      <c r="A37" s="1">
        <v>45279</v>
      </c>
      <c r="B37" s="2">
        <f t="shared" si="4"/>
        <v>30</v>
      </c>
      <c r="C37" s="3">
        <f>+VLOOKUP(A37,Precios!$B:$H,1+$C$3,0)</f>
        <v>57.69</v>
      </c>
      <c r="D37" s="10">
        <f t="shared" si="0"/>
        <v>-1.0389610389610615E-3</v>
      </c>
      <c r="E37" s="53">
        <f t="shared" si="1"/>
        <v>1.6300408582773462E-6</v>
      </c>
      <c r="F37" s="9"/>
      <c r="H37" s="10">
        <f t="shared" si="2"/>
        <v>-1.800005309804454E-2</v>
      </c>
      <c r="I37" s="10">
        <f t="shared" si="3"/>
        <v>1.800005309804454E-2</v>
      </c>
    </row>
    <row r="38" spans="1:9" x14ac:dyDescent="0.25">
      <c r="A38" s="1">
        <v>45278</v>
      </c>
      <c r="B38" s="2">
        <f t="shared" si="4"/>
        <v>31</v>
      </c>
      <c r="C38" s="3">
        <f>+VLOOKUP(A38,Precios!$B:$H,1+$C$3,0)</f>
        <v>57.75</v>
      </c>
      <c r="D38" s="10">
        <f t="shared" si="0"/>
        <v>1.0675533776688839E-2</v>
      </c>
      <c r="E38" s="53">
        <f t="shared" si="1"/>
        <v>1.0894692318433023E-4</v>
      </c>
      <c r="F38" s="9"/>
      <c r="H38" s="10">
        <f t="shared" si="2"/>
        <v>-1.800005309804454E-2</v>
      </c>
      <c r="I38" s="10">
        <f t="shared" si="3"/>
        <v>1.800005309804454E-2</v>
      </c>
    </row>
    <row r="39" spans="1:9" x14ac:dyDescent="0.25">
      <c r="A39" s="1">
        <v>45275</v>
      </c>
      <c r="B39" s="2">
        <f t="shared" si="4"/>
        <v>32</v>
      </c>
      <c r="C39" s="3">
        <f>+VLOOKUP(A39,Precios!$B:$H,1+$C$3,0)</f>
        <v>57.14</v>
      </c>
      <c r="D39" s="10">
        <f t="shared" si="0"/>
        <v>2.4561403508771562E-3</v>
      </c>
      <c r="E39" s="53">
        <f t="shared" si="1"/>
        <v>4.9211692508536936E-6</v>
      </c>
      <c r="F39" s="9"/>
      <c r="H39" s="10">
        <f t="shared" si="2"/>
        <v>-1.800005309804454E-2</v>
      </c>
      <c r="I39" s="10">
        <f t="shared" si="3"/>
        <v>1.800005309804454E-2</v>
      </c>
    </row>
    <row r="40" spans="1:9" x14ac:dyDescent="0.25">
      <c r="A40" s="1">
        <v>45274</v>
      </c>
      <c r="B40" s="2">
        <f t="shared" si="4"/>
        <v>33</v>
      </c>
      <c r="C40" s="3">
        <f>+VLOOKUP(A40,Precios!$B:$H,1+$C$3,0)</f>
        <v>57</v>
      </c>
      <c r="D40" s="10">
        <f t="shared" si="0"/>
        <v>3.3357505438723845E-2</v>
      </c>
      <c r="E40" s="53">
        <f t="shared" si="1"/>
        <v>1.0969169089319567E-3</v>
      </c>
      <c r="F40" s="9"/>
      <c r="H40" s="10">
        <f t="shared" si="2"/>
        <v>-1.800005309804454E-2</v>
      </c>
      <c r="I40" s="10">
        <f t="shared" si="3"/>
        <v>1.800005309804454E-2</v>
      </c>
    </row>
    <row r="41" spans="1:9" x14ac:dyDescent="0.25">
      <c r="A41" s="1">
        <v>45273</v>
      </c>
      <c r="B41" s="2">
        <f t="shared" si="4"/>
        <v>34</v>
      </c>
      <c r="C41" s="3">
        <f>+VLOOKUP(A41,Precios!$B:$H,1+$C$3,0)</f>
        <v>55.16</v>
      </c>
      <c r="D41" s="10">
        <f t="shared" si="0"/>
        <v>1.3039485766758396E-2</v>
      </c>
      <c r="E41" s="53">
        <f t="shared" si="1"/>
        <v>1.6388393948326319E-4</v>
      </c>
      <c r="F41" s="9"/>
      <c r="H41" s="10">
        <f t="shared" si="2"/>
        <v>-1.800005309804454E-2</v>
      </c>
      <c r="I41" s="10">
        <f t="shared" si="3"/>
        <v>1.800005309804454E-2</v>
      </c>
    </row>
    <row r="42" spans="1:9" x14ac:dyDescent="0.25">
      <c r="A42" s="1">
        <v>45271</v>
      </c>
      <c r="B42" s="2">
        <f t="shared" si="4"/>
        <v>35</v>
      </c>
      <c r="C42" s="3">
        <f>+VLOOKUP(A42,Precios!$B:$H,1+$C$3,0)</f>
        <v>54.45</v>
      </c>
      <c r="D42" s="10">
        <f t="shared" si="0"/>
        <v>1.1031439602868787E-3</v>
      </c>
      <c r="E42" s="53">
        <f t="shared" si="1"/>
        <v>7.4887296386316735E-7</v>
      </c>
      <c r="F42" s="9"/>
      <c r="H42" s="10">
        <f t="shared" si="2"/>
        <v>-1.800005309804454E-2</v>
      </c>
      <c r="I42" s="10">
        <f t="shared" si="3"/>
        <v>1.800005309804454E-2</v>
      </c>
    </row>
    <row r="43" spans="1:9" x14ac:dyDescent="0.25">
      <c r="A43" s="1">
        <v>45268</v>
      </c>
      <c r="B43" s="2">
        <f t="shared" si="4"/>
        <v>36</v>
      </c>
      <c r="C43" s="3">
        <f>+VLOOKUP(A43,Precios!$B:$H,1+$C$3,0)</f>
        <v>54.39</v>
      </c>
      <c r="D43" s="10">
        <f t="shared" si="0"/>
        <v>-5.5126791620729865E-4</v>
      </c>
      <c r="E43" s="53">
        <f t="shared" si="1"/>
        <v>6.2258003747677153E-7</v>
      </c>
      <c r="F43" s="9"/>
      <c r="H43" s="10">
        <f t="shared" si="2"/>
        <v>-1.800005309804454E-2</v>
      </c>
      <c r="I43" s="10">
        <f t="shared" si="3"/>
        <v>1.800005309804454E-2</v>
      </c>
    </row>
    <row r="44" spans="1:9" x14ac:dyDescent="0.25">
      <c r="A44" s="1">
        <v>45267</v>
      </c>
      <c r="B44" s="2">
        <f t="shared" si="4"/>
        <v>37</v>
      </c>
      <c r="C44" s="3">
        <f>+VLOOKUP(A44,Precios!$B:$H,1+$C$3,0)</f>
        <v>54.42</v>
      </c>
      <c r="D44" s="10">
        <f t="shared" si="0"/>
        <v>6.8455134135061435E-3</v>
      </c>
      <c r="E44" s="53">
        <f t="shared" si="1"/>
        <v>4.3662279682572129E-5</v>
      </c>
      <c r="F44" s="9"/>
      <c r="H44" s="10">
        <f t="shared" si="2"/>
        <v>-1.800005309804454E-2</v>
      </c>
      <c r="I44" s="10">
        <f t="shared" si="3"/>
        <v>1.800005309804454E-2</v>
      </c>
    </row>
    <row r="45" spans="1:9" x14ac:dyDescent="0.25">
      <c r="A45" s="1">
        <v>45266</v>
      </c>
      <c r="B45" s="2">
        <f t="shared" si="4"/>
        <v>38</v>
      </c>
      <c r="C45" s="3">
        <f>+VLOOKUP(A45,Precios!$B:$H,1+$C$3,0)</f>
        <v>54.05</v>
      </c>
      <c r="D45" s="10">
        <f t="shared" si="0"/>
        <v>-9.2421441774503954E-4</v>
      </c>
      <c r="E45" s="53">
        <f t="shared" si="1"/>
        <v>1.3502066152337645E-6</v>
      </c>
      <c r="F45" s="9"/>
      <c r="H45" s="10">
        <f t="shared" si="2"/>
        <v>-1.800005309804454E-2</v>
      </c>
      <c r="I45" s="10">
        <f t="shared" si="3"/>
        <v>1.800005309804454E-2</v>
      </c>
    </row>
    <row r="46" spans="1:9" x14ac:dyDescent="0.25">
      <c r="A46" s="1">
        <v>45265</v>
      </c>
      <c r="B46" s="2">
        <f t="shared" si="4"/>
        <v>39</v>
      </c>
      <c r="C46" s="3">
        <f>+VLOOKUP(A46,Precios!$B:$H,1+$C$3,0)</f>
        <v>54.1</v>
      </c>
      <c r="D46" s="10">
        <f t="shared" si="0"/>
        <v>1.1102886750555818E-3</v>
      </c>
      <c r="E46" s="53">
        <f t="shared" si="1"/>
        <v>7.6128971824668701E-7</v>
      </c>
      <c r="F46" s="9"/>
      <c r="H46" s="10">
        <f t="shared" si="2"/>
        <v>-1.800005309804454E-2</v>
      </c>
      <c r="I46" s="10">
        <f t="shared" si="3"/>
        <v>1.800005309804454E-2</v>
      </c>
    </row>
    <row r="47" spans="1:9" x14ac:dyDescent="0.25">
      <c r="A47" s="1">
        <v>45264</v>
      </c>
      <c r="B47" s="2">
        <f t="shared" si="4"/>
        <v>40</v>
      </c>
      <c r="C47" s="3">
        <f>+VLOOKUP(A47,Precios!$B:$H,1+$C$3,0)</f>
        <v>54.04</v>
      </c>
      <c r="D47" s="10">
        <f t="shared" si="0"/>
        <v>4.2742984575356857E-3</v>
      </c>
      <c r="E47" s="53">
        <f t="shared" si="1"/>
        <v>1.6293566059291144E-5</v>
      </c>
      <c r="F47" s="9"/>
      <c r="H47" s="10">
        <f t="shared" si="2"/>
        <v>-1.800005309804454E-2</v>
      </c>
      <c r="I47" s="10">
        <f t="shared" si="3"/>
        <v>1.800005309804454E-2</v>
      </c>
    </row>
    <row r="48" spans="1:9" x14ac:dyDescent="0.25">
      <c r="A48" s="1">
        <v>45261</v>
      </c>
      <c r="B48" s="2">
        <f t="shared" si="4"/>
        <v>41</v>
      </c>
      <c r="C48" s="3">
        <f>+VLOOKUP(A48,Precios!$B:$H,1+$C$3,0)</f>
        <v>53.81</v>
      </c>
      <c r="D48" s="10">
        <f t="shared" si="0"/>
        <v>-3.1493145609483575E-3</v>
      </c>
      <c r="E48" s="53">
        <f t="shared" si="1"/>
        <v>1.1472338407176689E-5</v>
      </c>
      <c r="F48" s="9"/>
      <c r="H48" s="10">
        <f t="shared" si="2"/>
        <v>-1.800005309804454E-2</v>
      </c>
      <c r="I48" s="10">
        <f t="shared" si="3"/>
        <v>1.800005309804454E-2</v>
      </c>
    </row>
    <row r="49" spans="1:9" x14ac:dyDescent="0.25">
      <c r="A49" s="1">
        <v>45260</v>
      </c>
      <c r="B49" s="2">
        <f t="shared" si="4"/>
        <v>42</v>
      </c>
      <c r="C49" s="3">
        <f>+VLOOKUP(A49,Precios!$B:$H,1+$C$3,0)</f>
        <v>53.98</v>
      </c>
      <c r="D49" s="10">
        <f t="shared" si="0"/>
        <v>2.5261158594491961E-2</v>
      </c>
      <c r="E49" s="53">
        <f t="shared" si="1"/>
        <v>6.2617000198676839E-4</v>
      </c>
      <c r="F49" s="9"/>
      <c r="H49" s="10">
        <f t="shared" si="2"/>
        <v>-1.800005309804454E-2</v>
      </c>
      <c r="I49" s="10">
        <f t="shared" si="3"/>
        <v>1.800005309804454E-2</v>
      </c>
    </row>
    <row r="50" spans="1:9" x14ac:dyDescent="0.25">
      <c r="A50" s="1">
        <v>45259</v>
      </c>
      <c r="B50" s="2">
        <f t="shared" si="4"/>
        <v>43</v>
      </c>
      <c r="C50" s="3">
        <f>+VLOOKUP(A50,Precios!$B:$H,1+$C$3,0)</f>
        <v>52.65</v>
      </c>
      <c r="D50" s="10">
        <f t="shared" si="0"/>
        <v>6.8846815834766595E-3</v>
      </c>
      <c r="E50" s="53">
        <f t="shared" si="1"/>
        <v>4.418144030189518E-5</v>
      </c>
      <c r="F50" s="9"/>
      <c r="H50" s="10">
        <f t="shared" si="2"/>
        <v>-1.800005309804454E-2</v>
      </c>
      <c r="I50" s="10">
        <f t="shared" si="3"/>
        <v>1.800005309804454E-2</v>
      </c>
    </row>
    <row r="51" spans="1:9" x14ac:dyDescent="0.25">
      <c r="A51" s="1">
        <v>45258</v>
      </c>
      <c r="B51" s="2">
        <f t="shared" si="4"/>
        <v>44</v>
      </c>
      <c r="C51" s="3">
        <f>+VLOOKUP(A51,Precios!$B:$H,1+$C$3,0)</f>
        <v>52.29</v>
      </c>
      <c r="D51" s="10">
        <f t="shared" si="0"/>
        <v>-5.7339449541282672E-4</v>
      </c>
      <c r="E51" s="53">
        <f t="shared" si="1"/>
        <v>6.5798702056794451E-7</v>
      </c>
      <c r="F51" s="9"/>
      <c r="H51" s="10">
        <f t="shared" si="2"/>
        <v>-1.800005309804454E-2</v>
      </c>
      <c r="I51" s="10">
        <f t="shared" si="3"/>
        <v>1.800005309804454E-2</v>
      </c>
    </row>
    <row r="52" spans="1:9" x14ac:dyDescent="0.25">
      <c r="A52" s="1">
        <v>45257</v>
      </c>
      <c r="B52" s="2">
        <f t="shared" si="4"/>
        <v>45</v>
      </c>
      <c r="C52" s="3">
        <f>+VLOOKUP(A52,Precios!$B:$H,1+$C$3,0)</f>
        <v>52.32</v>
      </c>
      <c r="D52" s="10">
        <f t="shared" si="0"/>
        <v>-1.1151011151011136E-2</v>
      </c>
      <c r="E52" s="53">
        <f t="shared" si="1"/>
        <v>1.2970432462016372E-4</v>
      </c>
      <c r="F52" s="9"/>
      <c r="H52" s="10">
        <f t="shared" si="2"/>
        <v>-1.800005309804454E-2</v>
      </c>
      <c r="I52" s="10">
        <f t="shared" si="3"/>
        <v>1.800005309804454E-2</v>
      </c>
    </row>
    <row r="53" spans="1:9" x14ac:dyDescent="0.25">
      <c r="A53" s="1">
        <v>45254</v>
      </c>
      <c r="B53" s="2">
        <f t="shared" si="4"/>
        <v>46</v>
      </c>
      <c r="C53" s="3">
        <f>+VLOOKUP(A53,Precios!$B:$H,1+$C$3,0)</f>
        <v>52.91</v>
      </c>
      <c r="D53" s="10">
        <f t="shared" si="0"/>
        <v>2.2731577950367843E-3</v>
      </c>
      <c r="E53" s="53">
        <f t="shared" si="1"/>
        <v>4.1428055288516231E-6</v>
      </c>
      <c r="F53" s="9"/>
      <c r="H53" s="10">
        <f t="shared" si="2"/>
        <v>-1.800005309804454E-2</v>
      </c>
      <c r="I53" s="10">
        <f t="shared" si="3"/>
        <v>1.800005309804454E-2</v>
      </c>
    </row>
    <row r="54" spans="1:9" x14ac:dyDescent="0.25">
      <c r="A54" s="1">
        <v>45253</v>
      </c>
      <c r="B54" s="2">
        <f t="shared" si="4"/>
        <v>47</v>
      </c>
      <c r="C54" s="3">
        <f>+VLOOKUP(A54,Precios!$B:$H,1+$C$3,0)</f>
        <v>52.79</v>
      </c>
      <c r="D54" s="10">
        <f t="shared" si="0"/>
        <v>3.230710756366495E-3</v>
      </c>
      <c r="E54" s="53">
        <f t="shared" si="1"/>
        <v>8.957697389468413E-6</v>
      </c>
      <c r="F54" s="9"/>
      <c r="H54" s="10">
        <f t="shared" si="2"/>
        <v>-1.800005309804454E-2</v>
      </c>
      <c r="I54" s="10">
        <f t="shared" si="3"/>
        <v>1.800005309804454E-2</v>
      </c>
    </row>
    <row r="55" spans="1:9" x14ac:dyDescent="0.25">
      <c r="A55" s="1">
        <v>45252</v>
      </c>
      <c r="B55" s="2">
        <f t="shared" si="4"/>
        <v>48</v>
      </c>
      <c r="C55" s="3">
        <f>+VLOOKUP(A55,Precios!$B:$H,1+$C$3,0)</f>
        <v>52.62</v>
      </c>
      <c r="D55" s="10">
        <f t="shared" si="0"/>
        <v>3.8153376573826225E-3</v>
      </c>
      <c r="E55" s="53">
        <f t="shared" si="1"/>
        <v>1.2798993951088885E-5</v>
      </c>
      <c r="F55" s="9"/>
      <c r="H55" s="10">
        <f t="shared" si="2"/>
        <v>-1.800005309804454E-2</v>
      </c>
      <c r="I55" s="10">
        <f t="shared" si="3"/>
        <v>1.800005309804454E-2</v>
      </c>
    </row>
    <row r="56" spans="1:9" x14ac:dyDescent="0.25">
      <c r="A56" s="1">
        <v>45251</v>
      </c>
      <c r="B56" s="2">
        <f t="shared" si="4"/>
        <v>49</v>
      </c>
      <c r="C56" s="3">
        <f>+VLOOKUP(A56,Precios!$B:$H,1+$C$3,0)</f>
        <v>52.42</v>
      </c>
      <c r="D56" s="10">
        <f t="shared" si="0"/>
        <v>-4.1793313069908855E-3</v>
      </c>
      <c r="E56" s="53">
        <f t="shared" si="1"/>
        <v>1.9510779501621757E-5</v>
      </c>
      <c r="F56" s="9"/>
      <c r="H56" s="10">
        <f t="shared" si="2"/>
        <v>-1.800005309804454E-2</v>
      </c>
      <c r="I56" s="10">
        <f t="shared" si="3"/>
        <v>1.800005309804454E-2</v>
      </c>
    </row>
    <row r="57" spans="1:9" x14ac:dyDescent="0.25">
      <c r="A57" s="1">
        <v>45247</v>
      </c>
      <c r="B57" s="2">
        <f t="shared" si="4"/>
        <v>50</v>
      </c>
      <c r="C57" s="3">
        <f>+VLOOKUP(A57,Precios!$B:$H,1+$C$3,0)</f>
        <v>52.64</v>
      </c>
      <c r="D57" s="10">
        <f t="shared" si="0"/>
        <v>5.1556234485392594E-3</v>
      </c>
      <c r="E57" s="53">
        <f t="shared" si="1"/>
        <v>2.4185287500911966E-5</v>
      </c>
      <c r="F57" s="9"/>
      <c r="H57" s="10">
        <f t="shared" si="2"/>
        <v>-1.800005309804454E-2</v>
      </c>
      <c r="I57" s="10">
        <f t="shared" si="3"/>
        <v>1.800005309804454E-2</v>
      </c>
    </row>
    <row r="58" spans="1:9" x14ac:dyDescent="0.25">
      <c r="A58" s="1">
        <v>45246</v>
      </c>
      <c r="B58" s="2">
        <f t="shared" si="4"/>
        <v>51</v>
      </c>
      <c r="C58" s="3">
        <f>+VLOOKUP(A58,Precios!$B:$H,1+$C$3,0)</f>
        <v>52.37</v>
      </c>
      <c r="D58" s="10">
        <f t="shared" si="0"/>
        <v>-6.2618595825427725E-3</v>
      </c>
      <c r="E58" s="53">
        <f t="shared" si="1"/>
        <v>4.2245178155458972E-5</v>
      </c>
      <c r="F58" s="9"/>
      <c r="H58" s="10">
        <f t="shared" si="2"/>
        <v>-1.800005309804454E-2</v>
      </c>
      <c r="I58" s="10">
        <f t="shared" si="3"/>
        <v>1.800005309804454E-2</v>
      </c>
    </row>
    <row r="59" spans="1:9" x14ac:dyDescent="0.25">
      <c r="A59" s="1">
        <v>45245</v>
      </c>
      <c r="B59" s="2">
        <f t="shared" si="4"/>
        <v>52</v>
      </c>
      <c r="C59" s="3">
        <f>+VLOOKUP(A59,Precios!$B:$H,1+$C$3,0)</f>
        <v>52.7</v>
      </c>
      <c r="D59" s="10">
        <f t="shared" si="0"/>
        <v>5.1497234407782422E-3</v>
      </c>
      <c r="E59" s="53">
        <f t="shared" si="1"/>
        <v>2.4127291558025601E-5</v>
      </c>
      <c r="F59" s="9"/>
      <c r="H59" s="10">
        <f t="shared" si="2"/>
        <v>-1.800005309804454E-2</v>
      </c>
      <c r="I59" s="10">
        <f t="shared" si="3"/>
        <v>1.800005309804454E-2</v>
      </c>
    </row>
    <row r="60" spans="1:9" x14ac:dyDescent="0.25">
      <c r="A60" s="1">
        <v>45244</v>
      </c>
      <c r="B60" s="2">
        <f t="shared" si="4"/>
        <v>53</v>
      </c>
      <c r="C60" s="3">
        <f>+VLOOKUP(A60,Precios!$B:$H,1+$C$3,0)</f>
        <v>52.43</v>
      </c>
      <c r="D60" s="10">
        <f t="shared" si="0"/>
        <v>2.7837678886492911E-2</v>
      </c>
      <c r="E60" s="53">
        <f t="shared" si="1"/>
        <v>7.617549983769214E-4</v>
      </c>
      <c r="F60" s="9"/>
      <c r="H60" s="10">
        <f t="shared" si="2"/>
        <v>-1.800005309804454E-2</v>
      </c>
      <c r="I60" s="10">
        <f t="shared" si="3"/>
        <v>1.800005309804454E-2</v>
      </c>
    </row>
    <row r="61" spans="1:9" x14ac:dyDescent="0.25">
      <c r="A61" s="1">
        <v>45243</v>
      </c>
      <c r="B61" s="2">
        <f t="shared" si="4"/>
        <v>54</v>
      </c>
      <c r="C61" s="3">
        <f>+VLOOKUP(A61,Precios!$B:$H,1+$C$3,0)</f>
        <v>51.01</v>
      </c>
      <c r="D61" s="10">
        <f t="shared" si="0"/>
        <v>-3.5163117796445098E-3</v>
      </c>
      <c r="E61" s="53">
        <f t="shared" si="1"/>
        <v>1.4093126222308108E-5</v>
      </c>
      <c r="F61" s="9"/>
      <c r="H61" s="10">
        <f t="shared" si="2"/>
        <v>-1.800005309804454E-2</v>
      </c>
      <c r="I61" s="10">
        <f t="shared" si="3"/>
        <v>1.800005309804454E-2</v>
      </c>
    </row>
    <row r="62" spans="1:9" x14ac:dyDescent="0.25">
      <c r="A62" s="1">
        <v>45240</v>
      </c>
      <c r="B62" s="2">
        <f t="shared" si="4"/>
        <v>55</v>
      </c>
      <c r="C62" s="3">
        <f>+VLOOKUP(A62,Precios!$B:$H,1+$C$3,0)</f>
        <v>51.19</v>
      </c>
      <c r="D62" s="10">
        <f t="shared" si="0"/>
        <v>3.922337713277102E-3</v>
      </c>
      <c r="E62" s="53">
        <f t="shared" si="1"/>
        <v>1.3576042949571156E-5</v>
      </c>
      <c r="F62" s="9"/>
      <c r="H62" s="10">
        <f t="shared" si="2"/>
        <v>-1.800005309804454E-2</v>
      </c>
      <c r="I62" s="10">
        <f t="shared" si="3"/>
        <v>1.800005309804454E-2</v>
      </c>
    </row>
    <row r="63" spans="1:9" x14ac:dyDescent="0.25">
      <c r="A63" s="1">
        <v>45239</v>
      </c>
      <c r="B63" s="2">
        <f t="shared" si="4"/>
        <v>56</v>
      </c>
      <c r="C63" s="3">
        <f>+VLOOKUP(A63,Precios!$B:$H,1+$C$3,0)</f>
        <v>50.99</v>
      </c>
      <c r="D63" s="10">
        <f t="shared" si="0"/>
        <v>2.753195673549591E-3</v>
      </c>
      <c r="E63" s="53">
        <f t="shared" si="1"/>
        <v>6.327368855932363E-6</v>
      </c>
      <c r="F63" s="9"/>
      <c r="H63" s="10">
        <f t="shared" si="2"/>
        <v>-1.800005309804454E-2</v>
      </c>
      <c r="I63" s="10">
        <f t="shared" si="3"/>
        <v>1.800005309804454E-2</v>
      </c>
    </row>
    <row r="64" spans="1:9" x14ac:dyDescent="0.25">
      <c r="A64" s="1">
        <v>45238</v>
      </c>
      <c r="B64" s="2">
        <f t="shared" si="4"/>
        <v>57</v>
      </c>
      <c r="C64" s="3">
        <f>+VLOOKUP(A64,Precios!$B:$H,1+$C$3,0)</f>
        <v>50.85</v>
      </c>
      <c r="D64" s="10">
        <f t="shared" si="0"/>
        <v>-3.9177277179235359E-3</v>
      </c>
      <c r="E64" s="53">
        <f t="shared" si="1"/>
        <v>1.7268157092893284E-5</v>
      </c>
      <c r="F64" s="9"/>
      <c r="H64" s="10">
        <f t="shared" si="2"/>
        <v>-1.800005309804454E-2</v>
      </c>
      <c r="I64" s="10">
        <f t="shared" si="3"/>
        <v>1.800005309804454E-2</v>
      </c>
    </row>
    <row r="65" spans="1:9" x14ac:dyDescent="0.25">
      <c r="A65" s="1">
        <v>45237</v>
      </c>
      <c r="B65" s="2">
        <f t="shared" si="4"/>
        <v>58</v>
      </c>
      <c r="C65" s="3">
        <f>+VLOOKUP(A65,Precios!$B:$H,1+$C$3,0)</f>
        <v>51.05</v>
      </c>
      <c r="D65" s="10">
        <f t="shared" si="0"/>
        <v>-8.7378640776699656E-3</v>
      </c>
      <c r="E65" s="53">
        <f t="shared" si="1"/>
        <v>8.0561998044400369E-5</v>
      </c>
      <c r="F65" s="9"/>
      <c r="H65" s="10">
        <f t="shared" si="2"/>
        <v>-1.800005309804454E-2</v>
      </c>
      <c r="I65" s="10">
        <f t="shared" si="3"/>
        <v>1.800005309804454E-2</v>
      </c>
    </row>
    <row r="66" spans="1:9" x14ac:dyDescent="0.25">
      <c r="A66" s="1">
        <v>45236</v>
      </c>
      <c r="B66" s="2">
        <f t="shared" si="4"/>
        <v>59</v>
      </c>
      <c r="C66" s="3">
        <f>+VLOOKUP(A66,Precios!$B:$H,1+$C$3,0)</f>
        <v>51.5</v>
      </c>
      <c r="D66" s="10">
        <f t="shared" si="0"/>
        <v>7.0394994133751165E-3</v>
      </c>
      <c r="E66" s="53">
        <f t="shared" si="1"/>
        <v>4.6263529872243305E-5</v>
      </c>
      <c r="F66" s="9"/>
      <c r="H66" s="10">
        <f t="shared" si="2"/>
        <v>-1.800005309804454E-2</v>
      </c>
      <c r="I66" s="10">
        <f t="shared" si="3"/>
        <v>1.800005309804454E-2</v>
      </c>
    </row>
    <row r="67" spans="1:9" x14ac:dyDescent="0.25">
      <c r="A67" s="1">
        <v>45233</v>
      </c>
      <c r="B67" s="2">
        <f t="shared" si="4"/>
        <v>60</v>
      </c>
      <c r="C67" s="3">
        <f>+VLOOKUP(A67,Precios!$B:$H,1+$C$3,0)</f>
        <v>51.14</v>
      </c>
      <c r="D67" s="10">
        <f t="shared" si="0"/>
        <v>3.1464300121016642E-2</v>
      </c>
      <c r="E67" s="53">
        <f t="shared" si="1"/>
        <v>9.7509621489037909E-4</v>
      </c>
      <c r="F67" s="9"/>
      <c r="H67" s="10">
        <f t="shared" si="2"/>
        <v>-1.800005309804454E-2</v>
      </c>
      <c r="I67" s="10">
        <f t="shared" si="3"/>
        <v>1.800005309804454E-2</v>
      </c>
    </row>
    <row r="68" spans="1:9" x14ac:dyDescent="0.25">
      <c r="A68" s="1">
        <v>45231</v>
      </c>
      <c r="B68" s="2">
        <f t="shared" si="4"/>
        <v>61</v>
      </c>
      <c r="C68" s="3">
        <f>+VLOOKUP(A68,Precios!$B:$H,1+$C$3,0)</f>
        <v>49.58</v>
      </c>
      <c r="D68" s="10">
        <f t="shared" si="0"/>
        <v>1.4735980352026168E-2</v>
      </c>
      <c r="E68" s="53">
        <f t="shared" si="1"/>
        <v>2.1019811803288794E-4</v>
      </c>
      <c r="F68" s="9"/>
      <c r="H68" s="10">
        <f t="shared" si="2"/>
        <v>-1.800005309804454E-2</v>
      </c>
      <c r="I68" s="10">
        <f t="shared" si="3"/>
        <v>1.800005309804454E-2</v>
      </c>
    </row>
    <row r="69" spans="1:9" x14ac:dyDescent="0.25">
      <c r="A69" s="1">
        <v>45230</v>
      </c>
      <c r="B69" s="2">
        <f t="shared" si="4"/>
        <v>62</v>
      </c>
      <c r="C69" s="3">
        <f>+VLOOKUP(A69,Precios!$B:$H,1+$C$3,0)</f>
        <v>48.86</v>
      </c>
      <c r="D69" s="10">
        <f t="shared" si="0"/>
        <v>-3.4672649398327371E-3</v>
      </c>
      <c r="E69" s="53">
        <f t="shared" si="1"/>
        <v>1.3727280168893803E-5</v>
      </c>
      <c r="F69" s="9"/>
      <c r="H69" s="10">
        <f t="shared" si="2"/>
        <v>-1.800005309804454E-2</v>
      </c>
      <c r="I69" s="10">
        <f t="shared" si="3"/>
        <v>1.800005309804454E-2</v>
      </c>
    </row>
    <row r="70" spans="1:9" x14ac:dyDescent="0.25">
      <c r="A70" s="1">
        <v>45229</v>
      </c>
      <c r="B70" s="2">
        <f t="shared" si="4"/>
        <v>63</v>
      </c>
      <c r="C70" s="3">
        <f>+VLOOKUP(A70,Precios!$B:$H,1+$C$3,0)</f>
        <v>49.03</v>
      </c>
      <c r="D70" s="10">
        <f t="shared" si="0"/>
        <v>5.7435897435897942E-3</v>
      </c>
      <c r="E70" s="53">
        <f t="shared" si="1"/>
        <v>3.0314056601463345E-5</v>
      </c>
      <c r="F70" s="9"/>
      <c r="H70" s="10">
        <f t="shared" si="2"/>
        <v>-1.800005309804454E-2</v>
      </c>
      <c r="I70" s="10">
        <f t="shared" si="3"/>
        <v>1.800005309804454E-2</v>
      </c>
    </row>
    <row r="71" spans="1:9" x14ac:dyDescent="0.25">
      <c r="A71" s="1">
        <v>45226</v>
      </c>
      <c r="B71" s="2">
        <f t="shared" si="4"/>
        <v>64</v>
      </c>
      <c r="C71" s="3">
        <f>+VLOOKUP(A71,Precios!$B:$H,1+$C$3,0)</f>
        <v>48.75</v>
      </c>
      <c r="D71" s="10">
        <f t="shared" si="0"/>
        <v>-9.1463414634146423E-3</v>
      </c>
      <c r="E71" s="53">
        <f t="shared" si="1"/>
        <v>8.806153849401504E-5</v>
      </c>
      <c r="F71" s="9"/>
      <c r="H71" s="10">
        <f t="shared" si="2"/>
        <v>-1.800005309804454E-2</v>
      </c>
      <c r="I71" s="10">
        <f t="shared" si="3"/>
        <v>1.800005309804454E-2</v>
      </c>
    </row>
    <row r="72" spans="1:9" x14ac:dyDescent="0.25">
      <c r="A72" s="1">
        <v>45225</v>
      </c>
      <c r="B72" s="2">
        <f t="shared" si="4"/>
        <v>65</v>
      </c>
      <c r="C72" s="3">
        <f>+VLOOKUP(A72,Precios!$B:$H,1+$C$3,0)</f>
        <v>49.2</v>
      </c>
      <c r="D72" s="10">
        <f t="shared" si="0"/>
        <v>9.8522167487684609E-3</v>
      </c>
      <c r="E72" s="53">
        <f t="shared" si="1"/>
        <v>9.2437595980970639E-5</v>
      </c>
      <c r="F72" s="9"/>
      <c r="H72" s="10">
        <f t="shared" si="2"/>
        <v>-1.800005309804454E-2</v>
      </c>
      <c r="I72" s="10">
        <f t="shared" si="3"/>
        <v>1.800005309804454E-2</v>
      </c>
    </row>
    <row r="73" spans="1:9" x14ac:dyDescent="0.25">
      <c r="A73" s="1">
        <v>45224</v>
      </c>
      <c r="B73" s="2">
        <f t="shared" si="4"/>
        <v>66</v>
      </c>
      <c r="C73" s="3">
        <f>+VLOOKUP(A73,Precios!$B:$H,1+$C$3,0)</f>
        <v>48.72</v>
      </c>
      <c r="D73" s="10">
        <f t="shared" ref="D73:D136" si="5">C73/C74-1</f>
        <v>9.1135045567523054E-3</v>
      </c>
      <c r="E73" s="53">
        <f t="shared" ref="E73:E136" si="6">(D73-$E$264)^2</f>
        <v>7.8778672873009979E-5</v>
      </c>
      <c r="F73" s="9"/>
      <c r="H73" s="10">
        <f t="shared" ref="H73:H136" si="7">-$I$5*$E$266</f>
        <v>-1.800005309804454E-2</v>
      </c>
      <c r="I73" s="10">
        <f t="shared" ref="I73:I136" si="8">+$I$5*$E$266</f>
        <v>1.800005309804454E-2</v>
      </c>
    </row>
    <row r="74" spans="1:9" x14ac:dyDescent="0.25">
      <c r="A74" s="1">
        <v>45223</v>
      </c>
      <c r="B74" s="2">
        <f t="shared" ref="B74:B137" si="9">+B73+1</f>
        <v>67</v>
      </c>
      <c r="C74" s="3">
        <f>+VLOOKUP(A74,Precios!$B:$H,1+$C$3,0)</f>
        <v>48.28</v>
      </c>
      <c r="D74" s="10">
        <f t="shared" si="5"/>
        <v>4.1442188147544634E-4</v>
      </c>
      <c r="E74" s="53">
        <f t="shared" si="6"/>
        <v>3.1206065380588922E-8</v>
      </c>
      <c r="F74" s="9"/>
      <c r="H74" s="10">
        <f t="shared" si="7"/>
        <v>-1.800005309804454E-2</v>
      </c>
      <c r="I74" s="10">
        <f t="shared" si="8"/>
        <v>1.800005309804454E-2</v>
      </c>
    </row>
    <row r="75" spans="1:9" x14ac:dyDescent="0.25">
      <c r="A75" s="1">
        <v>45222</v>
      </c>
      <c r="B75" s="2">
        <f t="shared" si="9"/>
        <v>68</v>
      </c>
      <c r="C75" s="3">
        <f>+VLOOKUP(A75,Precios!$B:$H,1+$C$3,0)</f>
        <v>48.26</v>
      </c>
      <c r="D75" s="10">
        <f t="shared" si="5"/>
        <v>-1.8614270941055278E-3</v>
      </c>
      <c r="E75" s="53">
        <f t="shared" si="6"/>
        <v>4.4066263228836898E-6</v>
      </c>
      <c r="F75" s="9"/>
      <c r="H75" s="10">
        <f t="shared" si="7"/>
        <v>-1.800005309804454E-2</v>
      </c>
      <c r="I75" s="10">
        <f t="shared" si="8"/>
        <v>1.800005309804454E-2</v>
      </c>
    </row>
    <row r="76" spans="1:9" x14ac:dyDescent="0.25">
      <c r="A76" s="1">
        <v>45219</v>
      </c>
      <c r="B76" s="2">
        <f t="shared" si="9"/>
        <v>69</v>
      </c>
      <c r="C76" s="3">
        <f>+VLOOKUP(A76,Precios!$B:$H,1+$C$3,0)</f>
        <v>48.35</v>
      </c>
      <c r="D76" s="10">
        <f t="shared" si="5"/>
        <v>-1.0235414534288667E-2</v>
      </c>
      <c r="E76" s="53">
        <f t="shared" si="6"/>
        <v>1.0968758372716981E-4</v>
      </c>
      <c r="F76" s="9"/>
      <c r="H76" s="10">
        <f t="shared" si="7"/>
        <v>-1.800005309804454E-2</v>
      </c>
      <c r="I76" s="10">
        <f t="shared" si="8"/>
        <v>1.800005309804454E-2</v>
      </c>
    </row>
    <row r="77" spans="1:9" x14ac:dyDescent="0.25">
      <c r="A77" s="1">
        <v>45218</v>
      </c>
      <c r="B77" s="2">
        <f t="shared" si="9"/>
        <v>70</v>
      </c>
      <c r="C77" s="3">
        <f>+VLOOKUP(A77,Precios!$B:$H,1+$C$3,0)</f>
        <v>48.85</v>
      </c>
      <c r="D77" s="10">
        <f t="shared" si="5"/>
        <v>-8.9267599918847473E-3</v>
      </c>
      <c r="E77" s="53">
        <f t="shared" si="6"/>
        <v>8.398860072982554E-5</v>
      </c>
      <c r="F77" s="9"/>
      <c r="H77" s="10">
        <f t="shared" si="7"/>
        <v>-1.800005309804454E-2</v>
      </c>
      <c r="I77" s="10">
        <f t="shared" si="8"/>
        <v>1.800005309804454E-2</v>
      </c>
    </row>
    <row r="78" spans="1:9" x14ac:dyDescent="0.25">
      <c r="A78" s="1">
        <v>45217</v>
      </c>
      <c r="B78" s="2">
        <f t="shared" si="9"/>
        <v>71</v>
      </c>
      <c r="C78" s="3">
        <f>+VLOOKUP(A78,Precios!$B:$H,1+$C$3,0)</f>
        <v>49.29</v>
      </c>
      <c r="D78" s="10">
        <f t="shared" si="5"/>
        <v>-7.4506645187273346E-3</v>
      </c>
      <c r="E78" s="53">
        <f t="shared" si="6"/>
        <v>5.9112017595054881E-5</v>
      </c>
      <c r="F78" s="9"/>
      <c r="H78" s="10">
        <f t="shared" si="7"/>
        <v>-1.800005309804454E-2</v>
      </c>
      <c r="I78" s="10">
        <f t="shared" si="8"/>
        <v>1.800005309804454E-2</v>
      </c>
    </row>
    <row r="79" spans="1:9" x14ac:dyDescent="0.25">
      <c r="A79" s="1">
        <v>45216</v>
      </c>
      <c r="B79" s="2">
        <f t="shared" si="9"/>
        <v>72</v>
      </c>
      <c r="C79" s="3">
        <f>+VLOOKUP(A79,Precios!$B:$H,1+$C$3,0)</f>
        <v>49.66</v>
      </c>
      <c r="D79" s="10">
        <f t="shared" si="5"/>
        <v>-3.6115569823436111E-3</v>
      </c>
      <c r="E79" s="53">
        <f t="shared" si="6"/>
        <v>1.4817314334994029E-5</v>
      </c>
      <c r="F79" s="9"/>
      <c r="H79" s="10">
        <f t="shared" si="7"/>
        <v>-1.800005309804454E-2</v>
      </c>
      <c r="I79" s="10">
        <f t="shared" si="8"/>
        <v>1.800005309804454E-2</v>
      </c>
    </row>
    <row r="80" spans="1:9" x14ac:dyDescent="0.25">
      <c r="A80" s="1">
        <v>45215</v>
      </c>
      <c r="B80" s="2">
        <f t="shared" si="9"/>
        <v>73</v>
      </c>
      <c r="C80" s="3">
        <f>+VLOOKUP(A80,Precios!$B:$H,1+$C$3,0)</f>
        <v>49.84</v>
      </c>
      <c r="D80" s="10">
        <f t="shared" si="5"/>
        <v>9.1111561044745493E-3</v>
      </c>
      <c r="E80" s="53">
        <f t="shared" si="6"/>
        <v>7.8736989907796562E-5</v>
      </c>
      <c r="F80" s="9"/>
      <c r="H80" s="10">
        <f t="shared" si="7"/>
        <v>-1.800005309804454E-2</v>
      </c>
      <c r="I80" s="10">
        <f t="shared" si="8"/>
        <v>1.800005309804454E-2</v>
      </c>
    </row>
    <row r="81" spans="1:9" x14ac:dyDescent="0.25">
      <c r="A81" s="1">
        <v>45212</v>
      </c>
      <c r="B81" s="2">
        <f t="shared" si="9"/>
        <v>74</v>
      </c>
      <c r="C81" s="3">
        <f>+VLOOKUP(A81,Precios!$B:$H,1+$C$3,0)</f>
        <v>49.39</v>
      </c>
      <c r="D81" s="10">
        <f t="shared" si="5"/>
        <v>-8.0337417152038793E-3</v>
      </c>
      <c r="E81" s="53">
        <f t="shared" si="6"/>
        <v>6.8417897713024826E-5</v>
      </c>
      <c r="F81" s="9"/>
      <c r="H81" s="10">
        <f t="shared" si="7"/>
        <v>-1.800005309804454E-2</v>
      </c>
      <c r="I81" s="10">
        <f t="shared" si="8"/>
        <v>1.800005309804454E-2</v>
      </c>
    </row>
    <row r="82" spans="1:9" x14ac:dyDescent="0.25">
      <c r="A82" s="1">
        <v>45211</v>
      </c>
      <c r="B82" s="2">
        <f t="shared" si="9"/>
        <v>75</v>
      </c>
      <c r="C82" s="3">
        <f>+VLOOKUP(A82,Precios!$B:$H,1+$C$3,0)</f>
        <v>49.79</v>
      </c>
      <c r="D82" s="10">
        <f t="shared" si="5"/>
        <v>-7.7720207253886286E-3</v>
      </c>
      <c r="E82" s="53">
        <f t="shared" si="6"/>
        <v>6.4156739386734293E-5</v>
      </c>
      <c r="F82" s="9"/>
      <c r="H82" s="10">
        <f t="shared" si="7"/>
        <v>-1.800005309804454E-2</v>
      </c>
      <c r="I82" s="10">
        <f t="shared" si="8"/>
        <v>1.800005309804454E-2</v>
      </c>
    </row>
    <row r="83" spans="1:9" x14ac:dyDescent="0.25">
      <c r="A83" s="1">
        <v>45210</v>
      </c>
      <c r="B83" s="2">
        <f t="shared" si="9"/>
        <v>76</v>
      </c>
      <c r="C83" s="3">
        <f>+VLOOKUP(A83,Precios!$B:$H,1+$C$3,0)</f>
        <v>50.18</v>
      </c>
      <c r="D83" s="10">
        <f t="shared" si="5"/>
        <v>1.396926761125572E-3</v>
      </c>
      <c r="E83" s="53">
        <f t="shared" si="6"/>
        <v>1.3436455658604878E-6</v>
      </c>
      <c r="F83" s="9"/>
      <c r="H83" s="10">
        <f t="shared" si="7"/>
        <v>-1.800005309804454E-2</v>
      </c>
      <c r="I83" s="10">
        <f t="shared" si="8"/>
        <v>1.800005309804454E-2</v>
      </c>
    </row>
    <row r="84" spans="1:9" x14ac:dyDescent="0.25">
      <c r="A84" s="1">
        <v>45209</v>
      </c>
      <c r="B84" s="2">
        <f t="shared" si="9"/>
        <v>77</v>
      </c>
      <c r="C84" s="3">
        <f>+VLOOKUP(A84,Precios!$B:$H,1+$C$3,0)</f>
        <v>50.11</v>
      </c>
      <c r="D84" s="10">
        <f t="shared" si="5"/>
        <v>2.1194212349704422E-2</v>
      </c>
      <c r="E84" s="53">
        <f t="shared" si="6"/>
        <v>4.3917249709083159E-4</v>
      </c>
      <c r="F84" s="9"/>
      <c r="H84" s="10">
        <f t="shared" si="7"/>
        <v>-1.800005309804454E-2</v>
      </c>
      <c r="I84" s="10">
        <f t="shared" si="8"/>
        <v>1.800005309804454E-2</v>
      </c>
    </row>
    <row r="85" spans="1:9" x14ac:dyDescent="0.25">
      <c r="A85" s="1">
        <v>45208</v>
      </c>
      <c r="B85" s="2">
        <f t="shared" si="9"/>
        <v>78</v>
      </c>
      <c r="C85" s="3">
        <f>+VLOOKUP(A85,Precios!$B:$H,1+$C$3,0)</f>
        <v>49.07</v>
      </c>
      <c r="D85" s="10">
        <f t="shared" si="5"/>
        <v>-8.0857085102081783E-3</v>
      </c>
      <c r="E85" s="53">
        <f t="shared" si="6"/>
        <v>6.9280286115759205E-5</v>
      </c>
      <c r="F85" s="9"/>
      <c r="H85" s="10">
        <f t="shared" si="7"/>
        <v>-1.800005309804454E-2</v>
      </c>
      <c r="I85" s="10">
        <f t="shared" si="8"/>
        <v>1.800005309804454E-2</v>
      </c>
    </row>
    <row r="86" spans="1:9" x14ac:dyDescent="0.25">
      <c r="A86" s="1">
        <v>45205</v>
      </c>
      <c r="B86" s="2">
        <f t="shared" si="9"/>
        <v>79</v>
      </c>
      <c r="C86" s="3">
        <f>+VLOOKUP(A86,Precios!$B:$H,1+$C$3,0)</f>
        <v>49.47</v>
      </c>
      <c r="D86" s="10">
        <f t="shared" si="5"/>
        <v>4.467005076142172E-3</v>
      </c>
      <c r="E86" s="53">
        <f t="shared" si="6"/>
        <v>1.7886433594409554E-5</v>
      </c>
      <c r="F86" s="9"/>
      <c r="H86" s="10">
        <f t="shared" si="7"/>
        <v>-1.800005309804454E-2</v>
      </c>
      <c r="I86" s="10">
        <f t="shared" si="8"/>
        <v>1.800005309804454E-2</v>
      </c>
    </row>
    <row r="87" spans="1:9" x14ac:dyDescent="0.25">
      <c r="A87" s="1">
        <v>45204</v>
      </c>
      <c r="B87" s="2">
        <f t="shared" si="9"/>
        <v>80</v>
      </c>
      <c r="C87" s="3">
        <f>+VLOOKUP(A87,Precios!$B:$H,1+$C$3,0)</f>
        <v>49.25</v>
      </c>
      <c r="D87" s="10">
        <f t="shared" si="5"/>
        <v>-2.4559318676965813E-2</v>
      </c>
      <c r="E87" s="53">
        <f t="shared" si="6"/>
        <v>6.1489558184570959E-4</v>
      </c>
      <c r="F87" s="9"/>
      <c r="H87" s="10">
        <f t="shared" si="7"/>
        <v>-1.800005309804454E-2</v>
      </c>
      <c r="I87" s="10">
        <f t="shared" si="8"/>
        <v>1.800005309804454E-2</v>
      </c>
    </row>
    <row r="88" spans="1:9" x14ac:dyDescent="0.25">
      <c r="A88" s="1">
        <v>45203</v>
      </c>
      <c r="B88" s="2">
        <f t="shared" si="9"/>
        <v>81</v>
      </c>
      <c r="C88" s="3">
        <f>+VLOOKUP(A88,Precios!$B:$H,1+$C$3,0)</f>
        <v>50.49</v>
      </c>
      <c r="D88" s="10">
        <f t="shared" si="5"/>
        <v>6.5789473684212396E-3</v>
      </c>
      <c r="E88" s="53">
        <f t="shared" si="6"/>
        <v>4.0210536812787042E-5</v>
      </c>
      <c r="F88" s="9"/>
      <c r="H88" s="10">
        <f t="shared" si="7"/>
        <v>-1.800005309804454E-2</v>
      </c>
      <c r="I88" s="10">
        <f t="shared" si="8"/>
        <v>1.800005309804454E-2</v>
      </c>
    </row>
    <row r="89" spans="1:9" x14ac:dyDescent="0.25">
      <c r="A89" s="1">
        <v>45202</v>
      </c>
      <c r="B89" s="2">
        <f t="shared" si="9"/>
        <v>82</v>
      </c>
      <c r="C89" s="3">
        <f>+VLOOKUP(A89,Precios!$B:$H,1+$C$3,0)</f>
        <v>50.16</v>
      </c>
      <c r="D89" s="10">
        <f t="shared" si="5"/>
        <v>-1.6856134849078885E-2</v>
      </c>
      <c r="E89" s="53">
        <f t="shared" si="6"/>
        <v>2.92201565750344E-4</v>
      </c>
      <c r="F89" s="9"/>
      <c r="H89" s="10">
        <f t="shared" si="7"/>
        <v>-1.800005309804454E-2</v>
      </c>
      <c r="I89" s="10">
        <f t="shared" si="8"/>
        <v>1.800005309804454E-2</v>
      </c>
    </row>
    <row r="90" spans="1:9" x14ac:dyDescent="0.25">
      <c r="A90" s="1">
        <v>45201</v>
      </c>
      <c r="B90" s="2">
        <f t="shared" si="9"/>
        <v>83</v>
      </c>
      <c r="C90" s="3">
        <f>+VLOOKUP(A90,Precios!$B:$H,1+$C$3,0)</f>
        <v>51.02</v>
      </c>
      <c r="D90" s="10">
        <f t="shared" si="5"/>
        <v>7.5039494470774404E-3</v>
      </c>
      <c r="E90" s="53">
        <f t="shared" si="6"/>
        <v>5.279737108499457E-5</v>
      </c>
      <c r="F90" s="9"/>
      <c r="H90" s="10">
        <f t="shared" si="7"/>
        <v>-1.800005309804454E-2</v>
      </c>
      <c r="I90" s="10">
        <f t="shared" si="8"/>
        <v>1.800005309804454E-2</v>
      </c>
    </row>
    <row r="91" spans="1:9" x14ac:dyDescent="0.25">
      <c r="A91" s="1">
        <v>45198</v>
      </c>
      <c r="B91" s="2">
        <f t="shared" si="9"/>
        <v>84</v>
      </c>
      <c r="C91" s="3">
        <f>+VLOOKUP(A91,Precios!$B:$H,1+$C$3,0)</f>
        <v>50.64</v>
      </c>
      <c r="D91" s="10">
        <f t="shared" si="5"/>
        <v>-1.3442431326709525E-2</v>
      </c>
      <c r="E91" s="53">
        <f t="shared" si="6"/>
        <v>1.8714789454296965E-4</v>
      </c>
      <c r="F91" s="9"/>
      <c r="H91" s="10">
        <f t="shared" si="7"/>
        <v>-1.800005309804454E-2</v>
      </c>
      <c r="I91" s="10">
        <f t="shared" si="8"/>
        <v>1.800005309804454E-2</v>
      </c>
    </row>
    <row r="92" spans="1:9" x14ac:dyDescent="0.25">
      <c r="A92" s="1">
        <v>45197</v>
      </c>
      <c r="B92" s="2">
        <f t="shared" si="9"/>
        <v>85</v>
      </c>
      <c r="C92" s="3">
        <f>+VLOOKUP(A92,Precios!$B:$H,1+$C$3,0)</f>
        <v>51.33</v>
      </c>
      <c r="D92" s="10">
        <f t="shared" si="5"/>
        <v>2.3432923257176164E-3</v>
      </c>
      <c r="E92" s="53">
        <f t="shared" si="6"/>
        <v>4.4332263874921586E-6</v>
      </c>
      <c r="F92" s="9"/>
      <c r="H92" s="10">
        <f t="shared" si="7"/>
        <v>-1.800005309804454E-2</v>
      </c>
      <c r="I92" s="10">
        <f t="shared" si="8"/>
        <v>1.800005309804454E-2</v>
      </c>
    </row>
    <row r="93" spans="1:9" x14ac:dyDescent="0.25">
      <c r="A93" s="1">
        <v>45196</v>
      </c>
      <c r="B93" s="2">
        <f t="shared" si="9"/>
        <v>86</v>
      </c>
      <c r="C93" s="3">
        <f>+VLOOKUP(A93,Precios!$B:$H,1+$C$3,0)</f>
        <v>51.21</v>
      </c>
      <c r="D93" s="10">
        <f t="shared" si="5"/>
        <v>5.6952081696779455E-3</v>
      </c>
      <c r="E93" s="53">
        <f t="shared" si="6"/>
        <v>2.9783636879625626E-5</v>
      </c>
      <c r="F93" s="9"/>
      <c r="H93" s="10">
        <f t="shared" si="7"/>
        <v>-1.800005309804454E-2</v>
      </c>
      <c r="I93" s="10">
        <f t="shared" si="8"/>
        <v>1.800005309804454E-2</v>
      </c>
    </row>
    <row r="94" spans="1:9" x14ac:dyDescent="0.25">
      <c r="A94" s="1">
        <v>45195</v>
      </c>
      <c r="B94" s="2">
        <f t="shared" si="9"/>
        <v>87</v>
      </c>
      <c r="C94" s="3">
        <f>+VLOOKUP(A94,Precios!$B:$H,1+$C$3,0)</f>
        <v>50.92</v>
      </c>
      <c r="D94" s="10">
        <f t="shared" si="5"/>
        <v>-5.2744676694665982E-3</v>
      </c>
      <c r="E94" s="53">
        <f t="shared" si="6"/>
        <v>3.0384758565654497E-5</v>
      </c>
      <c r="F94" s="9"/>
      <c r="H94" s="10">
        <f t="shared" si="7"/>
        <v>-1.800005309804454E-2</v>
      </c>
      <c r="I94" s="10">
        <f t="shared" si="8"/>
        <v>1.800005309804454E-2</v>
      </c>
    </row>
    <row r="95" spans="1:9" x14ac:dyDescent="0.25">
      <c r="A95" s="1">
        <v>45194</v>
      </c>
      <c r="B95" s="2">
        <f t="shared" si="9"/>
        <v>88</v>
      </c>
      <c r="C95" s="3">
        <f>+VLOOKUP(A95,Precios!$B:$H,1+$C$3,0)</f>
        <v>51.19</v>
      </c>
      <c r="D95" s="10">
        <f t="shared" si="5"/>
        <v>-6.019417475728206E-3</v>
      </c>
      <c r="E95" s="53">
        <f t="shared" si="6"/>
        <v>3.9152388796104009E-5</v>
      </c>
      <c r="F95" s="9"/>
      <c r="H95" s="10">
        <f t="shared" si="7"/>
        <v>-1.800005309804454E-2</v>
      </c>
      <c r="I95" s="10">
        <f t="shared" si="8"/>
        <v>1.800005309804454E-2</v>
      </c>
    </row>
    <row r="96" spans="1:9" x14ac:dyDescent="0.25">
      <c r="A96" s="1">
        <v>45191</v>
      </c>
      <c r="B96" s="2">
        <f t="shared" si="9"/>
        <v>89</v>
      </c>
      <c r="C96" s="3">
        <f>+VLOOKUP(A96,Precios!$B:$H,1+$C$3,0)</f>
        <v>51.5</v>
      </c>
      <c r="D96" s="10">
        <f t="shared" si="5"/>
        <v>-4.2536736272235087E-3</v>
      </c>
      <c r="E96" s="53">
        <f t="shared" si="6"/>
        <v>2.0173061326954408E-5</v>
      </c>
      <c r="F96" s="9"/>
      <c r="H96" s="10">
        <f t="shared" si="7"/>
        <v>-1.800005309804454E-2</v>
      </c>
      <c r="I96" s="10">
        <f t="shared" si="8"/>
        <v>1.800005309804454E-2</v>
      </c>
    </row>
    <row r="97" spans="1:9" x14ac:dyDescent="0.25">
      <c r="A97" s="1">
        <v>45190</v>
      </c>
      <c r="B97" s="2">
        <f t="shared" si="9"/>
        <v>90</v>
      </c>
      <c r="C97" s="3">
        <f>+VLOOKUP(A97,Precios!$B:$H,1+$C$3,0)</f>
        <v>51.72</v>
      </c>
      <c r="D97" s="10">
        <f t="shared" si="5"/>
        <v>-1.0522288119380274E-2</v>
      </c>
      <c r="E97" s="53">
        <f t="shared" si="6"/>
        <v>1.1577883988103893E-4</v>
      </c>
      <c r="F97" s="9"/>
      <c r="H97" s="10">
        <f t="shared" si="7"/>
        <v>-1.800005309804454E-2</v>
      </c>
      <c r="I97" s="10">
        <f t="shared" si="8"/>
        <v>1.800005309804454E-2</v>
      </c>
    </row>
    <row r="98" spans="1:9" x14ac:dyDescent="0.25">
      <c r="A98" s="1">
        <v>45189</v>
      </c>
      <c r="B98" s="2">
        <f t="shared" si="9"/>
        <v>91</v>
      </c>
      <c r="C98" s="3">
        <f>+VLOOKUP(A98,Precios!$B:$H,1+$C$3,0)</f>
        <v>52.27</v>
      </c>
      <c r="D98" s="10">
        <f t="shared" si="5"/>
        <v>5.1923076923077183E-3</v>
      </c>
      <c r="E98" s="53">
        <f t="shared" si="6"/>
        <v>2.4547448741096037E-5</v>
      </c>
      <c r="F98" s="9"/>
      <c r="H98" s="10">
        <f t="shared" si="7"/>
        <v>-1.800005309804454E-2</v>
      </c>
      <c r="I98" s="10">
        <f t="shared" si="8"/>
        <v>1.800005309804454E-2</v>
      </c>
    </row>
    <row r="99" spans="1:9" x14ac:dyDescent="0.25">
      <c r="A99" s="1">
        <v>45188</v>
      </c>
      <c r="B99" s="2">
        <f t="shared" si="9"/>
        <v>92</v>
      </c>
      <c r="C99" s="3">
        <f>+VLOOKUP(A99,Precios!$B:$H,1+$C$3,0)</f>
        <v>52</v>
      </c>
      <c r="D99" s="10">
        <f t="shared" si="5"/>
        <v>1.0493587252234704E-2</v>
      </c>
      <c r="E99" s="53">
        <f t="shared" si="6"/>
        <v>1.0518179785411646E-4</v>
      </c>
      <c r="F99" s="9"/>
      <c r="H99" s="10">
        <f t="shared" si="7"/>
        <v>-1.800005309804454E-2</v>
      </c>
      <c r="I99" s="10">
        <f t="shared" si="8"/>
        <v>1.800005309804454E-2</v>
      </c>
    </row>
    <row r="100" spans="1:9" x14ac:dyDescent="0.25">
      <c r="A100" s="1">
        <v>45187</v>
      </c>
      <c r="B100" s="2">
        <f t="shared" si="9"/>
        <v>93</v>
      </c>
      <c r="C100" s="3">
        <f>+VLOOKUP(A100,Precios!$B:$H,1+$C$3,0)</f>
        <v>51.46</v>
      </c>
      <c r="D100" s="10">
        <f t="shared" si="5"/>
        <v>5.8639562157936087E-3</v>
      </c>
      <c r="E100" s="53">
        <f t="shared" si="6"/>
        <v>3.1653977008734457E-5</v>
      </c>
      <c r="F100" s="9"/>
      <c r="H100" s="10">
        <f t="shared" si="7"/>
        <v>-1.800005309804454E-2</v>
      </c>
      <c r="I100" s="10">
        <f t="shared" si="8"/>
        <v>1.800005309804454E-2</v>
      </c>
    </row>
    <row r="101" spans="1:9" x14ac:dyDescent="0.25">
      <c r="A101" s="1">
        <v>45184</v>
      </c>
      <c r="B101" s="2">
        <f t="shared" si="9"/>
        <v>94</v>
      </c>
      <c r="C101" s="3">
        <f>+VLOOKUP(A101,Precios!$B:$H,1+$C$3,0)</f>
        <v>51.16</v>
      </c>
      <c r="D101" s="10">
        <f t="shared" si="5"/>
        <v>-5.2498541707175495E-3</v>
      </c>
      <c r="E101" s="53">
        <f t="shared" si="6"/>
        <v>3.0114013504833865E-5</v>
      </c>
      <c r="F101" s="9"/>
      <c r="H101" s="10">
        <f t="shared" si="7"/>
        <v>-1.800005309804454E-2</v>
      </c>
      <c r="I101" s="10">
        <f t="shared" si="8"/>
        <v>1.800005309804454E-2</v>
      </c>
    </row>
    <row r="102" spans="1:9" x14ac:dyDescent="0.25">
      <c r="A102" s="1">
        <v>45183</v>
      </c>
      <c r="B102" s="2">
        <f t="shared" si="9"/>
        <v>95</v>
      </c>
      <c r="C102" s="3">
        <f>+VLOOKUP(A102,Precios!$B:$H,1+$C$3,0)</f>
        <v>51.43</v>
      </c>
      <c r="D102" s="10">
        <f t="shared" si="5"/>
        <v>2.1434138737335129E-3</v>
      </c>
      <c r="E102" s="53">
        <f t="shared" si="6"/>
        <v>3.6314804953196418E-6</v>
      </c>
      <c r="F102" s="9"/>
      <c r="H102" s="10">
        <f t="shared" si="7"/>
        <v>-1.800005309804454E-2</v>
      </c>
      <c r="I102" s="10">
        <f t="shared" si="8"/>
        <v>1.800005309804454E-2</v>
      </c>
    </row>
    <row r="103" spans="1:9" x14ac:dyDescent="0.25">
      <c r="A103" s="1">
        <v>45182</v>
      </c>
      <c r="B103" s="2">
        <f t="shared" si="9"/>
        <v>96</v>
      </c>
      <c r="C103" s="3">
        <f>+VLOOKUP(A103,Precios!$B:$H,1+$C$3,0)</f>
        <v>51.32</v>
      </c>
      <c r="D103" s="10">
        <f t="shared" si="5"/>
        <v>-6.5814943863723441E-3</v>
      </c>
      <c r="E103" s="53">
        <f t="shared" si="6"/>
        <v>4.6502359894091758E-5</v>
      </c>
      <c r="F103" s="9"/>
      <c r="H103" s="10">
        <f t="shared" si="7"/>
        <v>-1.800005309804454E-2</v>
      </c>
      <c r="I103" s="10">
        <f t="shared" si="8"/>
        <v>1.800005309804454E-2</v>
      </c>
    </row>
    <row r="104" spans="1:9" x14ac:dyDescent="0.25">
      <c r="A104" s="1">
        <v>45181</v>
      </c>
      <c r="B104" s="2">
        <f t="shared" si="9"/>
        <v>97</v>
      </c>
      <c r="C104" s="3">
        <f>+VLOOKUP(A104,Precios!$B:$H,1+$C$3,0)</f>
        <v>51.66</v>
      </c>
      <c r="D104" s="10">
        <f t="shared" si="5"/>
        <v>-7.1112819527197058E-3</v>
      </c>
      <c r="E104" s="53">
        <f t="shared" si="6"/>
        <v>5.4008557192333846E-5</v>
      </c>
      <c r="F104" s="9"/>
      <c r="H104" s="10">
        <f t="shared" si="7"/>
        <v>-1.800005309804454E-2</v>
      </c>
      <c r="I104" s="10">
        <f t="shared" si="8"/>
        <v>1.800005309804454E-2</v>
      </c>
    </row>
    <row r="105" spans="1:9" x14ac:dyDescent="0.25">
      <c r="A105" s="1">
        <v>45180</v>
      </c>
      <c r="B105" s="2">
        <f t="shared" si="9"/>
        <v>98</v>
      </c>
      <c r="C105" s="3">
        <f>+VLOOKUP(A105,Precios!$B:$H,1+$C$3,0)</f>
        <v>52.03</v>
      </c>
      <c r="D105" s="10">
        <f t="shared" si="5"/>
        <v>-4.9722700325109948E-3</v>
      </c>
      <c r="E105" s="53">
        <f t="shared" si="6"/>
        <v>2.7144511886098172E-5</v>
      </c>
      <c r="F105" s="9"/>
      <c r="H105" s="10">
        <f t="shared" si="7"/>
        <v>-1.800005309804454E-2</v>
      </c>
      <c r="I105" s="10">
        <f t="shared" si="8"/>
        <v>1.800005309804454E-2</v>
      </c>
    </row>
    <row r="106" spans="1:9" x14ac:dyDescent="0.25">
      <c r="A106" s="1">
        <v>45177</v>
      </c>
      <c r="B106" s="2">
        <f t="shared" si="9"/>
        <v>99</v>
      </c>
      <c r="C106" s="3">
        <f>+VLOOKUP(A106,Precios!$B:$H,1+$C$3,0)</f>
        <v>52.29</v>
      </c>
      <c r="D106" s="10">
        <f t="shared" si="5"/>
        <v>1.9127773527150005E-4</v>
      </c>
      <c r="E106" s="53">
        <f t="shared" si="6"/>
        <v>2.1614837928910339E-9</v>
      </c>
      <c r="F106" s="9"/>
      <c r="H106" s="10">
        <f t="shared" si="7"/>
        <v>-1.800005309804454E-2</v>
      </c>
      <c r="I106" s="10">
        <f t="shared" si="8"/>
        <v>1.800005309804454E-2</v>
      </c>
    </row>
    <row r="107" spans="1:9" x14ac:dyDescent="0.25">
      <c r="A107" s="1">
        <v>45176</v>
      </c>
      <c r="B107" s="2">
        <f t="shared" si="9"/>
        <v>100</v>
      </c>
      <c r="C107" s="3">
        <f>+VLOOKUP(A107,Precios!$B:$H,1+$C$3,0)</f>
        <v>52.28</v>
      </c>
      <c r="D107" s="10">
        <f t="shared" si="5"/>
        <v>-9.4732853353542978E-3</v>
      </c>
      <c r="E107" s="53">
        <f t="shared" si="6"/>
        <v>9.4304585932818754E-5</v>
      </c>
      <c r="F107" s="9"/>
      <c r="H107" s="10">
        <f t="shared" si="7"/>
        <v>-1.800005309804454E-2</v>
      </c>
      <c r="I107" s="10">
        <f t="shared" si="8"/>
        <v>1.800005309804454E-2</v>
      </c>
    </row>
    <row r="108" spans="1:9" x14ac:dyDescent="0.25">
      <c r="A108" s="1">
        <v>45175</v>
      </c>
      <c r="B108" s="2">
        <f t="shared" si="9"/>
        <v>101</v>
      </c>
      <c r="C108" s="3">
        <f>+VLOOKUP(A108,Precios!$B:$H,1+$C$3,0)</f>
        <v>52.78</v>
      </c>
      <c r="D108" s="10">
        <f t="shared" si="5"/>
        <v>1.5180265654648473E-3</v>
      </c>
      <c r="E108" s="53">
        <f t="shared" si="6"/>
        <v>1.6390581645410562E-6</v>
      </c>
      <c r="F108" s="9"/>
      <c r="H108" s="10">
        <f t="shared" si="7"/>
        <v>-1.800005309804454E-2</v>
      </c>
      <c r="I108" s="10">
        <f t="shared" si="8"/>
        <v>1.800005309804454E-2</v>
      </c>
    </row>
    <row r="109" spans="1:9" x14ac:dyDescent="0.25">
      <c r="A109" s="1">
        <v>45174</v>
      </c>
      <c r="B109" s="2">
        <f t="shared" si="9"/>
        <v>102</v>
      </c>
      <c r="C109" s="3">
        <f>+VLOOKUP(A109,Precios!$B:$H,1+$C$3,0)</f>
        <v>52.7</v>
      </c>
      <c r="D109" s="10">
        <f t="shared" si="5"/>
        <v>-2.0829388373414526E-3</v>
      </c>
      <c r="E109" s="53">
        <f t="shared" si="6"/>
        <v>5.3856871673051077E-6</v>
      </c>
      <c r="F109" s="9"/>
      <c r="H109" s="10">
        <f t="shared" si="7"/>
        <v>-1.800005309804454E-2</v>
      </c>
      <c r="I109" s="10">
        <f t="shared" si="8"/>
        <v>1.800005309804454E-2</v>
      </c>
    </row>
    <row r="110" spans="1:9" x14ac:dyDescent="0.25">
      <c r="A110" s="1">
        <v>45173</v>
      </c>
      <c r="B110" s="2">
        <f t="shared" si="9"/>
        <v>103</v>
      </c>
      <c r="C110" s="3">
        <f>+VLOOKUP(A110,Precios!$B:$H,1+$C$3,0)</f>
        <v>52.81</v>
      </c>
      <c r="D110" s="10">
        <f t="shared" si="5"/>
        <v>-1.7013232514176968E-3</v>
      </c>
      <c r="E110" s="53">
        <f t="shared" si="6"/>
        <v>3.7600806821392533E-6</v>
      </c>
      <c r="F110" s="9"/>
      <c r="H110" s="10">
        <f t="shared" si="7"/>
        <v>-1.800005309804454E-2</v>
      </c>
      <c r="I110" s="10">
        <f t="shared" si="8"/>
        <v>1.800005309804454E-2</v>
      </c>
    </row>
    <row r="111" spans="1:9" x14ac:dyDescent="0.25">
      <c r="A111" s="1">
        <v>45170</v>
      </c>
      <c r="B111" s="2">
        <f t="shared" si="9"/>
        <v>104</v>
      </c>
      <c r="C111" s="3">
        <f>+VLOOKUP(A111,Precios!$B:$H,1+$C$3,0)</f>
        <v>52.9</v>
      </c>
      <c r="D111" s="10">
        <f t="shared" si="5"/>
        <v>1.135503406510141E-3</v>
      </c>
      <c r="E111" s="53">
        <f t="shared" si="6"/>
        <v>8.0592617451902617E-7</v>
      </c>
      <c r="F111" s="9"/>
      <c r="H111" s="10">
        <f t="shared" si="7"/>
        <v>-1.800005309804454E-2</v>
      </c>
      <c r="I111" s="10">
        <f t="shared" si="8"/>
        <v>1.800005309804454E-2</v>
      </c>
    </row>
    <row r="112" spans="1:9" x14ac:dyDescent="0.25">
      <c r="A112" s="1">
        <v>45169</v>
      </c>
      <c r="B112" s="2">
        <f t="shared" si="9"/>
        <v>105</v>
      </c>
      <c r="C112" s="3">
        <f>+VLOOKUP(A112,Precios!$B:$H,1+$C$3,0)</f>
        <v>52.84</v>
      </c>
      <c r="D112" s="10">
        <f t="shared" si="5"/>
        <v>-2.4192059095106133E-2</v>
      </c>
      <c r="E112" s="53">
        <f t="shared" si="6"/>
        <v>5.9681652497887495E-4</v>
      </c>
      <c r="F112" s="9"/>
      <c r="H112" s="10">
        <f t="shared" si="7"/>
        <v>-1.800005309804454E-2</v>
      </c>
      <c r="I112" s="10">
        <f t="shared" si="8"/>
        <v>1.800005309804454E-2</v>
      </c>
    </row>
    <row r="113" spans="1:9" x14ac:dyDescent="0.25">
      <c r="A113" s="1">
        <v>45168</v>
      </c>
      <c r="B113" s="2">
        <f t="shared" si="9"/>
        <v>106</v>
      </c>
      <c r="C113" s="3">
        <f>+VLOOKUP(A113,Precios!$B:$H,1+$C$3,0)</f>
        <v>54.15</v>
      </c>
      <c r="D113" s="10">
        <f t="shared" si="5"/>
        <v>2.5921125717460747E-3</v>
      </c>
      <c r="E113" s="53">
        <f t="shared" si="6"/>
        <v>5.5429313194652978E-6</v>
      </c>
      <c r="F113" s="9"/>
      <c r="H113" s="10">
        <f t="shared" si="7"/>
        <v>-1.800005309804454E-2</v>
      </c>
      <c r="I113" s="10">
        <f t="shared" si="8"/>
        <v>1.800005309804454E-2</v>
      </c>
    </row>
    <row r="114" spans="1:9" x14ac:dyDescent="0.25">
      <c r="A114" s="1">
        <v>45167</v>
      </c>
      <c r="B114" s="2">
        <f t="shared" si="9"/>
        <v>107</v>
      </c>
      <c r="C114" s="3">
        <f>+VLOOKUP(A114,Precios!$B:$H,1+$C$3,0)</f>
        <v>54.01</v>
      </c>
      <c r="D114" s="10">
        <f t="shared" si="5"/>
        <v>1.4844043592634248E-2</v>
      </c>
      <c r="E114" s="53">
        <f t="shared" si="6"/>
        <v>2.1334324299315441E-4</v>
      </c>
      <c r="F114" s="9"/>
      <c r="H114" s="10">
        <f t="shared" si="7"/>
        <v>-1.800005309804454E-2</v>
      </c>
      <c r="I114" s="10">
        <f t="shared" si="8"/>
        <v>1.800005309804454E-2</v>
      </c>
    </row>
    <row r="115" spans="1:9" x14ac:dyDescent="0.25">
      <c r="A115" s="1">
        <v>45166</v>
      </c>
      <c r="B115" s="2">
        <f t="shared" si="9"/>
        <v>108</v>
      </c>
      <c r="C115" s="3">
        <f>+VLOOKUP(A115,Precios!$B:$H,1+$C$3,0)</f>
        <v>53.22</v>
      </c>
      <c r="D115" s="10">
        <f t="shared" si="5"/>
        <v>4.1509433962263476E-3</v>
      </c>
      <c r="E115" s="53">
        <f t="shared" si="6"/>
        <v>1.5312929975327119E-5</v>
      </c>
      <c r="F115" s="9"/>
      <c r="H115" s="10">
        <f t="shared" si="7"/>
        <v>-1.800005309804454E-2</v>
      </c>
      <c r="I115" s="10">
        <f t="shared" si="8"/>
        <v>1.800005309804454E-2</v>
      </c>
    </row>
    <row r="116" spans="1:9" x14ac:dyDescent="0.25">
      <c r="A116" s="1">
        <v>45163</v>
      </c>
      <c r="B116" s="2">
        <f t="shared" si="9"/>
        <v>109</v>
      </c>
      <c r="C116" s="3">
        <f>+VLOOKUP(A116,Precios!$B:$H,1+$C$3,0)</f>
        <v>53</v>
      </c>
      <c r="D116" s="10">
        <f t="shared" si="5"/>
        <v>2.8382213812676582E-3</v>
      </c>
      <c r="E116" s="53">
        <f t="shared" si="6"/>
        <v>6.7623500088643317E-6</v>
      </c>
      <c r="F116" s="9"/>
      <c r="H116" s="10">
        <f t="shared" si="7"/>
        <v>-1.800005309804454E-2</v>
      </c>
      <c r="I116" s="10">
        <f t="shared" si="8"/>
        <v>1.800005309804454E-2</v>
      </c>
    </row>
    <row r="117" spans="1:9" x14ac:dyDescent="0.25">
      <c r="A117" s="1">
        <v>45162</v>
      </c>
      <c r="B117" s="2">
        <f t="shared" si="9"/>
        <v>110</v>
      </c>
      <c r="C117" s="3">
        <f>+VLOOKUP(A117,Precios!$B:$H,1+$C$3,0)</f>
        <v>52.85</v>
      </c>
      <c r="D117" s="10">
        <f t="shared" si="5"/>
        <v>-9.1863517060367661E-3</v>
      </c>
      <c r="E117" s="53">
        <f t="shared" si="6"/>
        <v>8.8814060426068372E-5</v>
      </c>
      <c r="F117" s="9"/>
      <c r="H117" s="10">
        <f t="shared" si="7"/>
        <v>-1.800005309804454E-2</v>
      </c>
      <c r="I117" s="10">
        <f t="shared" si="8"/>
        <v>1.800005309804454E-2</v>
      </c>
    </row>
    <row r="118" spans="1:9" x14ac:dyDescent="0.25">
      <c r="A118" s="1">
        <v>45161</v>
      </c>
      <c r="B118" s="2">
        <f t="shared" si="9"/>
        <v>111</v>
      </c>
      <c r="C118" s="3">
        <f>+VLOOKUP(A118,Precios!$B:$H,1+$C$3,0)</f>
        <v>53.34</v>
      </c>
      <c r="D118" s="10">
        <f t="shared" si="5"/>
        <v>8.6989409984872257E-3</v>
      </c>
      <c r="E118" s="53">
        <f t="shared" si="6"/>
        <v>7.1591423198641359E-5</v>
      </c>
      <c r="F118" s="9"/>
      <c r="H118" s="10">
        <f t="shared" si="7"/>
        <v>-1.800005309804454E-2</v>
      </c>
      <c r="I118" s="10">
        <f t="shared" si="8"/>
        <v>1.800005309804454E-2</v>
      </c>
    </row>
    <row r="119" spans="1:9" x14ac:dyDescent="0.25">
      <c r="A119" s="1">
        <v>45160</v>
      </c>
      <c r="B119" s="2">
        <f t="shared" si="9"/>
        <v>112</v>
      </c>
      <c r="C119" s="3">
        <f>+VLOOKUP(A119,Precios!$B:$H,1+$C$3,0)</f>
        <v>52.88</v>
      </c>
      <c r="D119" s="10">
        <f t="shared" si="5"/>
        <v>7.570022710068347E-4</v>
      </c>
      <c r="E119" s="53">
        <f t="shared" si="6"/>
        <v>2.6960267489532128E-7</v>
      </c>
      <c r="F119" s="9"/>
      <c r="H119" s="10">
        <f t="shared" si="7"/>
        <v>-1.800005309804454E-2</v>
      </c>
      <c r="I119" s="10">
        <f t="shared" si="8"/>
        <v>1.800005309804454E-2</v>
      </c>
    </row>
    <row r="120" spans="1:9" x14ac:dyDescent="0.25">
      <c r="A120" s="1">
        <v>45159</v>
      </c>
      <c r="B120" s="2">
        <f t="shared" si="9"/>
        <v>113</v>
      </c>
      <c r="C120" s="3">
        <f>+VLOOKUP(A120,Precios!$B:$H,1+$C$3,0)</f>
        <v>52.84</v>
      </c>
      <c r="D120" s="10">
        <f t="shared" si="5"/>
        <v>-1.5117157974300355E-3</v>
      </c>
      <c r="E120" s="53">
        <f t="shared" si="6"/>
        <v>3.0606987910720805E-6</v>
      </c>
      <c r="F120" s="9"/>
      <c r="H120" s="10">
        <f t="shared" si="7"/>
        <v>-1.800005309804454E-2</v>
      </c>
      <c r="I120" s="10">
        <f t="shared" si="8"/>
        <v>1.800005309804454E-2</v>
      </c>
    </row>
    <row r="121" spans="1:9" x14ac:dyDescent="0.25">
      <c r="A121" s="1">
        <v>45156</v>
      </c>
      <c r="B121" s="2">
        <f t="shared" si="9"/>
        <v>114</v>
      </c>
      <c r="C121" s="3">
        <f>+VLOOKUP(A121,Precios!$B:$H,1+$C$3,0)</f>
        <v>52.92</v>
      </c>
      <c r="D121" s="10">
        <f t="shared" si="5"/>
        <v>-5.6657223796041656E-4</v>
      </c>
      <c r="E121" s="53">
        <f t="shared" si="6"/>
        <v>6.4696562459694333E-7</v>
      </c>
      <c r="F121" s="9"/>
      <c r="H121" s="10">
        <f t="shared" si="7"/>
        <v>-1.800005309804454E-2</v>
      </c>
      <c r="I121" s="10">
        <f t="shared" si="8"/>
        <v>1.800005309804454E-2</v>
      </c>
    </row>
    <row r="122" spans="1:9" x14ac:dyDescent="0.25">
      <c r="A122" s="1">
        <v>45155</v>
      </c>
      <c r="B122" s="2">
        <f t="shared" si="9"/>
        <v>115</v>
      </c>
      <c r="C122" s="3">
        <f>+VLOOKUP(A122,Precios!$B:$H,1+$C$3,0)</f>
        <v>52.95</v>
      </c>
      <c r="D122" s="10">
        <f t="shared" si="5"/>
        <v>-1.1204481792716936E-2</v>
      </c>
      <c r="E122" s="53">
        <f t="shared" si="6"/>
        <v>1.3092511454854654E-4</v>
      </c>
      <c r="F122" s="9"/>
      <c r="H122" s="10">
        <f t="shared" si="7"/>
        <v>-1.800005309804454E-2</v>
      </c>
      <c r="I122" s="10">
        <f t="shared" si="8"/>
        <v>1.800005309804454E-2</v>
      </c>
    </row>
    <row r="123" spans="1:9" x14ac:dyDescent="0.25">
      <c r="A123" s="1">
        <v>45154</v>
      </c>
      <c r="B123" s="2">
        <f t="shared" si="9"/>
        <v>116</v>
      </c>
      <c r="C123" s="3">
        <f>+VLOOKUP(A123,Precios!$B:$H,1+$C$3,0)</f>
        <v>53.55</v>
      </c>
      <c r="D123" s="10">
        <f t="shared" si="5"/>
        <v>4.5019696117050145E-3</v>
      </c>
      <c r="E123" s="53">
        <f t="shared" si="6"/>
        <v>1.8183402628864824E-5</v>
      </c>
      <c r="F123" s="9"/>
      <c r="H123" s="10">
        <f t="shared" si="7"/>
        <v>-1.800005309804454E-2</v>
      </c>
      <c r="I123" s="10">
        <f t="shared" si="8"/>
        <v>1.800005309804454E-2</v>
      </c>
    </row>
    <row r="124" spans="1:9" x14ac:dyDescent="0.25">
      <c r="A124" s="1">
        <v>45153</v>
      </c>
      <c r="B124" s="2">
        <f t="shared" si="9"/>
        <v>117</v>
      </c>
      <c r="C124" s="3">
        <f>+VLOOKUP(A124,Precios!$B:$H,1+$C$3,0)</f>
        <v>53.31</v>
      </c>
      <c r="D124" s="10">
        <f t="shared" si="5"/>
        <v>4.711647191858237E-3</v>
      </c>
      <c r="E124" s="53">
        <f t="shared" si="6"/>
        <v>2.0015581639686553E-5</v>
      </c>
      <c r="F124" s="9"/>
      <c r="H124" s="10">
        <f t="shared" si="7"/>
        <v>-1.800005309804454E-2</v>
      </c>
      <c r="I124" s="10">
        <f t="shared" si="8"/>
        <v>1.800005309804454E-2</v>
      </c>
    </row>
    <row r="125" spans="1:9" x14ac:dyDescent="0.25">
      <c r="A125" s="1">
        <v>45152</v>
      </c>
      <c r="B125" s="2">
        <f t="shared" si="9"/>
        <v>118</v>
      </c>
      <c r="C125" s="3">
        <f>+VLOOKUP(A125,Precios!$B:$H,1+$C$3,0)</f>
        <v>53.06</v>
      </c>
      <c r="D125" s="10">
        <f t="shared" si="5"/>
        <v>5.6571751838574436E-4</v>
      </c>
      <c r="E125" s="53">
        <f t="shared" si="6"/>
        <v>1.0754990554716193E-7</v>
      </c>
      <c r="F125" s="9"/>
      <c r="H125" s="10">
        <f t="shared" si="7"/>
        <v>-1.800005309804454E-2</v>
      </c>
      <c r="I125" s="10">
        <f t="shared" si="8"/>
        <v>1.800005309804454E-2</v>
      </c>
    </row>
    <row r="126" spans="1:9" x14ac:dyDescent="0.25">
      <c r="A126" s="1">
        <v>45149</v>
      </c>
      <c r="B126" s="2">
        <f t="shared" si="9"/>
        <v>119</v>
      </c>
      <c r="C126" s="3">
        <f>+VLOOKUP(A126,Precios!$B:$H,1+$C$3,0)</f>
        <v>53.03</v>
      </c>
      <c r="D126" s="10">
        <f t="shared" si="5"/>
        <v>-1.0449710766934128E-2</v>
      </c>
      <c r="E126" s="53">
        <f t="shared" si="6"/>
        <v>1.1422223436537795E-4</v>
      </c>
      <c r="F126" s="9"/>
      <c r="H126" s="10">
        <f t="shared" si="7"/>
        <v>-1.800005309804454E-2</v>
      </c>
      <c r="I126" s="10">
        <f t="shared" si="8"/>
        <v>1.800005309804454E-2</v>
      </c>
    </row>
    <row r="127" spans="1:9" x14ac:dyDescent="0.25">
      <c r="A127" s="1">
        <v>45148</v>
      </c>
      <c r="B127" s="2">
        <f t="shared" si="9"/>
        <v>120</v>
      </c>
      <c r="C127" s="3">
        <f>+VLOOKUP(A127,Precios!$B:$H,1+$C$3,0)</f>
        <v>53.59</v>
      </c>
      <c r="D127" s="10">
        <f t="shared" si="5"/>
        <v>-6.1201780415429674E-3</v>
      </c>
      <c r="E127" s="53">
        <f t="shared" si="6"/>
        <v>4.0423496887038197E-5</v>
      </c>
      <c r="F127" s="9"/>
      <c r="H127" s="10">
        <f t="shared" si="7"/>
        <v>-1.800005309804454E-2</v>
      </c>
      <c r="I127" s="10">
        <f t="shared" si="8"/>
        <v>1.800005309804454E-2</v>
      </c>
    </row>
    <row r="128" spans="1:9" x14ac:dyDescent="0.25">
      <c r="A128" s="1">
        <v>45147</v>
      </c>
      <c r="B128" s="2">
        <f t="shared" si="9"/>
        <v>121</v>
      </c>
      <c r="C128" s="3">
        <f>+VLOOKUP(A128,Precios!$B:$H,1+$C$3,0)</f>
        <v>53.92</v>
      </c>
      <c r="D128" s="10">
        <f t="shared" si="5"/>
        <v>9.7378277153559178E-3</v>
      </c>
      <c r="E128" s="53">
        <f t="shared" si="6"/>
        <v>9.0251106175799612E-5</v>
      </c>
      <c r="F128" s="9"/>
      <c r="H128" s="10">
        <f t="shared" si="7"/>
        <v>-1.800005309804454E-2</v>
      </c>
      <c r="I128" s="10">
        <f t="shared" si="8"/>
        <v>1.800005309804454E-2</v>
      </c>
    </row>
    <row r="129" spans="1:9" x14ac:dyDescent="0.25">
      <c r="A129" s="1">
        <v>45146</v>
      </c>
      <c r="B129" s="2">
        <f t="shared" si="9"/>
        <v>122</v>
      </c>
      <c r="C129" s="3">
        <f>+VLOOKUP(A129,Precios!$B:$H,1+$C$3,0)</f>
        <v>53.4</v>
      </c>
      <c r="D129" s="10">
        <f t="shared" si="5"/>
        <v>-6.8811604984192476E-3</v>
      </c>
      <c r="E129" s="53">
        <f t="shared" si="6"/>
        <v>5.0679164261959246E-5</v>
      </c>
      <c r="F129" s="9"/>
      <c r="H129" s="10">
        <f t="shared" si="7"/>
        <v>-1.800005309804454E-2</v>
      </c>
      <c r="I129" s="10">
        <f t="shared" si="8"/>
        <v>1.800005309804454E-2</v>
      </c>
    </row>
    <row r="130" spans="1:9" x14ac:dyDescent="0.25">
      <c r="A130" s="1">
        <v>45145</v>
      </c>
      <c r="B130" s="2">
        <f t="shared" si="9"/>
        <v>123</v>
      </c>
      <c r="C130" s="3">
        <f>+VLOOKUP(A130,Precios!$B:$H,1+$C$3,0)</f>
        <v>53.77</v>
      </c>
      <c r="D130" s="10">
        <f t="shared" si="5"/>
        <v>7.4446305602093865E-4</v>
      </c>
      <c r="E130" s="53">
        <f t="shared" si="6"/>
        <v>2.5673836401458109E-7</v>
      </c>
      <c r="F130" s="9"/>
      <c r="H130" s="10">
        <f t="shared" si="7"/>
        <v>-1.800005309804454E-2</v>
      </c>
      <c r="I130" s="10">
        <f t="shared" si="8"/>
        <v>1.800005309804454E-2</v>
      </c>
    </row>
    <row r="131" spans="1:9" x14ac:dyDescent="0.25">
      <c r="A131" s="1">
        <v>45142</v>
      </c>
      <c r="B131" s="2">
        <f t="shared" si="9"/>
        <v>124</v>
      </c>
      <c r="C131" s="3">
        <f>+VLOOKUP(A131,Precios!$B:$H,1+$C$3,0)</f>
        <v>53.73</v>
      </c>
      <c r="D131" s="10">
        <f t="shared" si="5"/>
        <v>1.0152284263959421E-2</v>
      </c>
      <c r="E131" s="53">
        <f t="shared" si="6"/>
        <v>9.8297603088935898E-5</v>
      </c>
      <c r="F131" s="9"/>
      <c r="H131" s="10">
        <f t="shared" si="7"/>
        <v>-1.800005309804454E-2</v>
      </c>
      <c r="I131" s="10">
        <f t="shared" si="8"/>
        <v>1.800005309804454E-2</v>
      </c>
    </row>
    <row r="132" spans="1:9" x14ac:dyDescent="0.25">
      <c r="A132" s="1">
        <v>45141</v>
      </c>
      <c r="B132" s="2">
        <f t="shared" si="9"/>
        <v>125</v>
      </c>
      <c r="C132" s="3">
        <f>+VLOOKUP(A132,Precios!$B:$H,1+$C$3,0)</f>
        <v>53.19</v>
      </c>
      <c r="D132" s="10">
        <f t="shared" si="5"/>
        <v>2.4500565397662655E-3</v>
      </c>
      <c r="E132" s="53">
        <f t="shared" si="6"/>
        <v>4.894213965098395E-6</v>
      </c>
      <c r="F132" s="9"/>
      <c r="H132" s="10">
        <f t="shared" si="7"/>
        <v>-1.800005309804454E-2</v>
      </c>
      <c r="I132" s="10">
        <f t="shared" si="8"/>
        <v>1.800005309804454E-2</v>
      </c>
    </row>
    <row r="133" spans="1:9" x14ac:dyDescent="0.25">
      <c r="A133" s="1">
        <v>45140</v>
      </c>
      <c r="B133" s="2">
        <f t="shared" si="9"/>
        <v>126</v>
      </c>
      <c r="C133" s="3">
        <f>+VLOOKUP(A133,Precios!$B:$H,1+$C$3,0)</f>
        <v>53.06</v>
      </c>
      <c r="D133" s="10">
        <f t="shared" si="5"/>
        <v>-1.6679021497405411E-2</v>
      </c>
      <c r="E133" s="53">
        <f t="shared" si="6"/>
        <v>2.8617781750628628E-4</v>
      </c>
      <c r="F133" s="9"/>
      <c r="H133" s="10">
        <f t="shared" si="7"/>
        <v>-1.800005309804454E-2</v>
      </c>
      <c r="I133" s="10">
        <f t="shared" si="8"/>
        <v>1.800005309804454E-2</v>
      </c>
    </row>
    <row r="134" spans="1:9" x14ac:dyDescent="0.25">
      <c r="A134" s="1">
        <v>45139</v>
      </c>
      <c r="B134" s="2">
        <f t="shared" si="9"/>
        <v>127</v>
      </c>
      <c r="C134" s="3">
        <f>+VLOOKUP(A134,Precios!$B:$H,1+$C$3,0)</f>
        <v>53.96</v>
      </c>
      <c r="D134" s="10">
        <f t="shared" si="5"/>
        <v>-1.1178303096939679E-2</v>
      </c>
      <c r="E134" s="53">
        <f t="shared" si="6"/>
        <v>1.3032671344168344E-4</v>
      </c>
      <c r="F134" s="9"/>
      <c r="H134" s="10">
        <f t="shared" si="7"/>
        <v>-1.800005309804454E-2</v>
      </c>
      <c r="I134" s="10">
        <f t="shared" si="8"/>
        <v>1.800005309804454E-2</v>
      </c>
    </row>
    <row r="135" spans="1:9" x14ac:dyDescent="0.25">
      <c r="A135" s="1">
        <v>45138</v>
      </c>
      <c r="B135" s="2">
        <f t="shared" si="9"/>
        <v>128</v>
      </c>
      <c r="C135" s="3">
        <f>+VLOOKUP(A135,Precios!$B:$H,1+$C$3,0)</f>
        <v>54.57</v>
      </c>
      <c r="D135" s="10">
        <f t="shared" si="5"/>
        <v>-1.0982976386600951E-3</v>
      </c>
      <c r="E135" s="53">
        <f t="shared" si="6"/>
        <v>1.7850753876651953E-6</v>
      </c>
      <c r="F135" s="9"/>
      <c r="H135" s="10">
        <f t="shared" si="7"/>
        <v>-1.800005309804454E-2</v>
      </c>
      <c r="I135" s="10">
        <f t="shared" si="8"/>
        <v>1.800005309804454E-2</v>
      </c>
    </row>
    <row r="136" spans="1:9" x14ac:dyDescent="0.25">
      <c r="A136" s="1">
        <v>45135</v>
      </c>
      <c r="B136" s="2">
        <f t="shared" si="9"/>
        <v>129</v>
      </c>
      <c r="C136" s="3">
        <f>+VLOOKUP(A136,Precios!$B:$H,1+$C$3,0)</f>
        <v>54.63</v>
      </c>
      <c r="D136" s="10">
        <f t="shared" si="5"/>
        <v>3.1215571061329328E-3</v>
      </c>
      <c r="E136" s="53">
        <f t="shared" si="6"/>
        <v>8.3162309817670414E-6</v>
      </c>
      <c r="F136" s="9"/>
      <c r="H136" s="10">
        <f t="shared" si="7"/>
        <v>-1.800005309804454E-2</v>
      </c>
      <c r="I136" s="10">
        <f t="shared" si="8"/>
        <v>1.800005309804454E-2</v>
      </c>
    </row>
    <row r="137" spans="1:9" x14ac:dyDescent="0.25">
      <c r="A137" s="1">
        <v>45134</v>
      </c>
      <c r="B137" s="2">
        <f t="shared" si="9"/>
        <v>130</v>
      </c>
      <c r="C137" s="3">
        <f>+VLOOKUP(A137,Precios!$B:$H,1+$C$3,0)</f>
        <v>54.46</v>
      </c>
      <c r="D137" s="10">
        <f t="shared" ref="D137:D200" si="10">C137/C138-1</f>
        <v>1.8395879323032105E-3</v>
      </c>
      <c r="E137" s="53">
        <f t="shared" ref="E137:E200" si="11">(D137-$E$264)^2</f>
        <v>2.5658223036645166E-6</v>
      </c>
      <c r="F137" s="9"/>
      <c r="H137" s="10">
        <f t="shared" ref="H137:H200" si="12">-$I$5*$E$266</f>
        <v>-1.800005309804454E-2</v>
      </c>
      <c r="I137" s="10">
        <f t="shared" ref="I137:I200" si="13">+$I$5*$E$266</f>
        <v>1.800005309804454E-2</v>
      </c>
    </row>
    <row r="138" spans="1:9" x14ac:dyDescent="0.25">
      <c r="A138" s="1">
        <v>45133</v>
      </c>
      <c r="B138" s="2">
        <f t="shared" ref="B138:B201" si="14">+B137+1</f>
        <v>131</v>
      </c>
      <c r="C138" s="3">
        <f>+VLOOKUP(A138,Precios!$B:$H,1+$C$3,0)</f>
        <v>54.36</v>
      </c>
      <c r="D138" s="10">
        <f t="shared" si="10"/>
        <v>8.7214696604194231E-3</v>
      </c>
      <c r="E138" s="53">
        <f t="shared" si="11"/>
        <v>7.1973168483920592E-5</v>
      </c>
      <c r="F138" s="9"/>
      <c r="H138" s="10">
        <f t="shared" si="12"/>
        <v>-1.800005309804454E-2</v>
      </c>
      <c r="I138" s="10">
        <f t="shared" si="13"/>
        <v>1.800005309804454E-2</v>
      </c>
    </row>
    <row r="139" spans="1:9" x14ac:dyDescent="0.25">
      <c r="A139" s="1">
        <v>45132</v>
      </c>
      <c r="B139" s="2">
        <f t="shared" si="14"/>
        <v>132</v>
      </c>
      <c r="C139" s="3">
        <f>+VLOOKUP(A139,Precios!$B:$H,1+$C$3,0)</f>
        <v>53.89</v>
      </c>
      <c r="D139" s="10">
        <f t="shared" si="10"/>
        <v>8.0433969322857291E-3</v>
      </c>
      <c r="E139" s="53">
        <f t="shared" si="11"/>
        <v>6.0927819677915252E-5</v>
      </c>
      <c r="F139" s="9"/>
      <c r="H139" s="10">
        <f t="shared" si="12"/>
        <v>-1.800005309804454E-2</v>
      </c>
      <c r="I139" s="10">
        <f t="shared" si="13"/>
        <v>1.800005309804454E-2</v>
      </c>
    </row>
    <row r="140" spans="1:9" x14ac:dyDescent="0.25">
      <c r="A140" s="1">
        <v>45131</v>
      </c>
      <c r="B140" s="2">
        <f t="shared" si="14"/>
        <v>133</v>
      </c>
      <c r="C140" s="3">
        <f>+VLOOKUP(A140,Precios!$B:$H,1+$C$3,0)</f>
        <v>53.46</v>
      </c>
      <c r="D140" s="10">
        <f t="shared" si="10"/>
        <v>-2.4258257137526051E-3</v>
      </c>
      <c r="E140" s="53">
        <f t="shared" si="11"/>
        <v>7.0947394401139191E-6</v>
      </c>
      <c r="F140" s="9"/>
      <c r="H140" s="10">
        <f t="shared" si="12"/>
        <v>-1.800005309804454E-2</v>
      </c>
      <c r="I140" s="10">
        <f t="shared" si="13"/>
        <v>1.800005309804454E-2</v>
      </c>
    </row>
    <row r="141" spans="1:9" x14ac:dyDescent="0.25">
      <c r="A141" s="1">
        <v>45128</v>
      </c>
      <c r="B141" s="2">
        <f t="shared" si="14"/>
        <v>134</v>
      </c>
      <c r="C141" s="3">
        <f>+VLOOKUP(A141,Precios!$B:$H,1+$C$3,0)</f>
        <v>53.59</v>
      </c>
      <c r="D141" s="10">
        <f t="shared" si="10"/>
        <v>2.0568436798804601E-3</v>
      </c>
      <c r="E141" s="53">
        <f t="shared" si="11"/>
        <v>3.3090308873503039E-6</v>
      </c>
      <c r="F141" s="9"/>
      <c r="H141" s="10">
        <f t="shared" si="12"/>
        <v>-1.800005309804454E-2</v>
      </c>
      <c r="I141" s="10">
        <f t="shared" si="13"/>
        <v>1.800005309804454E-2</v>
      </c>
    </row>
    <row r="142" spans="1:9" x14ac:dyDescent="0.25">
      <c r="A142" s="1">
        <v>45127</v>
      </c>
      <c r="B142" s="2">
        <f t="shared" si="14"/>
        <v>135</v>
      </c>
      <c r="C142" s="3">
        <f>+VLOOKUP(A142,Precios!$B:$H,1+$C$3,0)</f>
        <v>53.48</v>
      </c>
      <c r="D142" s="10">
        <f t="shared" si="10"/>
        <v>-3.3544539694372322E-3</v>
      </c>
      <c r="E142" s="53">
        <f t="shared" si="11"/>
        <v>1.2904069423880462E-5</v>
      </c>
      <c r="F142" s="9"/>
      <c r="H142" s="10">
        <f t="shared" si="12"/>
        <v>-1.800005309804454E-2</v>
      </c>
      <c r="I142" s="10">
        <f t="shared" si="13"/>
        <v>1.800005309804454E-2</v>
      </c>
    </row>
    <row r="143" spans="1:9" x14ac:dyDescent="0.25">
      <c r="A143" s="1">
        <v>45126</v>
      </c>
      <c r="B143" s="2">
        <f t="shared" si="14"/>
        <v>136</v>
      </c>
      <c r="C143" s="3">
        <f>+VLOOKUP(A143,Precios!$B:$H,1+$C$3,0)</f>
        <v>53.66</v>
      </c>
      <c r="D143" s="10">
        <f t="shared" si="10"/>
        <v>-5.5596738324685813E-3</v>
      </c>
      <c r="E143" s="53">
        <f t="shared" si="11"/>
        <v>3.3610349143968591E-5</v>
      </c>
      <c r="F143" s="9"/>
      <c r="H143" s="10">
        <f t="shared" si="12"/>
        <v>-1.800005309804454E-2</v>
      </c>
      <c r="I143" s="10">
        <f t="shared" si="13"/>
        <v>1.800005309804454E-2</v>
      </c>
    </row>
    <row r="144" spans="1:9" x14ac:dyDescent="0.25">
      <c r="A144" s="1">
        <v>45125</v>
      </c>
      <c r="B144" s="2">
        <f t="shared" si="14"/>
        <v>137</v>
      </c>
      <c r="C144" s="3">
        <f>+VLOOKUP(A144,Precios!$B:$H,1+$C$3,0)</f>
        <v>53.96</v>
      </c>
      <c r="D144" s="10">
        <f t="shared" si="10"/>
        <v>8.2212257100149344E-3</v>
      </c>
      <c r="E144" s="53">
        <f t="shared" si="11"/>
        <v>6.3735573124999389E-5</v>
      </c>
      <c r="F144" s="9"/>
      <c r="H144" s="10">
        <f t="shared" si="12"/>
        <v>-1.800005309804454E-2</v>
      </c>
      <c r="I144" s="10">
        <f t="shared" si="13"/>
        <v>1.800005309804454E-2</v>
      </c>
    </row>
    <row r="145" spans="1:9" x14ac:dyDescent="0.25">
      <c r="A145" s="1">
        <v>45124</v>
      </c>
      <c r="B145" s="2">
        <f t="shared" si="14"/>
        <v>138</v>
      </c>
      <c r="C145" s="3">
        <f>+VLOOKUP(A145,Precios!$B:$H,1+$C$3,0)</f>
        <v>53.52</v>
      </c>
      <c r="D145" s="10">
        <f t="shared" si="10"/>
        <v>-2.0510908073839706E-3</v>
      </c>
      <c r="E145" s="53">
        <f t="shared" si="11"/>
        <v>5.2388814872871876E-6</v>
      </c>
      <c r="F145" s="9"/>
      <c r="H145" s="10">
        <f t="shared" si="12"/>
        <v>-1.800005309804454E-2</v>
      </c>
      <c r="I145" s="10">
        <f t="shared" si="13"/>
        <v>1.800005309804454E-2</v>
      </c>
    </row>
    <row r="146" spans="1:9" x14ac:dyDescent="0.25">
      <c r="A146" s="1">
        <v>45121</v>
      </c>
      <c r="B146" s="2">
        <f t="shared" si="14"/>
        <v>139</v>
      </c>
      <c r="C146" s="3">
        <f>+VLOOKUP(A146,Precios!$B:$H,1+$C$3,0)</f>
        <v>53.63</v>
      </c>
      <c r="D146" s="10">
        <f t="shared" si="10"/>
        <v>-9.0539541759052655E-3</v>
      </c>
      <c r="E146" s="53">
        <f t="shared" si="11"/>
        <v>8.6336128790498917E-5</v>
      </c>
      <c r="F146" s="9"/>
      <c r="H146" s="10">
        <f t="shared" si="12"/>
        <v>-1.800005309804454E-2</v>
      </c>
      <c r="I146" s="10">
        <f t="shared" si="13"/>
        <v>1.800005309804454E-2</v>
      </c>
    </row>
    <row r="147" spans="1:9" x14ac:dyDescent="0.25">
      <c r="A147" s="1">
        <v>45120</v>
      </c>
      <c r="B147" s="2">
        <f t="shared" si="14"/>
        <v>140</v>
      </c>
      <c r="C147" s="3">
        <f>+VLOOKUP(A147,Precios!$B:$H,1+$C$3,0)</f>
        <v>54.12</v>
      </c>
      <c r="D147" s="10">
        <f t="shared" si="10"/>
        <v>7.2585147962032082E-3</v>
      </c>
      <c r="E147" s="53">
        <f t="shared" si="11"/>
        <v>4.9290864573760177E-5</v>
      </c>
      <c r="F147" s="9"/>
      <c r="H147" s="10">
        <f t="shared" si="12"/>
        <v>-1.800005309804454E-2</v>
      </c>
      <c r="I147" s="10">
        <f t="shared" si="13"/>
        <v>1.800005309804454E-2</v>
      </c>
    </row>
    <row r="148" spans="1:9" x14ac:dyDescent="0.25">
      <c r="A148" s="1">
        <v>45119</v>
      </c>
      <c r="B148" s="2">
        <f t="shared" si="14"/>
        <v>141</v>
      </c>
      <c r="C148" s="3">
        <f>+VLOOKUP(A148,Precios!$B:$H,1+$C$3,0)</f>
        <v>53.73</v>
      </c>
      <c r="D148" s="10">
        <f t="shared" si="10"/>
        <v>-3.8932146829810943E-3</v>
      </c>
      <c r="E148" s="53">
        <f t="shared" si="11"/>
        <v>1.7065030284971112E-5</v>
      </c>
      <c r="F148" s="9"/>
      <c r="H148" s="10">
        <f t="shared" si="12"/>
        <v>-1.800005309804454E-2</v>
      </c>
      <c r="I148" s="10">
        <f t="shared" si="13"/>
        <v>1.800005309804454E-2</v>
      </c>
    </row>
    <row r="149" spans="1:9" x14ac:dyDescent="0.25">
      <c r="A149" s="1">
        <v>45118</v>
      </c>
      <c r="B149" s="2">
        <f t="shared" si="14"/>
        <v>142</v>
      </c>
      <c r="C149" s="3">
        <f>+VLOOKUP(A149,Precios!$B:$H,1+$C$3,0)</f>
        <v>53.94</v>
      </c>
      <c r="D149" s="10">
        <f t="shared" si="10"/>
        <v>1.0301554598239226E-2</v>
      </c>
      <c r="E149" s="53">
        <f t="shared" si="11"/>
        <v>1.0127977058897566E-4</v>
      </c>
      <c r="F149" s="9"/>
      <c r="H149" s="10">
        <f t="shared" si="12"/>
        <v>-1.800005309804454E-2</v>
      </c>
      <c r="I149" s="10">
        <f t="shared" si="13"/>
        <v>1.800005309804454E-2</v>
      </c>
    </row>
    <row r="150" spans="1:9" x14ac:dyDescent="0.25">
      <c r="A150" s="1">
        <v>45117</v>
      </c>
      <c r="B150" s="2">
        <f t="shared" si="14"/>
        <v>143</v>
      </c>
      <c r="C150" s="3">
        <f>+VLOOKUP(A150,Precios!$B:$H,1+$C$3,0)</f>
        <v>53.39</v>
      </c>
      <c r="D150" s="10">
        <f t="shared" si="10"/>
        <v>-6.1429635145197059E-3</v>
      </c>
      <c r="E150" s="53">
        <f t="shared" si="11"/>
        <v>4.0713753748414237E-5</v>
      </c>
      <c r="F150" s="9"/>
      <c r="H150" s="10">
        <f t="shared" si="12"/>
        <v>-1.800005309804454E-2</v>
      </c>
      <c r="I150" s="10">
        <f t="shared" si="13"/>
        <v>1.800005309804454E-2</v>
      </c>
    </row>
    <row r="151" spans="1:9" x14ac:dyDescent="0.25">
      <c r="A151" s="1">
        <v>45114</v>
      </c>
      <c r="B151" s="2">
        <f t="shared" si="14"/>
        <v>144</v>
      </c>
      <c r="C151" s="3">
        <f>+VLOOKUP(A151,Precios!$B:$H,1+$C$3,0)</f>
        <v>53.72</v>
      </c>
      <c r="D151" s="10">
        <f t="shared" si="10"/>
        <v>9.205335337215903E-3</v>
      </c>
      <c r="E151" s="53">
        <f t="shared" si="11"/>
        <v>8.0417237120929458E-5</v>
      </c>
      <c r="F151" s="9"/>
      <c r="H151" s="10">
        <f t="shared" si="12"/>
        <v>-1.800005309804454E-2</v>
      </c>
      <c r="I151" s="10">
        <f t="shared" si="13"/>
        <v>1.800005309804454E-2</v>
      </c>
    </row>
    <row r="152" spans="1:9" x14ac:dyDescent="0.25">
      <c r="A152" s="1">
        <v>45113</v>
      </c>
      <c r="B152" s="2">
        <f t="shared" si="14"/>
        <v>145</v>
      </c>
      <c r="C152" s="3">
        <f>+VLOOKUP(A152,Precios!$B:$H,1+$C$3,0)</f>
        <v>53.23</v>
      </c>
      <c r="D152" s="10">
        <f t="shared" si="10"/>
        <v>-1.0410857036623922E-2</v>
      </c>
      <c r="E152" s="53">
        <f t="shared" si="11"/>
        <v>1.1339324702609258E-4</v>
      </c>
      <c r="F152" s="9"/>
      <c r="H152" s="10">
        <f t="shared" si="12"/>
        <v>-1.800005309804454E-2</v>
      </c>
      <c r="I152" s="10">
        <f t="shared" si="13"/>
        <v>1.800005309804454E-2</v>
      </c>
    </row>
    <row r="153" spans="1:9" x14ac:dyDescent="0.25">
      <c r="A153" s="1">
        <v>45112</v>
      </c>
      <c r="B153" s="2">
        <f t="shared" si="14"/>
        <v>146</v>
      </c>
      <c r="C153" s="3">
        <f>+VLOOKUP(A153,Precios!$B:$H,1+$C$3,0)</f>
        <v>53.79</v>
      </c>
      <c r="D153" s="10">
        <f t="shared" si="10"/>
        <v>1.6759776536312554E-3</v>
      </c>
      <c r="E153" s="53">
        <f t="shared" si="11"/>
        <v>2.0684427053807017E-6</v>
      </c>
      <c r="F153" s="9"/>
      <c r="H153" s="10">
        <f t="shared" si="12"/>
        <v>-1.800005309804454E-2</v>
      </c>
      <c r="I153" s="10">
        <f t="shared" si="13"/>
        <v>1.800005309804454E-2</v>
      </c>
    </row>
    <row r="154" spans="1:9" x14ac:dyDescent="0.25">
      <c r="A154" s="1">
        <v>45111</v>
      </c>
      <c r="B154" s="2">
        <f t="shared" si="14"/>
        <v>147</v>
      </c>
      <c r="C154" s="3">
        <f>+VLOOKUP(A154,Precios!$B:$H,1+$C$3,0)</f>
        <v>53.7</v>
      </c>
      <c r="D154" s="10">
        <f t="shared" si="10"/>
        <v>-8.8593576965669829E-3</v>
      </c>
      <c r="E154" s="53">
        <f t="shared" si="11"/>
        <v>8.2757723153291081E-5</v>
      </c>
      <c r="F154" s="9"/>
      <c r="H154" s="10">
        <f t="shared" si="12"/>
        <v>-1.800005309804454E-2</v>
      </c>
      <c r="I154" s="10">
        <f t="shared" si="13"/>
        <v>1.800005309804454E-2</v>
      </c>
    </row>
    <row r="155" spans="1:9" x14ac:dyDescent="0.25">
      <c r="A155" s="1">
        <v>45110</v>
      </c>
      <c r="B155" s="2">
        <f t="shared" si="14"/>
        <v>148</v>
      </c>
      <c r="C155" s="3">
        <f>+VLOOKUP(A155,Precios!$B:$H,1+$C$3,0)</f>
        <v>54.18</v>
      </c>
      <c r="D155" s="10">
        <f t="shared" si="10"/>
        <v>1.593849615600984E-2</v>
      </c>
      <c r="E155" s="53">
        <f t="shared" si="11"/>
        <v>2.4651281766002497E-4</v>
      </c>
      <c r="F155" s="9"/>
      <c r="H155" s="10">
        <f t="shared" si="12"/>
        <v>-1.800005309804454E-2</v>
      </c>
      <c r="I155" s="10">
        <f t="shared" si="13"/>
        <v>1.800005309804454E-2</v>
      </c>
    </row>
    <row r="156" spans="1:9" x14ac:dyDescent="0.25">
      <c r="A156" s="1">
        <v>45107</v>
      </c>
      <c r="B156" s="2">
        <f t="shared" si="14"/>
        <v>149</v>
      </c>
      <c r="C156" s="3">
        <f>+VLOOKUP(A156,Precios!$B:$H,1+$C$3,0)</f>
        <v>53.33</v>
      </c>
      <c r="D156" s="10">
        <f t="shared" si="10"/>
        <v>-1.1238059561715641E-3</v>
      </c>
      <c r="E156" s="53">
        <f t="shared" si="11"/>
        <v>1.8538877112900784E-6</v>
      </c>
      <c r="F156" s="9"/>
      <c r="H156" s="10">
        <f t="shared" si="12"/>
        <v>-1.800005309804454E-2</v>
      </c>
      <c r="I156" s="10">
        <f t="shared" si="13"/>
        <v>1.800005309804454E-2</v>
      </c>
    </row>
    <row r="157" spans="1:9" x14ac:dyDescent="0.25">
      <c r="A157" s="1">
        <v>45106</v>
      </c>
      <c r="B157" s="2">
        <f t="shared" si="14"/>
        <v>150</v>
      </c>
      <c r="C157" s="3">
        <f>+VLOOKUP(A157,Precios!$B:$H,1+$C$3,0)</f>
        <v>53.39</v>
      </c>
      <c r="D157" s="10">
        <f t="shared" si="10"/>
        <v>2.4408561772437665E-3</v>
      </c>
      <c r="E157" s="53">
        <f t="shared" si="11"/>
        <v>4.8535909261514841E-6</v>
      </c>
      <c r="F157" s="9"/>
      <c r="H157" s="10">
        <f t="shared" si="12"/>
        <v>-1.800005309804454E-2</v>
      </c>
      <c r="I157" s="10">
        <f t="shared" si="13"/>
        <v>1.800005309804454E-2</v>
      </c>
    </row>
    <row r="158" spans="1:9" x14ac:dyDescent="0.25">
      <c r="A158" s="1">
        <v>45105</v>
      </c>
      <c r="B158" s="2">
        <f t="shared" si="14"/>
        <v>151</v>
      </c>
      <c r="C158" s="3">
        <f>+VLOOKUP(A158,Precios!$B:$H,1+$C$3,0)</f>
        <v>53.26</v>
      </c>
      <c r="D158" s="10">
        <f t="shared" si="10"/>
        <v>-1.6980435585086773E-2</v>
      </c>
      <c r="E158" s="53">
        <f t="shared" si="11"/>
        <v>2.9646658620593877E-4</v>
      </c>
      <c r="F158" s="9"/>
      <c r="H158" s="10">
        <f t="shared" si="12"/>
        <v>-1.800005309804454E-2</v>
      </c>
      <c r="I158" s="10">
        <f t="shared" si="13"/>
        <v>1.800005309804454E-2</v>
      </c>
    </row>
    <row r="159" spans="1:9" x14ac:dyDescent="0.25">
      <c r="A159" s="1">
        <v>45104</v>
      </c>
      <c r="B159" s="2">
        <f t="shared" si="14"/>
        <v>152</v>
      </c>
      <c r="C159" s="3">
        <f>+VLOOKUP(A159,Precios!$B:$H,1+$C$3,0)</f>
        <v>54.18</v>
      </c>
      <c r="D159" s="10">
        <f t="shared" si="10"/>
        <v>1.100951670087702E-2</v>
      </c>
      <c r="E159" s="53">
        <f t="shared" si="11"/>
        <v>1.1603053785104571E-4</v>
      </c>
      <c r="F159" s="9"/>
      <c r="H159" s="10">
        <f t="shared" si="12"/>
        <v>-1.800005309804454E-2</v>
      </c>
      <c r="I159" s="10">
        <f t="shared" si="13"/>
        <v>1.800005309804454E-2</v>
      </c>
    </row>
    <row r="160" spans="1:9" x14ac:dyDescent="0.25">
      <c r="A160" s="1">
        <v>45103</v>
      </c>
      <c r="B160" s="2">
        <f t="shared" si="14"/>
        <v>153</v>
      </c>
      <c r="C160" s="3">
        <f>+VLOOKUP(A160,Precios!$B:$H,1+$C$3,0)</f>
        <v>53.59</v>
      </c>
      <c r="D160" s="10">
        <f t="shared" si="10"/>
        <v>5.6011949215828416E-4</v>
      </c>
      <c r="E160" s="53">
        <f t="shared" si="11"/>
        <v>1.0390952018094835E-7</v>
      </c>
      <c r="F160" s="9"/>
      <c r="H160" s="10">
        <f t="shared" si="12"/>
        <v>-1.800005309804454E-2</v>
      </c>
      <c r="I160" s="10">
        <f t="shared" si="13"/>
        <v>1.800005309804454E-2</v>
      </c>
    </row>
    <row r="161" spans="1:9" x14ac:dyDescent="0.25">
      <c r="A161" s="1">
        <v>45100</v>
      </c>
      <c r="B161" s="2">
        <f t="shared" si="14"/>
        <v>154</v>
      </c>
      <c r="C161" s="3">
        <f>+VLOOKUP(A161,Precios!$B:$H,1+$C$3,0)</f>
        <v>53.56</v>
      </c>
      <c r="D161" s="10">
        <f t="shared" si="10"/>
        <v>-4.8309178743960457E-3</v>
      </c>
      <c r="E161" s="53">
        <f t="shared" si="11"/>
        <v>2.5691591656332636E-5</v>
      </c>
      <c r="F161" s="9"/>
      <c r="H161" s="10">
        <f t="shared" si="12"/>
        <v>-1.800005309804454E-2</v>
      </c>
      <c r="I161" s="10">
        <f t="shared" si="13"/>
        <v>1.800005309804454E-2</v>
      </c>
    </row>
    <row r="162" spans="1:9" x14ac:dyDescent="0.25">
      <c r="A162" s="1">
        <v>45099</v>
      </c>
      <c r="B162" s="2">
        <f t="shared" si="14"/>
        <v>155</v>
      </c>
      <c r="C162" s="3">
        <f>+VLOOKUP(A162,Precios!$B:$H,1+$C$3,0)</f>
        <v>53.82</v>
      </c>
      <c r="D162" s="10">
        <f t="shared" si="10"/>
        <v>-8.6572112727942852E-3</v>
      </c>
      <c r="E162" s="53">
        <f t="shared" si="11"/>
        <v>7.912068287286851E-5</v>
      </c>
      <c r="F162" s="9"/>
      <c r="H162" s="10">
        <f t="shared" si="12"/>
        <v>-1.800005309804454E-2</v>
      </c>
      <c r="I162" s="10">
        <f t="shared" si="13"/>
        <v>1.800005309804454E-2</v>
      </c>
    </row>
    <row r="163" spans="1:9" x14ac:dyDescent="0.25">
      <c r="A163" s="1">
        <v>45098</v>
      </c>
      <c r="B163" s="2">
        <f t="shared" si="14"/>
        <v>156</v>
      </c>
      <c r="C163" s="3">
        <f>+VLOOKUP(A163,Precios!$B:$H,1+$C$3,0)</f>
        <v>54.29</v>
      </c>
      <c r="D163" s="10">
        <f t="shared" si="10"/>
        <v>-4.9486803519062095E-3</v>
      </c>
      <c r="E163" s="53">
        <f t="shared" si="11"/>
        <v>2.6899262022308989E-5</v>
      </c>
      <c r="F163" s="9"/>
      <c r="H163" s="10">
        <f t="shared" si="12"/>
        <v>-1.800005309804454E-2</v>
      </c>
      <c r="I163" s="10">
        <f t="shared" si="13"/>
        <v>1.800005309804454E-2</v>
      </c>
    </row>
    <row r="164" spans="1:9" x14ac:dyDescent="0.25">
      <c r="A164" s="1">
        <v>45097</v>
      </c>
      <c r="B164" s="2">
        <f t="shared" si="14"/>
        <v>157</v>
      </c>
      <c r="C164" s="3">
        <f>+VLOOKUP(A164,Precios!$B:$H,1+$C$3,0)</f>
        <v>54.56</v>
      </c>
      <c r="D164" s="10">
        <f t="shared" si="10"/>
        <v>-1.087744742567065E-2</v>
      </c>
      <c r="E164" s="53">
        <f t="shared" si="11"/>
        <v>1.235480472103557E-4</v>
      </c>
      <c r="F164" s="9"/>
      <c r="H164" s="10">
        <f t="shared" si="12"/>
        <v>-1.800005309804454E-2</v>
      </c>
      <c r="I164" s="10">
        <f t="shared" si="13"/>
        <v>1.800005309804454E-2</v>
      </c>
    </row>
    <row r="165" spans="1:9" x14ac:dyDescent="0.25">
      <c r="A165" s="1">
        <v>45096</v>
      </c>
      <c r="B165" s="2">
        <f t="shared" si="14"/>
        <v>158</v>
      </c>
      <c r="C165" s="3">
        <f>+VLOOKUP(A165,Precios!$B:$H,1+$C$3,0)</f>
        <v>55.16</v>
      </c>
      <c r="D165" s="10">
        <f t="shared" si="10"/>
        <v>5.4416832940318294E-4</v>
      </c>
      <c r="E165" s="53">
        <f t="shared" si="11"/>
        <v>9.3880245260730247E-8</v>
      </c>
      <c r="F165" s="9"/>
      <c r="H165" s="10">
        <f t="shared" si="12"/>
        <v>-1.800005309804454E-2</v>
      </c>
      <c r="I165" s="10">
        <f t="shared" si="13"/>
        <v>1.800005309804454E-2</v>
      </c>
    </row>
    <row r="166" spans="1:9" x14ac:dyDescent="0.25">
      <c r="A166" s="1">
        <v>45093</v>
      </c>
      <c r="B166" s="2">
        <f t="shared" si="14"/>
        <v>159</v>
      </c>
      <c r="C166" s="3">
        <f>+VLOOKUP(A166,Precios!$B:$H,1+$C$3,0)</f>
        <v>55.13</v>
      </c>
      <c r="D166" s="10">
        <f t="shared" si="10"/>
        <v>-7.2033135242210999E-3</v>
      </c>
      <c r="E166" s="53">
        <f t="shared" si="11"/>
        <v>5.5369716510182381E-5</v>
      </c>
      <c r="F166" s="9"/>
      <c r="H166" s="10">
        <f t="shared" si="12"/>
        <v>-1.800005309804454E-2</v>
      </c>
      <c r="I166" s="10">
        <f t="shared" si="13"/>
        <v>1.800005309804454E-2</v>
      </c>
    </row>
    <row r="167" spans="1:9" x14ac:dyDescent="0.25">
      <c r="A167" s="1">
        <v>45092</v>
      </c>
      <c r="B167" s="2">
        <f t="shared" si="14"/>
        <v>160</v>
      </c>
      <c r="C167" s="3">
        <f>+VLOOKUP(A167,Precios!$B:$H,1+$C$3,0)</f>
        <v>55.53</v>
      </c>
      <c r="D167" s="10">
        <f t="shared" si="10"/>
        <v>3.9775809076116886E-3</v>
      </c>
      <c r="E167" s="53">
        <f t="shared" si="11"/>
        <v>1.398618939625063E-5</v>
      </c>
      <c r="F167" s="9"/>
      <c r="H167" s="10">
        <f t="shared" si="12"/>
        <v>-1.800005309804454E-2</v>
      </c>
      <c r="I167" s="10">
        <f t="shared" si="13"/>
        <v>1.800005309804454E-2</v>
      </c>
    </row>
    <row r="168" spans="1:9" x14ac:dyDescent="0.25">
      <c r="A168" s="1">
        <v>45091</v>
      </c>
      <c r="B168" s="2">
        <f t="shared" si="14"/>
        <v>161</v>
      </c>
      <c r="C168" s="3">
        <f>+VLOOKUP(A168,Precios!$B:$H,1+$C$3,0)</f>
        <v>55.31</v>
      </c>
      <c r="D168" s="10">
        <f t="shared" si="10"/>
        <v>1.0412860796492618E-2</v>
      </c>
      <c r="E168" s="53">
        <f t="shared" si="11"/>
        <v>1.0353248297833847E-4</v>
      </c>
      <c r="F168" s="9"/>
      <c r="H168" s="10">
        <f t="shared" si="12"/>
        <v>-1.800005309804454E-2</v>
      </c>
      <c r="I168" s="10">
        <f t="shared" si="13"/>
        <v>1.800005309804454E-2</v>
      </c>
    </row>
    <row r="169" spans="1:9" x14ac:dyDescent="0.25">
      <c r="A169" s="1">
        <v>45090</v>
      </c>
      <c r="B169" s="2">
        <f t="shared" si="14"/>
        <v>162</v>
      </c>
      <c r="C169" s="3">
        <f>+VLOOKUP(A169,Precios!$B:$H,1+$C$3,0)</f>
        <v>54.74</v>
      </c>
      <c r="D169" s="10">
        <f t="shared" si="10"/>
        <v>4.9568569854967492E-3</v>
      </c>
      <c r="E169" s="53">
        <f t="shared" si="11"/>
        <v>2.2269786735833442E-5</v>
      </c>
      <c r="F169" s="9"/>
      <c r="H169" s="10">
        <f t="shared" si="12"/>
        <v>-1.800005309804454E-2</v>
      </c>
      <c r="I169" s="10">
        <f t="shared" si="13"/>
        <v>1.800005309804454E-2</v>
      </c>
    </row>
    <row r="170" spans="1:9" x14ac:dyDescent="0.25">
      <c r="A170" s="1">
        <v>45089</v>
      </c>
      <c r="B170" s="2">
        <f t="shared" si="14"/>
        <v>163</v>
      </c>
      <c r="C170" s="3">
        <f>+VLOOKUP(A170,Precios!$B:$H,1+$C$3,0)</f>
        <v>54.47</v>
      </c>
      <c r="D170" s="10">
        <f t="shared" si="10"/>
        <v>-4.0226732492228967E-3</v>
      </c>
      <c r="E170" s="53">
        <f t="shared" si="11"/>
        <v>1.8151372383238086E-5</v>
      </c>
      <c r="F170" s="9"/>
      <c r="H170" s="10">
        <f t="shared" si="12"/>
        <v>-1.800005309804454E-2</v>
      </c>
      <c r="I170" s="10">
        <f t="shared" si="13"/>
        <v>1.800005309804454E-2</v>
      </c>
    </row>
    <row r="171" spans="1:9" x14ac:dyDescent="0.25">
      <c r="A171" s="1">
        <v>45086</v>
      </c>
      <c r="B171" s="2">
        <f t="shared" si="14"/>
        <v>164</v>
      </c>
      <c r="C171" s="3">
        <f>+VLOOKUP(A171,Precios!$B:$H,1+$C$3,0)</f>
        <v>54.69</v>
      </c>
      <c r="D171" s="10">
        <f t="shared" si="10"/>
        <v>1.8318373328447546E-3</v>
      </c>
      <c r="E171" s="53">
        <f t="shared" si="11"/>
        <v>2.5410522692427775E-6</v>
      </c>
      <c r="F171" s="9"/>
      <c r="H171" s="10">
        <f t="shared" si="12"/>
        <v>-1.800005309804454E-2</v>
      </c>
      <c r="I171" s="10">
        <f t="shared" si="13"/>
        <v>1.800005309804454E-2</v>
      </c>
    </row>
    <row r="172" spans="1:9" x14ac:dyDescent="0.25">
      <c r="A172" s="1">
        <v>45085</v>
      </c>
      <c r="B172" s="2">
        <f t="shared" si="14"/>
        <v>165</v>
      </c>
      <c r="C172" s="3">
        <f>+VLOOKUP(A172,Precios!$B:$H,1+$C$3,0)</f>
        <v>54.59</v>
      </c>
      <c r="D172" s="10">
        <f t="shared" si="10"/>
        <v>8.3117842630218153E-3</v>
      </c>
      <c r="E172" s="53">
        <f t="shared" si="11"/>
        <v>6.5189714462036356E-5</v>
      </c>
      <c r="F172" s="9"/>
      <c r="H172" s="10">
        <f t="shared" si="12"/>
        <v>-1.800005309804454E-2</v>
      </c>
      <c r="I172" s="10">
        <f t="shared" si="13"/>
        <v>1.800005309804454E-2</v>
      </c>
    </row>
    <row r="173" spans="1:9" x14ac:dyDescent="0.25">
      <c r="A173" s="1">
        <v>45084</v>
      </c>
      <c r="B173" s="2">
        <f t="shared" si="14"/>
        <v>166</v>
      </c>
      <c r="C173" s="3">
        <f>+VLOOKUP(A173,Precios!$B:$H,1+$C$3,0)</f>
        <v>54.14</v>
      </c>
      <c r="D173" s="10">
        <f t="shared" si="10"/>
        <v>-2.5792188651436732E-3</v>
      </c>
      <c r="E173" s="53">
        <f t="shared" si="11"/>
        <v>7.935423425440768E-6</v>
      </c>
      <c r="F173" s="9"/>
      <c r="H173" s="10">
        <f t="shared" si="12"/>
        <v>-1.800005309804454E-2</v>
      </c>
      <c r="I173" s="10">
        <f t="shared" si="13"/>
        <v>1.800005309804454E-2</v>
      </c>
    </row>
    <row r="174" spans="1:9" x14ac:dyDescent="0.25">
      <c r="A174" s="1">
        <v>45083</v>
      </c>
      <c r="B174" s="2">
        <f t="shared" si="14"/>
        <v>167</v>
      </c>
      <c r="C174" s="3">
        <f>+VLOOKUP(A174,Precios!$B:$H,1+$C$3,0)</f>
        <v>54.28</v>
      </c>
      <c r="D174" s="10">
        <f t="shared" si="10"/>
        <v>1.6098839385997765E-2</v>
      </c>
      <c r="E174" s="53">
        <f t="shared" si="11"/>
        <v>2.5157353806315338E-4</v>
      </c>
      <c r="F174" s="9"/>
      <c r="H174" s="10">
        <f t="shared" si="12"/>
        <v>-1.800005309804454E-2</v>
      </c>
      <c r="I174" s="10">
        <f t="shared" si="13"/>
        <v>1.800005309804454E-2</v>
      </c>
    </row>
    <row r="175" spans="1:9" x14ac:dyDescent="0.25">
      <c r="A175" s="1">
        <v>45082</v>
      </c>
      <c r="B175" s="2">
        <f t="shared" si="14"/>
        <v>168</v>
      </c>
      <c r="C175" s="3">
        <f>+VLOOKUP(A175,Precios!$B:$H,1+$C$3,0)</f>
        <v>53.42</v>
      </c>
      <c r="D175" s="10">
        <f t="shared" si="10"/>
        <v>5.6475903614459089E-3</v>
      </c>
      <c r="E175" s="53">
        <f t="shared" si="11"/>
        <v>2.9266161798860558E-5</v>
      </c>
      <c r="F175" s="9"/>
      <c r="H175" s="10">
        <f t="shared" si="12"/>
        <v>-1.800005309804454E-2</v>
      </c>
      <c r="I175" s="10">
        <f t="shared" si="13"/>
        <v>1.800005309804454E-2</v>
      </c>
    </row>
    <row r="176" spans="1:9" x14ac:dyDescent="0.25">
      <c r="A176" s="1">
        <v>45079</v>
      </c>
      <c r="B176" s="2">
        <f t="shared" si="14"/>
        <v>169</v>
      </c>
      <c r="C176" s="3">
        <f>+VLOOKUP(A176,Precios!$B:$H,1+$C$3,0)</f>
        <v>53.12</v>
      </c>
      <c r="D176" s="10">
        <f t="shared" si="10"/>
        <v>9.1185410334346795E-3</v>
      </c>
      <c r="E176" s="53">
        <f t="shared" si="11"/>
        <v>7.8868103104454625E-5</v>
      </c>
      <c r="F176" s="9"/>
      <c r="H176" s="10">
        <f t="shared" si="12"/>
        <v>-1.800005309804454E-2</v>
      </c>
      <c r="I176" s="10">
        <f t="shared" si="13"/>
        <v>1.800005309804454E-2</v>
      </c>
    </row>
    <row r="177" spans="1:9" x14ac:dyDescent="0.25">
      <c r="A177" s="1">
        <v>45078</v>
      </c>
      <c r="B177" s="2">
        <f t="shared" si="14"/>
        <v>170</v>
      </c>
      <c r="C177" s="3">
        <f>+VLOOKUP(A177,Precios!$B:$H,1+$C$3,0)</f>
        <v>52.64</v>
      </c>
      <c r="D177" s="10">
        <f t="shared" si="10"/>
        <v>-7.5930144267277733E-4</v>
      </c>
      <c r="E177" s="53">
        <f t="shared" si="11"/>
        <v>9.9415045625801831E-7</v>
      </c>
      <c r="F177" s="9"/>
      <c r="H177" s="10">
        <f t="shared" si="12"/>
        <v>-1.800005309804454E-2</v>
      </c>
      <c r="I177" s="10">
        <f t="shared" si="13"/>
        <v>1.800005309804454E-2</v>
      </c>
    </row>
    <row r="178" spans="1:9" x14ac:dyDescent="0.25">
      <c r="A178" s="1">
        <v>45077</v>
      </c>
      <c r="B178" s="2">
        <f t="shared" si="14"/>
        <v>171</v>
      </c>
      <c r="C178" s="3">
        <f>+VLOOKUP(A178,Precios!$B:$H,1+$C$3,0)</f>
        <v>52.68</v>
      </c>
      <c r="D178" s="10">
        <f t="shared" si="10"/>
        <v>-1.0704225352112684E-2</v>
      </c>
      <c r="E178" s="53">
        <f t="shared" si="11"/>
        <v>1.1972725125077141E-4</v>
      </c>
      <c r="F178" s="9"/>
      <c r="H178" s="10">
        <f t="shared" si="12"/>
        <v>-1.800005309804454E-2</v>
      </c>
      <c r="I178" s="10">
        <f t="shared" si="13"/>
        <v>1.800005309804454E-2</v>
      </c>
    </row>
    <row r="179" spans="1:9" x14ac:dyDescent="0.25">
      <c r="A179" s="1">
        <v>45076</v>
      </c>
      <c r="B179" s="2">
        <f t="shared" si="14"/>
        <v>172</v>
      </c>
      <c r="C179" s="3">
        <f>+VLOOKUP(A179,Precios!$B:$H,1+$C$3,0)</f>
        <v>53.25</v>
      </c>
      <c r="D179" s="10">
        <f t="shared" si="10"/>
        <v>-1.6802067946824151E-2</v>
      </c>
      <c r="E179" s="53">
        <f t="shared" si="11"/>
        <v>2.9035606006953558E-4</v>
      </c>
      <c r="F179" s="9"/>
      <c r="H179" s="10">
        <f t="shared" si="12"/>
        <v>-1.800005309804454E-2</v>
      </c>
      <c r="I179" s="10">
        <f t="shared" si="13"/>
        <v>1.800005309804454E-2</v>
      </c>
    </row>
    <row r="180" spans="1:9" x14ac:dyDescent="0.25">
      <c r="A180" s="1">
        <v>45075</v>
      </c>
      <c r="B180" s="2">
        <f t="shared" si="14"/>
        <v>173</v>
      </c>
      <c r="C180" s="3">
        <f>+VLOOKUP(A180,Precios!$B:$H,1+$C$3,0)</f>
        <v>54.16</v>
      </c>
      <c r="D180" s="10">
        <f t="shared" si="10"/>
        <v>1.1090573012937366E-3</v>
      </c>
      <c r="E180" s="53">
        <f t="shared" si="11"/>
        <v>7.591424400798343E-7</v>
      </c>
      <c r="F180" s="9"/>
      <c r="H180" s="10">
        <f t="shared" si="12"/>
        <v>-1.800005309804454E-2</v>
      </c>
      <c r="I180" s="10">
        <f t="shared" si="13"/>
        <v>1.800005309804454E-2</v>
      </c>
    </row>
    <row r="181" spans="1:9" x14ac:dyDescent="0.25">
      <c r="A181" s="1">
        <v>45072</v>
      </c>
      <c r="B181" s="2">
        <f t="shared" si="14"/>
        <v>174</v>
      </c>
      <c r="C181" s="3">
        <f>+VLOOKUP(A181,Precios!$B:$H,1+$C$3,0)</f>
        <v>54.1</v>
      </c>
      <c r="D181" s="10">
        <f t="shared" si="10"/>
        <v>5.3893328377625505E-3</v>
      </c>
      <c r="E181" s="53">
        <f t="shared" si="11"/>
        <v>2.6538604866712024E-5</v>
      </c>
      <c r="F181" s="9"/>
      <c r="H181" s="10">
        <f t="shared" si="12"/>
        <v>-1.800005309804454E-2</v>
      </c>
      <c r="I181" s="10">
        <f t="shared" si="13"/>
        <v>1.800005309804454E-2</v>
      </c>
    </row>
    <row r="182" spans="1:9" x14ac:dyDescent="0.25">
      <c r="A182" s="1">
        <v>45071</v>
      </c>
      <c r="B182" s="2">
        <f t="shared" si="14"/>
        <v>175</v>
      </c>
      <c r="C182" s="3">
        <f>+VLOOKUP(A182,Precios!$B:$H,1+$C$3,0)</f>
        <v>53.81</v>
      </c>
      <c r="D182" s="10">
        <f t="shared" si="10"/>
        <v>8.4332833583209421E-3</v>
      </c>
      <c r="E182" s="53">
        <f t="shared" si="11"/>
        <v>6.7166447471504186E-5</v>
      </c>
      <c r="F182" s="9"/>
      <c r="H182" s="10">
        <f t="shared" si="12"/>
        <v>-1.800005309804454E-2</v>
      </c>
      <c r="I182" s="10">
        <f t="shared" si="13"/>
        <v>1.800005309804454E-2</v>
      </c>
    </row>
    <row r="183" spans="1:9" x14ac:dyDescent="0.25">
      <c r="A183" s="1">
        <v>45070</v>
      </c>
      <c r="B183" s="2">
        <f t="shared" si="14"/>
        <v>176</v>
      </c>
      <c r="C183" s="3">
        <f>+VLOOKUP(A183,Precios!$B:$H,1+$C$3,0)</f>
        <v>53.36</v>
      </c>
      <c r="D183" s="10">
        <f t="shared" si="10"/>
        <v>3.762227238525151E-3</v>
      </c>
      <c r="E183" s="53">
        <f t="shared" si="11"/>
        <v>1.2421802380569746E-5</v>
      </c>
      <c r="F183" s="9"/>
      <c r="H183" s="10">
        <f t="shared" si="12"/>
        <v>-1.800005309804454E-2</v>
      </c>
      <c r="I183" s="10">
        <f t="shared" si="13"/>
        <v>1.800005309804454E-2</v>
      </c>
    </row>
    <row r="184" spans="1:9" x14ac:dyDescent="0.25">
      <c r="A184" s="1">
        <v>45069</v>
      </c>
      <c r="B184" s="2">
        <f t="shared" si="14"/>
        <v>177</v>
      </c>
      <c r="C184" s="3">
        <f>+VLOOKUP(A184,Precios!$B:$H,1+$C$3,0)</f>
        <v>53.16</v>
      </c>
      <c r="D184" s="10">
        <f t="shared" si="10"/>
        <v>-4.3079228319911067E-3</v>
      </c>
      <c r="E184" s="53">
        <f t="shared" si="11"/>
        <v>2.0663318738533328E-5</v>
      </c>
      <c r="F184" s="9"/>
      <c r="H184" s="10">
        <f t="shared" si="12"/>
        <v>-1.800005309804454E-2</v>
      </c>
      <c r="I184" s="10">
        <f t="shared" si="13"/>
        <v>1.800005309804454E-2</v>
      </c>
    </row>
    <row r="185" spans="1:9" x14ac:dyDescent="0.25">
      <c r="A185" s="1">
        <v>45068</v>
      </c>
      <c r="B185" s="2">
        <f t="shared" si="14"/>
        <v>178</v>
      </c>
      <c r="C185" s="3">
        <f>+VLOOKUP(A185,Precios!$B:$H,1+$C$3,0)</f>
        <v>53.39</v>
      </c>
      <c r="D185" s="10">
        <f t="shared" si="10"/>
        <v>-1.6939790093905338E-2</v>
      </c>
      <c r="E185" s="53">
        <f t="shared" si="11"/>
        <v>2.9506855345634515E-4</v>
      </c>
      <c r="F185" s="9"/>
      <c r="H185" s="10">
        <f t="shared" si="12"/>
        <v>-1.800005309804454E-2</v>
      </c>
      <c r="I185" s="10">
        <f t="shared" si="13"/>
        <v>1.800005309804454E-2</v>
      </c>
    </row>
    <row r="186" spans="1:9" x14ac:dyDescent="0.25">
      <c r="A186" s="1">
        <v>45065</v>
      </c>
      <c r="B186" s="2">
        <f t="shared" si="14"/>
        <v>179</v>
      </c>
      <c r="C186" s="3">
        <f>+VLOOKUP(A186,Precios!$B:$H,1+$C$3,0)</f>
        <v>54.31</v>
      </c>
      <c r="D186" s="10">
        <f t="shared" si="10"/>
        <v>-1.7191458559536632E-2</v>
      </c>
      <c r="E186" s="53">
        <f t="shared" si="11"/>
        <v>3.0377799060337843E-4</v>
      </c>
      <c r="F186" s="9"/>
      <c r="H186" s="10">
        <f t="shared" si="12"/>
        <v>-1.800005309804454E-2</v>
      </c>
      <c r="I186" s="10">
        <f t="shared" si="13"/>
        <v>1.800005309804454E-2</v>
      </c>
    </row>
    <row r="187" spans="1:9" x14ac:dyDescent="0.25">
      <c r="A187" s="1">
        <v>45064</v>
      </c>
      <c r="B187" s="2">
        <f t="shared" si="14"/>
        <v>180</v>
      </c>
      <c r="C187" s="3">
        <f>+VLOOKUP(A187,Precios!$B:$H,1+$C$3,0)</f>
        <v>55.26</v>
      </c>
      <c r="D187" s="10">
        <f t="shared" si="10"/>
        <v>4.362050163576825E-3</v>
      </c>
      <c r="E187" s="53">
        <f t="shared" si="11"/>
        <v>1.7009691026965653E-5</v>
      </c>
      <c r="F187" s="9"/>
      <c r="H187" s="10">
        <f t="shared" si="12"/>
        <v>-1.800005309804454E-2</v>
      </c>
      <c r="I187" s="10">
        <f t="shared" si="13"/>
        <v>1.800005309804454E-2</v>
      </c>
    </row>
    <row r="188" spans="1:9" x14ac:dyDescent="0.25">
      <c r="A188" s="1">
        <v>45063</v>
      </c>
      <c r="B188" s="2">
        <f t="shared" si="14"/>
        <v>181</v>
      </c>
      <c r="C188" s="3">
        <f>+VLOOKUP(A188,Precios!$B:$H,1+$C$3,0)</f>
        <v>55.02</v>
      </c>
      <c r="D188" s="10">
        <f t="shared" si="10"/>
        <v>-2.3572076155937705E-3</v>
      </c>
      <c r="E188" s="53">
        <f t="shared" si="11"/>
        <v>6.7339062084260123E-6</v>
      </c>
      <c r="F188" s="9"/>
      <c r="H188" s="10">
        <f t="shared" si="12"/>
        <v>-1.800005309804454E-2</v>
      </c>
      <c r="I188" s="10">
        <f t="shared" si="13"/>
        <v>1.800005309804454E-2</v>
      </c>
    </row>
    <row r="189" spans="1:9" x14ac:dyDescent="0.25">
      <c r="A189" s="1">
        <v>45062</v>
      </c>
      <c r="B189" s="2">
        <f t="shared" si="14"/>
        <v>182</v>
      </c>
      <c r="C189" s="3">
        <f>+VLOOKUP(A189,Precios!$B:$H,1+$C$3,0)</f>
        <v>55.15</v>
      </c>
      <c r="D189" s="10">
        <f t="shared" si="10"/>
        <v>-1.0867596449919414E-3</v>
      </c>
      <c r="E189" s="53">
        <f t="shared" si="11"/>
        <v>1.7543774446888536E-6</v>
      </c>
      <c r="F189" s="9"/>
      <c r="H189" s="10">
        <f t="shared" si="12"/>
        <v>-1.800005309804454E-2</v>
      </c>
      <c r="I189" s="10">
        <f t="shared" si="13"/>
        <v>1.800005309804454E-2</v>
      </c>
    </row>
    <row r="190" spans="1:9" x14ac:dyDescent="0.25">
      <c r="A190" s="1">
        <v>45061</v>
      </c>
      <c r="B190" s="2">
        <f t="shared" si="14"/>
        <v>183</v>
      </c>
      <c r="C190" s="3">
        <f>+VLOOKUP(A190,Precios!$B:$H,1+$C$3,0)</f>
        <v>55.21</v>
      </c>
      <c r="D190" s="10">
        <f t="shared" si="10"/>
        <v>4.9144521295960697E-3</v>
      </c>
      <c r="E190" s="53">
        <f t="shared" si="11"/>
        <v>2.1871360457667035E-5</v>
      </c>
      <c r="F190" s="9"/>
      <c r="H190" s="10">
        <f t="shared" si="12"/>
        <v>-1.800005309804454E-2</v>
      </c>
      <c r="I190" s="10">
        <f t="shared" si="13"/>
        <v>1.800005309804454E-2</v>
      </c>
    </row>
    <row r="191" spans="1:9" x14ac:dyDescent="0.25">
      <c r="A191" s="1">
        <v>45058</v>
      </c>
      <c r="B191" s="2">
        <f t="shared" si="14"/>
        <v>184</v>
      </c>
      <c r="C191" s="3">
        <f>+VLOOKUP(A191,Precios!$B:$H,1+$C$3,0)</f>
        <v>54.94</v>
      </c>
      <c r="D191" s="10">
        <f t="shared" si="10"/>
        <v>-3.639010189229186E-4</v>
      </c>
      <c r="E191" s="53">
        <f t="shared" si="11"/>
        <v>3.6200740823325611E-7</v>
      </c>
      <c r="F191" s="9"/>
      <c r="H191" s="10">
        <f t="shared" si="12"/>
        <v>-1.800005309804454E-2</v>
      </c>
      <c r="I191" s="10">
        <f t="shared" si="13"/>
        <v>1.800005309804454E-2</v>
      </c>
    </row>
    <row r="192" spans="1:9" x14ac:dyDescent="0.25">
      <c r="A192" s="1">
        <v>45057</v>
      </c>
      <c r="B192" s="2">
        <f t="shared" si="14"/>
        <v>185</v>
      </c>
      <c r="C192" s="3">
        <f>+VLOOKUP(A192,Precios!$B:$H,1+$C$3,0)</f>
        <v>54.96</v>
      </c>
      <c r="D192" s="10">
        <f t="shared" si="10"/>
        <v>-8.3002526163840074E-3</v>
      </c>
      <c r="E192" s="53">
        <f t="shared" si="11"/>
        <v>7.2897821587381248E-5</v>
      </c>
      <c r="F192" s="9"/>
      <c r="H192" s="10">
        <f t="shared" si="12"/>
        <v>-1.800005309804454E-2</v>
      </c>
      <c r="I192" s="10">
        <f t="shared" si="13"/>
        <v>1.800005309804454E-2</v>
      </c>
    </row>
    <row r="193" spans="1:9" x14ac:dyDescent="0.25">
      <c r="A193" s="1">
        <v>45056</v>
      </c>
      <c r="B193" s="2">
        <f t="shared" si="14"/>
        <v>186</v>
      </c>
      <c r="C193" s="3">
        <f>+VLOOKUP(A193,Precios!$B:$H,1+$C$3,0)</f>
        <v>55.42</v>
      </c>
      <c r="D193" s="10">
        <f t="shared" si="10"/>
        <v>1.4456089627754576E-3</v>
      </c>
      <c r="E193" s="53">
        <f t="shared" si="11"/>
        <v>1.4588761780913304E-6</v>
      </c>
      <c r="F193" s="9"/>
      <c r="H193" s="10">
        <f t="shared" si="12"/>
        <v>-1.800005309804454E-2</v>
      </c>
      <c r="I193" s="10">
        <f t="shared" si="13"/>
        <v>1.800005309804454E-2</v>
      </c>
    </row>
    <row r="194" spans="1:9" x14ac:dyDescent="0.25">
      <c r="A194" s="1">
        <v>45055</v>
      </c>
      <c r="B194" s="2">
        <f t="shared" si="14"/>
        <v>187</v>
      </c>
      <c r="C194" s="3">
        <f>+VLOOKUP(A194,Precios!$B:$H,1+$C$3,0)</f>
        <v>55.34</v>
      </c>
      <c r="D194" s="10">
        <f t="shared" si="10"/>
        <v>7.4640451483707349E-3</v>
      </c>
      <c r="E194" s="53">
        <f t="shared" si="11"/>
        <v>5.2219059807581382E-5</v>
      </c>
      <c r="F194" s="9"/>
      <c r="H194" s="10">
        <f t="shared" si="12"/>
        <v>-1.800005309804454E-2</v>
      </c>
      <c r="I194" s="10">
        <f t="shared" si="13"/>
        <v>1.800005309804454E-2</v>
      </c>
    </row>
    <row r="195" spans="1:9" x14ac:dyDescent="0.25">
      <c r="A195" s="1">
        <v>45054</v>
      </c>
      <c r="B195" s="2">
        <f t="shared" si="14"/>
        <v>188</v>
      </c>
      <c r="C195" s="3">
        <f>+VLOOKUP(A195,Precios!$B:$H,1+$C$3,0)</f>
        <v>54.93</v>
      </c>
      <c r="D195" s="10">
        <f t="shared" si="10"/>
        <v>2.3722627737225999E-3</v>
      </c>
      <c r="E195" s="53">
        <f t="shared" si="11"/>
        <v>4.5560615536872216E-6</v>
      </c>
      <c r="F195" s="9"/>
      <c r="H195" s="10">
        <f t="shared" si="12"/>
        <v>-1.800005309804454E-2</v>
      </c>
      <c r="I195" s="10">
        <f t="shared" si="13"/>
        <v>1.800005309804454E-2</v>
      </c>
    </row>
    <row r="196" spans="1:9" x14ac:dyDescent="0.25">
      <c r="A196" s="1">
        <v>45051</v>
      </c>
      <c r="B196" s="2">
        <f t="shared" si="14"/>
        <v>189</v>
      </c>
      <c r="C196" s="3">
        <f>+VLOOKUP(A196,Precios!$B:$H,1+$C$3,0)</f>
        <v>54.8</v>
      </c>
      <c r="D196" s="10">
        <f t="shared" si="10"/>
        <v>4.5829514207149646E-3</v>
      </c>
      <c r="E196" s="53">
        <f t="shared" si="11"/>
        <v>1.888060596099543E-5</v>
      </c>
      <c r="F196" s="9"/>
      <c r="H196" s="10">
        <f t="shared" si="12"/>
        <v>-1.800005309804454E-2</v>
      </c>
      <c r="I196" s="10">
        <f t="shared" si="13"/>
        <v>1.800005309804454E-2</v>
      </c>
    </row>
    <row r="197" spans="1:9" x14ac:dyDescent="0.25">
      <c r="A197" s="1">
        <v>45050</v>
      </c>
      <c r="B197" s="2">
        <f t="shared" si="14"/>
        <v>190</v>
      </c>
      <c r="C197" s="3">
        <f>+VLOOKUP(A197,Precios!$B:$H,1+$C$3,0)</f>
        <v>54.55</v>
      </c>
      <c r="D197" s="10">
        <f t="shared" si="10"/>
        <v>-3.2888726475425178E-3</v>
      </c>
      <c r="E197" s="53">
        <f t="shared" si="11"/>
        <v>1.2437204806884833E-5</v>
      </c>
      <c r="F197" s="9"/>
      <c r="H197" s="10">
        <f t="shared" si="12"/>
        <v>-1.800005309804454E-2</v>
      </c>
      <c r="I197" s="10">
        <f t="shared" si="13"/>
        <v>1.800005309804454E-2</v>
      </c>
    </row>
    <row r="198" spans="1:9" x14ac:dyDescent="0.25">
      <c r="A198" s="1">
        <v>45049</v>
      </c>
      <c r="B198" s="2">
        <f t="shared" si="14"/>
        <v>191</v>
      </c>
      <c r="C198" s="3">
        <f>+VLOOKUP(A198,Precios!$B:$H,1+$C$3,0)</f>
        <v>54.73</v>
      </c>
      <c r="D198" s="10">
        <f t="shared" si="10"/>
        <v>-4.0036396724295598E-3</v>
      </c>
      <c r="E198" s="53">
        <f t="shared" si="11"/>
        <v>1.7989551731963315E-5</v>
      </c>
      <c r="F198" s="9"/>
      <c r="H198" s="10">
        <f t="shared" si="12"/>
        <v>-1.800005309804454E-2</v>
      </c>
      <c r="I198" s="10">
        <f t="shared" si="13"/>
        <v>1.800005309804454E-2</v>
      </c>
    </row>
    <row r="199" spans="1:9" x14ac:dyDescent="0.25">
      <c r="A199" s="1">
        <v>45048</v>
      </c>
      <c r="B199" s="2">
        <f t="shared" si="14"/>
        <v>192</v>
      </c>
      <c r="C199" s="3">
        <f>+VLOOKUP(A199,Precios!$B:$H,1+$C$3,0)</f>
        <v>54.95</v>
      </c>
      <c r="D199" s="10">
        <f t="shared" si="10"/>
        <v>9.107468123863427E-4</v>
      </c>
      <c r="E199" s="53">
        <f t="shared" si="11"/>
        <v>4.5289846869980273E-7</v>
      </c>
      <c r="F199" s="9"/>
      <c r="H199" s="10">
        <f t="shared" si="12"/>
        <v>-1.800005309804454E-2</v>
      </c>
      <c r="I199" s="10">
        <f t="shared" si="13"/>
        <v>1.800005309804454E-2</v>
      </c>
    </row>
    <row r="200" spans="1:9" x14ac:dyDescent="0.25">
      <c r="A200" s="1">
        <v>45044</v>
      </c>
      <c r="B200" s="2">
        <f t="shared" si="14"/>
        <v>193</v>
      </c>
      <c r="C200" s="3">
        <f>+VLOOKUP(A200,Precios!$B:$H,1+$C$3,0)</f>
        <v>54.9</v>
      </c>
      <c r="D200" s="10">
        <f t="shared" si="10"/>
        <v>1.2915129151291449E-2</v>
      </c>
      <c r="E200" s="53">
        <f t="shared" si="11"/>
        <v>1.6071544783581343E-4</v>
      </c>
      <c r="F200" s="9"/>
      <c r="H200" s="10">
        <f t="shared" si="12"/>
        <v>-1.800005309804454E-2</v>
      </c>
      <c r="I200" s="10">
        <f t="shared" si="13"/>
        <v>1.800005309804454E-2</v>
      </c>
    </row>
    <row r="201" spans="1:9" x14ac:dyDescent="0.25">
      <c r="A201" s="1">
        <v>45043</v>
      </c>
      <c r="B201" s="2">
        <f t="shared" si="14"/>
        <v>194</v>
      </c>
      <c r="C201" s="3">
        <f>+VLOOKUP(A201,Precios!$B:$H,1+$C$3,0)</f>
        <v>54.2</v>
      </c>
      <c r="D201" s="10">
        <f t="shared" ref="D201:D259" si="15">C201/C202-1</f>
        <v>7.8095946448493159E-3</v>
      </c>
      <c r="E201" s="53">
        <f t="shared" ref="E201:E259" si="16">(D201-$E$264)^2</f>
        <v>5.7332536088451313E-5</v>
      </c>
      <c r="F201" s="9"/>
      <c r="H201" s="10">
        <f t="shared" ref="H201:H258" si="17">-$I$5*$E$266</f>
        <v>-1.800005309804454E-2</v>
      </c>
      <c r="I201" s="10">
        <f t="shared" ref="I201:I258" si="18">+$I$5*$E$266</f>
        <v>1.800005309804454E-2</v>
      </c>
    </row>
    <row r="202" spans="1:9" x14ac:dyDescent="0.25">
      <c r="A202" s="1">
        <v>45042</v>
      </c>
      <c r="B202" s="2">
        <f t="shared" ref="B202:B259" si="19">+B201+1</f>
        <v>195</v>
      </c>
      <c r="C202" s="3">
        <f>+VLOOKUP(A202,Precios!$B:$H,1+$C$3,0)</f>
        <v>53.78</v>
      </c>
      <c r="D202" s="10">
        <f t="shared" si="15"/>
        <v>-9.2114959469418167E-3</v>
      </c>
      <c r="E202" s="53">
        <f t="shared" si="16"/>
        <v>8.9288617406551573E-5</v>
      </c>
      <c r="F202" s="9"/>
      <c r="H202" s="10">
        <f t="shared" si="17"/>
        <v>-1.800005309804454E-2</v>
      </c>
      <c r="I202" s="10">
        <f t="shared" si="18"/>
        <v>1.800005309804454E-2</v>
      </c>
    </row>
    <row r="203" spans="1:9" x14ac:dyDescent="0.25">
      <c r="A203" s="1">
        <v>45041</v>
      </c>
      <c r="B203" s="2">
        <f t="shared" si="19"/>
        <v>196</v>
      </c>
      <c r="C203" s="3">
        <f>+VLOOKUP(A203,Precios!$B:$H,1+$C$3,0)</f>
        <v>54.28</v>
      </c>
      <c r="D203" s="10">
        <f t="shared" si="15"/>
        <v>-5.1319648093841597E-3</v>
      </c>
      <c r="E203" s="53">
        <f t="shared" si="16"/>
        <v>2.8834046507792479E-5</v>
      </c>
      <c r="F203" s="9"/>
      <c r="H203" s="10">
        <f t="shared" si="17"/>
        <v>-1.800005309804454E-2</v>
      </c>
      <c r="I203" s="10">
        <f t="shared" si="18"/>
        <v>1.800005309804454E-2</v>
      </c>
    </row>
    <row r="204" spans="1:9" x14ac:dyDescent="0.25">
      <c r="A204" s="1">
        <v>45040</v>
      </c>
      <c r="B204" s="2">
        <f t="shared" si="19"/>
        <v>197</v>
      </c>
      <c r="C204" s="3">
        <f>+VLOOKUP(A204,Precios!$B:$H,1+$C$3,0)</f>
        <v>54.56</v>
      </c>
      <c r="D204" s="10">
        <f t="shared" si="15"/>
        <v>9.0623266136489189E-3</v>
      </c>
      <c r="E204" s="53">
        <f t="shared" si="16"/>
        <v>7.7872808326965396E-5</v>
      </c>
      <c r="F204" s="9"/>
      <c r="H204" s="10">
        <f t="shared" si="17"/>
        <v>-1.800005309804454E-2</v>
      </c>
      <c r="I204" s="10">
        <f t="shared" si="18"/>
        <v>1.800005309804454E-2</v>
      </c>
    </row>
    <row r="205" spans="1:9" x14ac:dyDescent="0.25">
      <c r="A205" s="1">
        <v>45037</v>
      </c>
      <c r="B205" s="2">
        <f t="shared" si="19"/>
        <v>198</v>
      </c>
      <c r="C205" s="3">
        <f>+VLOOKUP(A205,Precios!$B:$H,1+$C$3,0)</f>
        <v>54.07</v>
      </c>
      <c r="D205" s="10">
        <f t="shared" si="15"/>
        <v>-1.8460402436772938E-3</v>
      </c>
      <c r="E205" s="53">
        <f t="shared" si="16"/>
        <v>4.3422630301544927E-6</v>
      </c>
      <c r="F205" s="9"/>
      <c r="H205" s="10">
        <f t="shared" si="17"/>
        <v>-1.800005309804454E-2</v>
      </c>
      <c r="I205" s="10">
        <f t="shared" si="18"/>
        <v>1.800005309804454E-2</v>
      </c>
    </row>
    <row r="206" spans="1:9" x14ac:dyDescent="0.25">
      <c r="A206" s="1">
        <v>45036</v>
      </c>
      <c r="B206" s="2">
        <f t="shared" si="19"/>
        <v>199</v>
      </c>
      <c r="C206" s="3">
        <f>+VLOOKUP(A206,Precios!$B:$H,1+$C$3,0)</f>
        <v>54.17</v>
      </c>
      <c r="D206" s="10">
        <f t="shared" si="15"/>
        <v>-9.2216894134999894E-4</v>
      </c>
      <c r="E206" s="53">
        <f t="shared" si="16"/>
        <v>1.3454571778744832E-6</v>
      </c>
      <c r="F206" s="9"/>
      <c r="H206" s="10">
        <f t="shared" si="17"/>
        <v>-1.800005309804454E-2</v>
      </c>
      <c r="I206" s="10">
        <f t="shared" si="18"/>
        <v>1.800005309804454E-2</v>
      </c>
    </row>
    <row r="207" spans="1:9" x14ac:dyDescent="0.25">
      <c r="A207" s="1">
        <v>45035</v>
      </c>
      <c r="B207" s="2">
        <f t="shared" si="19"/>
        <v>200</v>
      </c>
      <c r="C207" s="3">
        <f>+VLOOKUP(A207,Precios!$B:$H,1+$C$3,0)</f>
        <v>54.22</v>
      </c>
      <c r="D207" s="10">
        <f t="shared" si="15"/>
        <v>1.8446781036707272E-4</v>
      </c>
      <c r="E207" s="53">
        <f t="shared" si="16"/>
        <v>2.8410696652347469E-9</v>
      </c>
      <c r="F207" s="9"/>
      <c r="H207" s="10">
        <f t="shared" si="17"/>
        <v>-1.800005309804454E-2</v>
      </c>
      <c r="I207" s="10">
        <f t="shared" si="18"/>
        <v>1.800005309804454E-2</v>
      </c>
    </row>
    <row r="208" spans="1:9" x14ac:dyDescent="0.25">
      <c r="A208" s="1">
        <v>45034</v>
      </c>
      <c r="B208" s="2">
        <f t="shared" si="19"/>
        <v>201</v>
      </c>
      <c r="C208" s="3">
        <f>+VLOOKUP(A208,Precios!$B:$H,1+$C$3,0)</f>
        <v>54.21</v>
      </c>
      <c r="D208" s="10">
        <f t="shared" si="15"/>
        <v>-7.5064079091906599E-3</v>
      </c>
      <c r="E208" s="53">
        <f t="shared" si="16"/>
        <v>5.9972283679276875E-5</v>
      </c>
      <c r="F208" s="9"/>
      <c r="H208" s="10">
        <f t="shared" si="17"/>
        <v>-1.800005309804454E-2</v>
      </c>
      <c r="I208" s="10">
        <f t="shared" si="18"/>
        <v>1.800005309804454E-2</v>
      </c>
    </row>
    <row r="209" spans="1:9" x14ac:dyDescent="0.25">
      <c r="A209" s="1">
        <v>45033</v>
      </c>
      <c r="B209" s="2">
        <f t="shared" si="19"/>
        <v>202</v>
      </c>
      <c r="C209" s="3">
        <f>+VLOOKUP(A209,Precios!$B:$H,1+$C$3,0)</f>
        <v>54.62</v>
      </c>
      <c r="D209" s="10">
        <f t="shared" si="15"/>
        <v>5.8931860036832706E-3</v>
      </c>
      <c r="E209" s="53">
        <f t="shared" si="16"/>
        <v>3.1983735878143226E-5</v>
      </c>
      <c r="F209" s="9"/>
      <c r="H209" s="10">
        <f t="shared" si="17"/>
        <v>-1.800005309804454E-2</v>
      </c>
      <c r="I209" s="10">
        <f t="shared" si="18"/>
        <v>1.800005309804454E-2</v>
      </c>
    </row>
    <row r="210" spans="1:9" x14ac:dyDescent="0.25">
      <c r="A210" s="1">
        <v>45030</v>
      </c>
      <c r="B210" s="2">
        <f t="shared" si="19"/>
        <v>203</v>
      </c>
      <c r="C210" s="3">
        <f>+VLOOKUP(A210,Precios!$B:$H,1+$C$3,0)</f>
        <v>54.3</v>
      </c>
      <c r="D210" s="10">
        <f t="shared" si="15"/>
        <v>-3.8525041276830096E-3</v>
      </c>
      <c r="E210" s="53">
        <f t="shared" si="16"/>
        <v>1.6730338314595862E-5</v>
      </c>
      <c r="F210" s="9"/>
      <c r="H210" s="10">
        <f t="shared" si="17"/>
        <v>-1.800005309804454E-2</v>
      </c>
      <c r="I210" s="10">
        <f t="shared" si="18"/>
        <v>1.800005309804454E-2</v>
      </c>
    </row>
    <row r="211" spans="1:9" x14ac:dyDescent="0.25">
      <c r="A211" s="1">
        <v>45029</v>
      </c>
      <c r="B211" s="2">
        <f t="shared" si="19"/>
        <v>204</v>
      </c>
      <c r="C211" s="3">
        <f>+VLOOKUP(A211,Precios!$B:$H,1+$C$3,0)</f>
        <v>54.51</v>
      </c>
      <c r="D211" s="10">
        <f t="shared" si="15"/>
        <v>7.3923489188689739E-3</v>
      </c>
      <c r="E211" s="53">
        <f t="shared" si="16"/>
        <v>5.118800672164036E-5</v>
      </c>
      <c r="F211" s="9"/>
      <c r="H211" s="10">
        <f t="shared" si="17"/>
        <v>-1.800005309804454E-2</v>
      </c>
      <c r="I211" s="10">
        <f t="shared" si="18"/>
        <v>1.800005309804454E-2</v>
      </c>
    </row>
    <row r="212" spans="1:9" x14ac:dyDescent="0.25">
      <c r="A212" s="1">
        <v>45028</v>
      </c>
      <c r="B212" s="2">
        <f t="shared" si="19"/>
        <v>205</v>
      </c>
      <c r="C212" s="3">
        <f>+VLOOKUP(A212,Precios!$B:$H,1+$C$3,0)</f>
        <v>54.11</v>
      </c>
      <c r="D212" s="10">
        <f t="shared" si="15"/>
        <v>-5.330882352941213E-3</v>
      </c>
      <c r="E212" s="53">
        <f t="shared" si="16"/>
        <v>3.1009883411992051E-5</v>
      </c>
      <c r="F212" s="9"/>
      <c r="H212" s="10">
        <f t="shared" si="17"/>
        <v>-1.800005309804454E-2</v>
      </c>
      <c r="I212" s="10">
        <f t="shared" si="18"/>
        <v>1.800005309804454E-2</v>
      </c>
    </row>
    <row r="213" spans="1:9" x14ac:dyDescent="0.25">
      <c r="A213" s="1">
        <v>45027</v>
      </c>
      <c r="B213" s="2">
        <f t="shared" si="19"/>
        <v>206</v>
      </c>
      <c r="C213" s="3">
        <f>+VLOOKUP(A213,Precios!$B:$H,1+$C$3,0)</f>
        <v>54.4</v>
      </c>
      <c r="D213" s="10">
        <f t="shared" si="15"/>
        <v>8.1541882876203786E-3</v>
      </c>
      <c r="E213" s="53">
        <f t="shared" si="16"/>
        <v>6.2669686488193174E-5</v>
      </c>
      <c r="F213" s="9"/>
      <c r="H213" s="10">
        <f t="shared" si="17"/>
        <v>-1.800005309804454E-2</v>
      </c>
      <c r="I213" s="10">
        <f t="shared" si="18"/>
        <v>1.800005309804454E-2</v>
      </c>
    </row>
    <row r="214" spans="1:9" x14ac:dyDescent="0.25">
      <c r="A214" s="1">
        <v>45026</v>
      </c>
      <c r="B214" s="2">
        <f t="shared" si="19"/>
        <v>207</v>
      </c>
      <c r="C214" s="3">
        <f>+VLOOKUP(A214,Precios!$B:$H,1+$C$3,0)</f>
        <v>53.96</v>
      </c>
      <c r="D214" s="10">
        <f t="shared" si="15"/>
        <v>1.1244377811094441E-2</v>
      </c>
      <c r="E214" s="53">
        <f t="shared" si="16"/>
        <v>1.2114542660729081E-4</v>
      </c>
      <c r="F214" s="9"/>
      <c r="H214" s="10">
        <f t="shared" si="17"/>
        <v>-1.800005309804454E-2</v>
      </c>
      <c r="I214" s="10">
        <f t="shared" si="18"/>
        <v>1.800005309804454E-2</v>
      </c>
    </row>
    <row r="215" spans="1:9" x14ac:dyDescent="0.25">
      <c r="A215" s="1">
        <v>45021</v>
      </c>
      <c r="B215" s="2">
        <f t="shared" si="19"/>
        <v>208</v>
      </c>
      <c r="C215" s="3">
        <f>+VLOOKUP(A215,Precios!$B:$H,1+$C$3,0)</f>
        <v>53.36</v>
      </c>
      <c r="D215" s="10">
        <f t="shared" si="15"/>
        <v>-1.0385756676557945E-2</v>
      </c>
      <c r="E215" s="53">
        <f t="shared" si="16"/>
        <v>1.1285930833382634E-4</v>
      </c>
      <c r="F215" s="9"/>
      <c r="H215" s="10">
        <f t="shared" si="17"/>
        <v>-1.800005309804454E-2</v>
      </c>
      <c r="I215" s="10">
        <f t="shared" si="18"/>
        <v>1.800005309804454E-2</v>
      </c>
    </row>
    <row r="216" spans="1:9" x14ac:dyDescent="0.25">
      <c r="A216" s="1">
        <v>45020</v>
      </c>
      <c r="B216" s="2">
        <f t="shared" si="19"/>
        <v>209</v>
      </c>
      <c r="C216" s="3">
        <f>+VLOOKUP(A216,Precios!$B:$H,1+$C$3,0)</f>
        <v>53.92</v>
      </c>
      <c r="D216" s="10">
        <f t="shared" si="15"/>
        <v>5.7825032643163965E-3</v>
      </c>
      <c r="E216" s="53">
        <f t="shared" si="16"/>
        <v>3.0744072564220782E-5</v>
      </c>
      <c r="F216" s="9"/>
      <c r="H216" s="10">
        <f t="shared" si="17"/>
        <v>-1.800005309804454E-2</v>
      </c>
      <c r="I216" s="10">
        <f t="shared" si="18"/>
        <v>1.800005309804454E-2</v>
      </c>
    </row>
    <row r="217" spans="1:9" x14ac:dyDescent="0.25">
      <c r="A217" s="1">
        <v>45019</v>
      </c>
      <c r="B217" s="2">
        <f t="shared" si="19"/>
        <v>210</v>
      </c>
      <c r="C217" s="3">
        <f>+VLOOKUP(A217,Precios!$B:$H,1+$C$3,0)</f>
        <v>53.61</v>
      </c>
      <c r="D217" s="10">
        <f t="shared" si="15"/>
        <v>-5.5928411633110464E-4</v>
      </c>
      <c r="E217" s="53">
        <f t="shared" si="16"/>
        <v>6.352944605401222E-7</v>
      </c>
      <c r="F217" s="9"/>
      <c r="H217" s="10">
        <f t="shared" si="17"/>
        <v>-1.800005309804454E-2</v>
      </c>
      <c r="I217" s="10">
        <f t="shared" si="18"/>
        <v>1.800005309804454E-2</v>
      </c>
    </row>
    <row r="218" spans="1:9" x14ac:dyDescent="0.25">
      <c r="A218" s="1">
        <v>45016</v>
      </c>
      <c r="B218" s="2">
        <f t="shared" si="19"/>
        <v>211</v>
      </c>
      <c r="C218" s="3">
        <f>+VLOOKUP(A218,Precios!$B:$H,1+$C$3,0)</f>
        <v>53.64</v>
      </c>
      <c r="D218" s="10">
        <f t="shared" si="15"/>
        <v>-5.7460611677480067E-3</v>
      </c>
      <c r="E218" s="53">
        <f t="shared" si="16"/>
        <v>3.5806229409483451E-5</v>
      </c>
      <c r="F218" s="9"/>
      <c r="H218" s="10">
        <f t="shared" si="17"/>
        <v>-1.800005309804454E-2</v>
      </c>
      <c r="I218" s="10">
        <f t="shared" si="18"/>
        <v>1.800005309804454E-2</v>
      </c>
    </row>
    <row r="219" spans="1:9" x14ac:dyDescent="0.25">
      <c r="A219" s="1">
        <v>45015</v>
      </c>
      <c r="B219" s="2">
        <f t="shared" si="19"/>
        <v>212</v>
      </c>
      <c r="C219" s="3">
        <f>+VLOOKUP(A219,Precios!$B:$H,1+$C$3,0)</f>
        <v>53.95</v>
      </c>
      <c r="D219" s="10">
        <f t="shared" si="15"/>
        <v>6.9055617767823652E-3</v>
      </c>
      <c r="E219" s="53">
        <f t="shared" si="16"/>
        <v>4.4459453902922968E-5</v>
      </c>
      <c r="F219" s="9"/>
      <c r="H219" s="10">
        <f t="shared" si="17"/>
        <v>-1.800005309804454E-2</v>
      </c>
      <c r="I219" s="10">
        <f t="shared" si="18"/>
        <v>1.800005309804454E-2</v>
      </c>
    </row>
    <row r="220" spans="1:9" x14ac:dyDescent="0.25">
      <c r="A220" s="1">
        <v>45014</v>
      </c>
      <c r="B220" s="2">
        <f t="shared" si="19"/>
        <v>213</v>
      </c>
      <c r="C220" s="3">
        <f>+VLOOKUP(A220,Precios!$B:$H,1+$C$3,0)</f>
        <v>53.58</v>
      </c>
      <c r="D220" s="10">
        <f t="shared" si="15"/>
        <v>9.2296100960631566E-3</v>
      </c>
      <c r="E220" s="53">
        <f t="shared" si="16"/>
        <v>8.0853197381343197E-5</v>
      </c>
      <c r="F220" s="9"/>
      <c r="H220" s="10">
        <f t="shared" si="17"/>
        <v>-1.800005309804454E-2</v>
      </c>
      <c r="I220" s="10">
        <f t="shared" si="18"/>
        <v>1.800005309804454E-2</v>
      </c>
    </row>
    <row r="221" spans="1:9" x14ac:dyDescent="0.25">
      <c r="A221" s="1">
        <v>45013</v>
      </c>
      <c r="B221" s="2">
        <f t="shared" si="19"/>
        <v>214</v>
      </c>
      <c r="C221" s="3">
        <f>+VLOOKUP(A221,Precios!$B:$H,1+$C$3,0)</f>
        <v>53.09</v>
      </c>
      <c r="D221" s="10">
        <f t="shared" si="15"/>
        <v>6.8272330741514509E-3</v>
      </c>
      <c r="E221" s="53">
        <f t="shared" si="16"/>
        <v>4.3421030251008272E-5</v>
      </c>
      <c r="F221" s="9"/>
      <c r="H221" s="10">
        <f t="shared" si="17"/>
        <v>-1.800005309804454E-2</v>
      </c>
      <c r="I221" s="10">
        <f t="shared" si="18"/>
        <v>1.800005309804454E-2</v>
      </c>
    </row>
    <row r="222" spans="1:9" x14ac:dyDescent="0.25">
      <c r="A222" s="1">
        <v>45012</v>
      </c>
      <c r="B222" s="2">
        <f t="shared" si="19"/>
        <v>215</v>
      </c>
      <c r="C222" s="3">
        <f>+VLOOKUP(A222,Precios!$B:$H,1+$C$3,0)</f>
        <v>52.73</v>
      </c>
      <c r="D222" s="10">
        <f t="shared" si="15"/>
        <v>1.7097264437688775E-3</v>
      </c>
      <c r="E222" s="53">
        <f t="shared" si="16"/>
        <v>2.1666572568051924E-6</v>
      </c>
      <c r="F222" s="9"/>
      <c r="H222" s="10">
        <f t="shared" si="17"/>
        <v>-1.800005309804454E-2</v>
      </c>
      <c r="I222" s="10">
        <f t="shared" si="18"/>
        <v>1.800005309804454E-2</v>
      </c>
    </row>
    <row r="223" spans="1:9" x14ac:dyDescent="0.25">
      <c r="A223" s="1">
        <v>45009</v>
      </c>
      <c r="B223" s="2">
        <f t="shared" si="19"/>
        <v>216</v>
      </c>
      <c r="C223" s="3">
        <f>+VLOOKUP(A223,Precios!$B:$H,1+$C$3,0)</f>
        <v>52.64</v>
      </c>
      <c r="D223" s="10">
        <f t="shared" si="15"/>
        <v>-1.7068082685377517E-3</v>
      </c>
      <c r="E223" s="53">
        <f t="shared" si="16"/>
        <v>3.7813826813832982E-6</v>
      </c>
      <c r="F223" s="9"/>
      <c r="H223" s="10">
        <f t="shared" si="17"/>
        <v>-1.800005309804454E-2</v>
      </c>
      <c r="I223" s="10">
        <f t="shared" si="18"/>
        <v>1.800005309804454E-2</v>
      </c>
    </row>
    <row r="224" spans="1:9" x14ac:dyDescent="0.25">
      <c r="A224" s="1">
        <v>45008</v>
      </c>
      <c r="B224" s="2">
        <f t="shared" si="19"/>
        <v>217</v>
      </c>
      <c r="C224" s="3">
        <f>+VLOOKUP(A224,Precios!$B:$H,1+$C$3,0)</f>
        <v>52.73</v>
      </c>
      <c r="D224" s="10">
        <f t="shared" si="15"/>
        <v>6.4897881275052249E-3</v>
      </c>
      <c r="E224" s="53">
        <f t="shared" si="16"/>
        <v>3.9087736971747124E-5</v>
      </c>
      <c r="F224" s="9"/>
      <c r="H224" s="10">
        <f t="shared" si="17"/>
        <v>-1.800005309804454E-2</v>
      </c>
      <c r="I224" s="10">
        <f t="shared" si="18"/>
        <v>1.800005309804454E-2</v>
      </c>
    </row>
    <row r="225" spans="1:9" x14ac:dyDescent="0.25">
      <c r="A225" s="1">
        <v>45007</v>
      </c>
      <c r="B225" s="2">
        <f t="shared" si="19"/>
        <v>218</v>
      </c>
      <c r="C225" s="3">
        <f>+VLOOKUP(A225,Precios!$B:$H,1+$C$3,0)</f>
        <v>52.39</v>
      </c>
      <c r="D225" s="10">
        <f t="shared" si="15"/>
        <v>-1.7149390243901275E-3</v>
      </c>
      <c r="E225" s="53">
        <f t="shared" si="16"/>
        <v>3.8130705646488814E-6</v>
      </c>
      <c r="F225" s="9"/>
      <c r="H225" s="10">
        <f t="shared" si="17"/>
        <v>-1.800005309804454E-2</v>
      </c>
      <c r="I225" s="10">
        <f t="shared" si="18"/>
        <v>1.800005309804454E-2</v>
      </c>
    </row>
    <row r="226" spans="1:9" x14ac:dyDescent="0.25">
      <c r="A226" s="1">
        <v>45006</v>
      </c>
      <c r="B226" s="2">
        <f t="shared" si="19"/>
        <v>219</v>
      </c>
      <c r="C226" s="3">
        <f>+VLOOKUP(A226,Precios!$B:$H,1+$C$3,0)</f>
        <v>52.48</v>
      </c>
      <c r="D226" s="10">
        <f t="shared" si="15"/>
        <v>1.3714506470928978E-2</v>
      </c>
      <c r="E226" s="53">
        <f t="shared" si="16"/>
        <v>1.8162243949801103E-4</v>
      </c>
      <c r="F226" s="9"/>
      <c r="H226" s="10">
        <f t="shared" si="17"/>
        <v>-1.800005309804454E-2</v>
      </c>
      <c r="I226" s="10">
        <f t="shared" si="18"/>
        <v>1.800005309804454E-2</v>
      </c>
    </row>
    <row r="227" spans="1:9" x14ac:dyDescent="0.25">
      <c r="A227" s="1">
        <v>45002</v>
      </c>
      <c r="B227" s="2">
        <f t="shared" si="19"/>
        <v>220</v>
      </c>
      <c r="C227" s="3">
        <f>+VLOOKUP(A227,Precios!$B:$H,1+$C$3,0)</f>
        <v>51.77</v>
      </c>
      <c r="D227" s="10">
        <f t="shared" si="15"/>
        <v>-1.2022900763358657E-2</v>
      </c>
      <c r="E227" s="53">
        <f t="shared" si="16"/>
        <v>1.5032403520272365E-4</v>
      </c>
      <c r="F227" s="9"/>
      <c r="H227" s="10">
        <f t="shared" si="17"/>
        <v>-1.800005309804454E-2</v>
      </c>
      <c r="I227" s="10">
        <f t="shared" si="18"/>
        <v>1.800005309804454E-2</v>
      </c>
    </row>
    <row r="228" spans="1:9" x14ac:dyDescent="0.25">
      <c r="A228" s="1">
        <v>45001</v>
      </c>
      <c r="B228" s="2">
        <f t="shared" si="19"/>
        <v>221</v>
      </c>
      <c r="C228" s="3">
        <f>+VLOOKUP(A228,Precios!$B:$H,1+$C$3,0)</f>
        <v>52.4</v>
      </c>
      <c r="D228" s="10">
        <f t="shared" si="15"/>
        <v>8.0800307810697802E-3</v>
      </c>
      <c r="E228" s="53">
        <f t="shared" si="16"/>
        <v>6.1501062067140957E-5</v>
      </c>
      <c r="F228" s="9"/>
      <c r="H228" s="10">
        <f t="shared" si="17"/>
        <v>-1.800005309804454E-2</v>
      </c>
      <c r="I228" s="10">
        <f t="shared" si="18"/>
        <v>1.800005309804454E-2</v>
      </c>
    </row>
    <row r="229" spans="1:9" x14ac:dyDescent="0.25">
      <c r="A229" s="1">
        <v>45000</v>
      </c>
      <c r="B229" s="2">
        <f t="shared" si="19"/>
        <v>222</v>
      </c>
      <c r="C229" s="3">
        <f>+VLOOKUP(A229,Precios!$B:$H,1+$C$3,0)</f>
        <v>51.98</v>
      </c>
      <c r="D229" s="10">
        <f t="shared" si="15"/>
        <v>-1.1599163339037988E-2</v>
      </c>
      <c r="E229" s="53">
        <f t="shared" si="16"/>
        <v>1.4011297893540953E-4</v>
      </c>
      <c r="F229" s="9"/>
      <c r="H229" s="10">
        <f t="shared" si="17"/>
        <v>-1.800005309804454E-2</v>
      </c>
      <c r="I229" s="10">
        <f t="shared" si="18"/>
        <v>1.800005309804454E-2</v>
      </c>
    </row>
    <row r="230" spans="1:9" x14ac:dyDescent="0.25">
      <c r="A230" s="1">
        <v>44999</v>
      </c>
      <c r="B230" s="2">
        <f t="shared" si="19"/>
        <v>223</v>
      </c>
      <c r="C230" s="3">
        <f>+VLOOKUP(A230,Precios!$B:$H,1+$C$3,0)</f>
        <v>52.59</v>
      </c>
      <c r="D230" s="10">
        <f t="shared" si="15"/>
        <v>-6.0480060480059272E-3</v>
      </c>
      <c r="E230" s="53">
        <f t="shared" si="16"/>
        <v>3.9510974186547837E-5</v>
      </c>
      <c r="F230" s="9"/>
      <c r="H230" s="10">
        <f t="shared" si="17"/>
        <v>-1.800005309804454E-2</v>
      </c>
      <c r="I230" s="10">
        <f t="shared" si="18"/>
        <v>1.800005309804454E-2</v>
      </c>
    </row>
    <row r="231" spans="1:9" x14ac:dyDescent="0.25">
      <c r="A231" s="1">
        <v>44998</v>
      </c>
      <c r="B231" s="2">
        <f t="shared" si="19"/>
        <v>224</v>
      </c>
      <c r="C231" s="3">
        <f>+VLOOKUP(A231,Precios!$B:$H,1+$C$3,0)</f>
        <v>52.91</v>
      </c>
      <c r="D231" s="10">
        <f t="shared" si="15"/>
        <v>4.747436384352488E-3</v>
      </c>
      <c r="E231" s="53">
        <f t="shared" si="16"/>
        <v>2.0337095446109067E-5</v>
      </c>
      <c r="F231" s="9"/>
      <c r="H231" s="10">
        <f t="shared" si="17"/>
        <v>-1.800005309804454E-2</v>
      </c>
      <c r="I231" s="10">
        <f t="shared" si="18"/>
        <v>1.800005309804454E-2</v>
      </c>
    </row>
    <row r="232" spans="1:9" x14ac:dyDescent="0.25">
      <c r="A232" s="1">
        <v>44995</v>
      </c>
      <c r="B232" s="2">
        <f t="shared" si="19"/>
        <v>225</v>
      </c>
      <c r="C232" s="3">
        <f>+VLOOKUP(A232,Precios!$B:$H,1+$C$3,0)</f>
        <v>52.66</v>
      </c>
      <c r="D232" s="10">
        <f t="shared" si="15"/>
        <v>-1.1265490048817162E-2</v>
      </c>
      <c r="E232" s="53">
        <f t="shared" si="16"/>
        <v>1.3232498014979945E-4</v>
      </c>
      <c r="F232" s="9"/>
      <c r="H232" s="10">
        <f t="shared" si="17"/>
        <v>-1.800005309804454E-2</v>
      </c>
      <c r="I232" s="10">
        <f t="shared" si="18"/>
        <v>1.800005309804454E-2</v>
      </c>
    </row>
    <row r="233" spans="1:9" x14ac:dyDescent="0.25">
      <c r="A233" s="1">
        <v>44994</v>
      </c>
      <c r="B233" s="2">
        <f t="shared" si="19"/>
        <v>226</v>
      </c>
      <c r="C233" s="3">
        <f>+VLOOKUP(A233,Precios!$B:$H,1+$C$3,0)</f>
        <v>53.26</v>
      </c>
      <c r="D233" s="10">
        <f t="shared" si="15"/>
        <v>7.5159714393091548E-4</v>
      </c>
      <c r="E233" s="53">
        <f t="shared" si="16"/>
        <v>2.6401885202959557E-7</v>
      </c>
      <c r="F233" s="9"/>
      <c r="H233" s="10">
        <f t="shared" si="17"/>
        <v>-1.800005309804454E-2</v>
      </c>
      <c r="I233" s="10">
        <f t="shared" si="18"/>
        <v>1.800005309804454E-2</v>
      </c>
    </row>
    <row r="234" spans="1:9" x14ac:dyDescent="0.25">
      <c r="A234" s="1">
        <v>44993</v>
      </c>
      <c r="B234" s="2">
        <f t="shared" si="19"/>
        <v>227</v>
      </c>
      <c r="C234" s="3">
        <f>+VLOOKUP(A234,Precios!$B:$H,1+$C$3,0)</f>
        <v>53.22</v>
      </c>
      <c r="D234" s="10">
        <f t="shared" si="15"/>
        <v>5.8590058590060057E-3</v>
      </c>
      <c r="E234" s="53">
        <f t="shared" si="16"/>
        <v>3.1598298251531055E-5</v>
      </c>
      <c r="F234" s="9"/>
      <c r="H234" s="10">
        <f t="shared" si="17"/>
        <v>-1.800005309804454E-2</v>
      </c>
      <c r="I234" s="10">
        <f t="shared" si="18"/>
        <v>1.800005309804454E-2</v>
      </c>
    </row>
    <row r="235" spans="1:9" x14ac:dyDescent="0.25">
      <c r="A235" s="1">
        <v>44992</v>
      </c>
      <c r="B235" s="2">
        <f t="shared" si="19"/>
        <v>228</v>
      </c>
      <c r="C235" s="3">
        <f>+VLOOKUP(A235,Precios!$B:$H,1+$C$3,0)</f>
        <v>52.91</v>
      </c>
      <c r="D235" s="10">
        <f t="shared" si="15"/>
        <v>-1.6359918200409052E-2</v>
      </c>
      <c r="E235" s="53">
        <f t="shared" si="16"/>
        <v>2.7548323685940837E-4</v>
      </c>
      <c r="F235" s="9"/>
      <c r="H235" s="10">
        <f t="shared" si="17"/>
        <v>-1.800005309804454E-2</v>
      </c>
      <c r="I235" s="10">
        <f t="shared" si="18"/>
        <v>1.800005309804454E-2</v>
      </c>
    </row>
    <row r="236" spans="1:9" x14ac:dyDescent="0.25">
      <c r="A236" s="1">
        <v>44991</v>
      </c>
      <c r="B236" s="2">
        <f t="shared" si="19"/>
        <v>229</v>
      </c>
      <c r="C236" s="3">
        <f>+VLOOKUP(A236,Precios!$B:$H,1+$C$3,0)</f>
        <v>53.79</v>
      </c>
      <c r="D236" s="10">
        <f t="shared" si="15"/>
        <v>-4.8103607770582091E-3</v>
      </c>
      <c r="E236" s="53">
        <f t="shared" si="16"/>
        <v>2.5483619251297064E-5</v>
      </c>
      <c r="F236" s="9"/>
      <c r="H236" s="10">
        <f t="shared" si="17"/>
        <v>-1.800005309804454E-2</v>
      </c>
      <c r="I236" s="10">
        <f t="shared" si="18"/>
        <v>1.800005309804454E-2</v>
      </c>
    </row>
    <row r="237" spans="1:9" x14ac:dyDescent="0.25">
      <c r="A237" s="1">
        <v>44988</v>
      </c>
      <c r="B237" s="2">
        <f t="shared" si="19"/>
        <v>230</v>
      </c>
      <c r="C237" s="3">
        <f>+VLOOKUP(A237,Precios!$B:$H,1+$C$3,0)</f>
        <v>54.05</v>
      </c>
      <c r="D237" s="10">
        <f t="shared" si="15"/>
        <v>1.5786506295808911E-2</v>
      </c>
      <c r="E237" s="53">
        <f t="shared" si="16"/>
        <v>2.417632160773387E-4</v>
      </c>
      <c r="F237" s="9"/>
      <c r="H237" s="10">
        <f t="shared" si="17"/>
        <v>-1.800005309804454E-2</v>
      </c>
      <c r="I237" s="10">
        <f t="shared" si="18"/>
        <v>1.800005309804454E-2</v>
      </c>
    </row>
    <row r="238" spans="1:9" x14ac:dyDescent="0.25">
      <c r="A238" s="1">
        <v>44987</v>
      </c>
      <c r="B238" s="2">
        <f t="shared" si="19"/>
        <v>231</v>
      </c>
      <c r="C238" s="3">
        <f>+VLOOKUP(A238,Precios!$B:$H,1+$C$3,0)</f>
        <v>53.21</v>
      </c>
      <c r="D238" s="10">
        <f t="shared" si="15"/>
        <v>-1.6885553470918913E-3</v>
      </c>
      <c r="E238" s="53">
        <f t="shared" si="16"/>
        <v>3.7107274001705875E-6</v>
      </c>
      <c r="F238" s="9"/>
      <c r="H238" s="10">
        <f t="shared" si="17"/>
        <v>-1.800005309804454E-2</v>
      </c>
      <c r="I238" s="10">
        <f t="shared" si="18"/>
        <v>1.800005309804454E-2</v>
      </c>
    </row>
    <row r="239" spans="1:9" x14ac:dyDescent="0.25">
      <c r="A239" s="1">
        <v>44986</v>
      </c>
      <c r="B239" s="2">
        <f t="shared" si="19"/>
        <v>232</v>
      </c>
      <c r="C239" s="3">
        <f>+VLOOKUP(A239,Precios!$B:$H,1+$C$3,0)</f>
        <v>53.3</v>
      </c>
      <c r="D239" s="10">
        <f t="shared" si="15"/>
        <v>1.2345679012345734E-2</v>
      </c>
      <c r="E239" s="53">
        <f t="shared" si="16"/>
        <v>1.4660147286193909E-4</v>
      </c>
      <c r="F239" s="9"/>
      <c r="H239" s="10">
        <f t="shared" si="17"/>
        <v>-1.800005309804454E-2</v>
      </c>
      <c r="I239" s="10">
        <f t="shared" si="18"/>
        <v>1.800005309804454E-2</v>
      </c>
    </row>
    <row r="240" spans="1:9" x14ac:dyDescent="0.25">
      <c r="A240" s="1">
        <v>44985</v>
      </c>
      <c r="B240" s="2">
        <f t="shared" si="19"/>
        <v>233</v>
      </c>
      <c r="C240" s="3">
        <f>+VLOOKUP(A240,Precios!$B:$H,1+$C$3,0)</f>
        <v>52.65</v>
      </c>
      <c r="D240" s="10">
        <f t="shared" si="15"/>
        <v>-3.0297292179511937E-3</v>
      </c>
      <c r="E240" s="53">
        <f t="shared" si="16"/>
        <v>1.0676547844074153E-5</v>
      </c>
      <c r="F240" s="9"/>
      <c r="H240" s="10">
        <f t="shared" si="17"/>
        <v>-1.800005309804454E-2</v>
      </c>
      <c r="I240" s="10">
        <f t="shared" si="18"/>
        <v>1.800005309804454E-2</v>
      </c>
    </row>
    <row r="241" spans="1:9" x14ac:dyDescent="0.25">
      <c r="A241" s="1">
        <v>44984</v>
      </c>
      <c r="B241" s="2">
        <f t="shared" si="19"/>
        <v>234</v>
      </c>
      <c r="C241" s="3">
        <f>+VLOOKUP(A241,Precios!$B:$H,1+$C$3,0)</f>
        <v>52.81</v>
      </c>
      <c r="D241" s="10">
        <f t="shared" si="15"/>
        <v>5.9047619047618571E-3</v>
      </c>
      <c r="E241" s="53">
        <f t="shared" si="16"/>
        <v>3.2114802963736969E-5</v>
      </c>
      <c r="F241" s="9"/>
      <c r="H241" s="10">
        <f t="shared" si="17"/>
        <v>-1.800005309804454E-2</v>
      </c>
      <c r="I241" s="10">
        <f t="shared" si="18"/>
        <v>1.800005309804454E-2</v>
      </c>
    </row>
    <row r="242" spans="1:9" x14ac:dyDescent="0.25">
      <c r="A242" s="1">
        <v>44981</v>
      </c>
      <c r="B242" s="2">
        <f t="shared" si="19"/>
        <v>235</v>
      </c>
      <c r="C242" s="3">
        <f>+VLOOKUP(A242,Precios!$B:$H,1+$C$3,0)</f>
        <v>52.5</v>
      </c>
      <c r="D242" s="10">
        <f t="shared" si="15"/>
        <v>-7.7490077490076636E-3</v>
      </c>
      <c r="E242" s="53">
        <f t="shared" si="16"/>
        <v>6.378861075746486E-5</v>
      </c>
      <c r="F242" s="9"/>
      <c r="H242" s="10">
        <f t="shared" si="17"/>
        <v>-1.800005309804454E-2</v>
      </c>
      <c r="I242" s="10">
        <f t="shared" si="18"/>
        <v>1.800005309804454E-2</v>
      </c>
    </row>
    <row r="243" spans="1:9" x14ac:dyDescent="0.25">
      <c r="A243" s="1">
        <v>44980</v>
      </c>
      <c r="B243" s="2">
        <f t="shared" si="19"/>
        <v>236</v>
      </c>
      <c r="C243" s="3">
        <f>+VLOOKUP(A243,Precios!$B:$H,1+$C$3,0)</f>
        <v>52.91</v>
      </c>
      <c r="D243" s="10">
        <f t="shared" si="15"/>
        <v>-1.6981132075472027E-3</v>
      </c>
      <c r="E243" s="53">
        <f t="shared" si="16"/>
        <v>3.7476418409461388E-6</v>
      </c>
      <c r="F243" s="9"/>
      <c r="H243" s="10">
        <f t="shared" si="17"/>
        <v>-1.800005309804454E-2</v>
      </c>
      <c r="I243" s="10">
        <f t="shared" si="18"/>
        <v>1.800005309804454E-2</v>
      </c>
    </row>
    <row r="244" spans="1:9" x14ac:dyDescent="0.25">
      <c r="A244" s="1">
        <v>44979</v>
      </c>
      <c r="B244" s="2">
        <f t="shared" si="19"/>
        <v>237</v>
      </c>
      <c r="C244" s="3">
        <f>+VLOOKUP(A244,Precios!$B:$H,1+$C$3,0)</f>
        <v>53</v>
      </c>
      <c r="D244" s="10">
        <f t="shared" si="15"/>
        <v>-1.8864365214110723E-4</v>
      </c>
      <c r="E244" s="53">
        <f t="shared" si="16"/>
        <v>1.8182817269899675E-7</v>
      </c>
      <c r="F244" s="9"/>
      <c r="H244" s="10">
        <f t="shared" si="17"/>
        <v>-1.800005309804454E-2</v>
      </c>
      <c r="I244" s="10">
        <f t="shared" si="18"/>
        <v>1.800005309804454E-2</v>
      </c>
    </row>
    <row r="245" spans="1:9" x14ac:dyDescent="0.25">
      <c r="A245" s="1">
        <v>44978</v>
      </c>
      <c r="B245" s="2">
        <f t="shared" si="19"/>
        <v>238</v>
      </c>
      <c r="C245" s="3">
        <f>+VLOOKUP(A245,Precios!$B:$H,1+$C$3,0)</f>
        <v>53.01</v>
      </c>
      <c r="D245" s="10">
        <f t="shared" si="15"/>
        <v>-1.4500836586726185E-2</v>
      </c>
      <c r="E245" s="53">
        <f t="shared" si="16"/>
        <v>2.1722650925456278E-4</v>
      </c>
      <c r="F245" s="9"/>
      <c r="H245" s="10">
        <f t="shared" si="17"/>
        <v>-1.800005309804454E-2</v>
      </c>
      <c r="I245" s="10">
        <f t="shared" si="18"/>
        <v>1.800005309804454E-2</v>
      </c>
    </row>
    <row r="246" spans="1:9" x14ac:dyDescent="0.25">
      <c r="A246" s="1">
        <v>44977</v>
      </c>
      <c r="B246" s="2">
        <f t="shared" si="19"/>
        <v>239</v>
      </c>
      <c r="C246" s="3">
        <f>+VLOOKUP(A246,Precios!$B:$H,1+$C$3,0)</f>
        <v>53.79</v>
      </c>
      <c r="D246" s="10">
        <f t="shared" si="15"/>
        <v>3.3575825405707249E-3</v>
      </c>
      <c r="E246" s="53">
        <f t="shared" si="16"/>
        <v>9.7332334345999562E-6</v>
      </c>
      <c r="F246" s="9"/>
      <c r="H246" s="10">
        <f t="shared" si="17"/>
        <v>-1.800005309804454E-2</v>
      </c>
      <c r="I246" s="10">
        <f t="shared" si="18"/>
        <v>1.800005309804454E-2</v>
      </c>
    </row>
    <row r="247" spans="1:9" x14ac:dyDescent="0.25">
      <c r="A247" s="1">
        <v>44974</v>
      </c>
      <c r="B247" s="2">
        <f t="shared" si="19"/>
        <v>240</v>
      </c>
      <c r="C247" s="3">
        <f>+VLOOKUP(A247,Precios!$B:$H,1+$C$3,0)</f>
        <v>53.61</v>
      </c>
      <c r="D247" s="10">
        <f t="shared" si="15"/>
        <v>-3.1610264038676172E-3</v>
      </c>
      <c r="E247" s="53">
        <f t="shared" si="16"/>
        <v>1.1551813567294141E-5</v>
      </c>
      <c r="F247" s="9"/>
      <c r="H247" s="10">
        <f t="shared" si="17"/>
        <v>-1.800005309804454E-2</v>
      </c>
      <c r="I247" s="10">
        <f t="shared" si="18"/>
        <v>1.800005309804454E-2</v>
      </c>
    </row>
    <row r="248" spans="1:9" x14ac:dyDescent="0.25">
      <c r="A248" s="1">
        <v>44973</v>
      </c>
      <c r="B248" s="2">
        <f t="shared" si="19"/>
        <v>241</v>
      </c>
      <c r="C248" s="3">
        <f>+VLOOKUP(A248,Precios!$B:$H,1+$C$3,0)</f>
        <v>53.78</v>
      </c>
      <c r="D248" s="10">
        <f t="shared" si="15"/>
        <v>1.1092310584696508E-2</v>
      </c>
      <c r="E248" s="53">
        <f t="shared" si="16"/>
        <v>1.1782106225151108E-4</v>
      </c>
      <c r="F248" s="9"/>
      <c r="H248" s="10">
        <f t="shared" si="17"/>
        <v>-1.800005309804454E-2</v>
      </c>
      <c r="I248" s="10">
        <f t="shared" si="18"/>
        <v>1.800005309804454E-2</v>
      </c>
    </row>
    <row r="249" spans="1:9" x14ac:dyDescent="0.25">
      <c r="A249" s="1">
        <v>44972</v>
      </c>
      <c r="B249" s="2">
        <f t="shared" si="19"/>
        <v>242</v>
      </c>
      <c r="C249" s="3">
        <f>+VLOOKUP(A249,Precios!$B:$H,1+$C$3,0)</f>
        <v>53.19</v>
      </c>
      <c r="D249" s="10">
        <f t="shared" si="15"/>
        <v>1.4108674928503318E-2</v>
      </c>
      <c r="E249" s="53">
        <f t="shared" si="16"/>
        <v>1.9240201752423607E-4</v>
      </c>
      <c r="F249" s="9"/>
      <c r="H249" s="10">
        <f t="shared" si="17"/>
        <v>-1.800005309804454E-2</v>
      </c>
      <c r="I249" s="10">
        <f t="shared" si="18"/>
        <v>1.800005309804454E-2</v>
      </c>
    </row>
    <row r="250" spans="1:9" x14ac:dyDescent="0.25">
      <c r="A250" s="1">
        <v>44971</v>
      </c>
      <c r="B250" s="2">
        <f t="shared" si="19"/>
        <v>243</v>
      </c>
      <c r="C250" s="3">
        <f>+VLOOKUP(A250,Precios!$B:$H,1+$C$3,0)</f>
        <v>52.45</v>
      </c>
      <c r="D250" s="10">
        <f t="shared" si="15"/>
        <v>-6.8168907403900469E-3</v>
      </c>
      <c r="E250" s="53">
        <f t="shared" si="16"/>
        <v>4.9768231047451538E-5</v>
      </c>
      <c r="F250" s="9"/>
      <c r="H250" s="10">
        <f t="shared" si="17"/>
        <v>-1.800005309804454E-2</v>
      </c>
      <c r="I250" s="10">
        <f t="shared" si="18"/>
        <v>1.800005309804454E-2</v>
      </c>
    </row>
    <row r="251" spans="1:9" x14ac:dyDescent="0.25">
      <c r="A251" s="1">
        <v>44970</v>
      </c>
      <c r="B251" s="2">
        <f t="shared" si="19"/>
        <v>244</v>
      </c>
      <c r="C251" s="3">
        <f>+VLOOKUP(A251,Precios!$B:$H,1+$C$3,0)</f>
        <v>52.81</v>
      </c>
      <c r="D251" s="10">
        <f t="shared" si="15"/>
        <v>1.1492051331162711E-2</v>
      </c>
      <c r="E251" s="53">
        <f t="shared" si="16"/>
        <v>1.2665885963077927E-4</v>
      </c>
      <c r="F251" s="9"/>
      <c r="H251" s="10">
        <f t="shared" si="17"/>
        <v>-1.800005309804454E-2</v>
      </c>
      <c r="I251" s="10">
        <f t="shared" si="18"/>
        <v>1.800005309804454E-2</v>
      </c>
    </row>
    <row r="252" spans="1:9" x14ac:dyDescent="0.25">
      <c r="A252" s="1">
        <v>44967</v>
      </c>
      <c r="B252" s="2">
        <f t="shared" si="19"/>
        <v>245</v>
      </c>
      <c r="C252" s="3">
        <f>+VLOOKUP(A252,Precios!$B:$H,1+$C$3,0)</f>
        <v>52.21</v>
      </c>
      <c r="D252" s="10">
        <f t="shared" si="15"/>
        <v>-7.6031172780839373E-3</v>
      </c>
      <c r="E252" s="53">
        <f t="shared" si="16"/>
        <v>6.1479505400168451E-5</v>
      </c>
      <c r="F252" s="9"/>
      <c r="H252" s="10">
        <f t="shared" si="17"/>
        <v>-1.800005309804454E-2</v>
      </c>
      <c r="I252" s="10">
        <f t="shared" si="18"/>
        <v>1.800005309804454E-2</v>
      </c>
    </row>
    <row r="253" spans="1:9" x14ac:dyDescent="0.25">
      <c r="A253" s="1">
        <v>44966</v>
      </c>
      <c r="B253" s="2">
        <f t="shared" si="19"/>
        <v>246</v>
      </c>
      <c r="C253" s="3">
        <f>+VLOOKUP(A253,Precios!$B:$H,1+$C$3,0)</f>
        <v>52.61</v>
      </c>
      <c r="D253" s="10">
        <f t="shared" si="15"/>
        <v>-5.4820415879016648E-3</v>
      </c>
      <c r="E253" s="53">
        <f t="shared" si="16"/>
        <v>3.2716238832726047E-5</v>
      </c>
      <c r="F253" s="9"/>
      <c r="H253" s="10">
        <f t="shared" si="17"/>
        <v>-1.800005309804454E-2</v>
      </c>
      <c r="I253" s="10">
        <f t="shared" si="18"/>
        <v>1.800005309804454E-2</v>
      </c>
    </row>
    <row r="254" spans="1:9" x14ac:dyDescent="0.25">
      <c r="A254" s="1">
        <v>44965</v>
      </c>
      <c r="B254" s="2">
        <f t="shared" si="19"/>
        <v>247</v>
      </c>
      <c r="C254" s="3">
        <f>+VLOOKUP(A254,Precios!$B:$H,1+$C$3,0)</f>
        <v>52.9</v>
      </c>
      <c r="D254" s="10">
        <f t="shared" si="15"/>
        <v>-4.141566265060237E-3</v>
      </c>
      <c r="E254" s="53">
        <f t="shared" si="16"/>
        <v>1.917858170595855E-5</v>
      </c>
      <c r="F254" s="9"/>
      <c r="H254" s="10">
        <f t="shared" si="17"/>
        <v>-1.800005309804454E-2</v>
      </c>
      <c r="I254" s="10">
        <f t="shared" si="18"/>
        <v>1.800005309804454E-2</v>
      </c>
    </row>
    <row r="255" spans="1:9" x14ac:dyDescent="0.25">
      <c r="A255" s="1">
        <v>44964</v>
      </c>
      <c r="B255" s="2">
        <f t="shared" si="19"/>
        <v>248</v>
      </c>
      <c r="C255" s="3">
        <f>+VLOOKUP(A255,Precios!$B:$H,1+$C$3,0)</f>
        <v>53.12</v>
      </c>
      <c r="D255" s="10">
        <f t="shared" si="15"/>
        <v>-1.3189671187070373E-2</v>
      </c>
      <c r="E255" s="53">
        <f t="shared" si="16"/>
        <v>1.8029616329080431E-4</v>
      </c>
      <c r="F255" s="9"/>
      <c r="H255" s="10">
        <f t="shared" si="17"/>
        <v>-1.800005309804454E-2</v>
      </c>
      <c r="I255" s="10">
        <f t="shared" si="18"/>
        <v>1.800005309804454E-2</v>
      </c>
    </row>
    <row r="256" spans="1:9" x14ac:dyDescent="0.25">
      <c r="A256" s="1">
        <v>44960</v>
      </c>
      <c r="B256" s="2">
        <f t="shared" si="19"/>
        <v>249</v>
      </c>
      <c r="C256" s="3">
        <f>+VLOOKUP(A256,Precios!$B:$H,1+$C$3,0)</f>
        <v>53.83</v>
      </c>
      <c r="D256" s="10">
        <f t="shared" si="15"/>
        <v>1.6747301823594185E-3</v>
      </c>
      <c r="E256" s="53">
        <f t="shared" si="16"/>
        <v>2.0648560148455322E-6</v>
      </c>
      <c r="F256" s="9"/>
      <c r="H256" s="10">
        <f t="shared" si="17"/>
        <v>-1.800005309804454E-2</v>
      </c>
      <c r="I256" s="10">
        <f t="shared" si="18"/>
        <v>1.800005309804454E-2</v>
      </c>
    </row>
    <row r="257" spans="1:9" x14ac:dyDescent="0.25">
      <c r="A257" s="1">
        <v>44959</v>
      </c>
      <c r="B257" s="2">
        <f t="shared" si="19"/>
        <v>250</v>
      </c>
      <c r="C257" s="3">
        <f>+VLOOKUP(A257,Precios!$B:$H,1+$C$3,0)</f>
        <v>53.74</v>
      </c>
      <c r="D257" s="10">
        <f t="shared" si="15"/>
        <v>-1.9164081036685432E-2</v>
      </c>
      <c r="E257" s="53">
        <f t="shared" si="16"/>
        <v>3.7643180408317411E-4</v>
      </c>
      <c r="F257" s="9"/>
      <c r="H257" s="10">
        <f t="shared" si="17"/>
        <v>-1.800005309804454E-2</v>
      </c>
      <c r="I257" s="10">
        <f t="shared" si="18"/>
        <v>1.800005309804454E-2</v>
      </c>
    </row>
    <row r="258" spans="1:9" x14ac:dyDescent="0.25">
      <c r="A258" s="1">
        <v>44958</v>
      </c>
      <c r="B258" s="2">
        <f t="shared" si="19"/>
        <v>251</v>
      </c>
      <c r="C258" s="3">
        <f>+VLOOKUP(A258,Precios!$B:$H,1+$C$3,0)</f>
        <v>54.79</v>
      </c>
      <c r="D258" s="10">
        <f t="shared" si="15"/>
        <v>7.5395365943360382E-3</v>
      </c>
      <c r="E258" s="53">
        <f t="shared" si="16"/>
        <v>5.3315802761914912E-5</v>
      </c>
      <c r="F258" s="9"/>
      <c r="H258" s="10">
        <f t="shared" si="17"/>
        <v>-1.800005309804454E-2</v>
      </c>
      <c r="I258" s="10">
        <f t="shared" si="18"/>
        <v>1.800005309804454E-2</v>
      </c>
    </row>
    <row r="259" spans="1:9" x14ac:dyDescent="0.25">
      <c r="A259" s="1">
        <v>44957</v>
      </c>
      <c r="B259" s="2">
        <f t="shared" si="19"/>
        <v>252</v>
      </c>
      <c r="C259" s="3">
        <f>+VLOOKUP(A259,Precios!$B:$H,1+$C$3,0)</f>
        <v>54.38</v>
      </c>
      <c r="D259" s="10">
        <f t="shared" si="15"/>
        <v>1.6577638607480072E-3</v>
      </c>
      <c r="E259" s="53">
        <f t="shared" si="16"/>
        <v>2.0163839966107974E-6</v>
      </c>
      <c r="F259" s="9"/>
      <c r="H259" s="10"/>
      <c r="I259" s="10"/>
    </row>
    <row r="260" spans="1:9" x14ac:dyDescent="0.25">
      <c r="A260" s="1">
        <v>44956</v>
      </c>
      <c r="B260" s="2">
        <f t="shared" ref="B260" si="20">+B259+1</f>
        <v>253</v>
      </c>
      <c r="C260" s="3">
        <f>+VLOOKUP(A260,Precios!$B:$H,1+$C$3,0)</f>
        <v>54.29</v>
      </c>
      <c r="D260" s="10"/>
      <c r="E260" s="53"/>
      <c r="F260" s="9"/>
    </row>
    <row r="261" spans="1:9" x14ac:dyDescent="0.25">
      <c r="A261" s="1"/>
      <c r="B261" s="2"/>
      <c r="C261" s="3"/>
      <c r="D261" s="10"/>
      <c r="E261" s="9"/>
      <c r="F261" s="9"/>
      <c r="H261" s="22"/>
      <c r="I261" s="22"/>
    </row>
    <row r="262" spans="1:9" x14ac:dyDescent="0.25">
      <c r="A262" s="1"/>
      <c r="B262" s="2"/>
      <c r="C262" s="3"/>
      <c r="D262" s="10"/>
      <c r="E262" s="9"/>
      <c r="F262" s="9"/>
      <c r="H262" s="22"/>
    </row>
    <row r="263" spans="1:9" x14ac:dyDescent="0.25">
      <c r="A263" s="1"/>
      <c r="B263" s="2"/>
      <c r="D263" s="3"/>
      <c r="E263" s="17" t="s">
        <v>17</v>
      </c>
      <c r="F263" s="17" t="s">
        <v>18</v>
      </c>
    </row>
    <row r="264" spans="1:9" x14ac:dyDescent="0.25">
      <c r="A264" s="1"/>
      <c r="B264" s="2"/>
      <c r="D264" s="12" t="s">
        <v>8</v>
      </c>
      <c r="E264" s="31">
        <f>AVERAGE(D8:D259)</f>
        <v>2.3776949575538616E-4</v>
      </c>
      <c r="H264" s="23"/>
      <c r="I264" s="23"/>
    </row>
    <row r="265" spans="1:9" x14ac:dyDescent="0.25">
      <c r="A265" s="4"/>
      <c r="B265" s="5"/>
      <c r="E265" s="11"/>
    </row>
    <row r="266" spans="1:9" x14ac:dyDescent="0.25">
      <c r="D266" s="6" t="s">
        <v>9</v>
      </c>
      <c r="E266" s="14">
        <f>SQRT(SUM(E8:E259)/(COUNT(E8:E259)-1))</f>
        <v>9.0000265490222699E-3</v>
      </c>
      <c r="F266" s="40">
        <f>E266*SQRT(252)</f>
        <v>0.14287099225015076</v>
      </c>
      <c r="G266" s="42"/>
    </row>
    <row r="267" spans="1:9" x14ac:dyDescent="0.25">
      <c r="B267" s="37"/>
      <c r="E267" s="15"/>
    </row>
    <row r="268" spans="1:9" x14ac:dyDescent="0.25">
      <c r="D268" s="6"/>
      <c r="E268" s="14"/>
      <c r="F268" s="10"/>
    </row>
    <row r="270" spans="1:9" x14ac:dyDescent="0.25">
      <c r="F27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1</xdr:col>
                    <xdr:colOff>914400</xdr:colOff>
                    <xdr:row>1</xdr:row>
                    <xdr:rowOff>161925</xdr:rowOff>
                  </from>
                  <to>
                    <xdr:col>3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/>
  <dimension ref="A1:XEZ269"/>
  <sheetViews>
    <sheetView tabSelected="1" zoomScale="117" zoomScaleNormal="117" workbookViewId="0">
      <pane xSplit="1" ySplit="6" topLeftCell="B250" activePane="bottomRight" state="frozen"/>
      <selection pane="topRight" activeCell="B1" sqref="B1"/>
      <selection pane="bottomLeft" activeCell="A3" sqref="A3"/>
      <selection pane="bottomRight" activeCell="J4" sqref="J4"/>
    </sheetView>
  </sheetViews>
  <sheetFormatPr baseColWidth="10" defaultColWidth="11.42578125" defaultRowHeight="15" x14ac:dyDescent="0.25"/>
  <cols>
    <col min="2" max="2" width="14.42578125" bestFit="1" customWidth="1"/>
    <col min="4" max="4" width="15" customWidth="1"/>
    <col min="5" max="5" width="9.42578125" customWidth="1"/>
    <col min="6" max="6" width="15.85546875" bestFit="1" customWidth="1"/>
    <col min="8" max="8" width="2.85546875" customWidth="1"/>
    <col min="9" max="9" width="12.42578125" customWidth="1"/>
    <col min="11" max="12" width="16.42578125" customWidth="1"/>
  </cols>
  <sheetData>
    <row r="1" spans="1:14 16380:16380" ht="32.450000000000003" customHeight="1" x14ac:dyDescent="0.35">
      <c r="A1" s="20" t="s">
        <v>13</v>
      </c>
    </row>
    <row r="2" spans="1:14 16380:16380" ht="9.6" customHeight="1" x14ac:dyDescent="0.35">
      <c r="A2" s="20"/>
    </row>
    <row r="3" spans="1:14 16380:16380" ht="28.7" customHeight="1" x14ac:dyDescent="0.25">
      <c r="B3" s="12" t="s">
        <v>28</v>
      </c>
      <c r="C3">
        <v>3</v>
      </c>
      <c r="F3" s="19" t="s">
        <v>16</v>
      </c>
      <c r="G3" s="35">
        <f>SQRT((1-C4)*SUM(G8:G259))</f>
        <v>1.8660237000443804E-2</v>
      </c>
      <c r="I3" s="45" t="s">
        <v>39</v>
      </c>
      <c r="J3" s="46" cm="1">
        <f t="array" ref="J3">V_Dinamica(D8:D259)</f>
        <v>0.28385098752741117</v>
      </c>
    </row>
    <row r="4" spans="1:14 16380:16380" ht="23.45" customHeight="1" x14ac:dyDescent="0.25">
      <c r="B4" s="25" t="s">
        <v>2</v>
      </c>
      <c r="C4" s="43">
        <v>0.97192504347452613</v>
      </c>
      <c r="D4" s="29"/>
      <c r="F4" s="19" t="s">
        <v>15</v>
      </c>
      <c r="G4" s="26">
        <f>G3*SQRT(252)</f>
        <v>0.2962220790522011</v>
      </c>
      <c r="J4" s="26">
        <f>G4</f>
        <v>0.2962220790522011</v>
      </c>
      <c r="K4" s="29">
        <f>SQRT(SUM(K8:K258)/COUNT(K8:K258))</f>
        <v>6.4636658112134397E-4</v>
      </c>
    </row>
    <row r="5" spans="1:14 16380:16380" x14ac:dyDescent="0.25">
      <c r="E5" s="12"/>
      <c r="F5" s="57" t="s">
        <v>21</v>
      </c>
      <c r="G5" s="58"/>
      <c r="I5" s="59" t="s">
        <v>22</v>
      </c>
      <c r="J5" s="60"/>
      <c r="M5" s="17" t="s">
        <v>14</v>
      </c>
      <c r="N5" s="30">
        <v>2</v>
      </c>
    </row>
    <row r="6" spans="1:14 16380:16380" ht="18" x14ac:dyDescent="0.35">
      <c r="A6" s="7" t="s">
        <v>0</v>
      </c>
      <c r="B6" s="7" t="s">
        <v>6</v>
      </c>
      <c r="C6" s="8" t="s">
        <v>30</v>
      </c>
      <c r="D6" s="8" t="s">
        <v>1</v>
      </c>
      <c r="E6" s="7" t="s">
        <v>3</v>
      </c>
      <c r="F6" s="7" t="s">
        <v>5</v>
      </c>
      <c r="G6" s="7" t="s">
        <v>7</v>
      </c>
      <c r="I6" s="7" t="s">
        <v>10</v>
      </c>
      <c r="J6" s="7" t="s">
        <v>11</v>
      </c>
      <c r="K6" s="16" t="s">
        <v>38</v>
      </c>
      <c r="L6" s="16"/>
      <c r="M6" s="24" t="s">
        <v>19</v>
      </c>
      <c r="N6" s="24" t="s">
        <v>20</v>
      </c>
    </row>
    <row r="7" spans="1:14 16380:16380" x14ac:dyDescent="0.25">
      <c r="A7" s="16"/>
      <c r="B7" s="16"/>
      <c r="C7" s="17"/>
      <c r="D7" s="17"/>
      <c r="E7" s="16"/>
      <c r="F7" s="16"/>
      <c r="G7" s="16"/>
      <c r="I7" s="21">
        <f>(1-$C$4)*E8+$C$4*I8</f>
        <v>3.4820444491273183E-4</v>
      </c>
      <c r="J7" s="41">
        <f>SQRT(I7)</f>
        <v>1.8660237000443801E-2</v>
      </c>
      <c r="K7" s="13"/>
      <c r="L7" s="13"/>
    </row>
    <row r="8" spans="1:14 16380:16380" x14ac:dyDescent="0.25">
      <c r="A8" s="1">
        <v>45322</v>
      </c>
      <c r="B8" s="2">
        <v>1</v>
      </c>
      <c r="C8" s="3">
        <f>+VLOOKUP(A8,Precios!$B:$H,1+$C$3,0)</f>
        <v>14.3</v>
      </c>
      <c r="D8" s="10">
        <f>C8/C9-1</f>
        <v>-5.5632823365785455E-3</v>
      </c>
      <c r="E8" s="38">
        <f>D8^2</f>
        <v>3.0950110356486841E-5</v>
      </c>
      <c r="F8" s="27">
        <f>$C$4^(B8-1)</f>
        <v>1</v>
      </c>
      <c r="G8" s="28">
        <f>E8*F8</f>
        <v>3.0950110356486841E-5</v>
      </c>
      <c r="I8" s="21">
        <f t="shared" ref="I8:I71" si="0">(1-$C$4)*E9+$C$4*I9</f>
        <v>3.573686306799218E-4</v>
      </c>
      <c r="J8" s="41">
        <f t="shared" ref="J8:J71" si="1">SQRT(I8)</f>
        <v>1.8904196113030614E-2</v>
      </c>
      <c r="K8" s="44">
        <f>(E8-I8)^2</f>
        <v>1.0654905041014073E-7</v>
      </c>
      <c r="L8" s="13"/>
      <c r="M8" s="10">
        <f>-J8*$N$5</f>
        <v>-3.7808392226061228E-2</v>
      </c>
      <c r="N8" s="10">
        <f>+J8*$N$5</f>
        <v>3.7808392226061228E-2</v>
      </c>
      <c r="XEZ8" s="17" t="s">
        <v>33</v>
      </c>
    </row>
    <row r="9" spans="1:14 16380:16380" x14ac:dyDescent="0.25">
      <c r="A9" s="1">
        <v>45321</v>
      </c>
      <c r="B9" s="2">
        <f>+B8+1</f>
        <v>2</v>
      </c>
      <c r="C9" s="3">
        <f>+VLOOKUP(A9,Precios!$B:$H,1+$C$3,0)</f>
        <v>14.38</v>
      </c>
      <c r="D9" s="10">
        <f t="shared" ref="D9:D72" si="2">C9/C10-1</f>
        <v>6.2981105668300508E-3</v>
      </c>
      <c r="E9" s="38">
        <f t="shared" ref="E9:E72" si="3">D9^2</f>
        <v>3.9666196712016342E-5</v>
      </c>
      <c r="F9" s="27">
        <f t="shared" ref="F9:F72" si="4">$C$4^(B9-1)</f>
        <v>0.97192504347452613</v>
      </c>
      <c r="G9" s="28">
        <f t="shared" ref="G9:G72" si="5">E9*F9</f>
        <v>3.8552569963795588E-5</v>
      </c>
      <c r="I9" s="21">
        <f t="shared" si="0"/>
        <v>3.665457602143147E-4</v>
      </c>
      <c r="J9" s="41">
        <f t="shared" si="1"/>
        <v>1.9145384828054897E-2</v>
      </c>
      <c r="K9" s="44">
        <f t="shared" ref="K9:K72" si="6">(E9-I9)^2</f>
        <v>1.0685024903545309E-7</v>
      </c>
      <c r="L9" s="13"/>
      <c r="M9" s="10">
        <f t="shared" ref="M9:M72" si="7">-J9*$N$5</f>
        <v>-3.8290769656109794E-2</v>
      </c>
      <c r="N9" s="10">
        <f t="shared" ref="N9:N72" si="8">+J9*$N$5</f>
        <v>3.8290769656109794E-2</v>
      </c>
      <c r="XEZ9" s="17" t="s">
        <v>34</v>
      </c>
    </row>
    <row r="10" spans="1:14 16380:16380" x14ac:dyDescent="0.25">
      <c r="A10" s="1">
        <v>45320</v>
      </c>
      <c r="B10" s="2">
        <f t="shared" ref="B10:B73" si="9">+B9+1</f>
        <v>3</v>
      </c>
      <c r="C10" s="3">
        <f>+VLOOKUP(A10,Precios!$B:$H,1+$C$3,0)</f>
        <v>14.29</v>
      </c>
      <c r="D10" s="10">
        <f t="shared" si="2"/>
        <v>9.8939929328620835E-3</v>
      </c>
      <c r="E10" s="38">
        <f t="shared" si="3"/>
        <v>9.7891096155524856E-5</v>
      </c>
      <c r="F10" s="27">
        <f t="shared" si="4"/>
        <v>0.94463829013295952</v>
      </c>
      <c r="G10" s="28">
        <f t="shared" si="5"/>
        <v>9.2471677691596121E-5</v>
      </c>
      <c r="I10" s="21">
        <f t="shared" si="0"/>
        <v>3.7430609941377889E-4</v>
      </c>
      <c r="J10" s="41">
        <f t="shared" si="1"/>
        <v>1.9346991999113942E-2</v>
      </c>
      <c r="K10" s="44">
        <f t="shared" si="6"/>
        <v>7.6405254026260585E-8</v>
      </c>
      <c r="L10" s="32"/>
      <c r="M10" s="10">
        <f t="shared" si="7"/>
        <v>-3.8693983998227884E-2</v>
      </c>
      <c r="N10" s="10">
        <f t="shared" si="8"/>
        <v>3.8693983998227884E-2</v>
      </c>
      <c r="XEZ10" s="17" t="s">
        <v>27</v>
      </c>
    </row>
    <row r="11" spans="1:14 16380:16380" x14ac:dyDescent="0.25">
      <c r="A11" s="1">
        <v>45317</v>
      </c>
      <c r="B11" s="2">
        <f t="shared" si="9"/>
        <v>4</v>
      </c>
      <c r="C11" s="3">
        <f>+VLOOKUP(A11,Precios!$B:$H,1+$C$3,0)</f>
        <v>14.15</v>
      </c>
      <c r="D11" s="10">
        <f t="shared" si="2"/>
        <v>1.1436740528949274E-2</v>
      </c>
      <c r="E11" s="38">
        <f t="shared" si="3"/>
        <v>1.3079903392651093E-4</v>
      </c>
      <c r="F11" s="27">
        <f t="shared" si="4"/>
        <v>0.91811761120517876</v>
      </c>
      <c r="G11" s="28">
        <f t="shared" si="5"/>
        <v>1.2008889657655335E-4</v>
      </c>
      <c r="I11" s="21">
        <f t="shared" si="0"/>
        <v>3.813400268993401E-4</v>
      </c>
      <c r="J11" s="41">
        <f t="shared" si="1"/>
        <v>1.9527929406348746E-2</v>
      </c>
      <c r="K11" s="44">
        <f t="shared" si="6"/>
        <v>6.2770789159811244E-8</v>
      </c>
      <c r="L11" s="13"/>
      <c r="M11" s="10">
        <f t="shared" si="7"/>
        <v>-3.9055858812697491E-2</v>
      </c>
      <c r="N11" s="10">
        <f t="shared" si="8"/>
        <v>3.9055858812697491E-2</v>
      </c>
      <c r="XEZ11" s="17" t="s">
        <v>35</v>
      </c>
    </row>
    <row r="12" spans="1:14 16380:16380" x14ac:dyDescent="0.25">
      <c r="A12" s="1">
        <v>45316</v>
      </c>
      <c r="B12" s="2">
        <f t="shared" si="9"/>
        <v>5</v>
      </c>
      <c r="C12" s="3">
        <f>+VLOOKUP(A12,Precios!$B:$H,1+$C$3,0)</f>
        <v>13.99</v>
      </c>
      <c r="D12" s="10">
        <f t="shared" si="2"/>
        <v>4.872563718140932E-2</v>
      </c>
      <c r="E12" s="38">
        <f t="shared" si="3"/>
        <v>2.3741877187343384E-3</v>
      </c>
      <c r="F12" s="27">
        <f t="shared" si="4"/>
        <v>0.89234149918532146</v>
      </c>
      <c r="G12" s="28">
        <f t="shared" si="5"/>
        <v>2.1185862282827777E-3</v>
      </c>
      <c r="I12" s="21">
        <f t="shared" si="0"/>
        <v>3.2377477257669547E-4</v>
      </c>
      <c r="J12" s="41">
        <f t="shared" si="1"/>
        <v>1.7993742595043851E-2</v>
      </c>
      <c r="K12" s="44">
        <f t="shared" si="6"/>
        <v>4.2041932497708651E-6</v>
      </c>
      <c r="L12" s="13"/>
      <c r="M12" s="10">
        <f t="shared" si="7"/>
        <v>-3.5987485190087702E-2</v>
      </c>
      <c r="N12" s="10">
        <f t="shared" si="8"/>
        <v>3.5987485190087702E-2</v>
      </c>
      <c r="XEZ12" s="17" t="s">
        <v>36</v>
      </c>
    </row>
    <row r="13" spans="1:14 16380:16380" x14ac:dyDescent="0.25">
      <c r="A13" s="1">
        <v>45315</v>
      </c>
      <c r="B13" s="2">
        <f t="shared" si="9"/>
        <v>6</v>
      </c>
      <c r="C13" s="3">
        <f>+VLOOKUP(A13,Precios!$B:$H,1+$C$3,0)</f>
        <v>13.34</v>
      </c>
      <c r="D13" s="10">
        <f t="shared" si="2"/>
        <v>2.1439509954058078E-2</v>
      </c>
      <c r="E13" s="38">
        <f t="shared" si="3"/>
        <v>4.5965258707015541E-4</v>
      </c>
      <c r="F13" s="27">
        <f t="shared" si="4"/>
        <v>0.86728905038981741</v>
      </c>
      <c r="G13" s="28">
        <f t="shared" si="5"/>
        <v>3.9865165574929794E-4</v>
      </c>
      <c r="I13" s="21">
        <f t="shared" si="0"/>
        <v>3.1984981585262247E-4</v>
      </c>
      <c r="J13" s="41">
        <f t="shared" si="1"/>
        <v>1.7884345552818599E-2</v>
      </c>
      <c r="K13" s="44">
        <f t="shared" si="6"/>
        <v>1.9544814840101856E-8</v>
      </c>
      <c r="L13" s="13"/>
      <c r="M13" s="10">
        <f t="shared" si="7"/>
        <v>-3.5768691105637199E-2</v>
      </c>
      <c r="N13" s="10">
        <f t="shared" si="8"/>
        <v>3.5768691105637199E-2</v>
      </c>
      <c r="XEZ13" s="17" t="s">
        <v>37</v>
      </c>
    </row>
    <row r="14" spans="1:14 16380:16380" x14ac:dyDescent="0.25">
      <c r="A14" s="1">
        <v>45314</v>
      </c>
      <c r="B14" s="2">
        <f t="shared" si="9"/>
        <v>7</v>
      </c>
      <c r="C14" s="3">
        <f>+VLOOKUP(A14,Precios!$B:$H,1+$C$3,0)</f>
        <v>13.06</v>
      </c>
      <c r="D14" s="10">
        <f t="shared" si="2"/>
        <v>1.9516003122560521E-2</v>
      </c>
      <c r="E14" s="38">
        <f t="shared" si="3"/>
        <v>3.8087437787979203E-4</v>
      </c>
      <c r="F14" s="27">
        <f t="shared" si="4"/>
        <v>0.84293994800510375</v>
      </c>
      <c r="G14" s="28">
        <f t="shared" si="5"/>
        <v>3.210542282864681E-4</v>
      </c>
      <c r="I14" s="21">
        <f t="shared" si="0"/>
        <v>3.1808706476661882E-4</v>
      </c>
      <c r="J14" s="41">
        <f t="shared" si="1"/>
        <v>1.7834995507894552E-2</v>
      </c>
      <c r="K14" s="44">
        <f t="shared" si="6"/>
        <v>3.9422466879716531E-9</v>
      </c>
      <c r="L14" s="13"/>
      <c r="M14" s="10">
        <f t="shared" si="7"/>
        <v>-3.5669991015789104E-2</v>
      </c>
      <c r="N14" s="10">
        <f t="shared" si="8"/>
        <v>3.5669991015789104E-2</v>
      </c>
    </row>
    <row r="15" spans="1:14 16380:16380" x14ac:dyDescent="0.25">
      <c r="A15" s="1">
        <v>45313</v>
      </c>
      <c r="B15" s="2">
        <f t="shared" si="9"/>
        <v>8</v>
      </c>
      <c r="C15" s="3">
        <f>+VLOOKUP(A15,Precios!$B:$H,1+$C$3,0)</f>
        <v>12.81</v>
      </c>
      <c r="D15" s="10">
        <f t="shared" si="2"/>
        <v>-7.800312012480326E-4</v>
      </c>
      <c r="E15" s="38">
        <f t="shared" si="3"/>
        <v>6.0844867492044871E-7</v>
      </c>
      <c r="F15" s="27">
        <f t="shared" si="4"/>
        <v>0.81927444561127527</v>
      </c>
      <c r="G15" s="28">
        <f t="shared" si="5"/>
        <v>4.9848645082836566E-7</v>
      </c>
      <c r="I15" s="21">
        <f t="shared" si="0"/>
        <v>3.27257729114024E-4</v>
      </c>
      <c r="J15" s="41">
        <f t="shared" si="1"/>
        <v>1.809026614270846E-2</v>
      </c>
      <c r="K15" s="44">
        <f t="shared" si="6"/>
        <v>1.0669975241138413E-7</v>
      </c>
      <c r="L15" s="13"/>
      <c r="M15" s="10">
        <f t="shared" si="7"/>
        <v>-3.6180532285416921E-2</v>
      </c>
      <c r="N15" s="10">
        <f t="shared" si="8"/>
        <v>3.6180532285416921E-2</v>
      </c>
    </row>
    <row r="16" spans="1:14 16380:16380" x14ac:dyDescent="0.25">
      <c r="A16" s="1">
        <v>45310</v>
      </c>
      <c r="B16" s="2">
        <f t="shared" si="9"/>
        <v>9</v>
      </c>
      <c r="C16" s="3">
        <f>+VLOOKUP(A16,Precios!$B:$H,1+$C$3,0)</f>
        <v>12.82</v>
      </c>
      <c r="D16" s="10">
        <f t="shared" si="2"/>
        <v>6.2794348508634634E-3</v>
      </c>
      <c r="E16" s="38">
        <f t="shared" si="3"/>
        <v>3.943130204623865E-5</v>
      </c>
      <c r="F16" s="27">
        <f t="shared" si="4"/>
        <v>0.79627335116830711</v>
      </c>
      <c r="G16" s="28">
        <f t="shared" si="5"/>
        <v>3.1398095021288174E-5</v>
      </c>
      <c r="I16" s="21">
        <f t="shared" si="0"/>
        <v>3.3557186247344737E-4</v>
      </c>
      <c r="J16" s="41">
        <f t="shared" si="1"/>
        <v>1.8318620648767402E-2</v>
      </c>
      <c r="K16" s="44">
        <f t="shared" si="6"/>
        <v>8.769923153014126E-8</v>
      </c>
      <c r="L16" s="13"/>
      <c r="M16" s="10">
        <f t="shared" si="7"/>
        <v>-3.6637241297534803E-2</v>
      </c>
      <c r="N16" s="10">
        <f t="shared" si="8"/>
        <v>3.6637241297534803E-2</v>
      </c>
    </row>
    <row r="17" spans="1:14" x14ac:dyDescent="0.25">
      <c r="A17" s="1">
        <v>45309</v>
      </c>
      <c r="B17" s="2">
        <f t="shared" si="9"/>
        <v>10</v>
      </c>
      <c r="C17" s="3">
        <f>+VLOOKUP(A17,Precios!$B:$H,1+$C$3,0)</f>
        <v>12.74</v>
      </c>
      <c r="D17" s="10">
        <f t="shared" si="2"/>
        <v>-8.5603112840466622E-3</v>
      </c>
      <c r="E17" s="38">
        <f t="shared" si="3"/>
        <v>7.3278929279776609E-5</v>
      </c>
      <c r="F17" s="27">
        <f t="shared" si="4"/>
        <v>0.77391801145186345</v>
      </c>
      <c r="G17" s="28">
        <f t="shared" si="5"/>
        <v>5.6711883229526449E-5</v>
      </c>
      <c r="I17" s="21">
        <f t="shared" si="0"/>
        <v>3.4314843717516135E-4</v>
      </c>
      <c r="J17" s="41">
        <f t="shared" si="1"/>
        <v>1.8524266171029861E-2</v>
      </c>
      <c r="K17" s="44">
        <f t="shared" si="6"/>
        <v>7.282955129169714E-8</v>
      </c>
      <c r="L17" s="13"/>
      <c r="M17" s="10">
        <f t="shared" si="7"/>
        <v>-3.7048532342059723E-2</v>
      </c>
      <c r="N17" s="10">
        <f t="shared" si="8"/>
        <v>3.7048532342059723E-2</v>
      </c>
    </row>
    <row r="18" spans="1:14" x14ac:dyDescent="0.25">
      <c r="A18" s="1">
        <v>45308</v>
      </c>
      <c r="B18" s="2">
        <f t="shared" si="9"/>
        <v>11</v>
      </c>
      <c r="C18" s="3">
        <f>+VLOOKUP(A18,Precios!$B:$H,1+$C$3,0)</f>
        <v>12.85</v>
      </c>
      <c r="D18" s="10">
        <f t="shared" si="2"/>
        <v>3.90625E-3</v>
      </c>
      <c r="E18" s="38">
        <f t="shared" si="3"/>
        <v>1.52587890625E-5</v>
      </c>
      <c r="F18" s="27">
        <f t="shared" si="4"/>
        <v>0.7521902969260712</v>
      </c>
      <c r="G18" s="28">
        <f t="shared" si="5"/>
        <v>1.1477513075654163E-5</v>
      </c>
      <c r="I18" s="21">
        <f t="shared" si="0"/>
        <v>3.5261983384069769E-4</v>
      </c>
      <c r="J18" s="41">
        <f t="shared" si="1"/>
        <v>1.877817440116844E-2</v>
      </c>
      <c r="K18" s="44">
        <f t="shared" si="6"/>
        <v>1.1381247453383711E-7</v>
      </c>
      <c r="L18" s="13"/>
      <c r="M18" s="10">
        <f t="shared" si="7"/>
        <v>-3.7556348802336881E-2</v>
      </c>
      <c r="N18" s="10">
        <f t="shared" si="8"/>
        <v>3.7556348802336881E-2</v>
      </c>
    </row>
    <row r="19" spans="1:14" x14ac:dyDescent="0.25">
      <c r="A19" s="1">
        <v>45307</v>
      </c>
      <c r="B19" s="2">
        <f t="shared" si="9"/>
        <v>12</v>
      </c>
      <c r="C19" s="3">
        <f>+VLOOKUP(A19,Precios!$B:$H,1+$C$3,0)</f>
        <v>12.8</v>
      </c>
      <c r="D19" s="10">
        <f t="shared" si="2"/>
        <v>-1.9908116385911168E-2</v>
      </c>
      <c r="E19" s="38">
        <f t="shared" si="3"/>
        <v>3.9633309803498471E-4</v>
      </c>
      <c r="F19" s="27">
        <f t="shared" si="4"/>
        <v>0.73107258704098854</v>
      </c>
      <c r="G19" s="28">
        <f t="shared" si="5"/>
        <v>2.8974826331040602E-4</v>
      </c>
      <c r="I19" s="21">
        <f t="shared" si="0"/>
        <v>3.5135713565210706E-4</v>
      </c>
      <c r="J19" s="41">
        <f t="shared" si="1"/>
        <v>1.8744522817402076E-2</v>
      </c>
      <c r="K19" s="44">
        <f t="shared" si="6"/>
        <v>2.0228371922660254E-9</v>
      </c>
      <c r="L19" s="13"/>
      <c r="M19" s="10">
        <f t="shared" si="7"/>
        <v>-3.7489045634804152E-2</v>
      </c>
      <c r="N19" s="10">
        <f t="shared" si="8"/>
        <v>3.7489045634804152E-2</v>
      </c>
    </row>
    <row r="20" spans="1:14" x14ac:dyDescent="0.25">
      <c r="A20" s="1">
        <v>45306</v>
      </c>
      <c r="B20" s="2">
        <f t="shared" si="9"/>
        <v>13</v>
      </c>
      <c r="C20" s="3">
        <f>+VLOOKUP(A20,Precios!$B:$H,1+$C$3,0)</f>
        <v>13.06</v>
      </c>
      <c r="D20" s="10">
        <f t="shared" si="2"/>
        <v>-1.2102874432677768E-2</v>
      </c>
      <c r="E20" s="38">
        <f t="shared" si="3"/>
        <v>1.4647956953316521E-4</v>
      </c>
      <c r="F20" s="27">
        <f t="shared" si="4"/>
        <v>0.71054775594284714</v>
      </c>
      <c r="G20" s="28">
        <f t="shared" si="5"/>
        <v>1.0408072942326478E-4</v>
      </c>
      <c r="I20" s="21">
        <f t="shared" si="0"/>
        <v>3.5727521421223107E-4</v>
      </c>
      <c r="J20" s="41">
        <f t="shared" si="1"/>
        <v>1.8901725164974521E-2</v>
      </c>
      <c r="K20" s="44">
        <f t="shared" si="6"/>
        <v>4.4434803815662983E-8</v>
      </c>
      <c r="L20" s="13"/>
      <c r="M20" s="10">
        <f t="shared" si="7"/>
        <v>-3.7803450329949043E-2</v>
      </c>
      <c r="N20" s="10">
        <f t="shared" si="8"/>
        <v>3.7803450329949043E-2</v>
      </c>
    </row>
    <row r="21" spans="1:14" x14ac:dyDescent="0.25">
      <c r="A21" s="1">
        <v>45303</v>
      </c>
      <c r="B21" s="2">
        <f t="shared" si="9"/>
        <v>14</v>
      </c>
      <c r="C21" s="3">
        <f>+VLOOKUP(A21,Precios!$B:$H,1+$C$3,0)</f>
        <v>13.22</v>
      </c>
      <c r="D21" s="10">
        <f t="shared" si="2"/>
        <v>0</v>
      </c>
      <c r="E21" s="38">
        <f t="shared" si="3"/>
        <v>0</v>
      </c>
      <c r="F21" s="27">
        <f t="shared" si="4"/>
        <v>0.69059915858547871</v>
      </c>
      <c r="G21" s="28">
        <f t="shared" si="5"/>
        <v>0</v>
      </c>
      <c r="I21" s="21">
        <f t="shared" si="0"/>
        <v>3.6759544021523625E-4</v>
      </c>
      <c r="J21" s="41">
        <f t="shared" si="1"/>
        <v>1.9172778625312404E-2</v>
      </c>
      <c r="K21" s="44">
        <f t="shared" si="6"/>
        <v>1.3512640766703332E-7</v>
      </c>
      <c r="L21" s="13"/>
      <c r="M21" s="10">
        <f t="shared" si="7"/>
        <v>-3.8345557250624808E-2</v>
      </c>
      <c r="N21" s="10">
        <f t="shared" si="8"/>
        <v>3.8345557250624808E-2</v>
      </c>
    </row>
    <row r="22" spans="1:14" x14ac:dyDescent="0.25">
      <c r="A22" s="1">
        <v>45302</v>
      </c>
      <c r="B22" s="2">
        <f t="shared" si="9"/>
        <v>15</v>
      </c>
      <c r="C22" s="3">
        <f>+VLOOKUP(A22,Precios!$B:$H,1+$C$3,0)</f>
        <v>13.22</v>
      </c>
      <c r="D22" s="10">
        <f t="shared" si="2"/>
        <v>-7.5075075075075048E-3</v>
      </c>
      <c r="E22" s="38">
        <f t="shared" si="3"/>
        <v>5.6362668975281549E-5</v>
      </c>
      <c r="F22" s="27">
        <f t="shared" si="4"/>
        <v>0.67121061723166253</v>
      </c>
      <c r="G22" s="28">
        <f t="shared" si="5"/>
        <v>3.7831221831722605E-5</v>
      </c>
      <c r="I22" s="21">
        <f t="shared" si="0"/>
        <v>3.7658568753989375E-4</v>
      </c>
      <c r="J22" s="41">
        <f t="shared" si="1"/>
        <v>1.9405815817426841E-2</v>
      </c>
      <c r="K22" s="44">
        <f t="shared" si="6"/>
        <v>1.0254278161863198E-7</v>
      </c>
      <c r="L22" s="13"/>
      <c r="M22" s="10">
        <f t="shared" si="7"/>
        <v>-3.8811631634853683E-2</v>
      </c>
      <c r="N22" s="10">
        <f t="shared" si="8"/>
        <v>3.8811631634853683E-2</v>
      </c>
    </row>
    <row r="23" spans="1:14" x14ac:dyDescent="0.25">
      <c r="A23" s="1">
        <v>45301</v>
      </c>
      <c r="B23" s="2">
        <f t="shared" si="9"/>
        <v>16</v>
      </c>
      <c r="C23" s="3">
        <f>+VLOOKUP(A23,Precios!$B:$H,1+$C$3,0)</f>
        <v>13.32</v>
      </c>
      <c r="D23" s="10">
        <f t="shared" si="2"/>
        <v>8.3270249810749597E-3</v>
      </c>
      <c r="E23" s="38">
        <f t="shared" si="3"/>
        <v>6.933934503544643E-5</v>
      </c>
      <c r="F23" s="27">
        <f t="shared" si="4"/>
        <v>0.65236640833344717</v>
      </c>
      <c r="G23" s="28">
        <f t="shared" si="5"/>
        <v>4.5234659476967827E-5</v>
      </c>
      <c r="I23" s="21">
        <f t="shared" si="0"/>
        <v>3.8546078317235782E-4</v>
      </c>
      <c r="J23" s="41">
        <f t="shared" si="1"/>
        <v>1.9633155201657166E-2</v>
      </c>
      <c r="K23" s="44">
        <f t="shared" si="6"/>
        <v>9.99327636497491E-8</v>
      </c>
      <c r="L23" s="13"/>
      <c r="M23" s="10">
        <f t="shared" si="7"/>
        <v>-3.9266310403314332E-2</v>
      </c>
      <c r="N23" s="10">
        <f t="shared" si="8"/>
        <v>3.9266310403314332E-2</v>
      </c>
    </row>
    <row r="24" spans="1:14" x14ac:dyDescent="0.25">
      <c r="A24" s="1">
        <v>45300</v>
      </c>
      <c r="B24" s="2">
        <f t="shared" si="9"/>
        <v>17</v>
      </c>
      <c r="C24" s="3">
        <f>+VLOOKUP(A24,Precios!$B:$H,1+$C$3,0)</f>
        <v>13.21</v>
      </c>
      <c r="D24" s="10">
        <f t="shared" si="2"/>
        <v>9.9388379204894406E-3</v>
      </c>
      <c r="E24" s="38">
        <f t="shared" si="3"/>
        <v>9.8780499209758871E-5</v>
      </c>
      <c r="F24" s="27">
        <f t="shared" si="4"/>
        <v>0.63405124978080618</v>
      </c>
      <c r="G24" s="28">
        <f t="shared" si="5"/>
        <v>6.2631898977919548E-5</v>
      </c>
      <c r="I24" s="21">
        <f t="shared" si="0"/>
        <v>3.937418091249229E-4</v>
      </c>
      <c r="J24" s="41">
        <f t="shared" si="1"/>
        <v>1.9842928441258938E-2</v>
      </c>
      <c r="K24" s="44">
        <f t="shared" si="6"/>
        <v>8.7002174346869425E-8</v>
      </c>
      <c r="L24" s="13"/>
      <c r="M24" s="10">
        <f t="shared" si="7"/>
        <v>-3.9685856882517877E-2</v>
      </c>
      <c r="N24" s="10">
        <f t="shared" si="8"/>
        <v>3.9685856882517877E-2</v>
      </c>
    </row>
    <row r="25" spans="1:14" x14ac:dyDescent="0.25">
      <c r="A25" s="1">
        <v>45299</v>
      </c>
      <c r="B25" s="2">
        <f t="shared" si="9"/>
        <v>18</v>
      </c>
      <c r="C25" s="3">
        <f>+VLOOKUP(A25,Precios!$B:$H,1+$C$3,0)</f>
        <v>13.08</v>
      </c>
      <c r="D25" s="10">
        <f t="shared" si="2"/>
        <v>6.1538461538461764E-3</v>
      </c>
      <c r="E25" s="38">
        <f t="shared" si="3"/>
        <v>3.7869822485207375E-5</v>
      </c>
      <c r="F25" s="27">
        <f t="shared" si="4"/>
        <v>0.61625028850828767</v>
      </c>
      <c r="G25" s="28">
        <f t="shared" si="5"/>
        <v>2.3337289032266684E-5</v>
      </c>
      <c r="I25" s="21">
        <f t="shared" si="0"/>
        <v>4.040215015977364E-4</v>
      </c>
      <c r="J25" s="41">
        <f t="shared" si="1"/>
        <v>2.0100286107360175E-2</v>
      </c>
      <c r="K25" s="44">
        <f t="shared" si="6"/>
        <v>1.3406705211692441E-7</v>
      </c>
      <c r="L25" s="13"/>
      <c r="M25" s="10">
        <f t="shared" si="7"/>
        <v>-4.020057221472035E-2</v>
      </c>
      <c r="N25" s="10">
        <f t="shared" si="8"/>
        <v>4.020057221472035E-2</v>
      </c>
    </row>
    <row r="26" spans="1:14" x14ac:dyDescent="0.25">
      <c r="A26" s="1">
        <v>45296</v>
      </c>
      <c r="B26" s="2">
        <f t="shared" si="9"/>
        <v>19</v>
      </c>
      <c r="C26" s="3">
        <f>+VLOOKUP(A26,Precios!$B:$H,1+$C$3,0)</f>
        <v>13</v>
      </c>
      <c r="D26" s="10">
        <f t="shared" si="2"/>
        <v>2.6045777426992878E-2</v>
      </c>
      <c r="E26" s="38">
        <f t="shared" si="3"/>
        <v>6.7838252177645174E-4</v>
      </c>
      <c r="F26" s="27">
        <f t="shared" si="4"/>
        <v>0.59894908844960681</v>
      </c>
      <c r="G26" s="28">
        <f t="shared" si="5"/>
        <v>4.0631659303815129E-4</v>
      </c>
      <c r="I26" s="21">
        <f t="shared" si="0"/>
        <v>3.9609632900802121E-4</v>
      </c>
      <c r="J26" s="41">
        <f t="shared" si="1"/>
        <v>1.990216895235344E-2</v>
      </c>
      <c r="K26" s="44">
        <f t="shared" si="6"/>
        <v>7.968549462769552E-8</v>
      </c>
      <c r="L26" s="13"/>
      <c r="M26" s="10">
        <f t="shared" si="7"/>
        <v>-3.9804337904706881E-2</v>
      </c>
      <c r="N26" s="10">
        <f t="shared" si="8"/>
        <v>3.9804337904706881E-2</v>
      </c>
    </row>
    <row r="27" spans="1:14" x14ac:dyDescent="0.25">
      <c r="A27" s="1">
        <v>45295</v>
      </c>
      <c r="B27" s="2">
        <f t="shared" si="9"/>
        <v>20</v>
      </c>
      <c r="C27" s="3">
        <f>+VLOOKUP(A27,Precios!$B:$H,1+$C$3,0)</f>
        <v>12.67</v>
      </c>
      <c r="D27" s="10">
        <f t="shared" si="2"/>
        <v>-7.8864353312302349E-4</v>
      </c>
      <c r="E27" s="38">
        <f t="shared" si="3"/>
        <v>6.2195862233676545E-7</v>
      </c>
      <c r="F27" s="27">
        <f t="shared" si="4"/>
        <v>0.58213361883041193</v>
      </c>
      <c r="G27" s="28">
        <f t="shared" si="5"/>
        <v>3.6206302358367877E-7</v>
      </c>
      <c r="I27" s="21">
        <f t="shared" si="0"/>
        <v>4.0751997307405483E-4</v>
      </c>
      <c r="J27" s="41">
        <f t="shared" si="1"/>
        <v>2.0187123942603979E-2</v>
      </c>
      <c r="K27" s="44">
        <f t="shared" si="6"/>
        <v>1.6556599416475057E-7</v>
      </c>
      <c r="L27" s="13"/>
      <c r="M27" s="10">
        <f t="shared" si="7"/>
        <v>-4.0374247885207958E-2</v>
      </c>
      <c r="N27" s="10">
        <f t="shared" si="8"/>
        <v>4.0374247885207958E-2</v>
      </c>
    </row>
    <row r="28" spans="1:14" x14ac:dyDescent="0.25">
      <c r="A28" s="1">
        <v>45294</v>
      </c>
      <c r="B28" s="2">
        <f t="shared" si="9"/>
        <v>21</v>
      </c>
      <c r="C28" s="3">
        <f>+VLOOKUP(A28,Precios!$B:$H,1+$C$3,0)</f>
        <v>12.68</v>
      </c>
      <c r="D28" s="10">
        <f t="shared" si="2"/>
        <v>-2.4615384615384595E-2</v>
      </c>
      <c r="E28" s="38">
        <f t="shared" si="3"/>
        <v>6.0591715976331258E-4</v>
      </c>
      <c r="F28" s="27">
        <f t="shared" si="4"/>
        <v>0.56579024278973133</v>
      </c>
      <c r="G28" s="28">
        <f t="shared" si="5"/>
        <v>3.4282201693294908E-4</v>
      </c>
      <c r="I28" s="21">
        <f t="shared" si="0"/>
        <v>4.0178908628553758E-4</v>
      </c>
      <c r="J28" s="41">
        <f t="shared" si="1"/>
        <v>2.0044677255708996E-2</v>
      </c>
      <c r="K28" s="44">
        <f t="shared" si="6"/>
        <v>4.1668270381747909E-8</v>
      </c>
      <c r="L28" s="13"/>
      <c r="M28" s="10">
        <f t="shared" si="7"/>
        <v>-4.0089354511417992E-2</v>
      </c>
      <c r="N28" s="10">
        <f t="shared" si="8"/>
        <v>4.0089354511417992E-2</v>
      </c>
    </row>
    <row r="29" spans="1:14" x14ac:dyDescent="0.25">
      <c r="A29" s="1">
        <v>45293</v>
      </c>
      <c r="B29" s="2">
        <f t="shared" si="9"/>
        <v>22</v>
      </c>
      <c r="C29" s="3">
        <f>+VLOOKUP(A29,Precios!$B:$H,1+$C$3,0)</f>
        <v>13</v>
      </c>
      <c r="D29" s="10">
        <f t="shared" si="2"/>
        <v>-1.6641452344931973E-2</v>
      </c>
      <c r="E29" s="38">
        <f t="shared" si="3"/>
        <v>2.7693793614864184E-4</v>
      </c>
      <c r="F29" s="27">
        <f t="shared" si="4"/>
        <v>0.54990570632087232</v>
      </c>
      <c r="G29" s="28">
        <f t="shared" si="5"/>
        <v>1.5228975138486354E-4</v>
      </c>
      <c r="I29" s="21">
        <f t="shared" si="0"/>
        <v>4.0539552758034987E-4</v>
      </c>
      <c r="J29" s="41">
        <f t="shared" si="1"/>
        <v>2.0134436361128907E-2</v>
      </c>
      <c r="K29" s="44">
        <f t="shared" si="6"/>
        <v>1.6501352796435629E-8</v>
      </c>
      <c r="L29" s="13"/>
      <c r="M29" s="10">
        <f t="shared" si="7"/>
        <v>-4.0268872722257813E-2</v>
      </c>
      <c r="N29" s="10">
        <f t="shared" si="8"/>
        <v>4.0268872722257813E-2</v>
      </c>
    </row>
    <row r="30" spans="1:14" x14ac:dyDescent="0.25">
      <c r="A30" s="1">
        <v>45289</v>
      </c>
      <c r="B30" s="2">
        <f t="shared" si="9"/>
        <v>23</v>
      </c>
      <c r="C30" s="3">
        <f>+VLOOKUP(A30,Precios!$B:$H,1+$C$3,0)</f>
        <v>13.22</v>
      </c>
      <c r="D30" s="10">
        <f t="shared" si="2"/>
        <v>-1.4903129657227954E-2</v>
      </c>
      <c r="E30" s="38">
        <f t="shared" si="3"/>
        <v>2.2210327358014738E-4</v>
      </c>
      <c r="F30" s="27">
        <f t="shared" si="4"/>
        <v>0.53446712752280379</v>
      </c>
      <c r="G30" s="28">
        <f t="shared" si="5"/>
        <v>1.1870689864379281E-4</v>
      </c>
      <c r="I30" s="21">
        <f t="shared" si="0"/>
        <v>4.1069009437545549E-4</v>
      </c>
      <c r="J30" s="41">
        <f t="shared" si="1"/>
        <v>2.0265490232793667E-2</v>
      </c>
      <c r="K30" s="44">
        <f t="shared" si="6"/>
        <v>3.5564988977681656E-8</v>
      </c>
      <c r="L30" s="13"/>
      <c r="M30" s="10">
        <f t="shared" si="7"/>
        <v>-4.0530980465587334E-2</v>
      </c>
      <c r="N30" s="10">
        <f t="shared" si="8"/>
        <v>4.0530980465587334E-2</v>
      </c>
    </row>
    <row r="31" spans="1:14" x14ac:dyDescent="0.25">
      <c r="A31" s="1">
        <v>45288</v>
      </c>
      <c r="B31" s="2">
        <f t="shared" si="9"/>
        <v>24</v>
      </c>
      <c r="C31" s="3">
        <f>+VLOOKUP(A31,Precios!$B:$H,1+$C$3,0)</f>
        <v>13.42</v>
      </c>
      <c r="D31" s="10">
        <f t="shared" si="2"/>
        <v>-2.4709302325581439E-2</v>
      </c>
      <c r="E31" s="38">
        <f t="shared" si="3"/>
        <v>6.1054962141698433E-4</v>
      </c>
      <c r="F31" s="27">
        <f t="shared" si="4"/>
        <v>0.51946198615330619</v>
      </c>
      <c r="G31" s="28">
        <f t="shared" si="5"/>
        <v>3.1715731898641583E-4</v>
      </c>
      <c r="I31" s="21">
        <f t="shared" si="0"/>
        <v>4.0491696652926495E-4</v>
      </c>
      <c r="J31" s="41">
        <f t="shared" si="1"/>
        <v>2.0122548708582245E-2</v>
      </c>
      <c r="K31" s="44">
        <f t="shared" si="6"/>
        <v>4.2284788756171905E-8</v>
      </c>
      <c r="L31" s="13"/>
      <c r="M31" s="10">
        <f t="shared" si="7"/>
        <v>-4.0245097417164491E-2</v>
      </c>
      <c r="N31" s="10">
        <f t="shared" si="8"/>
        <v>4.0245097417164491E-2</v>
      </c>
    </row>
    <row r="32" spans="1:14" x14ac:dyDescent="0.25">
      <c r="A32" s="1">
        <v>45287</v>
      </c>
      <c r="B32" s="2">
        <f t="shared" si="9"/>
        <v>25</v>
      </c>
      <c r="C32" s="3">
        <f>+VLOOKUP(A32,Precios!$B:$H,1+$C$3,0)</f>
        <v>13.76</v>
      </c>
      <c r="D32" s="10">
        <f t="shared" si="2"/>
        <v>-2.17548948513413E-3</v>
      </c>
      <c r="E32" s="38">
        <f t="shared" si="3"/>
        <v>4.7327544999291621E-6</v>
      </c>
      <c r="F32" s="27">
        <f t="shared" si="4"/>
        <v>0.50487811347541589</v>
      </c>
      <c r="G32" s="28">
        <f t="shared" si="5"/>
        <v>2.3894641634665206E-6</v>
      </c>
      <c r="I32" s="21">
        <f t="shared" si="0"/>
        <v>4.1647665874044629E-4</v>
      </c>
      <c r="J32" s="41">
        <f t="shared" si="1"/>
        <v>2.0407759767805143E-2</v>
      </c>
      <c r="K32" s="44">
        <f t="shared" si="6"/>
        <v>1.6953304267922416E-7</v>
      </c>
      <c r="L32" s="13"/>
      <c r="M32" s="10">
        <f t="shared" si="7"/>
        <v>-4.0815519535610287E-2</v>
      </c>
      <c r="N32" s="10">
        <f t="shared" si="8"/>
        <v>4.0815519535610287E-2</v>
      </c>
    </row>
    <row r="33" spans="1:14" x14ac:dyDescent="0.25">
      <c r="A33" s="1">
        <v>45286</v>
      </c>
      <c r="B33" s="2">
        <f t="shared" si="9"/>
        <v>26</v>
      </c>
      <c r="C33" s="3">
        <f>+VLOOKUP(A33,Precios!$B:$H,1+$C$3,0)</f>
        <v>13.79</v>
      </c>
      <c r="D33" s="10">
        <f t="shared" si="2"/>
        <v>-9.339080459770166E-3</v>
      </c>
      <c r="E33" s="38">
        <f t="shared" si="3"/>
        <v>8.7218423834060937E-5</v>
      </c>
      <c r="F33" s="27">
        <f t="shared" si="4"/>
        <v>0.49070368238893031</v>
      </c>
      <c r="G33" s="28">
        <f t="shared" si="5"/>
        <v>4.2798401747532146E-5</v>
      </c>
      <c r="I33" s="21">
        <f t="shared" si="0"/>
        <v>4.25987588305143E-4</v>
      </c>
      <c r="J33" s="41">
        <f t="shared" si="1"/>
        <v>2.0639466764069827E-2</v>
      </c>
      <c r="K33" s="44">
        <f t="shared" si="6"/>
        <v>1.1476454679643507E-7</v>
      </c>
      <c r="L33" s="13"/>
      <c r="M33" s="10">
        <f t="shared" si="7"/>
        <v>-4.1278933528139654E-2</v>
      </c>
      <c r="N33" s="10">
        <f t="shared" si="8"/>
        <v>4.1278933528139654E-2</v>
      </c>
    </row>
    <row r="34" spans="1:14" x14ac:dyDescent="0.25">
      <c r="A34" s="1">
        <v>45282</v>
      </c>
      <c r="B34" s="2">
        <f t="shared" si="9"/>
        <v>27</v>
      </c>
      <c r="C34" s="3">
        <f>+VLOOKUP(A34,Precios!$B:$H,1+$C$3,0)</f>
        <v>13.92</v>
      </c>
      <c r="D34" s="10">
        <f t="shared" si="2"/>
        <v>1.2363636363636354E-2</v>
      </c>
      <c r="E34" s="38">
        <f t="shared" si="3"/>
        <v>1.5285950413223117E-4</v>
      </c>
      <c r="F34" s="27">
        <f t="shared" si="4"/>
        <v>0.47692719783897114</v>
      </c>
      <c r="G34" s="28">
        <f t="shared" si="5"/>
        <v>7.2902854968839636E-5</v>
      </c>
      <c r="I34" s="21">
        <f t="shared" si="0"/>
        <v>4.3387714639454877E-4</v>
      </c>
      <c r="J34" s="41">
        <f t="shared" si="1"/>
        <v>2.0829717866417411E-2</v>
      </c>
      <c r="K34" s="44">
        <f t="shared" si="6"/>
        <v>7.8970915262671914E-8</v>
      </c>
      <c r="L34" s="13"/>
      <c r="M34" s="10">
        <f t="shared" si="7"/>
        <v>-4.1659435732834822E-2</v>
      </c>
      <c r="N34" s="10">
        <f t="shared" si="8"/>
        <v>4.1659435732834822E-2</v>
      </c>
    </row>
    <row r="35" spans="1:14" x14ac:dyDescent="0.25">
      <c r="A35" s="1">
        <v>45281</v>
      </c>
      <c r="B35" s="2">
        <f t="shared" si="9"/>
        <v>28</v>
      </c>
      <c r="C35" s="3">
        <f>+VLOOKUP(A35,Precios!$B:$H,1+$C$3,0)</f>
        <v>13.75</v>
      </c>
      <c r="D35" s="10">
        <f t="shared" si="2"/>
        <v>2.2304832713754719E-2</v>
      </c>
      <c r="E35" s="38">
        <f t="shared" si="3"/>
        <v>4.9750556238858273E-4</v>
      </c>
      <c r="F35" s="27">
        <f t="shared" si="4"/>
        <v>0.46353748749382601</v>
      </c>
      <c r="G35" s="28">
        <f t="shared" si="5"/>
        <v>2.3061247840380653E-4</v>
      </c>
      <c r="I35" s="21">
        <f t="shared" si="0"/>
        <v>4.3203918057114408E-4</v>
      </c>
      <c r="J35" s="41">
        <f t="shared" si="1"/>
        <v>2.0785552207510487E-2</v>
      </c>
      <c r="K35" s="44">
        <f t="shared" si="6"/>
        <v>4.2858471482666608E-9</v>
      </c>
      <c r="L35" s="13"/>
      <c r="M35" s="10">
        <f t="shared" si="7"/>
        <v>-4.1571104415020974E-2</v>
      </c>
      <c r="N35" s="10">
        <f t="shared" si="8"/>
        <v>4.1571104415020974E-2</v>
      </c>
    </row>
    <row r="36" spans="1:14" x14ac:dyDescent="0.25">
      <c r="A36" s="1">
        <v>45280</v>
      </c>
      <c r="B36" s="2">
        <f t="shared" si="9"/>
        <v>29</v>
      </c>
      <c r="C36" s="3">
        <f>+VLOOKUP(A36,Precios!$B:$H,1+$C$3,0)</f>
        <v>13.45</v>
      </c>
      <c r="D36" s="10">
        <f t="shared" si="2"/>
        <v>-1.1029411764705954E-2</v>
      </c>
      <c r="E36" s="38">
        <f t="shared" si="3"/>
        <v>1.2164792387543411E-4</v>
      </c>
      <c r="F36" s="27">
        <f t="shared" si="4"/>
        <v>0.45052369268450948</v>
      </c>
      <c r="G36" s="28">
        <f t="shared" si="5"/>
        <v>5.4805271871764679E-5</v>
      </c>
      <c r="I36" s="21">
        <f t="shared" si="0"/>
        <v>4.4100511996752681E-4</v>
      </c>
      <c r="J36" s="41">
        <f t="shared" si="1"/>
        <v>2.1000121903634913E-2</v>
      </c>
      <c r="K36" s="44">
        <f t="shared" si="6"/>
        <v>1.0198901869580334E-7</v>
      </c>
      <c r="L36" s="13"/>
      <c r="M36" s="10">
        <f t="shared" si="7"/>
        <v>-4.2000243807269827E-2</v>
      </c>
      <c r="N36" s="10">
        <f t="shared" si="8"/>
        <v>4.2000243807269827E-2</v>
      </c>
    </row>
    <row r="37" spans="1:14" x14ac:dyDescent="0.25">
      <c r="A37" s="1">
        <v>45279</v>
      </c>
      <c r="B37" s="2">
        <f t="shared" si="9"/>
        <v>30</v>
      </c>
      <c r="C37" s="3">
        <f>+VLOOKUP(A37,Precios!$B:$H,1+$C$3,0)</f>
        <v>13.6</v>
      </c>
      <c r="D37" s="10">
        <f t="shared" si="2"/>
        <v>7.3583517292119538E-4</v>
      </c>
      <c r="E37" s="38">
        <f t="shared" si="3"/>
        <v>5.4145340170796546E-7</v>
      </c>
      <c r="F37" s="27">
        <f t="shared" si="4"/>
        <v>0.43787525959869594</v>
      </c>
      <c r="G37" s="28">
        <f t="shared" si="5"/>
        <v>2.3708904883347238E-7</v>
      </c>
      <c r="I37" s="21">
        <f t="shared" si="0"/>
        <v>4.5372832158982381E-4</v>
      </c>
      <c r="J37" s="41">
        <f t="shared" si="1"/>
        <v>2.1300899548841214E-2</v>
      </c>
      <c r="K37" s="44">
        <f t="shared" si="6"/>
        <v>2.0537833749815271E-7</v>
      </c>
      <c r="L37" s="13"/>
      <c r="M37" s="10">
        <f t="shared" si="7"/>
        <v>-4.2601799097682427E-2</v>
      </c>
      <c r="N37" s="10">
        <f t="shared" si="8"/>
        <v>4.2601799097682427E-2</v>
      </c>
    </row>
    <row r="38" spans="1:14" x14ac:dyDescent="0.25">
      <c r="A38" s="1">
        <v>45278</v>
      </c>
      <c r="B38" s="2">
        <f t="shared" si="9"/>
        <v>31</v>
      </c>
      <c r="C38" s="3">
        <f>+VLOOKUP(A38,Precios!$B:$H,1+$C$3,0)</f>
        <v>13.59</v>
      </c>
      <c r="D38" s="10">
        <f t="shared" si="2"/>
        <v>5.177514792899407E-3</v>
      </c>
      <c r="E38" s="38">
        <f t="shared" si="3"/>
        <v>2.6806659430692188E-5</v>
      </c>
      <c r="F38" s="27">
        <f t="shared" si="4"/>
        <v>0.42558193072188194</v>
      </c>
      <c r="G38" s="28">
        <f t="shared" si="5"/>
        <v>1.1408429876717925E-5</v>
      </c>
      <c r="I38" s="21">
        <f t="shared" si="0"/>
        <v>4.6606034985205761E-4</v>
      </c>
      <c r="J38" s="41">
        <f t="shared" si="1"/>
        <v>2.1588430926124707E-2</v>
      </c>
      <c r="K38" s="44">
        <f t="shared" si="6"/>
        <v>1.9294380454878874E-7</v>
      </c>
      <c r="L38" s="13"/>
      <c r="M38" s="10">
        <f t="shared" si="7"/>
        <v>-4.3176861852249414E-2</v>
      </c>
      <c r="N38" s="10">
        <f t="shared" si="8"/>
        <v>4.3176861852249414E-2</v>
      </c>
    </row>
    <row r="39" spans="1:14" x14ac:dyDescent="0.25">
      <c r="A39" s="1">
        <v>45275</v>
      </c>
      <c r="B39" s="2">
        <f t="shared" si="9"/>
        <v>32</v>
      </c>
      <c r="C39" s="3">
        <f>+VLOOKUP(A39,Precios!$B:$H,1+$C$3,0)</f>
        <v>13.52</v>
      </c>
      <c r="D39" s="10">
        <f t="shared" si="2"/>
        <v>-1.477104874446078E-3</v>
      </c>
      <c r="E39" s="38">
        <f t="shared" si="3"/>
        <v>2.1818388101123636E-6</v>
      </c>
      <c r="F39" s="27">
        <f t="shared" si="4"/>
        <v>0.41363373651883789</v>
      </c>
      <c r="G39" s="28">
        <f t="shared" si="5"/>
        <v>9.0248213950859219E-7</v>
      </c>
      <c r="I39" s="21">
        <f t="shared" si="0"/>
        <v>4.7945991097875419E-4</v>
      </c>
      <c r="J39" s="41">
        <f t="shared" si="1"/>
        <v>2.1896573041888408E-2</v>
      </c>
      <c r="K39" s="44">
        <f t="shared" si="6"/>
        <v>2.2779435817301525E-7</v>
      </c>
      <c r="L39" s="13"/>
      <c r="M39" s="10">
        <f t="shared" si="7"/>
        <v>-4.3793146083776817E-2</v>
      </c>
      <c r="N39" s="10">
        <f t="shared" si="8"/>
        <v>4.3793146083776817E-2</v>
      </c>
    </row>
    <row r="40" spans="1:14" x14ac:dyDescent="0.25">
      <c r="A40" s="1">
        <v>45274</v>
      </c>
      <c r="B40" s="2">
        <f t="shared" si="9"/>
        <v>33</v>
      </c>
      <c r="C40" s="3">
        <f>+VLOOKUP(A40,Precios!$B:$H,1+$C$3,0)</f>
        <v>13.54</v>
      </c>
      <c r="D40" s="10">
        <f t="shared" si="2"/>
        <v>5.0426687354538258E-2</v>
      </c>
      <c r="E40" s="38">
        <f t="shared" si="3"/>
        <v>2.5428507975523485E-3</v>
      </c>
      <c r="F40" s="27">
        <f t="shared" si="4"/>
        <v>0.40202098734860225</v>
      </c>
      <c r="G40" s="28">
        <f t="shared" si="5"/>
        <v>1.0222793883121759E-3</v>
      </c>
      <c r="I40" s="21">
        <f t="shared" si="0"/>
        <v>4.198569510339002E-4</v>
      </c>
      <c r="J40" s="41">
        <f t="shared" si="1"/>
        <v>2.0490411197286895E-2</v>
      </c>
      <c r="K40" s="44">
        <f t="shared" si="6"/>
        <v>4.5071028723551972E-6</v>
      </c>
      <c r="L40" s="13"/>
      <c r="M40" s="10">
        <f t="shared" si="7"/>
        <v>-4.098082239457379E-2</v>
      </c>
      <c r="N40" s="10">
        <f t="shared" si="8"/>
        <v>4.098082239457379E-2</v>
      </c>
    </row>
    <row r="41" spans="1:14" x14ac:dyDescent="0.25">
      <c r="A41" s="1">
        <v>45273</v>
      </c>
      <c r="B41" s="2">
        <f t="shared" si="9"/>
        <v>34</v>
      </c>
      <c r="C41" s="3">
        <f>+VLOOKUP(A41,Precios!$B:$H,1+$C$3,0)</f>
        <v>12.89</v>
      </c>
      <c r="D41" s="10">
        <f t="shared" si="2"/>
        <v>3.6173633440514497E-2</v>
      </c>
      <c r="E41" s="38">
        <f t="shared" si="3"/>
        <v>1.3085317562887087E-3</v>
      </c>
      <c r="F41" s="27">
        <f t="shared" si="4"/>
        <v>0.39073426560646218</v>
      </c>
      <c r="G41" s="28">
        <f t="shared" si="5"/>
        <v>5.1128819481620271E-4</v>
      </c>
      <c r="I41" s="21">
        <f t="shared" si="0"/>
        <v>3.9418675486977941E-4</v>
      </c>
      <c r="J41" s="41">
        <f t="shared" si="1"/>
        <v>1.9854136971164962E-2</v>
      </c>
      <c r="K41" s="44">
        <f t="shared" si="6"/>
        <v>8.3602678161978171E-7</v>
      </c>
      <c r="L41" s="13"/>
      <c r="M41" s="10">
        <f t="shared" si="7"/>
        <v>-3.9708273942329925E-2</v>
      </c>
      <c r="N41" s="10">
        <f t="shared" si="8"/>
        <v>3.9708273942329925E-2</v>
      </c>
    </row>
    <row r="42" spans="1:14" x14ac:dyDescent="0.25">
      <c r="A42" s="1">
        <v>45271</v>
      </c>
      <c r="B42" s="2">
        <f t="shared" si="9"/>
        <v>35</v>
      </c>
      <c r="C42" s="3">
        <f>+VLOOKUP(A42,Precios!$B:$H,1+$C$3,0)</f>
        <v>12.44</v>
      </c>
      <c r="D42" s="10">
        <f t="shared" si="2"/>
        <v>8.921330089213253E-3</v>
      </c>
      <c r="E42" s="38">
        <f t="shared" si="3"/>
        <v>7.9590130560701751E-5</v>
      </c>
      <c r="F42" s="27">
        <f t="shared" si="4"/>
        <v>0.37976441808654776</v>
      </c>
      <c r="G42" s="28">
        <f t="shared" si="5"/>
        <v>3.0225499617817261E-5</v>
      </c>
      <c r="I42" s="21">
        <f t="shared" si="0"/>
        <v>4.032741702109499E-4</v>
      </c>
      <c r="J42" s="41">
        <f t="shared" si="1"/>
        <v>2.008168743435048E-2</v>
      </c>
      <c r="K42" s="44">
        <f t="shared" si="6"/>
        <v>1.0477135752430339E-7</v>
      </c>
      <c r="L42" s="13"/>
      <c r="M42" s="10">
        <f t="shared" si="7"/>
        <v>-4.016337486870096E-2</v>
      </c>
      <c r="N42" s="10">
        <f t="shared" si="8"/>
        <v>4.016337486870096E-2</v>
      </c>
    </row>
    <row r="43" spans="1:14" x14ac:dyDescent="0.25">
      <c r="A43" s="1">
        <v>45268</v>
      </c>
      <c r="B43" s="2">
        <f t="shared" si="9"/>
        <v>36</v>
      </c>
      <c r="C43" s="3">
        <f>+VLOOKUP(A43,Precios!$B:$H,1+$C$3,0)</f>
        <v>12.33</v>
      </c>
      <c r="D43" s="10">
        <f t="shared" si="2"/>
        <v>8.1766148814390593E-3</v>
      </c>
      <c r="E43" s="38">
        <f t="shared" si="3"/>
        <v>6.6857030919370688E-5</v>
      </c>
      <c r="F43" s="27">
        <f t="shared" si="4"/>
        <v>0.36910254855884611</v>
      </c>
      <c r="G43" s="28">
        <f t="shared" si="5"/>
        <v>2.4677100501417295E-5</v>
      </c>
      <c r="I43" s="21">
        <f t="shared" si="0"/>
        <v>4.1299189137005375E-4</v>
      </c>
      <c r="J43" s="41">
        <f t="shared" si="1"/>
        <v>2.0322201932124723E-2</v>
      </c>
      <c r="K43" s="44">
        <f t="shared" si="6"/>
        <v>1.1980934161921383E-7</v>
      </c>
      <c r="L43" s="13"/>
      <c r="M43" s="10">
        <f t="shared" si="7"/>
        <v>-4.0644403864249445E-2</v>
      </c>
      <c r="N43" s="10">
        <f t="shared" si="8"/>
        <v>4.0644403864249445E-2</v>
      </c>
    </row>
    <row r="44" spans="1:14" x14ac:dyDescent="0.25">
      <c r="A44" s="1">
        <v>45267</v>
      </c>
      <c r="B44" s="2">
        <f t="shared" si="9"/>
        <v>37</v>
      </c>
      <c r="C44" s="3">
        <f>+VLOOKUP(A44,Precios!$B:$H,1+$C$3,0)</f>
        <v>12.23</v>
      </c>
      <c r="D44" s="10">
        <f t="shared" si="2"/>
        <v>7.4135090609555032E-3</v>
      </c>
      <c r="E44" s="38">
        <f t="shared" si="3"/>
        <v>5.4960116596869349E-5</v>
      </c>
      <c r="F44" s="27">
        <f t="shared" si="4"/>
        <v>0.35874001055461491</v>
      </c>
      <c r="G44" s="28">
        <f t="shared" si="5"/>
        <v>1.9716392808043775E-5</v>
      </c>
      <c r="I44" s="21">
        <f t="shared" si="0"/>
        <v>4.2333397132671542E-4</v>
      </c>
      <c r="J44" s="41">
        <f t="shared" si="1"/>
        <v>2.0575081320051092E-2</v>
      </c>
      <c r="K44" s="44">
        <f t="shared" si="6"/>
        <v>1.3569929684852573E-7</v>
      </c>
      <c r="L44" s="13"/>
      <c r="M44" s="10">
        <f t="shared" si="7"/>
        <v>-4.1150162640102184E-2</v>
      </c>
      <c r="N44" s="10">
        <f t="shared" si="8"/>
        <v>4.1150162640102184E-2</v>
      </c>
    </row>
    <row r="45" spans="1:14" x14ac:dyDescent="0.25">
      <c r="A45" s="1">
        <v>45266</v>
      </c>
      <c r="B45" s="2">
        <f t="shared" si="9"/>
        <v>38</v>
      </c>
      <c r="C45" s="3">
        <f>+VLOOKUP(A45,Precios!$B:$H,1+$C$3,0)</f>
        <v>12.14</v>
      </c>
      <c r="D45" s="10">
        <f t="shared" si="2"/>
        <v>0</v>
      </c>
      <c r="E45" s="38">
        <f t="shared" si="3"/>
        <v>0</v>
      </c>
      <c r="F45" s="27">
        <f t="shared" si="4"/>
        <v>0.34866840035434604</v>
      </c>
      <c r="G45" s="28">
        <f t="shared" si="5"/>
        <v>0</v>
      </c>
      <c r="I45" s="21">
        <f t="shared" si="0"/>
        <v>4.3556236581099154E-4</v>
      </c>
      <c r="J45" s="41">
        <f t="shared" si="1"/>
        <v>2.0870130948582751E-2</v>
      </c>
      <c r="K45" s="44">
        <f t="shared" si="6"/>
        <v>1.8971457451086801E-7</v>
      </c>
      <c r="L45" s="13"/>
      <c r="M45" s="10">
        <f t="shared" si="7"/>
        <v>-4.1740261897165502E-2</v>
      </c>
      <c r="N45" s="10">
        <f t="shared" si="8"/>
        <v>4.1740261897165502E-2</v>
      </c>
    </row>
    <row r="46" spans="1:14" x14ac:dyDescent="0.25">
      <c r="A46" s="1">
        <v>45265</v>
      </c>
      <c r="B46" s="2">
        <f t="shared" si="9"/>
        <v>39</v>
      </c>
      <c r="C46" s="3">
        <f>+VLOOKUP(A46,Precios!$B:$H,1+$C$3,0)</f>
        <v>12.14</v>
      </c>
      <c r="D46" s="10">
        <f t="shared" si="2"/>
        <v>-1.4610389610389629E-2</v>
      </c>
      <c r="E46" s="38">
        <f t="shared" si="3"/>
        <v>2.1346348456738123E-4</v>
      </c>
      <c r="F46" s="27">
        <f t="shared" si="4"/>
        <v>0.33887955017259125</v>
      </c>
      <c r="G46" s="28">
        <f t="shared" si="5"/>
        <v>7.2338409628468025E-5</v>
      </c>
      <c r="I46" s="21">
        <f t="shared" si="0"/>
        <v>4.4197789803452578E-4</v>
      </c>
      <c r="J46" s="41">
        <f t="shared" si="1"/>
        <v>2.1023270393412292E-2</v>
      </c>
      <c r="K46" s="44">
        <f t="shared" si="6"/>
        <v>5.2218837162233097E-8</v>
      </c>
      <c r="L46" s="13"/>
      <c r="M46" s="10">
        <f t="shared" si="7"/>
        <v>-4.2046540786824585E-2</v>
      </c>
      <c r="N46" s="10">
        <f t="shared" si="8"/>
        <v>4.2046540786824585E-2</v>
      </c>
    </row>
    <row r="47" spans="1:14" x14ac:dyDescent="0.25">
      <c r="A47" s="1">
        <v>45264</v>
      </c>
      <c r="B47" s="2">
        <f t="shared" si="9"/>
        <v>40</v>
      </c>
      <c r="C47" s="3">
        <f>+VLOOKUP(A47,Precios!$B:$H,1+$C$3,0)</f>
        <v>12.32</v>
      </c>
      <c r="D47" s="10">
        <f t="shared" si="2"/>
        <v>-8.110300081103361E-4</v>
      </c>
      <c r="E47" s="38">
        <f t="shared" si="3"/>
        <v>6.5776967405545183E-7</v>
      </c>
      <c r="F47" s="27">
        <f t="shared" si="4"/>
        <v>0.32936552153412363</v>
      </c>
      <c r="G47" s="28">
        <f t="shared" si="5"/>
        <v>2.166466517446044E-7</v>
      </c>
      <c r="I47" s="21">
        <f t="shared" si="0"/>
        <v>4.5472583935029197E-4</v>
      </c>
      <c r="J47" s="41">
        <f t="shared" si="1"/>
        <v>2.1324301614596714E-2</v>
      </c>
      <c r="K47" s="44">
        <f t="shared" si="6"/>
        <v>2.0617781189950361E-7</v>
      </c>
      <c r="L47" s="13"/>
      <c r="M47" s="10">
        <f t="shared" si="7"/>
        <v>-4.2648603229193428E-2</v>
      </c>
      <c r="N47" s="10">
        <f t="shared" si="8"/>
        <v>4.2648603229193428E-2</v>
      </c>
    </row>
    <row r="48" spans="1:14" x14ac:dyDescent="0.25">
      <c r="A48" s="1">
        <v>45261</v>
      </c>
      <c r="B48" s="2">
        <f t="shared" si="9"/>
        <v>41</v>
      </c>
      <c r="C48" s="3">
        <f>+VLOOKUP(A48,Precios!$B:$H,1+$C$3,0)</f>
        <v>12.33</v>
      </c>
      <c r="D48" s="10">
        <f t="shared" si="2"/>
        <v>2.1541010770505409E-2</v>
      </c>
      <c r="E48" s="38">
        <f t="shared" si="3"/>
        <v>4.6401514501503001E-4</v>
      </c>
      <c r="F48" s="27">
        <f t="shared" si="4"/>
        <v>0.32011859883606314</v>
      </c>
      <c r="G48" s="28">
        <f t="shared" si="5"/>
        <v>1.4853987806092404E-4</v>
      </c>
      <c r="I48" s="21">
        <f t="shared" si="0"/>
        <v>4.5445750913857414E-4</v>
      </c>
      <c r="J48" s="41">
        <f t="shared" si="1"/>
        <v>2.1318009033176013E-2</v>
      </c>
      <c r="K48" s="44">
        <f t="shared" si="6"/>
        <v>9.1348403546916249E-11</v>
      </c>
      <c r="L48" s="13"/>
      <c r="M48" s="10">
        <f t="shared" si="7"/>
        <v>-4.2636018066352026E-2</v>
      </c>
      <c r="N48" s="10">
        <f t="shared" si="8"/>
        <v>4.2636018066352026E-2</v>
      </c>
    </row>
    <row r="49" spans="1:14" x14ac:dyDescent="0.25">
      <c r="A49" s="1">
        <v>45260</v>
      </c>
      <c r="B49" s="2">
        <f t="shared" si="9"/>
        <v>42</v>
      </c>
      <c r="C49" s="3">
        <f>+VLOOKUP(A49,Precios!$B:$H,1+$C$3,0)</f>
        <v>12.07</v>
      </c>
      <c r="D49" s="10">
        <f t="shared" si="2"/>
        <v>2.491694352159568E-3</v>
      </c>
      <c r="E49" s="38">
        <f t="shared" si="3"/>
        <v>6.2085407445838898E-6</v>
      </c>
      <c r="F49" s="27">
        <f t="shared" si="4"/>
        <v>0.311131283090745</v>
      </c>
      <c r="G49" s="28">
        <f t="shared" si="5"/>
        <v>1.9316712479835548E-6</v>
      </c>
      <c r="I49" s="21">
        <f t="shared" si="0"/>
        <v>4.6740559642652107E-4</v>
      </c>
      <c r="J49" s="41">
        <f t="shared" si="1"/>
        <v>2.1619565130374871E-2</v>
      </c>
      <c r="K49" s="44">
        <f t="shared" si="6"/>
        <v>2.1270272416968788E-7</v>
      </c>
      <c r="L49" s="13"/>
      <c r="M49" s="10">
        <f t="shared" si="7"/>
        <v>-4.3239130260749742E-2</v>
      </c>
      <c r="N49" s="10">
        <f t="shared" si="8"/>
        <v>4.3239130260749742E-2</v>
      </c>
    </row>
    <row r="50" spans="1:14" x14ac:dyDescent="0.25">
      <c r="A50" s="1">
        <v>45259</v>
      </c>
      <c r="B50" s="2">
        <f t="shared" si="9"/>
        <v>43</v>
      </c>
      <c r="C50" s="3">
        <f>+VLOOKUP(A50,Precios!$B:$H,1+$C$3,0)</f>
        <v>12.04</v>
      </c>
      <c r="D50" s="10">
        <f t="shared" si="2"/>
        <v>3.3476394849785374E-2</v>
      </c>
      <c r="E50" s="38">
        <f t="shared" si="3"/>
        <v>1.1206690121387368E-3</v>
      </c>
      <c r="F50" s="27">
        <f t="shared" si="4"/>
        <v>0.30239628584425743</v>
      </c>
      <c r="G50" s="28">
        <f t="shared" si="5"/>
        <v>3.3888614693150705E-4</v>
      </c>
      <c r="I50" s="21">
        <f t="shared" si="0"/>
        <v>4.4853547663802556E-4</v>
      </c>
      <c r="J50" s="41">
        <f t="shared" si="1"/>
        <v>2.1178656157509749E-2</v>
      </c>
      <c r="K50" s="44">
        <f t="shared" si="6"/>
        <v>4.5176348954468572E-7</v>
      </c>
      <c r="L50" s="13"/>
      <c r="M50" s="10">
        <f t="shared" si="7"/>
        <v>-4.2357312315019498E-2</v>
      </c>
      <c r="N50" s="10">
        <f t="shared" si="8"/>
        <v>4.2357312315019498E-2</v>
      </c>
    </row>
    <row r="51" spans="1:14" x14ac:dyDescent="0.25">
      <c r="A51" s="1">
        <v>45258</v>
      </c>
      <c r="B51" s="2">
        <f t="shared" si="9"/>
        <v>44</v>
      </c>
      <c r="C51" s="3">
        <f>+VLOOKUP(A51,Precios!$B:$H,1+$C$3,0)</f>
        <v>11.65</v>
      </c>
      <c r="D51" s="10">
        <f t="shared" si="2"/>
        <v>1.0407632263660149E-2</v>
      </c>
      <c r="E51" s="38">
        <f t="shared" si="3"/>
        <v>1.0831880933557968E-4</v>
      </c>
      <c r="F51" s="27">
        <f t="shared" si="4"/>
        <v>0.2939065232657152</v>
      </c>
      <c r="G51" s="28">
        <f t="shared" si="5"/>
        <v>3.1835604656102121E-5</v>
      </c>
      <c r="I51" s="21">
        <f t="shared" si="0"/>
        <v>4.5836295068850581E-4</v>
      </c>
      <c r="J51" s="41">
        <f t="shared" si="1"/>
        <v>2.1409412665659603E-2</v>
      </c>
      <c r="K51" s="44">
        <f t="shared" si="6"/>
        <v>1.2253090089550735E-7</v>
      </c>
      <c r="L51" s="13"/>
      <c r="M51" s="10">
        <f t="shared" si="7"/>
        <v>-4.2818825331319206E-2</v>
      </c>
      <c r="N51" s="10">
        <f t="shared" si="8"/>
        <v>4.2818825331319206E-2</v>
      </c>
    </row>
    <row r="52" spans="1:14" x14ac:dyDescent="0.25">
      <c r="A52" s="1">
        <v>45257</v>
      </c>
      <c r="B52" s="2">
        <f t="shared" si="9"/>
        <v>45</v>
      </c>
      <c r="C52" s="3">
        <f>+VLOOKUP(A52,Precios!$B:$H,1+$C$3,0)</f>
        <v>11.53</v>
      </c>
      <c r="D52" s="10">
        <f t="shared" si="2"/>
        <v>-3.1092436974790028E-2</v>
      </c>
      <c r="E52" s="38">
        <f t="shared" si="3"/>
        <v>9.6673963703129001E-4</v>
      </c>
      <c r="F52" s="27">
        <f t="shared" si="4"/>
        <v>0.2856551104024771</v>
      </c>
      <c r="G52" s="28">
        <f t="shared" si="5"/>
        <v>2.7615411774662378E-4</v>
      </c>
      <c r="I52" s="21">
        <f t="shared" si="0"/>
        <v>4.4367801848775194E-4</v>
      </c>
      <c r="J52" s="41">
        <f t="shared" si="1"/>
        <v>2.1063665836880151E-2</v>
      </c>
      <c r="K52" s="44">
        <f t="shared" si="6"/>
        <v>2.7359345679338569E-7</v>
      </c>
      <c r="L52" s="13"/>
      <c r="M52" s="10">
        <f t="shared" si="7"/>
        <v>-4.2127331673760302E-2</v>
      </c>
      <c r="N52" s="10">
        <f t="shared" si="8"/>
        <v>4.2127331673760302E-2</v>
      </c>
    </row>
    <row r="53" spans="1:14" x14ac:dyDescent="0.25">
      <c r="A53" s="1">
        <v>45254</v>
      </c>
      <c r="B53" s="2">
        <f t="shared" si="9"/>
        <v>46</v>
      </c>
      <c r="C53" s="3">
        <f>+VLOOKUP(A53,Precios!$B:$H,1+$C$3,0)</f>
        <v>11.9</v>
      </c>
      <c r="D53" s="10">
        <f t="shared" si="2"/>
        <v>5.0675675675675436E-3</v>
      </c>
      <c r="E53" s="38">
        <f t="shared" si="3"/>
        <v>2.5680241051862429E-5</v>
      </c>
      <c r="F53" s="27">
        <f t="shared" si="4"/>
        <v>0.27763535559664809</v>
      </c>
      <c r="G53" s="28">
        <f t="shared" si="5"/>
        <v>7.1297428562414655E-6</v>
      </c>
      <c r="I53" s="21">
        <f t="shared" si="0"/>
        <v>4.5575227206116024E-4</v>
      </c>
      <c r="J53" s="41">
        <f t="shared" si="1"/>
        <v>2.134835525423821E-2</v>
      </c>
      <c r="K53" s="44">
        <f t="shared" si="6"/>
        <v>1.8496195185646243E-7</v>
      </c>
      <c r="L53" s="13"/>
      <c r="M53" s="10">
        <f t="shared" si="7"/>
        <v>-4.269671050847642E-2</v>
      </c>
      <c r="N53" s="10">
        <f t="shared" si="8"/>
        <v>4.269671050847642E-2</v>
      </c>
    </row>
    <row r="54" spans="1:14" x14ac:dyDescent="0.25">
      <c r="A54" s="1">
        <v>45253</v>
      </c>
      <c r="B54" s="2">
        <f t="shared" si="9"/>
        <v>47</v>
      </c>
      <c r="C54" s="3">
        <f>+VLOOKUP(A54,Precios!$B:$H,1+$C$3,0)</f>
        <v>11.84</v>
      </c>
      <c r="D54" s="10">
        <f t="shared" si="2"/>
        <v>1.5437392795883298E-2</v>
      </c>
      <c r="E54" s="38">
        <f t="shared" si="3"/>
        <v>2.3831309633438956E-4</v>
      </c>
      <c r="F54" s="27">
        <f t="shared" si="4"/>
        <v>0.26984075505833771</v>
      </c>
      <c r="G54" s="28">
        <f t="shared" si="5"/>
        <v>6.4306585855162049E-5</v>
      </c>
      <c r="I54" s="21">
        <f t="shared" si="0"/>
        <v>4.6203320436808044E-4</v>
      </c>
      <c r="J54" s="41">
        <f t="shared" si="1"/>
        <v>2.1494957649832214E-2</v>
      </c>
      <c r="K54" s="44">
        <f t="shared" si="6"/>
        <v>5.0050686738606319E-8</v>
      </c>
      <c r="L54" s="13"/>
      <c r="M54" s="10">
        <f t="shared" si="7"/>
        <v>-4.2989915299664429E-2</v>
      </c>
      <c r="N54" s="10">
        <f t="shared" si="8"/>
        <v>4.2989915299664429E-2</v>
      </c>
    </row>
    <row r="55" spans="1:14" x14ac:dyDescent="0.25">
      <c r="A55" s="1">
        <v>45252</v>
      </c>
      <c r="B55" s="2">
        <f t="shared" si="9"/>
        <v>48</v>
      </c>
      <c r="C55" s="3">
        <f>+VLOOKUP(A55,Precios!$B:$H,1+$C$3,0)</f>
        <v>11.66</v>
      </c>
      <c r="D55" s="10">
        <f t="shared" si="2"/>
        <v>-1.1026293469041493E-2</v>
      </c>
      <c r="E55" s="38">
        <f t="shared" si="3"/>
        <v>1.2157914766542707E-4</v>
      </c>
      <c r="F55" s="27">
        <f t="shared" si="4"/>
        <v>0.26226498759127387</v>
      </c>
      <c r="G55" s="28">
        <f t="shared" si="5"/>
        <v>3.1885953653830882E-5</v>
      </c>
      <c r="I55" s="21">
        <f t="shared" si="0"/>
        <v>4.7186753563160933E-4</v>
      </c>
      <c r="J55" s="41">
        <f t="shared" si="1"/>
        <v>2.1722512185095199E-2</v>
      </c>
      <c r="K55" s="44">
        <f t="shared" si="6"/>
        <v>1.2270195474394663E-7</v>
      </c>
      <c r="L55" s="13"/>
      <c r="M55" s="10">
        <f t="shared" si="7"/>
        <v>-4.3445024370190398E-2</v>
      </c>
      <c r="N55" s="10">
        <f t="shared" si="8"/>
        <v>4.3445024370190398E-2</v>
      </c>
    </row>
    <row r="56" spans="1:14" x14ac:dyDescent="0.25">
      <c r="A56" s="1">
        <v>45251</v>
      </c>
      <c r="B56" s="2">
        <f t="shared" si="9"/>
        <v>49</v>
      </c>
      <c r="C56" s="3">
        <f>+VLOOKUP(A56,Precios!$B:$H,1+$C$3,0)</f>
        <v>11.79</v>
      </c>
      <c r="D56" s="10">
        <f t="shared" si="2"/>
        <v>-2.2388059701492602E-2</v>
      </c>
      <c r="E56" s="38">
        <f t="shared" si="3"/>
        <v>5.0122521719759704E-4</v>
      </c>
      <c r="F56" s="27">
        <f t="shared" si="4"/>
        <v>0.25490190946649494</v>
      </c>
      <c r="G56" s="28">
        <f t="shared" si="5"/>
        <v>1.2776326493642615E-4</v>
      </c>
      <c r="I56" s="21">
        <f t="shared" si="0"/>
        <v>4.7101951176476114E-4</v>
      </c>
      <c r="J56" s="41">
        <f t="shared" si="1"/>
        <v>2.1702983936886678E-2</v>
      </c>
      <c r="K56" s="44">
        <f t="shared" si="6"/>
        <v>9.1238464069525202E-10</v>
      </c>
      <c r="L56" s="13"/>
      <c r="M56" s="10">
        <f t="shared" si="7"/>
        <v>-4.3405967873773356E-2</v>
      </c>
      <c r="N56" s="10">
        <f t="shared" si="8"/>
        <v>4.3405967873773356E-2</v>
      </c>
    </row>
    <row r="57" spans="1:14" x14ac:dyDescent="0.25">
      <c r="A57" s="1">
        <v>45247</v>
      </c>
      <c r="B57" s="2">
        <f t="shared" si="9"/>
        <v>50</v>
      </c>
      <c r="C57" s="3">
        <f>+VLOOKUP(A57,Precios!$B:$H,1+$C$3,0)</f>
        <v>12.06</v>
      </c>
      <c r="D57" s="10">
        <f t="shared" si="2"/>
        <v>1.3445378151260456E-2</v>
      </c>
      <c r="E57" s="38">
        <f t="shared" si="3"/>
        <v>1.8077819363039206E-4</v>
      </c>
      <c r="F57" s="27">
        <f t="shared" si="4"/>
        <v>0.2477455494399628</v>
      </c>
      <c r="G57" s="28">
        <f t="shared" si="5"/>
        <v>4.4786992907725461E-5</v>
      </c>
      <c r="I57" s="21">
        <f t="shared" si="0"/>
        <v>4.7940340149291199E-4</v>
      </c>
      <c r="J57" s="41">
        <f t="shared" si="1"/>
        <v>2.1895282631035205E-2</v>
      </c>
      <c r="K57" s="44">
        <f t="shared" si="6"/>
        <v>8.9177014770933221E-8</v>
      </c>
      <c r="L57" s="13"/>
      <c r="M57" s="10">
        <f t="shared" si="7"/>
        <v>-4.3790565262070411E-2</v>
      </c>
      <c r="N57" s="10">
        <f t="shared" si="8"/>
        <v>4.3790565262070411E-2</v>
      </c>
    </row>
    <row r="58" spans="1:14" x14ac:dyDescent="0.25">
      <c r="A58" s="1">
        <v>45246</v>
      </c>
      <c r="B58" s="2">
        <f t="shared" si="9"/>
        <v>51</v>
      </c>
      <c r="C58" s="3">
        <f>+VLOOKUP(A58,Precios!$B:$H,1+$C$3,0)</f>
        <v>11.9</v>
      </c>
      <c r="D58" s="10">
        <f t="shared" si="2"/>
        <v>-2.3789991796554499E-2</v>
      </c>
      <c r="E58" s="38">
        <f t="shared" si="3"/>
        <v>5.6596370968013036E-4</v>
      </c>
      <c r="F58" s="27">
        <f t="shared" si="4"/>
        <v>0.24079010391005623</v>
      </c>
      <c r="G58" s="28">
        <f t="shared" si="5"/>
        <v>1.3627846046319948E-4</v>
      </c>
      <c r="I58" s="21">
        <f t="shared" si="0"/>
        <v>4.7690302668983029E-4</v>
      </c>
      <c r="J58" s="41">
        <f t="shared" si="1"/>
        <v>2.1838109503568074E-2</v>
      </c>
      <c r="K58" s="44">
        <f t="shared" si="6"/>
        <v>7.9318052546987261E-9</v>
      </c>
      <c r="L58" s="13"/>
      <c r="M58" s="10">
        <f t="shared" si="7"/>
        <v>-4.3676219007136148E-2</v>
      </c>
      <c r="N58" s="10">
        <f t="shared" si="8"/>
        <v>4.3676219007136148E-2</v>
      </c>
    </row>
    <row r="59" spans="1:14" x14ac:dyDescent="0.25">
      <c r="A59" s="1">
        <v>45245</v>
      </c>
      <c r="B59" s="2">
        <f t="shared" si="9"/>
        <v>52</v>
      </c>
      <c r="C59" s="3">
        <f>+VLOOKUP(A59,Precios!$B:$H,1+$C$3,0)</f>
        <v>12.19</v>
      </c>
      <c r="D59" s="10">
        <f t="shared" si="2"/>
        <v>-1.2955465587044523E-2</v>
      </c>
      <c r="E59" s="38">
        <f t="shared" si="3"/>
        <v>1.6784408857709491E-4</v>
      </c>
      <c r="F59" s="27">
        <f t="shared" si="4"/>
        <v>0.23402993221101709</v>
      </c>
      <c r="G59" s="28">
        <f t="shared" si="5"/>
        <v>3.928054067171747E-5</v>
      </c>
      <c r="I59" s="21">
        <f t="shared" si="0"/>
        <v>4.858304808279658E-4</v>
      </c>
      <c r="J59" s="41">
        <f t="shared" si="1"/>
        <v>2.2041562576822129E-2</v>
      </c>
      <c r="K59" s="44">
        <f t="shared" si="6"/>
        <v>1.0111534565672474E-7</v>
      </c>
      <c r="L59" s="13"/>
      <c r="M59" s="10">
        <f t="shared" si="7"/>
        <v>-4.4083125153644258E-2</v>
      </c>
      <c r="N59" s="10">
        <f t="shared" si="8"/>
        <v>4.4083125153644258E-2</v>
      </c>
    </row>
    <row r="60" spans="1:14" x14ac:dyDescent="0.25">
      <c r="A60" s="1">
        <v>45244</v>
      </c>
      <c r="B60" s="2">
        <f t="shared" si="9"/>
        <v>53</v>
      </c>
      <c r="C60" s="3">
        <f>+VLOOKUP(A60,Precios!$B:$H,1+$C$3,0)</f>
        <v>12.35</v>
      </c>
      <c r="D60" s="10">
        <f t="shared" si="2"/>
        <v>1.9818331957060398E-2</v>
      </c>
      <c r="E60" s="38">
        <f t="shared" si="3"/>
        <v>3.9276628156024139E-4</v>
      </c>
      <c r="F60" s="27">
        <f t="shared" si="4"/>
        <v>0.22745955203853319</v>
      </c>
      <c r="G60" s="28">
        <f t="shared" si="5"/>
        <v>8.9338442459532897E-5</v>
      </c>
      <c r="I60" s="21">
        <f t="shared" si="0"/>
        <v>4.8851872655849974E-4</v>
      </c>
      <c r="J60" s="41">
        <f t="shared" si="1"/>
        <v>2.2102459740004046E-2</v>
      </c>
      <c r="K60" s="44">
        <f t="shared" si="6"/>
        <v>9.1685307231444906E-9</v>
      </c>
      <c r="L60" s="13"/>
      <c r="M60" s="10">
        <f t="shared" si="7"/>
        <v>-4.4204919480008091E-2</v>
      </c>
      <c r="N60" s="10">
        <f t="shared" si="8"/>
        <v>4.4204919480008091E-2</v>
      </c>
    </row>
    <row r="61" spans="1:14" x14ac:dyDescent="0.25">
      <c r="A61" s="1">
        <v>45243</v>
      </c>
      <c r="B61" s="2">
        <f t="shared" si="9"/>
        <v>54</v>
      </c>
      <c r="C61" s="3">
        <f>+VLOOKUP(A61,Precios!$B:$H,1+$C$3,0)</f>
        <v>12.11</v>
      </c>
      <c r="D61" s="10">
        <f t="shared" si="2"/>
        <v>-1.2234910277324706E-2</v>
      </c>
      <c r="E61" s="38">
        <f t="shared" si="3"/>
        <v>1.4969302949418572E-4</v>
      </c>
      <c r="F61" s="27">
        <f t="shared" si="4"/>
        <v>0.2210736350037476</v>
      </c>
      <c r="G61" s="28">
        <f t="shared" si="5"/>
        <v>3.3093182165002839E-5</v>
      </c>
      <c r="I61" s="21">
        <f t="shared" si="0"/>
        <v>4.9830602114326304E-4</v>
      </c>
      <c r="J61" s="41">
        <f t="shared" si="1"/>
        <v>2.2322769119069056E-2</v>
      </c>
      <c r="K61" s="44">
        <f t="shared" si="6"/>
        <v>1.2153101794651963E-7</v>
      </c>
      <c r="L61" s="13"/>
      <c r="M61" s="10">
        <f t="shared" si="7"/>
        <v>-4.4645538238138112E-2</v>
      </c>
      <c r="N61" s="10">
        <f t="shared" si="8"/>
        <v>4.4645538238138112E-2</v>
      </c>
    </row>
    <row r="62" spans="1:14" x14ac:dyDescent="0.25">
      <c r="A62" s="1">
        <v>45240</v>
      </c>
      <c r="B62" s="2">
        <f t="shared" si="9"/>
        <v>55</v>
      </c>
      <c r="C62" s="3">
        <f>+VLOOKUP(A62,Precios!$B:$H,1+$C$3,0)</f>
        <v>12.26</v>
      </c>
      <c r="D62" s="10">
        <f t="shared" si="2"/>
        <v>-3.2520325203252431E-3</v>
      </c>
      <c r="E62" s="38">
        <f t="shared" si="3"/>
        <v>1.0575715513252954E-5</v>
      </c>
      <c r="F62" s="27">
        <f t="shared" si="4"/>
        <v>0.21486700231208888</v>
      </c>
      <c r="G62" s="28">
        <f t="shared" si="5"/>
        <v>2.2723722896381167E-6</v>
      </c>
      <c r="I62" s="21">
        <f t="shared" si="0"/>
        <v>5.1239456348369666E-4</v>
      </c>
      <c r="J62" s="41">
        <f t="shared" si="1"/>
        <v>2.2636134022480443E-2</v>
      </c>
      <c r="K62" s="44">
        <f t="shared" si="6"/>
        <v>2.5182215617838326E-7</v>
      </c>
      <c r="L62" s="13"/>
      <c r="M62" s="10">
        <f t="shared" si="7"/>
        <v>-4.5272268044960887E-2</v>
      </c>
      <c r="N62" s="10">
        <f t="shared" si="8"/>
        <v>4.5272268044960887E-2</v>
      </c>
    </row>
    <row r="63" spans="1:14" x14ac:dyDescent="0.25">
      <c r="A63" s="1">
        <v>45239</v>
      </c>
      <c r="B63" s="2">
        <f t="shared" si="9"/>
        <v>56</v>
      </c>
      <c r="C63" s="3">
        <f>+VLOOKUP(A63,Precios!$B:$H,1+$C$3,0)</f>
        <v>12.3</v>
      </c>
      <c r="D63" s="10">
        <f t="shared" si="2"/>
        <v>1.0682004930156141E-2</v>
      </c>
      <c r="E63" s="38">
        <f t="shared" si="3"/>
        <v>1.1410522932788011E-4</v>
      </c>
      <c r="F63" s="27">
        <f t="shared" si="4"/>
        <v>0.20883462056341812</v>
      </c>
      <c r="G63" s="28">
        <f t="shared" si="5"/>
        <v>2.382912227098965E-5</v>
      </c>
      <c r="I63" s="21">
        <f t="shared" si="0"/>
        <v>5.2389952038964303E-4</v>
      </c>
      <c r="J63" s="41">
        <f t="shared" si="1"/>
        <v>2.2888851443216698E-2</v>
      </c>
      <c r="K63" s="44">
        <f t="shared" si="6"/>
        <v>1.6793136098681284E-7</v>
      </c>
      <c r="L63" s="13"/>
      <c r="M63" s="10">
        <f t="shared" si="7"/>
        <v>-4.5777702886433395E-2</v>
      </c>
      <c r="N63" s="10">
        <f t="shared" si="8"/>
        <v>4.5777702886433395E-2</v>
      </c>
    </row>
    <row r="64" spans="1:14" x14ac:dyDescent="0.25">
      <c r="A64" s="1">
        <v>45238</v>
      </c>
      <c r="B64" s="2">
        <f t="shared" si="9"/>
        <v>57</v>
      </c>
      <c r="C64" s="3">
        <f>+VLOOKUP(A64,Precios!$B:$H,1+$C$3,0)</f>
        <v>12.17</v>
      </c>
      <c r="D64" s="10">
        <f t="shared" si="2"/>
        <v>1.6708437761069339E-2</v>
      </c>
      <c r="E64" s="38">
        <f t="shared" si="3"/>
        <v>2.791718924155278E-4</v>
      </c>
      <c r="F64" s="27">
        <f t="shared" si="4"/>
        <v>0.20297159767008635</v>
      </c>
      <c r="G64" s="28">
        <f t="shared" si="5"/>
        <v>5.6663965028161138E-5</v>
      </c>
      <c r="I64" s="21">
        <f t="shared" si="0"/>
        <v>5.3096870495493995E-4</v>
      </c>
      <c r="J64" s="41">
        <f t="shared" si="1"/>
        <v>2.3042758188961232E-2</v>
      </c>
      <c r="K64" s="44">
        <f t="shared" si="6"/>
        <v>6.3401634805007868E-8</v>
      </c>
      <c r="L64" s="13"/>
      <c r="M64" s="10">
        <f t="shared" si="7"/>
        <v>-4.6085516377922464E-2</v>
      </c>
      <c r="N64" s="10">
        <f t="shared" si="8"/>
        <v>4.6085516377922464E-2</v>
      </c>
    </row>
    <row r="65" spans="1:14" x14ac:dyDescent="0.25">
      <c r="A65" s="1">
        <v>45237</v>
      </c>
      <c r="B65" s="2">
        <f t="shared" si="9"/>
        <v>58</v>
      </c>
      <c r="C65" s="3">
        <f>+VLOOKUP(A65,Precios!$B:$H,1+$C$3,0)</f>
        <v>11.97</v>
      </c>
      <c r="D65" s="10">
        <f t="shared" si="2"/>
        <v>1.0126582278481067E-2</v>
      </c>
      <c r="E65" s="38">
        <f t="shared" si="3"/>
        <v>1.0254766864284679E-4</v>
      </c>
      <c r="F65" s="27">
        <f t="shared" si="4"/>
        <v>0.1972731788895927</v>
      </c>
      <c r="G65" s="28">
        <f t="shared" si="5"/>
        <v>2.0229904580890989E-5</v>
      </c>
      <c r="I65" s="21">
        <f t="shared" si="0"/>
        <v>5.433440440305358E-4</v>
      </c>
      <c r="J65" s="41">
        <f t="shared" si="1"/>
        <v>2.3309741397761919E-2</v>
      </c>
      <c r="K65" s="44">
        <f t="shared" si="6"/>
        <v>1.9430144455492443E-7</v>
      </c>
      <c r="L65" s="13"/>
      <c r="M65" s="10">
        <f t="shared" si="7"/>
        <v>-4.6619482795523838E-2</v>
      </c>
      <c r="N65" s="10">
        <f t="shared" si="8"/>
        <v>4.6619482795523838E-2</v>
      </c>
    </row>
    <row r="66" spans="1:14" x14ac:dyDescent="0.25">
      <c r="A66" s="1">
        <v>45236</v>
      </c>
      <c r="B66" s="2">
        <f t="shared" si="9"/>
        <v>59</v>
      </c>
      <c r="C66" s="3">
        <f>+VLOOKUP(A66,Precios!$B:$H,1+$C$3,0)</f>
        <v>11.85</v>
      </c>
      <c r="D66" s="10">
        <f t="shared" si="2"/>
        <v>1.2820512820512775E-2</v>
      </c>
      <c r="E66" s="38">
        <f t="shared" si="3"/>
        <v>1.6436554898093244E-4</v>
      </c>
      <c r="F66" s="27">
        <f t="shared" si="4"/>
        <v>0.19173474296862533</v>
      </c>
      <c r="G66" s="28">
        <f t="shared" si="5"/>
        <v>3.1514586286756079E-5</v>
      </c>
      <c r="I66" s="21">
        <f t="shared" si="0"/>
        <v>5.5429118943443553E-4</v>
      </c>
      <c r="J66" s="41">
        <f t="shared" si="1"/>
        <v>2.3543389506068057E-2</v>
      </c>
      <c r="K66" s="44">
        <f t="shared" si="6"/>
        <v>1.5204200508307458E-7</v>
      </c>
      <c r="L66" s="13"/>
      <c r="M66" s="10">
        <f t="shared" si="7"/>
        <v>-4.7086779012136114E-2</v>
      </c>
      <c r="N66" s="10">
        <f t="shared" si="8"/>
        <v>4.7086779012136114E-2</v>
      </c>
    </row>
    <row r="67" spans="1:14" x14ac:dyDescent="0.25">
      <c r="A67" s="1">
        <v>45233</v>
      </c>
      <c r="B67" s="2">
        <f t="shared" si="9"/>
        <v>60</v>
      </c>
      <c r="C67" s="3">
        <f>+VLOOKUP(A67,Precios!$B:$H,1+$C$3,0)</f>
        <v>11.7</v>
      </c>
      <c r="D67" s="10">
        <f t="shared" si="2"/>
        <v>6.8493150684931559E-2</v>
      </c>
      <c r="E67" s="38">
        <f t="shared" si="3"/>
        <v>4.6913116907487404E-3</v>
      </c>
      <c r="F67" s="27">
        <f t="shared" si="4"/>
        <v>0.18635179839535829</v>
      </c>
      <c r="G67" s="28">
        <f t="shared" si="5"/>
        <v>8.7423437040419667E-4</v>
      </c>
      <c r="I67" s="21">
        <f t="shared" si="0"/>
        <v>4.3478951438325923E-4</v>
      </c>
      <c r="J67" s="41">
        <f t="shared" si="1"/>
        <v>2.0851606997621532E-2</v>
      </c>
      <c r="K67" s="44">
        <f t="shared" si="6"/>
        <v>1.8117981037891131E-5</v>
      </c>
      <c r="L67" s="13"/>
      <c r="M67" s="10">
        <f t="shared" si="7"/>
        <v>-4.1703213995243064E-2</v>
      </c>
      <c r="N67" s="10">
        <f t="shared" si="8"/>
        <v>4.1703213995243064E-2</v>
      </c>
    </row>
    <row r="68" spans="1:14" x14ac:dyDescent="0.25">
      <c r="A68" s="1">
        <v>45231</v>
      </c>
      <c r="B68" s="2">
        <f t="shared" si="9"/>
        <v>61</v>
      </c>
      <c r="C68" s="3">
        <f>+VLOOKUP(A68,Precios!$B:$H,1+$C$3,0)</f>
        <v>10.95</v>
      </c>
      <c r="D68" s="10">
        <f t="shared" si="2"/>
        <v>1.1080332409972193E-2</v>
      </c>
      <c r="E68" s="38">
        <f t="shared" si="3"/>
        <v>1.2277376631548019E-4</v>
      </c>
      <c r="F68" s="27">
        <f t="shared" si="4"/>
        <v>0.18111997975696476</v>
      </c>
      <c r="G68" s="28">
        <f t="shared" si="5"/>
        <v>2.2236782069746093E-5</v>
      </c>
      <c r="I68" s="21">
        <f t="shared" si="0"/>
        <v>4.438023787199479E-4</v>
      </c>
      <c r="J68" s="41">
        <f t="shared" si="1"/>
        <v>2.1066617638338336E-2</v>
      </c>
      <c r="K68" s="44">
        <f t="shared" si="6"/>
        <v>1.0305936998233798E-7</v>
      </c>
      <c r="L68" s="13"/>
      <c r="M68" s="10">
        <f t="shared" si="7"/>
        <v>-4.2133235276676673E-2</v>
      </c>
      <c r="N68" s="10">
        <f t="shared" si="8"/>
        <v>4.2133235276676673E-2</v>
      </c>
    </row>
    <row r="69" spans="1:14" x14ac:dyDescent="0.25">
      <c r="A69" s="1">
        <v>45230</v>
      </c>
      <c r="B69" s="2">
        <f t="shared" si="9"/>
        <v>62</v>
      </c>
      <c r="C69" s="3">
        <f>+VLOOKUP(A69,Precios!$B:$H,1+$C$3,0)</f>
        <v>10.83</v>
      </c>
      <c r="D69" s="10">
        <f t="shared" si="2"/>
        <v>7.4418604651163012E-3</v>
      </c>
      <c r="E69" s="38">
        <f t="shared" si="3"/>
        <v>5.5381287182261008E-5</v>
      </c>
      <c r="F69" s="27">
        <f t="shared" si="4"/>
        <v>0.17603504419939328</v>
      </c>
      <c r="G69" s="28">
        <f t="shared" si="5"/>
        <v>9.7490473369486099E-6</v>
      </c>
      <c r="I69" s="21">
        <f t="shared" si="0"/>
        <v>4.55022282283204E-4</v>
      </c>
      <c r="J69" s="41">
        <f t="shared" si="1"/>
        <v>2.1331251306081506E-2</v>
      </c>
      <c r="K69" s="44">
        <f t="shared" si="6"/>
        <v>1.5971292496527193E-7</v>
      </c>
      <c r="L69" s="13"/>
      <c r="M69" s="10">
        <f t="shared" si="7"/>
        <v>-4.2662502612163013E-2</v>
      </c>
      <c r="N69" s="10">
        <f t="shared" si="8"/>
        <v>4.2662502612163013E-2</v>
      </c>
    </row>
    <row r="70" spans="1:14" x14ac:dyDescent="0.25">
      <c r="A70" s="1">
        <v>45229</v>
      </c>
      <c r="B70" s="2">
        <f t="shared" si="9"/>
        <v>63</v>
      </c>
      <c r="C70" s="3">
        <f>+VLOOKUP(A70,Precios!$B:$H,1+$C$3,0)</f>
        <v>10.75</v>
      </c>
      <c r="D70" s="10">
        <f t="shared" si="2"/>
        <v>-2.7829313543599188E-3</v>
      </c>
      <c r="E70" s="38">
        <f t="shared" si="3"/>
        <v>7.7447069230795317E-6</v>
      </c>
      <c r="F70" s="27">
        <f t="shared" si="4"/>
        <v>0.17109286798653542</v>
      </c>
      <c r="G70" s="28">
        <f t="shared" si="5"/>
        <v>1.3250641191848533E-6</v>
      </c>
      <c r="I70" s="21">
        <f t="shared" si="0"/>
        <v>4.679423099822166E-4</v>
      </c>
      <c r="J70" s="41">
        <f t="shared" si="1"/>
        <v>2.1631974250683098E-2</v>
      </c>
      <c r="K70" s="44">
        <f t="shared" si="6"/>
        <v>2.1178183386137505E-7</v>
      </c>
      <c r="L70" s="13"/>
      <c r="M70" s="10">
        <f t="shared" si="7"/>
        <v>-4.3263948501366195E-2</v>
      </c>
      <c r="N70" s="10">
        <f t="shared" si="8"/>
        <v>4.3263948501366195E-2</v>
      </c>
    </row>
    <row r="71" spans="1:14" x14ac:dyDescent="0.25">
      <c r="A71" s="1">
        <v>45226</v>
      </c>
      <c r="B71" s="2">
        <f t="shared" si="9"/>
        <v>64</v>
      </c>
      <c r="C71" s="3">
        <f>+VLOOKUP(A71,Precios!$B:$H,1+$C$3,0)</f>
        <v>10.78</v>
      </c>
      <c r="D71" s="10">
        <f t="shared" si="2"/>
        <v>-4.6861184792219346E-2</v>
      </c>
      <c r="E71" s="38">
        <f t="shared" si="3"/>
        <v>2.1959706401305295E-3</v>
      </c>
      <c r="F71" s="27">
        <f t="shared" si="4"/>
        <v>0.16628944315599481</v>
      </c>
      <c r="G71" s="28">
        <f t="shared" si="5"/>
        <v>3.6516673493421922E-4</v>
      </c>
      <c r="I71" s="21">
        <f t="shared" si="0"/>
        <v>4.1802660859204796E-4</v>
      </c>
      <c r="J71" s="41">
        <f t="shared" si="1"/>
        <v>2.0445699024294765E-2</v>
      </c>
      <c r="K71" s="44">
        <f t="shared" si="6"/>
        <v>3.1610849792833087E-6</v>
      </c>
      <c r="L71" s="13"/>
      <c r="M71" s="10">
        <f t="shared" si="7"/>
        <v>-4.0891398048589531E-2</v>
      </c>
      <c r="N71" s="10">
        <f t="shared" si="8"/>
        <v>4.0891398048589531E-2</v>
      </c>
    </row>
    <row r="72" spans="1:14" x14ac:dyDescent="0.25">
      <c r="A72" s="1">
        <v>45225</v>
      </c>
      <c r="B72" s="2">
        <f t="shared" si="9"/>
        <v>65</v>
      </c>
      <c r="C72" s="3">
        <f>+VLOOKUP(A72,Precios!$B:$H,1+$C$3,0)</f>
        <v>11.31</v>
      </c>
      <c r="D72" s="10">
        <f t="shared" si="2"/>
        <v>2.0758122743682383E-2</v>
      </c>
      <c r="E72" s="38">
        <f t="shared" si="3"/>
        <v>4.3089965984178386E-4</v>
      </c>
      <c r="F72" s="27">
        <f t="shared" si="4"/>
        <v>0.16162087426874502</v>
      </c>
      <c r="G72" s="28">
        <f t="shared" si="5"/>
        <v>6.9642379745733944E-5</v>
      </c>
      <c r="I72" s="21">
        <f t="shared" ref="I72:I135" si="10">(1-$C$4)*E73+$C$4*I73</f>
        <v>4.1765475856450412E-4</v>
      </c>
      <c r="J72" s="41">
        <f t="shared" ref="J72:J135" si="11">SQRT(I72)</f>
        <v>2.0436603400871292E-2</v>
      </c>
      <c r="K72" s="44">
        <f t="shared" si="6"/>
        <v>1.7542740984488632E-10</v>
      </c>
      <c r="L72" s="13"/>
      <c r="M72" s="10">
        <f t="shared" si="7"/>
        <v>-4.0873206801742584E-2</v>
      </c>
      <c r="N72" s="10">
        <f t="shared" si="8"/>
        <v>4.0873206801742584E-2</v>
      </c>
    </row>
    <row r="73" spans="1:14" x14ac:dyDescent="0.25">
      <c r="A73" s="1">
        <v>45224</v>
      </c>
      <c r="B73" s="2">
        <f t="shared" si="9"/>
        <v>66</v>
      </c>
      <c r="C73" s="3">
        <f>+VLOOKUP(A73,Precios!$B:$H,1+$C$3,0)</f>
        <v>11.08</v>
      </c>
      <c r="D73" s="10">
        <f t="shared" ref="D73:D136" si="12">C73/C74-1</f>
        <v>2.3084025854108958E-2</v>
      </c>
      <c r="E73" s="38">
        <f t="shared" ref="E73:E136" si="13">D73^2</f>
        <v>5.3287224963317079E-4</v>
      </c>
      <c r="F73" s="27">
        <f t="shared" ref="F73:F136" si="14">$C$4^(B73-1)</f>
        <v>0.15708337525004093</v>
      </c>
      <c r="G73" s="28">
        <f t="shared" ref="G73:G136" si="15">E73*F73</f>
        <v>8.3705371549460848E-5</v>
      </c>
      <c r="I73" s="21">
        <f t="shared" si="10"/>
        <v>4.1432659444892256E-4</v>
      </c>
      <c r="J73" s="41">
        <f t="shared" si="11"/>
        <v>2.0355013987932373E-2</v>
      </c>
      <c r="K73" s="44">
        <f t="shared" ref="K73:K136" si="16">(E73-I73)^2</f>
        <v>1.4053072363062678E-8</v>
      </c>
      <c r="L73" s="13"/>
      <c r="M73" s="10">
        <f t="shared" ref="M73:M136" si="17">-J73*$N$5</f>
        <v>-4.0710027975864746E-2</v>
      </c>
      <c r="N73" s="10">
        <f t="shared" ref="N73:N136" si="18">+J73*$N$5</f>
        <v>4.0710027975864746E-2</v>
      </c>
    </row>
    <row r="74" spans="1:14" x14ac:dyDescent="0.25">
      <c r="A74" s="1">
        <v>45223</v>
      </c>
      <c r="B74" s="2">
        <f t="shared" ref="B74:B137" si="19">+B73+1</f>
        <v>67</v>
      </c>
      <c r="C74" s="3">
        <f>+VLOOKUP(A74,Precios!$B:$H,1+$C$3,0)</f>
        <v>10.83</v>
      </c>
      <c r="D74" s="10">
        <f t="shared" si="12"/>
        <v>0</v>
      </c>
      <c r="E74" s="38">
        <f t="shared" si="13"/>
        <v>0</v>
      </c>
      <c r="F74" s="27">
        <f t="shared" si="14"/>
        <v>0.15267326631902134</v>
      </c>
      <c r="G74" s="28">
        <f t="shared" si="15"/>
        <v>0</v>
      </c>
      <c r="I74" s="21">
        <f t="shared" si="10"/>
        <v>4.2629480249603416E-4</v>
      </c>
      <c r="J74" s="41">
        <f t="shared" si="11"/>
        <v>2.0646907819236133E-2</v>
      </c>
      <c r="K74" s="44">
        <f t="shared" si="16"/>
        <v>1.8172725863513279E-7</v>
      </c>
      <c r="L74" s="13"/>
      <c r="M74" s="10">
        <f t="shared" si="17"/>
        <v>-4.1293815638472266E-2</v>
      </c>
      <c r="N74" s="10">
        <f t="shared" si="18"/>
        <v>4.1293815638472266E-2</v>
      </c>
    </row>
    <row r="75" spans="1:14" x14ac:dyDescent="0.25">
      <c r="A75" s="1">
        <v>45222</v>
      </c>
      <c r="B75" s="2">
        <f t="shared" si="19"/>
        <v>68</v>
      </c>
      <c r="C75" s="3">
        <f>+VLOOKUP(A75,Precios!$B:$H,1+$C$3,0)</f>
        <v>10.83</v>
      </c>
      <c r="D75" s="10">
        <f t="shared" si="12"/>
        <v>-1.0958904109588996E-2</v>
      </c>
      <c r="E75" s="38">
        <f t="shared" si="13"/>
        <v>1.2009757928316659E-4</v>
      </c>
      <c r="F75" s="27">
        <f t="shared" si="14"/>
        <v>0.14838697100451273</v>
      </c>
      <c r="G75" s="28">
        <f t="shared" si="15"/>
        <v>1.782091601480341E-5</v>
      </c>
      <c r="I75" s="21">
        <f t="shared" si="10"/>
        <v>4.3513959334450392E-4</v>
      </c>
      <c r="J75" s="41">
        <f t="shared" si="11"/>
        <v>2.085999984047229E-2</v>
      </c>
      <c r="K75" s="44">
        <f t="shared" si="16"/>
        <v>9.9251470623823875E-8</v>
      </c>
      <c r="L75" s="13"/>
      <c r="M75" s="10">
        <f t="shared" si="17"/>
        <v>-4.1719999680944579E-2</v>
      </c>
      <c r="N75" s="10">
        <f t="shared" si="18"/>
        <v>4.1719999680944579E-2</v>
      </c>
    </row>
    <row r="76" spans="1:14" x14ac:dyDescent="0.25">
      <c r="A76" s="1">
        <v>45219</v>
      </c>
      <c r="B76" s="2">
        <f t="shared" si="19"/>
        <v>69</v>
      </c>
      <c r="C76" s="3">
        <f>+VLOOKUP(A76,Precios!$B:$H,1+$C$3,0)</f>
        <v>10.95</v>
      </c>
      <c r="D76" s="10">
        <f t="shared" si="12"/>
        <v>-9.9457504520796824E-3</v>
      </c>
      <c r="E76" s="38">
        <f t="shared" si="13"/>
        <v>9.8917952055043202E-5</v>
      </c>
      <c r="F76" s="27">
        <f t="shared" si="14"/>
        <v>0.14422101324461428</v>
      </c>
      <c r="G76" s="28">
        <f t="shared" si="15"/>
        <v>1.4266047273460507E-5</v>
      </c>
      <c r="I76" s="21">
        <f t="shared" si="10"/>
        <v>4.4485166736245519E-4</v>
      </c>
      <c r="J76" s="41">
        <f t="shared" si="11"/>
        <v>2.1091506996003276E-2</v>
      </c>
      <c r="K76" s="44">
        <f t="shared" si="16"/>
        <v>1.1967013538638956E-7</v>
      </c>
      <c r="L76" s="13"/>
      <c r="M76" s="10">
        <f t="shared" si="17"/>
        <v>-4.2183013992006552E-2</v>
      </c>
      <c r="N76" s="10">
        <f t="shared" si="18"/>
        <v>4.2183013992006552E-2</v>
      </c>
    </row>
    <row r="77" spans="1:14" x14ac:dyDescent="0.25">
      <c r="A77" s="1">
        <v>45218</v>
      </c>
      <c r="B77" s="2">
        <f t="shared" si="19"/>
        <v>70</v>
      </c>
      <c r="C77" s="3">
        <f>+VLOOKUP(A77,Precios!$B:$H,1+$C$3,0)</f>
        <v>11.06</v>
      </c>
      <c r="D77" s="10">
        <f t="shared" si="12"/>
        <v>-9.8478066248880447E-3</v>
      </c>
      <c r="E77" s="38">
        <f t="shared" si="13"/>
        <v>9.6979295321188857E-5</v>
      </c>
      <c r="F77" s="27">
        <f t="shared" si="14"/>
        <v>0.14017201456771194</v>
      </c>
      <c r="G77" s="28">
        <f t="shared" si="15"/>
        <v>1.3593783196528124E-5</v>
      </c>
      <c r="I77" s="21">
        <f t="shared" si="10"/>
        <v>4.5490028354643356E-4</v>
      </c>
      <c r="J77" s="41">
        <f t="shared" si="11"/>
        <v>2.132839148989988E-2</v>
      </c>
      <c r="K77" s="44">
        <f t="shared" si="16"/>
        <v>1.2810743381213575E-7</v>
      </c>
      <c r="L77" s="13"/>
      <c r="M77" s="10">
        <f t="shared" si="17"/>
        <v>-4.2656782979799759E-2</v>
      </c>
      <c r="N77" s="10">
        <f t="shared" si="18"/>
        <v>4.2656782979799759E-2</v>
      </c>
    </row>
    <row r="78" spans="1:14" x14ac:dyDescent="0.25">
      <c r="A78" s="1">
        <v>45217</v>
      </c>
      <c r="B78" s="2">
        <f t="shared" si="19"/>
        <v>71</v>
      </c>
      <c r="C78" s="3">
        <f>+VLOOKUP(A78,Precios!$B:$H,1+$C$3,0)</f>
        <v>11.17</v>
      </c>
      <c r="D78" s="10">
        <f t="shared" si="12"/>
        <v>-3.038194444444442E-2</v>
      </c>
      <c r="E78" s="38">
        <f t="shared" si="13"/>
        <v>9.2306254822530716E-4</v>
      </c>
      <c r="F78" s="27">
        <f t="shared" si="14"/>
        <v>0.13623669135263533</v>
      </c>
      <c r="G78" s="28">
        <f t="shared" si="15"/>
        <v>1.2575498748174823E-4</v>
      </c>
      <c r="I78" s="21">
        <f t="shared" si="10"/>
        <v>4.4137698222194077E-4</v>
      </c>
      <c r="J78" s="41">
        <f t="shared" si="11"/>
        <v>2.1008973849808581E-2</v>
      </c>
      <c r="K78" s="44">
        <f t="shared" si="16"/>
        <v>2.3202098449598343E-7</v>
      </c>
      <c r="L78" s="13"/>
      <c r="M78" s="10">
        <f t="shared" si="17"/>
        <v>-4.2017947699617163E-2</v>
      </c>
      <c r="N78" s="10">
        <f t="shared" si="18"/>
        <v>4.2017947699617163E-2</v>
      </c>
    </row>
    <row r="79" spans="1:14" x14ac:dyDescent="0.25">
      <c r="A79" s="1">
        <v>45216</v>
      </c>
      <c r="B79" s="2">
        <f t="shared" si="19"/>
        <v>72</v>
      </c>
      <c r="C79" s="3">
        <f>+VLOOKUP(A79,Precios!$B:$H,1+$C$3,0)</f>
        <v>11.52</v>
      </c>
      <c r="D79" s="10">
        <f t="shared" si="12"/>
        <v>-5.1813471502590858E-3</v>
      </c>
      <c r="E79" s="38">
        <f t="shared" si="13"/>
        <v>2.6846358291497948E-5</v>
      </c>
      <c r="F79" s="27">
        <f t="shared" si="14"/>
        <v>0.1324118521657357</v>
      </c>
      <c r="G79" s="28">
        <f t="shared" si="15"/>
        <v>3.5547760252821992E-6</v>
      </c>
      <c r="I79" s="21">
        <f t="shared" si="10"/>
        <v>4.5335108384990212E-4</v>
      </c>
      <c r="J79" s="41">
        <f t="shared" si="11"/>
        <v>2.1292042735489288E-2</v>
      </c>
      <c r="K79" s="44">
        <f t="shared" si="16"/>
        <v>1.8190628092364967E-7</v>
      </c>
      <c r="L79" s="13"/>
      <c r="M79" s="10">
        <f t="shared" si="17"/>
        <v>-4.2584085470978576E-2</v>
      </c>
      <c r="N79" s="10">
        <f t="shared" si="18"/>
        <v>4.2584085470978576E-2</v>
      </c>
    </row>
    <row r="80" spans="1:14" x14ac:dyDescent="0.25">
      <c r="A80" s="1">
        <v>45215</v>
      </c>
      <c r="B80" s="2">
        <f t="shared" si="19"/>
        <v>73</v>
      </c>
      <c r="C80" s="3">
        <f>+VLOOKUP(A80,Precios!$B:$H,1+$C$3,0)</f>
        <v>11.58</v>
      </c>
      <c r="D80" s="10">
        <f t="shared" si="12"/>
        <v>3.8565022421524597E-2</v>
      </c>
      <c r="E80" s="38">
        <f t="shared" si="13"/>
        <v>1.4872609543726948E-3</v>
      </c>
      <c r="F80" s="27">
        <f t="shared" si="14"/>
        <v>0.12869439517272521</v>
      </c>
      <c r="G80" s="28">
        <f t="shared" si="15"/>
        <v>1.9140214898700402E-4</v>
      </c>
      <c r="I80" s="21">
        <f t="shared" si="10"/>
        <v>4.2348563809246236E-4</v>
      </c>
      <c r="J80" s="41">
        <f t="shared" si="11"/>
        <v>2.0578766680548723E-2</v>
      </c>
      <c r="K80" s="44">
        <f t="shared" si="16"/>
        <v>1.1316179235271084E-6</v>
      </c>
      <c r="L80" s="13"/>
      <c r="M80" s="10">
        <f t="shared" si="17"/>
        <v>-4.1157533361097447E-2</v>
      </c>
      <c r="N80" s="10">
        <f t="shared" si="18"/>
        <v>4.1157533361097447E-2</v>
      </c>
    </row>
    <row r="81" spans="1:14" x14ac:dyDescent="0.25">
      <c r="A81" s="1">
        <v>45212</v>
      </c>
      <c r="B81" s="2">
        <f t="shared" si="19"/>
        <v>74</v>
      </c>
      <c r="C81" s="3">
        <f>+VLOOKUP(A81,Precios!$B:$H,1+$C$3,0)</f>
        <v>11.15</v>
      </c>
      <c r="D81" s="10">
        <f t="shared" si="12"/>
        <v>8.9766606822250239E-4</v>
      </c>
      <c r="E81" s="38">
        <f t="shared" si="13"/>
        <v>8.0580437003804634E-7</v>
      </c>
      <c r="F81" s="27">
        <f t="shared" si="14"/>
        <v>0.12508130562317879</v>
      </c>
      <c r="G81" s="28">
        <f t="shared" si="15"/>
        <v>1.0079106268122193E-7</v>
      </c>
      <c r="I81" s="21">
        <f t="shared" si="10"/>
        <v>4.3569513720520195E-4</v>
      </c>
      <c r="J81" s="41">
        <f t="shared" si="11"/>
        <v>2.087331160130567E-2</v>
      </c>
      <c r="K81" s="44">
        <f t="shared" si="16"/>
        <v>1.8912873181381396E-7</v>
      </c>
      <c r="L81" s="13"/>
      <c r="M81" s="10">
        <f t="shared" si="17"/>
        <v>-4.1746623202611341E-2</v>
      </c>
      <c r="N81" s="10">
        <f t="shared" si="18"/>
        <v>4.1746623202611341E-2</v>
      </c>
    </row>
    <row r="82" spans="1:14" x14ac:dyDescent="0.25">
      <c r="A82" s="1">
        <v>45211</v>
      </c>
      <c r="B82" s="2">
        <f t="shared" si="19"/>
        <v>75</v>
      </c>
      <c r="C82" s="3">
        <f>+VLOOKUP(A82,Precios!$B:$H,1+$C$3,0)</f>
        <v>11.14</v>
      </c>
      <c r="D82" s="10">
        <f t="shared" si="12"/>
        <v>-2.707423580786017E-2</v>
      </c>
      <c r="E82" s="38">
        <f t="shared" si="13"/>
        <v>7.3301424457961777E-4</v>
      </c>
      <c r="F82" s="27">
        <f t="shared" si="14"/>
        <v>0.12156965340565853</v>
      </c>
      <c r="G82" s="28">
        <f t="shared" si="15"/>
        <v>8.9112287654954743E-5</v>
      </c>
      <c r="I82" s="21">
        <f t="shared" si="10"/>
        <v>4.2710679896886119E-4</v>
      </c>
      <c r="J82" s="41">
        <f t="shared" si="11"/>
        <v>2.0666562340381171E-2</v>
      </c>
      <c r="K82" s="44">
        <f t="shared" si="16"/>
        <v>9.3579365280098001E-8</v>
      </c>
      <c r="L82" s="13"/>
      <c r="M82" s="10">
        <f t="shared" si="17"/>
        <v>-4.1333124680762341E-2</v>
      </c>
      <c r="N82" s="10">
        <f t="shared" si="18"/>
        <v>4.1333124680762341E-2</v>
      </c>
    </row>
    <row r="83" spans="1:14" x14ac:dyDescent="0.25">
      <c r="A83" s="1">
        <v>45210</v>
      </c>
      <c r="B83" s="2">
        <f t="shared" si="19"/>
        <v>76</v>
      </c>
      <c r="C83" s="3">
        <f>+VLOOKUP(A83,Precios!$B:$H,1+$C$3,0)</f>
        <v>11.45</v>
      </c>
      <c r="D83" s="10">
        <f t="shared" si="12"/>
        <v>4.3755697356426593E-2</v>
      </c>
      <c r="E83" s="38">
        <f t="shared" si="13"/>
        <v>1.9145610511471971E-3</v>
      </c>
      <c r="F83" s="27">
        <f t="shared" si="14"/>
        <v>0.11815659067147777</v>
      </c>
      <c r="G83" s="28">
        <f t="shared" si="15"/>
        <v>2.2621800643595358E-4</v>
      </c>
      <c r="I83" s="21">
        <f t="shared" si="10"/>
        <v>3.8414030299891496E-4</v>
      </c>
      <c r="J83" s="41">
        <f t="shared" si="11"/>
        <v>1.9599497519041525E-2</v>
      </c>
      <c r="K83" s="44">
        <f t="shared" si="16"/>
        <v>2.3421876663627479E-6</v>
      </c>
      <c r="L83" s="13"/>
      <c r="M83" s="10">
        <f t="shared" si="17"/>
        <v>-3.9198995038083051E-2</v>
      </c>
      <c r="N83" s="10">
        <f t="shared" si="18"/>
        <v>3.9198995038083051E-2</v>
      </c>
    </row>
    <row r="84" spans="1:14" x14ac:dyDescent="0.25">
      <c r="A84" s="1">
        <v>45209</v>
      </c>
      <c r="B84" s="2">
        <f t="shared" si="19"/>
        <v>77</v>
      </c>
      <c r="C84" s="3">
        <f>+VLOOKUP(A84,Precios!$B:$H,1+$C$3,0)</f>
        <v>10.97</v>
      </c>
      <c r="D84" s="10">
        <f t="shared" si="12"/>
        <v>2.0465116279069884E-2</v>
      </c>
      <c r="E84" s="38">
        <f t="shared" si="13"/>
        <v>4.1882098431585119E-4</v>
      </c>
      <c r="F84" s="27">
        <f t="shared" si="14"/>
        <v>0.11483934952517783</v>
      </c>
      <c r="G84" s="28">
        <f t="shared" si="15"/>
        <v>4.8097129406327055E-5</v>
      </c>
      <c r="I84" s="21">
        <f t="shared" si="10"/>
        <v>3.8313851934616941E-4</v>
      </c>
      <c r="J84" s="41">
        <f t="shared" si="11"/>
        <v>1.9573924474825415E-2</v>
      </c>
      <c r="K84" s="44">
        <f t="shared" si="16"/>
        <v>1.2732383063125671E-9</v>
      </c>
      <c r="L84" s="13"/>
      <c r="M84" s="10">
        <f t="shared" si="17"/>
        <v>-3.9147848949650829E-2</v>
      </c>
      <c r="N84" s="10">
        <f t="shared" si="18"/>
        <v>3.9147848949650829E-2</v>
      </c>
    </row>
    <row r="85" spans="1:14" x14ac:dyDescent="0.25">
      <c r="A85" s="1">
        <v>45208</v>
      </c>
      <c r="B85" s="2">
        <f t="shared" si="19"/>
        <v>78</v>
      </c>
      <c r="C85" s="3">
        <f>+VLOOKUP(A85,Precios!$B:$H,1+$C$3,0)</f>
        <v>10.75</v>
      </c>
      <c r="D85" s="10">
        <f t="shared" si="12"/>
        <v>7.4976569821931793E-3</v>
      </c>
      <c r="E85" s="38">
        <f t="shared" si="13"/>
        <v>5.6214860222630135E-5</v>
      </c>
      <c r="F85" s="27">
        <f t="shared" si="14"/>
        <v>0.11161523977984476</v>
      </c>
      <c r="G85" s="28">
        <f t="shared" si="15"/>
        <v>6.2744351029393198E-6</v>
      </c>
      <c r="I85" s="21">
        <f t="shared" si="10"/>
        <v>3.9258201252361706E-4</v>
      </c>
      <c r="J85" s="41">
        <f t="shared" si="11"/>
        <v>1.9813682457423633E-2</v>
      </c>
      <c r="K85" s="44">
        <f t="shared" si="16"/>
        <v>1.1314286114707534E-7</v>
      </c>
      <c r="L85" s="13"/>
      <c r="M85" s="10">
        <f t="shared" si="17"/>
        <v>-3.9627364914847266E-2</v>
      </c>
      <c r="N85" s="10">
        <f t="shared" si="18"/>
        <v>3.9627364914847266E-2</v>
      </c>
    </row>
    <row r="86" spans="1:14" x14ac:dyDescent="0.25">
      <c r="A86" s="1">
        <v>45205</v>
      </c>
      <c r="B86" s="2">
        <f t="shared" si="19"/>
        <v>79</v>
      </c>
      <c r="C86" s="3">
        <f>+VLOOKUP(A86,Precios!$B:$H,1+$C$3,0)</f>
        <v>10.67</v>
      </c>
      <c r="D86" s="10">
        <f t="shared" si="12"/>
        <v>-4.6641791044776948E-3</v>
      </c>
      <c r="E86" s="38">
        <f t="shared" si="13"/>
        <v>2.1754566718646351E-5</v>
      </c>
      <c r="F86" s="27">
        <f t="shared" si="14"/>
        <v>0.10848164677544528</v>
      </c>
      <c r="G86" s="28">
        <f t="shared" si="15"/>
        <v>2.359971222525051E-6</v>
      </c>
      <c r="I86" s="21">
        <f t="shared" si="10"/>
        <v>4.0329370730844227E-4</v>
      </c>
      <c r="J86" s="41">
        <f t="shared" si="11"/>
        <v>2.0082173869092019E-2</v>
      </c>
      <c r="K86" s="44">
        <f t="shared" si="16"/>
        <v>1.4557211580200004E-7</v>
      </c>
      <c r="L86" s="13"/>
      <c r="M86" s="10">
        <f t="shared" si="17"/>
        <v>-4.0164347738184038E-2</v>
      </c>
      <c r="N86" s="10">
        <f t="shared" si="18"/>
        <v>4.0164347738184038E-2</v>
      </c>
    </row>
    <row r="87" spans="1:14" x14ac:dyDescent="0.25">
      <c r="A87" s="1">
        <v>45204</v>
      </c>
      <c r="B87" s="2">
        <f t="shared" si="19"/>
        <v>80</v>
      </c>
      <c r="C87" s="3">
        <f>+VLOOKUP(A87,Precios!$B:$H,1+$C$3,0)</f>
        <v>10.72</v>
      </c>
      <c r="D87" s="10">
        <f t="shared" si="12"/>
        <v>-4.6263345195729499E-2</v>
      </c>
      <c r="E87" s="38">
        <f t="shared" si="13"/>
        <v>2.1402971086992278E-3</v>
      </c>
      <c r="F87" s="27">
        <f t="shared" si="14"/>
        <v>0.10543602925841285</v>
      </c>
      <c r="G87" s="28">
        <f t="shared" si="15"/>
        <v>2.256644285745082E-4</v>
      </c>
      <c r="I87" s="21">
        <f t="shared" si="10"/>
        <v>3.5311875265935501E-4</v>
      </c>
      <c r="J87" s="41">
        <f t="shared" si="11"/>
        <v>1.879145424546368E-2</v>
      </c>
      <c r="K87" s="44">
        <f t="shared" si="16"/>
        <v>3.1940064762973827E-6</v>
      </c>
      <c r="L87" s="13"/>
      <c r="M87" s="10">
        <f t="shared" si="17"/>
        <v>-3.7582908490927359E-2</v>
      </c>
      <c r="N87" s="10">
        <f t="shared" si="18"/>
        <v>3.7582908490927359E-2</v>
      </c>
    </row>
    <row r="88" spans="1:14" x14ac:dyDescent="0.25">
      <c r="A88" s="1">
        <v>45203</v>
      </c>
      <c r="B88" s="2">
        <f t="shared" si="19"/>
        <v>81</v>
      </c>
      <c r="C88" s="3">
        <f>+VLOOKUP(A88,Precios!$B:$H,1+$C$3,0)</f>
        <v>11.24</v>
      </c>
      <c r="D88" s="10">
        <f t="shared" si="12"/>
        <v>1.7194570135746545E-2</v>
      </c>
      <c r="E88" s="38">
        <f t="shared" si="13"/>
        <v>2.9565324215310697E-4</v>
      </c>
      <c r="F88" s="27">
        <f t="shared" si="14"/>
        <v>0.10247591732076432</v>
      </c>
      <c r="G88" s="28">
        <f t="shared" si="15"/>
        <v>3.0297337198497702E-5</v>
      </c>
      <c r="I88" s="21">
        <f t="shared" si="10"/>
        <v>3.5477869724048197E-4</v>
      </c>
      <c r="J88" s="41">
        <f t="shared" si="11"/>
        <v>1.883557000041363E-2</v>
      </c>
      <c r="K88" s="44">
        <f t="shared" si="16"/>
        <v>3.4958194392891979E-9</v>
      </c>
      <c r="L88" s="13"/>
      <c r="M88" s="10">
        <f t="shared" si="17"/>
        <v>-3.7671140000827261E-2</v>
      </c>
      <c r="N88" s="10">
        <f t="shared" si="18"/>
        <v>3.7671140000827261E-2</v>
      </c>
    </row>
    <row r="89" spans="1:14" x14ac:dyDescent="0.25">
      <c r="A89" s="1">
        <v>45202</v>
      </c>
      <c r="B89" s="2">
        <f t="shared" si="19"/>
        <v>82</v>
      </c>
      <c r="C89" s="3">
        <f>+VLOOKUP(A89,Precios!$B:$H,1+$C$3,0)</f>
        <v>11.05</v>
      </c>
      <c r="D89" s="10">
        <f t="shared" si="12"/>
        <v>-3.6617262423713992E-2</v>
      </c>
      <c r="E89" s="38">
        <f t="shared" si="13"/>
        <v>1.3408239074071367E-3</v>
      </c>
      <c r="F89" s="27">
        <f t="shared" si="14"/>
        <v>9.9598910397075802E-2</v>
      </c>
      <c r="G89" s="28">
        <f t="shared" si="15"/>
        <v>1.3354460021210046E-4</v>
      </c>
      <c r="I89" s="21">
        <f t="shared" si="10"/>
        <v>3.2629586660097478E-4</v>
      </c>
      <c r="J89" s="41">
        <f t="shared" si="11"/>
        <v>1.8063661494862406E-2</v>
      </c>
      <c r="K89" s="44">
        <f t="shared" si="16"/>
        <v>1.0292671455819895E-6</v>
      </c>
      <c r="L89" s="13"/>
      <c r="M89" s="10">
        <f t="shared" si="17"/>
        <v>-3.6127322989724812E-2</v>
      </c>
      <c r="N89" s="10">
        <f t="shared" si="18"/>
        <v>3.6127322989724812E-2</v>
      </c>
    </row>
    <row r="90" spans="1:14" x14ac:dyDescent="0.25">
      <c r="A90" s="1">
        <v>45201</v>
      </c>
      <c r="B90" s="2">
        <f t="shared" si="19"/>
        <v>83</v>
      </c>
      <c r="C90" s="3">
        <f>+VLOOKUP(A90,Precios!$B:$H,1+$C$3,0)</f>
        <v>11.47</v>
      </c>
      <c r="D90" s="10">
        <f t="shared" si="12"/>
        <v>8.7950747581355682E-3</v>
      </c>
      <c r="E90" s="38">
        <f t="shared" si="13"/>
        <v>7.7353340001193422E-5</v>
      </c>
      <c r="F90" s="27">
        <f t="shared" si="14"/>
        <v>9.6802675317693349E-2</v>
      </c>
      <c r="G90" s="28">
        <f t="shared" si="15"/>
        <v>7.4880102568746683E-6</v>
      </c>
      <c r="I90" s="21">
        <f t="shared" si="10"/>
        <v>3.3348680242319145E-4</v>
      </c>
      <c r="J90" s="41">
        <f t="shared" si="11"/>
        <v>1.826162102397242E-2</v>
      </c>
      <c r="K90" s="44">
        <f t="shared" si="16"/>
        <v>6.5604350572281064E-8</v>
      </c>
      <c r="L90" s="13"/>
      <c r="M90" s="10">
        <f t="shared" si="17"/>
        <v>-3.652324204794484E-2</v>
      </c>
      <c r="N90" s="10">
        <f t="shared" si="18"/>
        <v>3.652324204794484E-2</v>
      </c>
    </row>
    <row r="91" spans="1:14" x14ac:dyDescent="0.25">
      <c r="A91" s="1">
        <v>45198</v>
      </c>
      <c r="B91" s="2">
        <f t="shared" si="19"/>
        <v>84</v>
      </c>
      <c r="C91" s="3">
        <f>+VLOOKUP(A91,Precios!$B:$H,1+$C$3,0)</f>
        <v>11.37</v>
      </c>
      <c r="D91" s="10">
        <f t="shared" si="12"/>
        <v>-2.487135506003435E-2</v>
      </c>
      <c r="E91" s="38">
        <f t="shared" si="13"/>
        <v>6.1858430252229632E-4</v>
      </c>
      <c r="F91" s="27">
        <f t="shared" si="14"/>
        <v>9.408494441659955E-2</v>
      </c>
      <c r="G91" s="28">
        <f t="shared" si="15"/>
        <v>5.8199469719791251E-5</v>
      </c>
      <c r="I91" s="21">
        <f t="shared" si="10"/>
        <v>3.2525149665085551E-4</v>
      </c>
      <c r="J91" s="41">
        <f t="shared" si="11"/>
        <v>1.8034730290493826E-2</v>
      </c>
      <c r="K91" s="44">
        <f t="shared" si="16"/>
        <v>8.6044135000412372E-8</v>
      </c>
      <c r="L91" s="13"/>
      <c r="M91" s="10">
        <f t="shared" si="17"/>
        <v>-3.6069460580987651E-2</v>
      </c>
      <c r="N91" s="10">
        <f t="shared" si="18"/>
        <v>3.6069460580987651E-2</v>
      </c>
    </row>
    <row r="92" spans="1:14" x14ac:dyDescent="0.25">
      <c r="A92" s="1">
        <v>45197</v>
      </c>
      <c r="B92" s="2">
        <f t="shared" si="19"/>
        <v>85</v>
      </c>
      <c r="C92" s="3">
        <f>+VLOOKUP(A92,Precios!$B:$H,1+$C$3,0)</f>
        <v>11.66</v>
      </c>
      <c r="D92" s="10">
        <f t="shared" si="12"/>
        <v>4.3066322136089408E-3</v>
      </c>
      <c r="E92" s="38">
        <f t="shared" si="13"/>
        <v>1.8547081023294245E-5</v>
      </c>
      <c r="F92" s="27">
        <f t="shared" si="14"/>
        <v>9.144351369240189E-2</v>
      </c>
      <c r="G92" s="28">
        <f t="shared" si="15"/>
        <v>1.6960102575076946E-6</v>
      </c>
      <c r="I92" s="21">
        <f t="shared" si="10"/>
        <v>3.341109382227408E-4</v>
      </c>
      <c r="J92" s="41">
        <f t="shared" si="11"/>
        <v>1.8278701765244182E-2</v>
      </c>
      <c r="K92" s="44">
        <f t="shared" si="16"/>
        <v>9.9580547970592695E-8</v>
      </c>
      <c r="L92" s="13"/>
      <c r="M92" s="10">
        <f t="shared" si="17"/>
        <v>-3.6557403530488364E-2</v>
      </c>
      <c r="N92" s="10">
        <f t="shared" si="18"/>
        <v>3.6557403530488364E-2</v>
      </c>
    </row>
    <row r="93" spans="1:14" x14ac:dyDescent="0.25">
      <c r="A93" s="1">
        <v>45196</v>
      </c>
      <c r="B93" s="2">
        <f t="shared" si="19"/>
        <v>86</v>
      </c>
      <c r="C93" s="3">
        <f>+VLOOKUP(A93,Precios!$B:$H,1+$C$3,0)</f>
        <v>11.61</v>
      </c>
      <c r="D93" s="10">
        <f t="shared" si="12"/>
        <v>9.565217391304337E-3</v>
      </c>
      <c r="E93" s="38">
        <f t="shared" si="13"/>
        <v>9.1493383742910942E-5</v>
      </c>
      <c r="F93" s="27">
        <f t="shared" si="14"/>
        <v>8.8876241020951138E-2</v>
      </c>
      <c r="G93" s="28">
        <f t="shared" si="15"/>
        <v>8.1315880253573262E-6</v>
      </c>
      <c r="I93" s="21">
        <f t="shared" si="10"/>
        <v>3.4111917135766213E-4</v>
      </c>
      <c r="J93" s="41">
        <f t="shared" si="11"/>
        <v>1.8469411776168242E-2</v>
      </c>
      <c r="K93" s="44">
        <f t="shared" si="16"/>
        <v>6.2313033842284875E-8</v>
      </c>
      <c r="L93" s="13"/>
      <c r="M93" s="10">
        <f t="shared" si="17"/>
        <v>-3.6938823552336485E-2</v>
      </c>
      <c r="N93" s="10">
        <f t="shared" si="18"/>
        <v>3.6938823552336485E-2</v>
      </c>
    </row>
    <row r="94" spans="1:14" x14ac:dyDescent="0.25">
      <c r="A94" s="1">
        <v>45195</v>
      </c>
      <c r="B94" s="2">
        <f t="shared" si="19"/>
        <v>87</v>
      </c>
      <c r="C94" s="3">
        <f>+VLOOKUP(A94,Precios!$B:$H,1+$C$3,0)</f>
        <v>11.5</v>
      </c>
      <c r="D94" s="10">
        <f t="shared" si="12"/>
        <v>-8.6206896551723755E-3</v>
      </c>
      <c r="E94" s="38">
        <f t="shared" si="13"/>
        <v>7.4316290130796013E-5</v>
      </c>
      <c r="F94" s="27">
        <f t="shared" si="14"/>
        <v>8.6381044418140387E-2</v>
      </c>
      <c r="G94" s="28">
        <f t="shared" si="15"/>
        <v>6.4195187587796987E-6</v>
      </c>
      <c r="I94" s="21">
        <f t="shared" si="10"/>
        <v>3.4882602009214664E-4</v>
      </c>
      <c r="J94" s="41">
        <f t="shared" si="11"/>
        <v>1.8676884646325432E-2</v>
      </c>
      <c r="K94" s="44">
        <f t="shared" si="16"/>
        <v>7.5355591843453639E-8</v>
      </c>
      <c r="L94" s="13"/>
      <c r="M94" s="10">
        <f t="shared" si="17"/>
        <v>-3.7353769292650864E-2</v>
      </c>
      <c r="N94" s="10">
        <f t="shared" si="18"/>
        <v>3.7353769292650864E-2</v>
      </c>
    </row>
    <row r="95" spans="1:14" x14ac:dyDescent="0.25">
      <c r="A95" s="1">
        <v>45194</v>
      </c>
      <c r="B95" s="2">
        <f t="shared" si="19"/>
        <v>88</v>
      </c>
      <c r="C95" s="3">
        <f>+VLOOKUP(A95,Precios!$B:$H,1+$C$3,0)</f>
        <v>11.6</v>
      </c>
      <c r="D95" s="10">
        <f t="shared" si="12"/>
        <v>6.9444444444444198E-3</v>
      </c>
      <c r="E95" s="38">
        <f t="shared" si="13"/>
        <v>4.8225308641974967E-5</v>
      </c>
      <c r="F95" s="27">
        <f t="shared" si="14"/>
        <v>8.395590035147607E-2</v>
      </c>
      <c r="G95" s="28">
        <f t="shared" si="15"/>
        <v>4.0487992067648284E-6</v>
      </c>
      <c r="I95" s="21">
        <f t="shared" si="10"/>
        <v>3.5750915050652542E-4</v>
      </c>
      <c r="J95" s="41">
        <f t="shared" si="11"/>
        <v>1.8907912378327899E-2</v>
      </c>
      <c r="K95" s="44">
        <f t="shared" si="16"/>
        <v>9.5656494838496243E-8</v>
      </c>
      <c r="L95" s="13"/>
      <c r="M95" s="10">
        <f t="shared" si="17"/>
        <v>-3.7815824756655798E-2</v>
      </c>
      <c r="N95" s="10">
        <f t="shared" si="18"/>
        <v>3.7815824756655798E-2</v>
      </c>
    </row>
    <row r="96" spans="1:14" x14ac:dyDescent="0.25">
      <c r="A96" s="1">
        <v>45191</v>
      </c>
      <c r="B96" s="2">
        <f t="shared" si="19"/>
        <v>89</v>
      </c>
      <c r="C96" s="3">
        <f>+VLOOKUP(A96,Precios!$B:$H,1+$C$3,0)</f>
        <v>11.52</v>
      </c>
      <c r="D96" s="10">
        <f t="shared" si="12"/>
        <v>-2.0408163265306145E-2</v>
      </c>
      <c r="E96" s="38">
        <f t="shared" si="13"/>
        <v>4.1649312786339119E-4</v>
      </c>
      <c r="F96" s="27">
        <f t="shared" si="14"/>
        <v>8.1598842099051369E-2</v>
      </c>
      <c r="G96" s="28">
        <f t="shared" si="15"/>
        <v>3.3985356975864871E-5</v>
      </c>
      <c r="I96" s="21">
        <f t="shared" si="10"/>
        <v>3.5580534360175263E-4</v>
      </c>
      <c r="J96" s="41">
        <f t="shared" si="11"/>
        <v>1.8862803174548384E-2</v>
      </c>
      <c r="K96" s="44">
        <f t="shared" si="16"/>
        <v>3.6830071585871857E-9</v>
      </c>
      <c r="L96" s="13"/>
      <c r="M96" s="10">
        <f t="shared" si="17"/>
        <v>-3.7725606349096767E-2</v>
      </c>
      <c r="N96" s="10">
        <f t="shared" si="18"/>
        <v>3.7725606349096767E-2</v>
      </c>
    </row>
    <row r="97" spans="1:14" x14ac:dyDescent="0.25">
      <c r="A97" s="1">
        <v>45190</v>
      </c>
      <c r="B97" s="2">
        <f t="shared" si="19"/>
        <v>90</v>
      </c>
      <c r="C97" s="3">
        <f>+VLOOKUP(A97,Precios!$B:$H,1+$C$3,0)</f>
        <v>11.76</v>
      </c>
      <c r="D97" s="10">
        <f t="shared" si="12"/>
        <v>-3.6855036855036993E-2</v>
      </c>
      <c r="E97" s="38">
        <f t="shared" si="13"/>
        <v>1.3582937415861352E-3</v>
      </c>
      <c r="F97" s="27">
        <f t="shared" si="14"/>
        <v>7.930795815459149E-2</v>
      </c>
      <c r="G97" s="28">
        <f t="shared" si="15"/>
        <v>1.0772350321935671E-4</v>
      </c>
      <c r="I97" s="21">
        <f t="shared" si="10"/>
        <v>3.2684753622795674E-4</v>
      </c>
      <c r="J97" s="41">
        <f t="shared" si="11"/>
        <v>1.8078925195596025E-2</v>
      </c>
      <c r="K97" s="44">
        <f t="shared" si="16"/>
        <v>1.0638812745477857E-6</v>
      </c>
      <c r="L97" s="13"/>
      <c r="M97" s="10">
        <f t="shared" si="17"/>
        <v>-3.6157850391192049E-2</v>
      </c>
      <c r="N97" s="10">
        <f t="shared" si="18"/>
        <v>3.6157850391192049E-2</v>
      </c>
    </row>
    <row r="98" spans="1:14" x14ac:dyDescent="0.25">
      <c r="A98" s="1">
        <v>45189</v>
      </c>
      <c r="B98" s="2">
        <f t="shared" si="19"/>
        <v>91</v>
      </c>
      <c r="C98" s="3">
        <f>+VLOOKUP(A98,Precios!$B:$H,1+$C$3,0)</f>
        <v>12.21</v>
      </c>
      <c r="D98" s="10">
        <f t="shared" si="12"/>
        <v>-3.2653061224489077E-3</v>
      </c>
      <c r="E98" s="38">
        <f t="shared" si="13"/>
        <v>1.0662224073302321E-5</v>
      </c>
      <c r="F98" s="27">
        <f t="shared" si="14"/>
        <v>7.7081390677277234E-2</v>
      </c>
      <c r="G98" s="28">
        <f t="shared" si="15"/>
        <v>8.218590592828864E-7</v>
      </c>
      <c r="I98" s="21">
        <f t="shared" si="10"/>
        <v>3.3598084229135585E-4</v>
      </c>
      <c r="J98" s="41">
        <f t="shared" si="11"/>
        <v>1.8329780203029056E-2</v>
      </c>
      <c r="K98" s="44">
        <f t="shared" si="16"/>
        <v>1.0583220335930366E-7</v>
      </c>
      <c r="L98" s="13"/>
      <c r="M98" s="10">
        <f t="shared" si="17"/>
        <v>-3.6659560406058112E-2</v>
      </c>
      <c r="N98" s="10">
        <f t="shared" si="18"/>
        <v>3.6659560406058112E-2</v>
      </c>
    </row>
    <row r="99" spans="1:14" x14ac:dyDescent="0.25">
      <c r="A99" s="1">
        <v>45188</v>
      </c>
      <c r="B99" s="2">
        <f t="shared" si="19"/>
        <v>92</v>
      </c>
      <c r="C99" s="3">
        <f>+VLOOKUP(A99,Precios!$B:$H,1+$C$3,0)</f>
        <v>12.25</v>
      </c>
      <c r="D99" s="10">
        <f t="shared" si="12"/>
        <v>2.7684563758389347E-2</v>
      </c>
      <c r="E99" s="38">
        <f t="shared" si="13"/>
        <v>7.6643507049232486E-4</v>
      </c>
      <c r="F99" s="27">
        <f t="shared" si="14"/>
        <v>7.4917333985089624E-2</v>
      </c>
      <c r="G99" s="28">
        <f t="shared" si="15"/>
        <v>5.7419272153959213E-5</v>
      </c>
      <c r="I99" s="21">
        <f t="shared" si="10"/>
        <v>3.2354677258187897E-4</v>
      </c>
      <c r="J99" s="41">
        <f t="shared" si="11"/>
        <v>1.7987405943656217E-2</v>
      </c>
      <c r="K99" s="44">
        <f t="shared" si="16"/>
        <v>1.9615004442601185E-7</v>
      </c>
      <c r="L99" s="13"/>
      <c r="M99" s="10">
        <f t="shared" si="17"/>
        <v>-3.5974811887312434E-2</v>
      </c>
      <c r="N99" s="10">
        <f t="shared" si="18"/>
        <v>3.5974811887312434E-2</v>
      </c>
    </row>
    <row r="100" spans="1:14" x14ac:dyDescent="0.25">
      <c r="A100" s="1">
        <v>45187</v>
      </c>
      <c r="B100" s="2">
        <f t="shared" si="19"/>
        <v>93</v>
      </c>
      <c r="C100" s="3">
        <f>+VLOOKUP(A100,Precios!$B:$H,1+$C$3,0)</f>
        <v>11.92</v>
      </c>
      <c r="D100" s="10">
        <f t="shared" si="12"/>
        <v>1.8803418803418959E-2</v>
      </c>
      <c r="E100" s="38">
        <f t="shared" si="13"/>
        <v>3.5356855869676969E-4</v>
      </c>
      <c r="F100" s="27">
        <f t="shared" si="14"/>
        <v>7.2814033090453825E-2</v>
      </c>
      <c r="G100" s="28">
        <f t="shared" si="15"/>
        <v>2.5744752732690655E-5</v>
      </c>
      <c r="I100" s="21">
        <f t="shared" si="10"/>
        <v>3.2267956543905293E-4</v>
      </c>
      <c r="J100" s="41">
        <f t="shared" si="11"/>
        <v>1.7963283815579292E-2</v>
      </c>
      <c r="K100" s="44">
        <f t="shared" si="16"/>
        <v>9.5412990447527176E-10</v>
      </c>
      <c r="L100" s="13"/>
      <c r="M100" s="10">
        <f t="shared" si="17"/>
        <v>-3.5926567631158583E-2</v>
      </c>
      <c r="N100" s="10">
        <f t="shared" si="18"/>
        <v>3.5926567631158583E-2</v>
      </c>
    </row>
    <row r="101" spans="1:14" x14ac:dyDescent="0.25">
      <c r="A101" s="1">
        <v>45184</v>
      </c>
      <c r="B101" s="2">
        <f t="shared" si="19"/>
        <v>94</v>
      </c>
      <c r="C101" s="3">
        <f>+VLOOKUP(A101,Precios!$B:$H,1+$C$3,0)</f>
        <v>11.7</v>
      </c>
      <c r="D101" s="10">
        <f t="shared" si="12"/>
        <v>-3.4071550255537764E-3</v>
      </c>
      <c r="E101" s="38">
        <f t="shared" si="13"/>
        <v>1.1608705368156355E-5</v>
      </c>
      <c r="F101" s="27">
        <f t="shared" si="14"/>
        <v>7.076978227699493E-2</v>
      </c>
      <c r="G101" s="28">
        <f t="shared" si="15"/>
        <v>8.2154555142220755E-7</v>
      </c>
      <c r="I101" s="21">
        <f t="shared" si="10"/>
        <v>3.3166513580938888E-4</v>
      </c>
      <c r="J101" s="41">
        <f t="shared" si="11"/>
        <v>1.821167581002333E-2</v>
      </c>
      <c r="K101" s="44">
        <f t="shared" si="16"/>
        <v>1.0243611866678354E-7</v>
      </c>
      <c r="L101" s="13"/>
      <c r="M101" s="10">
        <f t="shared" si="17"/>
        <v>-3.6423351620046659E-2</v>
      </c>
      <c r="N101" s="10">
        <f t="shared" si="18"/>
        <v>3.6423351620046659E-2</v>
      </c>
    </row>
    <row r="102" spans="1:14" x14ac:dyDescent="0.25">
      <c r="A102" s="1">
        <v>45183</v>
      </c>
      <c r="B102" s="2">
        <f t="shared" si="19"/>
        <v>95</v>
      </c>
      <c r="C102" s="3">
        <f>+VLOOKUP(A102,Precios!$B:$H,1+$C$3,0)</f>
        <v>11.74</v>
      </c>
      <c r="D102" s="10">
        <f t="shared" si="12"/>
        <v>-9.2827004219409037E-3</v>
      </c>
      <c r="E102" s="38">
        <f t="shared" si="13"/>
        <v>8.6168527123501836E-5</v>
      </c>
      <c r="F102" s="27">
        <f t="shared" si="14"/>
        <v>6.878292371625104E-2</v>
      </c>
      <c r="G102" s="28">
        <f t="shared" si="15"/>
        <v>5.9269232278775351E-6</v>
      </c>
      <c r="I102" s="21">
        <f t="shared" si="10"/>
        <v>3.3875653309592066E-4</v>
      </c>
      <c r="J102" s="41">
        <f t="shared" si="11"/>
        <v>1.8405339798436775E-2</v>
      </c>
      <c r="K102" s="44">
        <f t="shared" si="16"/>
        <v>6.3800700761122697E-8</v>
      </c>
      <c r="L102" s="13"/>
      <c r="M102" s="10">
        <f t="shared" si="17"/>
        <v>-3.681067959687355E-2</v>
      </c>
      <c r="N102" s="10">
        <f t="shared" si="18"/>
        <v>3.681067959687355E-2</v>
      </c>
    </row>
    <row r="103" spans="1:14" x14ac:dyDescent="0.25">
      <c r="A103" s="1">
        <v>45182</v>
      </c>
      <c r="B103" s="2">
        <f t="shared" si="19"/>
        <v>96</v>
      </c>
      <c r="C103" s="3">
        <f>+VLOOKUP(A103,Precios!$B:$H,1+$C$3,0)</f>
        <v>11.85</v>
      </c>
      <c r="D103" s="10">
        <f t="shared" si="12"/>
        <v>-9.1973244147157684E-3</v>
      </c>
      <c r="E103" s="38">
        <f t="shared" si="13"/>
        <v>8.4590776389526753E-5</v>
      </c>
      <c r="F103" s="27">
        <f t="shared" si="14"/>
        <v>6.68518461232223E-2</v>
      </c>
      <c r="G103" s="28">
        <f t="shared" si="15"/>
        <v>5.6550495666365483E-6</v>
      </c>
      <c r="I103" s="21">
        <f t="shared" si="10"/>
        <v>3.4609834676530292E-4</v>
      </c>
      <c r="J103" s="41">
        <f t="shared" si="11"/>
        <v>1.8603718627341764E-2</v>
      </c>
      <c r="K103" s="44">
        <f t="shared" si="16"/>
        <v>6.8386209363841512E-8</v>
      </c>
      <c r="L103" s="13"/>
      <c r="M103" s="10">
        <f t="shared" si="17"/>
        <v>-3.7207437254683527E-2</v>
      </c>
      <c r="N103" s="10">
        <f t="shared" si="18"/>
        <v>3.7207437254683527E-2</v>
      </c>
    </row>
    <row r="104" spans="1:14" x14ac:dyDescent="0.25">
      <c r="A104" s="1">
        <v>45181</v>
      </c>
      <c r="B104" s="2">
        <f t="shared" si="19"/>
        <v>97</v>
      </c>
      <c r="C104" s="3">
        <f>+VLOOKUP(A104,Precios!$B:$H,1+$C$3,0)</f>
        <v>11.96</v>
      </c>
      <c r="D104" s="10">
        <f t="shared" si="12"/>
        <v>-2.1276595744680882E-2</v>
      </c>
      <c r="E104" s="38">
        <f t="shared" si="13"/>
        <v>4.526935264825726E-4</v>
      </c>
      <c r="F104" s="27">
        <f t="shared" si="14"/>
        <v>6.497498344966518E-2</v>
      </c>
      <c r="G104" s="28">
        <f t="shared" si="15"/>
        <v>2.9413754390975721E-5</v>
      </c>
      <c r="I104" s="21">
        <f t="shared" si="10"/>
        <v>3.4301924611193461E-4</v>
      </c>
      <c r="J104" s="41">
        <f t="shared" si="11"/>
        <v>1.8520778766346047E-2</v>
      </c>
      <c r="K104" s="44">
        <f t="shared" si="16"/>
        <v>1.2028447774817308E-8</v>
      </c>
      <c r="L104" s="13"/>
      <c r="M104" s="10">
        <f t="shared" si="17"/>
        <v>-3.7041557532692095E-2</v>
      </c>
      <c r="N104" s="10">
        <f t="shared" si="18"/>
        <v>3.7041557532692095E-2</v>
      </c>
    </row>
    <row r="105" spans="1:14" x14ac:dyDescent="0.25">
      <c r="A105" s="1">
        <v>45180</v>
      </c>
      <c r="B105" s="2">
        <f t="shared" si="19"/>
        <v>98</v>
      </c>
      <c r="C105" s="3">
        <f>+VLOOKUP(A105,Precios!$B:$H,1+$C$3,0)</f>
        <v>12.22</v>
      </c>
      <c r="D105" s="10">
        <f t="shared" si="12"/>
        <v>-3.9308176100628978E-2</v>
      </c>
      <c r="E105" s="38">
        <f t="shared" si="13"/>
        <v>1.5451327083580591E-3</v>
      </c>
      <c r="F105" s="27">
        <f t="shared" si="14"/>
        <v>6.3150813614072446E-2</v>
      </c>
      <c r="G105" s="28">
        <f t="shared" si="15"/>
        <v>9.7576387674526747E-5</v>
      </c>
      <c r="I105" s="21">
        <f t="shared" si="10"/>
        <v>3.0829508356685107E-4</v>
      </c>
      <c r="J105" s="41">
        <f t="shared" si="11"/>
        <v>1.755833373549014E-2</v>
      </c>
      <c r="K105" s="44">
        <f t="shared" si="16"/>
        <v>1.5297673100991572E-6</v>
      </c>
      <c r="L105" s="13"/>
      <c r="M105" s="10">
        <f t="shared" si="17"/>
        <v>-3.511666747098028E-2</v>
      </c>
      <c r="N105" s="10">
        <f t="shared" si="18"/>
        <v>3.511666747098028E-2</v>
      </c>
    </row>
    <row r="106" spans="1:14" x14ac:dyDescent="0.25">
      <c r="A106" s="1">
        <v>45177</v>
      </c>
      <c r="B106" s="2">
        <f t="shared" si="19"/>
        <v>99</v>
      </c>
      <c r="C106" s="3">
        <f>+VLOOKUP(A106,Precios!$B:$H,1+$C$3,0)</f>
        <v>12.72</v>
      </c>
      <c r="D106" s="10">
        <f t="shared" si="12"/>
        <v>-2.304147465437778E-2</v>
      </c>
      <c r="E106" s="38">
        <f t="shared" si="13"/>
        <v>5.3090955424833363E-4</v>
      </c>
      <c r="F106" s="27">
        <f t="shared" si="14"/>
        <v>6.1377857267309058E-2</v>
      </c>
      <c r="G106" s="28">
        <f t="shared" si="15"/>
        <v>3.2586090842504894E-5</v>
      </c>
      <c r="I106" s="21">
        <f t="shared" si="10"/>
        <v>3.0186465806409692E-4</v>
      </c>
      <c r="J106" s="41">
        <f t="shared" si="11"/>
        <v>1.7374252733976702E-2</v>
      </c>
      <c r="K106" s="44">
        <f t="shared" si="16"/>
        <v>5.2461564468047772E-8</v>
      </c>
      <c r="L106" s="13"/>
      <c r="M106" s="10">
        <f t="shared" si="17"/>
        <v>-3.4748505467953404E-2</v>
      </c>
      <c r="N106" s="10">
        <f t="shared" si="18"/>
        <v>3.4748505467953404E-2</v>
      </c>
    </row>
    <row r="107" spans="1:14" x14ac:dyDescent="0.25">
      <c r="A107" s="1">
        <v>45176</v>
      </c>
      <c r="B107" s="2">
        <f t="shared" si="19"/>
        <v>100</v>
      </c>
      <c r="C107" s="3">
        <f>+VLOOKUP(A107,Precios!$B:$H,1+$C$3,0)</f>
        <v>13.02</v>
      </c>
      <c r="D107" s="10">
        <f t="shared" si="12"/>
        <v>-2.1788129226145814E-2</v>
      </c>
      <c r="E107" s="38">
        <f t="shared" si="13"/>
        <v>4.747225751752294E-4</v>
      </c>
      <c r="F107" s="27">
        <f t="shared" si="14"/>
        <v>5.965467659290262E-2</v>
      </c>
      <c r="G107" s="28">
        <f t="shared" si="15"/>
        <v>2.8319421693428211E-5</v>
      </c>
      <c r="I107" s="21">
        <f t="shared" si="10"/>
        <v>2.9687149676985744E-4</v>
      </c>
      <c r="J107" s="41">
        <f t="shared" si="11"/>
        <v>1.7229959279402185E-2</v>
      </c>
      <c r="K107" s="44">
        <f t="shared" si="16"/>
        <v>3.1631006089953763E-8</v>
      </c>
      <c r="L107" s="13"/>
      <c r="M107" s="10">
        <f t="shared" si="17"/>
        <v>-3.445991855880437E-2</v>
      </c>
      <c r="N107" s="10">
        <f t="shared" si="18"/>
        <v>3.445991855880437E-2</v>
      </c>
    </row>
    <row r="108" spans="1:14" x14ac:dyDescent="0.25">
      <c r="A108" s="1">
        <v>45175</v>
      </c>
      <c r="B108" s="2">
        <f t="shared" si="19"/>
        <v>101</v>
      </c>
      <c r="C108" s="3">
        <f>+VLOOKUP(A108,Precios!$B:$H,1+$C$3,0)</f>
        <v>13.31</v>
      </c>
      <c r="D108" s="10">
        <f t="shared" si="12"/>
        <v>-1.2611275964391711E-2</v>
      </c>
      <c r="E108" s="38">
        <f t="shared" si="13"/>
        <v>1.5904428145004407E-4</v>
      </c>
      <c r="F108" s="27">
        <f t="shared" si="14"/>
        <v>5.7979874141015679E-2</v>
      </c>
      <c r="G108" s="28">
        <f t="shared" si="15"/>
        <v>9.2213674213218308E-6</v>
      </c>
      <c r="I108" s="21">
        <f t="shared" si="10"/>
        <v>3.0085276374523844E-4</v>
      </c>
      <c r="J108" s="41">
        <f t="shared" si="11"/>
        <v>1.7345107775544044E-2</v>
      </c>
      <c r="K108" s="44">
        <f t="shared" si="16"/>
        <v>2.0109645650866452E-8</v>
      </c>
      <c r="L108" s="13"/>
      <c r="M108" s="10">
        <f t="shared" si="17"/>
        <v>-3.4690215551088088E-2</v>
      </c>
      <c r="N108" s="10">
        <f t="shared" si="18"/>
        <v>3.4690215551088088E-2</v>
      </c>
    </row>
    <row r="109" spans="1:14" x14ac:dyDescent="0.25">
      <c r="A109" s="1">
        <v>45174</v>
      </c>
      <c r="B109" s="2">
        <f t="shared" si="19"/>
        <v>102</v>
      </c>
      <c r="C109" s="3">
        <f>+VLOOKUP(A109,Precios!$B:$H,1+$C$3,0)</f>
        <v>13.48</v>
      </c>
      <c r="D109" s="10">
        <f t="shared" si="12"/>
        <v>-2.0348837209302251E-2</v>
      </c>
      <c r="E109" s="38">
        <f t="shared" si="13"/>
        <v>4.1407517577068378E-4</v>
      </c>
      <c r="F109" s="27">
        <f t="shared" si="14"/>
        <v>5.6352091695154212E-2</v>
      </c>
      <c r="G109" s="28">
        <f t="shared" si="15"/>
        <v>2.333400227371667E-5</v>
      </c>
      <c r="I109" s="21">
        <f t="shared" si="10"/>
        <v>2.975822293386343E-4</v>
      </c>
      <c r="J109" s="41">
        <f t="shared" si="11"/>
        <v>1.7250571855409149E-2</v>
      </c>
      <c r="K109" s="44">
        <f t="shared" si="16"/>
        <v>1.357060656842035E-8</v>
      </c>
      <c r="L109" s="13"/>
      <c r="M109" s="10">
        <f t="shared" si="17"/>
        <v>-3.4501143710818298E-2</v>
      </c>
      <c r="N109" s="10">
        <f t="shared" si="18"/>
        <v>3.4501143710818298E-2</v>
      </c>
    </row>
    <row r="110" spans="1:14" x14ac:dyDescent="0.25">
      <c r="A110" s="1">
        <v>45173</v>
      </c>
      <c r="B110" s="2">
        <f t="shared" si="19"/>
        <v>103</v>
      </c>
      <c r="C110" s="3">
        <f>+VLOOKUP(A110,Precios!$B:$H,1+$C$3,0)</f>
        <v>13.76</v>
      </c>
      <c r="D110" s="10">
        <f t="shared" si="12"/>
        <v>0</v>
      </c>
      <c r="E110" s="38">
        <f t="shared" si="13"/>
        <v>0</v>
      </c>
      <c r="F110" s="27">
        <f t="shared" si="14"/>
        <v>5.4770009170693239E-2</v>
      </c>
      <c r="G110" s="28">
        <f t="shared" si="15"/>
        <v>0</v>
      </c>
      <c r="I110" s="21">
        <f t="shared" si="10"/>
        <v>3.0617816809700701E-4</v>
      </c>
      <c r="J110" s="41">
        <f t="shared" si="11"/>
        <v>1.7497947539554661E-2</v>
      </c>
      <c r="K110" s="44">
        <f t="shared" si="16"/>
        <v>9.3745070619239079E-8</v>
      </c>
      <c r="L110" s="13"/>
      <c r="M110" s="10">
        <f t="shared" si="17"/>
        <v>-3.4995895079109322E-2</v>
      </c>
      <c r="N110" s="10">
        <f t="shared" si="18"/>
        <v>3.4995895079109322E-2</v>
      </c>
    </row>
    <row r="111" spans="1:14" x14ac:dyDescent="0.25">
      <c r="A111" s="1">
        <v>45170</v>
      </c>
      <c r="B111" s="2">
        <f t="shared" si="19"/>
        <v>104</v>
      </c>
      <c r="C111" s="3">
        <f>+VLOOKUP(A111,Precios!$B:$H,1+$C$3,0)</f>
        <v>13.76</v>
      </c>
      <c r="D111" s="10">
        <f t="shared" si="12"/>
        <v>2.3048327137546565E-2</v>
      </c>
      <c r="E111" s="38">
        <f t="shared" si="13"/>
        <v>5.3122538383936543E-4</v>
      </c>
      <c r="F111" s="27">
        <f t="shared" si="14"/>
        <v>5.3232343544326224E-2</v>
      </c>
      <c r="G111" s="28">
        <f t="shared" si="15"/>
        <v>2.8278372132003665E-5</v>
      </c>
      <c r="I111" s="21">
        <f t="shared" si="10"/>
        <v>2.9967747049633735E-4</v>
      </c>
      <c r="J111" s="41">
        <f t="shared" si="11"/>
        <v>1.7311194947095286E-2</v>
      </c>
      <c r="K111" s="44">
        <f t="shared" si="16"/>
        <v>5.3614436173510437E-8</v>
      </c>
      <c r="L111" s="13"/>
      <c r="M111" s="10">
        <f t="shared" si="17"/>
        <v>-3.4622389894190572E-2</v>
      </c>
      <c r="N111" s="10">
        <f t="shared" si="18"/>
        <v>3.4622389894190572E-2</v>
      </c>
    </row>
    <row r="112" spans="1:14" x14ac:dyDescent="0.25">
      <c r="A112" s="1">
        <v>45169</v>
      </c>
      <c r="B112" s="2">
        <f t="shared" si="19"/>
        <v>105</v>
      </c>
      <c r="C112" s="3">
        <f>+VLOOKUP(A112,Precios!$B:$H,1+$C$3,0)</f>
        <v>13.45</v>
      </c>
      <c r="D112" s="10">
        <f t="shared" si="12"/>
        <v>-3.6532951289398374E-2</v>
      </c>
      <c r="E112" s="38">
        <f t="shared" si="13"/>
        <v>1.3346565299135543E-3</v>
      </c>
      <c r="F112" s="27">
        <f t="shared" si="14"/>
        <v>5.1737847813570187E-2</v>
      </c>
      <c r="G112" s="28">
        <f t="shared" si="15"/>
        <v>6.9052256428055157E-5</v>
      </c>
      <c r="I112" s="21">
        <f t="shared" si="10"/>
        <v>2.6978114022580679E-4</v>
      </c>
      <c r="J112" s="41">
        <f t="shared" si="11"/>
        <v>1.6425015684187545E-2</v>
      </c>
      <c r="K112" s="44">
        <f t="shared" si="16"/>
        <v>1.1339595955626318E-6</v>
      </c>
      <c r="L112" s="13"/>
      <c r="M112" s="10">
        <f t="shared" si="17"/>
        <v>-3.2850031368375089E-2</v>
      </c>
      <c r="N112" s="10">
        <f t="shared" si="18"/>
        <v>3.2850031368375089E-2</v>
      </c>
    </row>
    <row r="113" spans="1:14" x14ac:dyDescent="0.25">
      <c r="A113" s="1">
        <v>45168</v>
      </c>
      <c r="B113" s="2">
        <f t="shared" si="19"/>
        <v>106</v>
      </c>
      <c r="C113" s="3">
        <f>+VLOOKUP(A113,Precios!$B:$H,1+$C$3,0)</f>
        <v>13.96</v>
      </c>
      <c r="D113" s="10">
        <f t="shared" si="12"/>
        <v>-3.5688793718771095E-3</v>
      </c>
      <c r="E113" s="38">
        <f t="shared" si="13"/>
        <v>1.2736899971009952E-5</v>
      </c>
      <c r="F113" s="27">
        <f t="shared" si="14"/>
        <v>5.0285309985482612E-2</v>
      </c>
      <c r="G113" s="28">
        <f t="shared" si="15"/>
        <v>6.4047896329631994E-7</v>
      </c>
      <c r="I113" s="21">
        <f t="shared" si="10"/>
        <v>2.772061015628238E-4</v>
      </c>
      <c r="J113" s="41">
        <f t="shared" si="11"/>
        <v>1.6649507547156578E-2</v>
      </c>
      <c r="K113" s="44">
        <f t="shared" si="16"/>
        <v>6.9943958590611471E-8</v>
      </c>
      <c r="L113" s="13"/>
      <c r="M113" s="10">
        <f t="shared" si="17"/>
        <v>-3.3299015094313156E-2</v>
      </c>
      <c r="N113" s="10">
        <f t="shared" si="18"/>
        <v>3.3299015094313156E-2</v>
      </c>
    </row>
    <row r="114" spans="1:14" x14ac:dyDescent="0.25">
      <c r="A114" s="1">
        <v>45167</v>
      </c>
      <c r="B114" s="2">
        <f t="shared" si="19"/>
        <v>107</v>
      </c>
      <c r="C114" s="3">
        <f>+VLOOKUP(A114,Precios!$B:$H,1+$C$3,0)</f>
        <v>14.01</v>
      </c>
      <c r="D114" s="10">
        <f t="shared" si="12"/>
        <v>1.2283236994219626E-2</v>
      </c>
      <c r="E114" s="38">
        <f t="shared" si="13"/>
        <v>1.5087791105616559E-4</v>
      </c>
      <c r="F114" s="27">
        <f t="shared" si="14"/>
        <v>4.8873552093770208E-2</v>
      </c>
      <c r="G114" s="28">
        <f t="shared" si="15"/>
        <v>7.373939445802737E-6</v>
      </c>
      <c r="I114" s="21">
        <f t="shared" si="10"/>
        <v>2.8085520853895162E-4</v>
      </c>
      <c r="J114" s="41">
        <f t="shared" si="11"/>
        <v>1.6758735290556732E-2</v>
      </c>
      <c r="K114" s="44">
        <f t="shared" si="16"/>
        <v>1.6894097860928655E-8</v>
      </c>
      <c r="L114" s="13"/>
      <c r="M114" s="10">
        <f t="shared" si="17"/>
        <v>-3.3517470581113464E-2</v>
      </c>
      <c r="N114" s="10">
        <f t="shared" si="18"/>
        <v>3.3517470581113464E-2</v>
      </c>
    </row>
    <row r="115" spans="1:14" x14ac:dyDescent="0.25">
      <c r="A115" s="1">
        <v>45166</v>
      </c>
      <c r="B115" s="2">
        <f t="shared" si="19"/>
        <v>108</v>
      </c>
      <c r="C115" s="3">
        <f>+VLOOKUP(A115,Precios!$B:$H,1+$C$3,0)</f>
        <v>13.84</v>
      </c>
      <c r="D115" s="10">
        <f t="shared" si="12"/>
        <v>1.6899338721528379E-2</v>
      </c>
      <c r="E115" s="38">
        <f t="shared" si="13"/>
        <v>2.8558764922494839E-4</v>
      </c>
      <c r="F115" s="27">
        <f t="shared" si="14"/>
        <v>4.7501429243492141E-2</v>
      </c>
      <c r="G115" s="28">
        <f t="shared" si="15"/>
        <v>1.3565821512474139E-5</v>
      </c>
      <c r="I115" s="21">
        <f t="shared" si="10"/>
        <v>2.8071850759950079E-4</v>
      </c>
      <c r="J115" s="41">
        <f t="shared" si="11"/>
        <v>1.6754656296071872E-2</v>
      </c>
      <c r="K115" s="44">
        <f t="shared" si="16"/>
        <v>2.3708540168666491E-11</v>
      </c>
      <c r="L115" s="13"/>
      <c r="M115" s="10">
        <f t="shared" si="17"/>
        <v>-3.3509312592143743E-2</v>
      </c>
      <c r="N115" s="10">
        <f t="shared" si="18"/>
        <v>3.3509312592143743E-2</v>
      </c>
    </row>
    <row r="116" spans="1:14" x14ac:dyDescent="0.25">
      <c r="A116" s="1">
        <v>45163</v>
      </c>
      <c r="B116" s="2">
        <f t="shared" si="19"/>
        <v>109</v>
      </c>
      <c r="C116" s="3">
        <f>+VLOOKUP(A116,Precios!$B:$H,1+$C$3,0)</f>
        <v>13.61</v>
      </c>
      <c r="D116" s="10">
        <f t="shared" si="12"/>
        <v>8.8954781319494636E-3</v>
      </c>
      <c r="E116" s="38">
        <f t="shared" si="13"/>
        <v>7.9129531195991118E-5</v>
      </c>
      <c r="F116" s="27">
        <f t="shared" si="14"/>
        <v>4.6167828682583227E-2</v>
      </c>
      <c r="G116" s="28">
        <f t="shared" si="15"/>
        <v>3.6532386399896429E-6</v>
      </c>
      <c r="I116" s="21">
        <f t="shared" si="10"/>
        <v>2.8654159219490419E-4</v>
      </c>
      <c r="J116" s="41">
        <f t="shared" si="11"/>
        <v>1.6927539460739834E-2</v>
      </c>
      <c r="K116" s="44">
        <f t="shared" si="16"/>
        <v>4.3019763047816841E-8</v>
      </c>
      <c r="L116" s="13"/>
      <c r="M116" s="10">
        <f t="shared" si="17"/>
        <v>-3.3855078921479667E-2</v>
      </c>
      <c r="N116" s="10">
        <f t="shared" si="18"/>
        <v>3.3855078921479667E-2</v>
      </c>
    </row>
    <row r="117" spans="1:14" x14ac:dyDescent="0.25">
      <c r="A117" s="1">
        <v>45162</v>
      </c>
      <c r="B117" s="2">
        <f t="shared" si="19"/>
        <v>110</v>
      </c>
      <c r="C117" s="3">
        <f>+VLOOKUP(A117,Precios!$B:$H,1+$C$3,0)</f>
        <v>13.49</v>
      </c>
      <c r="D117" s="10">
        <f t="shared" si="12"/>
        <v>-1.2445095168374776E-2</v>
      </c>
      <c r="E117" s="38">
        <f t="shared" si="13"/>
        <v>1.5488039374990519E-4</v>
      </c>
      <c r="F117" s="27">
        <f t="shared" si="14"/>
        <v>4.4871668899444175E-2</v>
      </c>
      <c r="G117" s="28">
        <f t="shared" si="15"/>
        <v>6.9497417473612888E-6</v>
      </c>
      <c r="I117" s="21">
        <f t="shared" si="10"/>
        <v>2.9034474805270669E-4</v>
      </c>
      <c r="J117" s="41">
        <f t="shared" si="11"/>
        <v>1.7039505510803611E-2</v>
      </c>
      <c r="K117" s="44">
        <f t="shared" si="16"/>
        <v>1.8350591286674935E-8</v>
      </c>
      <c r="L117" s="13"/>
      <c r="M117" s="10">
        <f t="shared" si="17"/>
        <v>-3.4079011021607222E-2</v>
      </c>
      <c r="N117" s="10">
        <f t="shared" si="18"/>
        <v>3.4079011021607222E-2</v>
      </c>
    </row>
    <row r="118" spans="1:14" x14ac:dyDescent="0.25">
      <c r="A118" s="1">
        <v>45161</v>
      </c>
      <c r="B118" s="2">
        <f t="shared" si="19"/>
        <v>111</v>
      </c>
      <c r="C118" s="3">
        <f>+VLOOKUP(A118,Precios!$B:$H,1+$C$3,0)</f>
        <v>13.66</v>
      </c>
      <c r="D118" s="10">
        <f t="shared" si="12"/>
        <v>2.2010271460013442E-3</v>
      </c>
      <c r="E118" s="38">
        <f t="shared" si="13"/>
        <v>4.8445204974348228E-6</v>
      </c>
      <c r="F118" s="27">
        <f t="shared" si="14"/>
        <v>4.3611898745866823E-2</v>
      </c>
      <c r="G118" s="28">
        <f t="shared" si="15"/>
        <v>2.1127873740640386E-7</v>
      </c>
      <c r="I118" s="21">
        <f t="shared" si="10"/>
        <v>2.9859168698122013E-4</v>
      </c>
      <c r="J118" s="41">
        <f t="shared" si="11"/>
        <v>1.7279805756466711E-2</v>
      </c>
      <c r="K118" s="44">
        <f t="shared" si="16"/>
        <v>8.6287397817252693E-8</v>
      </c>
      <c r="L118" s="13"/>
      <c r="M118" s="10">
        <f t="shared" si="17"/>
        <v>-3.4559611512933422E-2</v>
      </c>
      <c r="N118" s="10">
        <f t="shared" si="18"/>
        <v>3.4559611512933422E-2</v>
      </c>
    </row>
    <row r="119" spans="1:14" x14ac:dyDescent="0.25">
      <c r="A119" s="1">
        <v>45160</v>
      </c>
      <c r="B119" s="2">
        <f t="shared" si="19"/>
        <v>112</v>
      </c>
      <c r="C119" s="3">
        <f>+VLOOKUP(A119,Precios!$B:$H,1+$C$3,0)</f>
        <v>13.63</v>
      </c>
      <c r="D119" s="10">
        <f t="shared" si="12"/>
        <v>8.8823094004442105E-3</v>
      </c>
      <c r="E119" s="38">
        <f t="shared" si="13"/>
        <v>7.8895420285219587E-5</v>
      </c>
      <c r="F119" s="27">
        <f t="shared" si="14"/>
        <v>4.2387496584583247E-2</v>
      </c>
      <c r="G119" s="28">
        <f t="shared" si="15"/>
        <v>3.3441793578790051E-6</v>
      </c>
      <c r="I119" s="21">
        <f t="shared" si="10"/>
        <v>3.0493781745466621E-4</v>
      </c>
      <c r="J119" s="41">
        <f t="shared" si="11"/>
        <v>1.7462468824729974E-2</v>
      </c>
      <c r="K119" s="44">
        <f t="shared" si="16"/>
        <v>5.1095165318109846E-8</v>
      </c>
      <c r="L119" s="13"/>
      <c r="M119" s="10">
        <f t="shared" si="17"/>
        <v>-3.4924937649459947E-2</v>
      </c>
      <c r="N119" s="10">
        <f t="shared" si="18"/>
        <v>3.4924937649459947E-2</v>
      </c>
    </row>
    <row r="120" spans="1:14" x14ac:dyDescent="0.25">
      <c r="A120" s="1">
        <v>45159</v>
      </c>
      <c r="B120" s="2">
        <f t="shared" si="19"/>
        <v>113</v>
      </c>
      <c r="C120" s="3">
        <f>+VLOOKUP(A120,Precios!$B:$H,1+$C$3,0)</f>
        <v>13.51</v>
      </c>
      <c r="D120" s="10">
        <f t="shared" si="12"/>
        <v>1.8853695324283493E-2</v>
      </c>
      <c r="E120" s="38">
        <f t="shared" si="13"/>
        <v>3.5546182738090923E-4</v>
      </c>
      <c r="F120" s="27">
        <f t="shared" si="14"/>
        <v>4.1197469460747406E-2</v>
      </c>
      <c r="G120" s="28">
        <f t="shared" si="15"/>
        <v>1.4644127777986474E-5</v>
      </c>
      <c r="I120" s="21">
        <f t="shared" si="10"/>
        <v>3.0347838455735036E-4</v>
      </c>
      <c r="J120" s="41">
        <f t="shared" si="11"/>
        <v>1.7420631003420926E-2</v>
      </c>
      <c r="K120" s="44">
        <f t="shared" si="16"/>
        <v>2.7022783277902148E-9</v>
      </c>
      <c r="L120" s="13"/>
      <c r="M120" s="10">
        <f t="shared" si="17"/>
        <v>-3.4841262006841851E-2</v>
      </c>
      <c r="N120" s="10">
        <f t="shared" si="18"/>
        <v>3.4841262006841851E-2</v>
      </c>
    </row>
    <row r="121" spans="1:14" x14ac:dyDescent="0.25">
      <c r="A121" s="1">
        <v>45156</v>
      </c>
      <c r="B121" s="2">
        <f t="shared" si="19"/>
        <v>114</v>
      </c>
      <c r="C121" s="3">
        <f>+VLOOKUP(A121,Precios!$B:$H,1+$C$3,0)</f>
        <v>13.26</v>
      </c>
      <c r="D121" s="10">
        <f t="shared" si="12"/>
        <v>3.0257186081694698E-3</v>
      </c>
      <c r="E121" s="38">
        <f t="shared" si="13"/>
        <v>9.1549730958229932E-6</v>
      </c>
      <c r="F121" s="27">
        <f t="shared" si="14"/>
        <v>4.0040852296677379E-2</v>
      </c>
      <c r="G121" s="28">
        <f t="shared" si="15"/>
        <v>3.6657292550990372E-7</v>
      </c>
      <c r="I121" s="21">
        <f t="shared" si="10"/>
        <v>3.119801893381715E-4</v>
      </c>
      <c r="J121" s="41">
        <f t="shared" si="11"/>
        <v>1.7662960944818156E-2</v>
      </c>
      <c r="K121" s="44">
        <f t="shared" si="16"/>
        <v>9.1703111592225137E-8</v>
      </c>
      <c r="L121" s="13"/>
      <c r="M121" s="10">
        <f t="shared" si="17"/>
        <v>-3.5325921889636312E-2</v>
      </c>
      <c r="N121" s="10">
        <f t="shared" si="18"/>
        <v>3.5325921889636312E-2</v>
      </c>
    </row>
    <row r="122" spans="1:14" x14ac:dyDescent="0.25">
      <c r="A122" s="1">
        <v>45155</v>
      </c>
      <c r="B122" s="2">
        <f t="shared" si="19"/>
        <v>115</v>
      </c>
      <c r="C122" s="3">
        <f>+VLOOKUP(A122,Precios!$B:$H,1+$C$3,0)</f>
        <v>13.22</v>
      </c>
      <c r="D122" s="10">
        <f t="shared" si="12"/>
        <v>-4.202898550724643E-2</v>
      </c>
      <c r="E122" s="38">
        <f t="shared" si="13"/>
        <v>1.7664356227683304E-3</v>
      </c>
      <c r="F122" s="27">
        <f t="shared" si="14"/>
        <v>3.8916707109205251E-2</v>
      </c>
      <c r="G122" s="28">
        <f t="shared" si="15"/>
        <v>6.8743857758541687E-5</v>
      </c>
      <c r="I122" s="21">
        <f t="shared" si="10"/>
        <v>2.699668948604259E-4</v>
      </c>
      <c r="J122" s="41">
        <f t="shared" si="11"/>
        <v>1.6430669336957211E-2</v>
      </c>
      <c r="K122" s="44">
        <f t="shared" si="16"/>
        <v>2.2394186536063019E-6</v>
      </c>
      <c r="L122" s="13"/>
      <c r="M122" s="10">
        <f t="shared" si="17"/>
        <v>-3.2861338673914421E-2</v>
      </c>
      <c r="N122" s="10">
        <f t="shared" si="18"/>
        <v>3.2861338673914421E-2</v>
      </c>
    </row>
    <row r="123" spans="1:14" x14ac:dyDescent="0.25">
      <c r="A123" s="1">
        <v>45154</v>
      </c>
      <c r="B123" s="2">
        <f t="shared" si="19"/>
        <v>116</v>
      </c>
      <c r="C123" s="3">
        <f>+VLOOKUP(A123,Precios!$B:$H,1+$C$3,0)</f>
        <v>13.8</v>
      </c>
      <c r="D123" s="10">
        <f t="shared" si="12"/>
        <v>8.0350620891163071E-3</v>
      </c>
      <c r="E123" s="38">
        <f t="shared" si="13"/>
        <v>6.456222277595412E-5</v>
      </c>
      <c r="F123" s="27">
        <f t="shared" si="14"/>
        <v>3.7824122248999711E-2</v>
      </c>
      <c r="G123" s="28">
        <f t="shared" si="15"/>
        <v>2.4420094069448421E-6</v>
      </c>
      <c r="I123" s="21">
        <f t="shared" si="10"/>
        <v>2.7590019936535494E-4</v>
      </c>
      <c r="J123" s="41">
        <f t="shared" si="11"/>
        <v>1.6610243808125001E-2</v>
      </c>
      <c r="K123" s="44">
        <f t="shared" si="16"/>
        <v>4.4663740348902127E-8</v>
      </c>
      <c r="L123" s="13"/>
      <c r="M123" s="10">
        <f t="shared" si="17"/>
        <v>-3.3220487616250002E-2</v>
      </c>
      <c r="N123" s="10">
        <f t="shared" si="18"/>
        <v>3.3220487616250002E-2</v>
      </c>
    </row>
    <row r="124" spans="1:14" x14ac:dyDescent="0.25">
      <c r="A124" s="1">
        <v>45153</v>
      </c>
      <c r="B124" s="2">
        <f t="shared" si="19"/>
        <v>117</v>
      </c>
      <c r="C124" s="3">
        <f>+VLOOKUP(A124,Precios!$B:$H,1+$C$3,0)</f>
        <v>13.69</v>
      </c>
      <c r="D124" s="10">
        <f t="shared" si="12"/>
        <v>7.3583517292126199E-3</v>
      </c>
      <c r="E124" s="38">
        <f t="shared" si="13"/>
        <v>5.4145340170806356E-5</v>
      </c>
      <c r="F124" s="27">
        <f t="shared" si="14"/>
        <v>3.676221166124484E-2</v>
      </c>
      <c r="G124" s="28">
        <f t="shared" si="15"/>
        <v>1.9905024558292863E-6</v>
      </c>
      <c r="I124" s="21">
        <f t="shared" si="10"/>
        <v>2.8230579419285639E-4</v>
      </c>
      <c r="J124" s="41">
        <f t="shared" si="11"/>
        <v>1.6801958046396153E-2</v>
      </c>
      <c r="K124" s="44">
        <f t="shared" si="16"/>
        <v>5.2057192779548008E-8</v>
      </c>
      <c r="L124" s="13"/>
      <c r="M124" s="10">
        <f t="shared" si="17"/>
        <v>-3.3603916092792306E-2</v>
      </c>
      <c r="N124" s="10">
        <f t="shared" si="18"/>
        <v>3.3603916092792306E-2</v>
      </c>
    </row>
    <row r="125" spans="1:14" x14ac:dyDescent="0.25">
      <c r="A125" s="1">
        <v>45152</v>
      </c>
      <c r="B125" s="2">
        <f t="shared" si="19"/>
        <v>118</v>
      </c>
      <c r="C125" s="3">
        <f>+VLOOKUP(A125,Precios!$B:$H,1+$C$3,0)</f>
        <v>13.59</v>
      </c>
      <c r="D125" s="10">
        <f t="shared" si="12"/>
        <v>2.9545454545454541E-2</v>
      </c>
      <c r="E125" s="38">
        <f t="shared" si="13"/>
        <v>8.7293388429752041E-4</v>
      </c>
      <c r="F125" s="27">
        <f t="shared" si="14"/>
        <v>3.5730114167075118E-2</v>
      </c>
      <c r="G125" s="28">
        <f t="shared" si="15"/>
        <v>3.1190027346258746E-5</v>
      </c>
      <c r="I125" s="21">
        <f t="shared" si="10"/>
        <v>2.6524495389067243E-4</v>
      </c>
      <c r="J125" s="41">
        <f t="shared" si="11"/>
        <v>1.6286342557206405E-2</v>
      </c>
      <c r="K125" s="44">
        <f t="shared" si="16"/>
        <v>3.6928583613901899E-7</v>
      </c>
      <c r="L125" s="13"/>
      <c r="M125" s="10">
        <f t="shared" si="17"/>
        <v>-3.257268511441281E-2</v>
      </c>
      <c r="N125" s="10">
        <f t="shared" si="18"/>
        <v>3.257268511441281E-2</v>
      </c>
    </row>
    <row r="126" spans="1:14" x14ac:dyDescent="0.25">
      <c r="A126" s="1">
        <v>45149</v>
      </c>
      <c r="B126" s="2">
        <f t="shared" si="19"/>
        <v>119</v>
      </c>
      <c r="C126" s="3">
        <f>+VLOOKUP(A126,Precios!$B:$H,1+$C$3,0)</f>
        <v>13.2</v>
      </c>
      <c r="D126" s="10">
        <f t="shared" si="12"/>
        <v>-7.5187969924812581E-3</v>
      </c>
      <c r="E126" s="38">
        <f t="shared" si="13"/>
        <v>5.6532308214145212E-5</v>
      </c>
      <c r="F126" s="27">
        <f t="shared" si="14"/>
        <v>3.4726992765184261E-2</v>
      </c>
      <c r="G126" s="28">
        <f t="shared" si="15"/>
        <v>1.9631970583517874E-6</v>
      </c>
      <c r="I126" s="21">
        <f t="shared" si="10"/>
        <v>2.7127381228158058E-4</v>
      </c>
      <c r="J126" s="41">
        <f t="shared" si="11"/>
        <v>1.6470391989311627E-2</v>
      </c>
      <c r="K126" s="44">
        <f t="shared" si="16"/>
        <v>4.6113913569144361E-8</v>
      </c>
      <c r="L126" s="13"/>
      <c r="M126" s="10">
        <f t="shared" si="17"/>
        <v>-3.2940783978623253E-2</v>
      </c>
      <c r="N126" s="10">
        <f t="shared" si="18"/>
        <v>3.2940783978623253E-2</v>
      </c>
    </row>
    <row r="127" spans="1:14" x14ac:dyDescent="0.25">
      <c r="A127" s="1">
        <v>45148</v>
      </c>
      <c r="B127" s="2">
        <f t="shared" si="19"/>
        <v>120</v>
      </c>
      <c r="C127" s="3">
        <f>+VLOOKUP(A127,Precios!$B:$H,1+$C$3,0)</f>
        <v>13.3</v>
      </c>
      <c r="D127" s="10">
        <f t="shared" si="12"/>
        <v>-1.8450184501844991E-2</v>
      </c>
      <c r="E127" s="38">
        <f t="shared" si="13"/>
        <v>3.4040930815212108E-4</v>
      </c>
      <c r="F127" s="27">
        <f t="shared" si="14"/>
        <v>3.3752033953041272E-2</v>
      </c>
      <c r="G127" s="28">
        <f t="shared" si="15"/>
        <v>1.148950652668168E-5</v>
      </c>
      <c r="I127" s="21">
        <f t="shared" si="10"/>
        <v>2.6927676934708256E-4</v>
      </c>
      <c r="J127" s="41">
        <f t="shared" si="11"/>
        <v>1.6409654760142962E-2</v>
      </c>
      <c r="K127" s="44">
        <f t="shared" si="16"/>
        <v>5.0598380768503108E-9</v>
      </c>
      <c r="L127" s="13"/>
      <c r="M127" s="10">
        <f t="shared" si="17"/>
        <v>-3.2819309520285923E-2</v>
      </c>
      <c r="N127" s="10">
        <f t="shared" si="18"/>
        <v>3.2819309520285923E-2</v>
      </c>
    </row>
    <row r="128" spans="1:14" x14ac:dyDescent="0.25">
      <c r="A128" s="1">
        <v>45147</v>
      </c>
      <c r="B128" s="2">
        <f t="shared" si="19"/>
        <v>121</v>
      </c>
      <c r="C128" s="3">
        <f>+VLOOKUP(A128,Precios!$B:$H,1+$C$3,0)</f>
        <v>13.55</v>
      </c>
      <c r="D128" s="10">
        <f t="shared" si="12"/>
        <v>2.9607698001481442E-3</v>
      </c>
      <c r="E128" s="38">
        <f t="shared" si="13"/>
        <v>8.7661578094692823E-6</v>
      </c>
      <c r="F128" s="27">
        <f t="shared" si="14"/>
        <v>3.2804447067163324E-2</v>
      </c>
      <c r="G128" s="28">
        <f t="shared" si="15"/>
        <v>2.8756895984313544E-7</v>
      </c>
      <c r="I128" s="21">
        <f t="shared" si="10"/>
        <v>2.768018600343201E-4</v>
      </c>
      <c r="J128" s="41">
        <f t="shared" si="11"/>
        <v>1.6637363373873882E-2</v>
      </c>
      <c r="K128" s="44">
        <f t="shared" si="16"/>
        <v>7.18431376671689E-8</v>
      </c>
      <c r="L128" s="13"/>
      <c r="M128" s="10">
        <f t="shared" si="17"/>
        <v>-3.3274726747747764E-2</v>
      </c>
      <c r="N128" s="10">
        <f t="shared" si="18"/>
        <v>3.3274726747747764E-2</v>
      </c>
    </row>
    <row r="129" spans="1:14" x14ac:dyDescent="0.25">
      <c r="A129" s="1">
        <v>45146</v>
      </c>
      <c r="B129" s="2">
        <f t="shared" si="19"/>
        <v>122</v>
      </c>
      <c r="C129" s="3">
        <f>+VLOOKUP(A129,Precios!$B:$H,1+$C$3,0)</f>
        <v>13.51</v>
      </c>
      <c r="D129" s="10">
        <f t="shared" si="12"/>
        <v>1.0471204188481797E-2</v>
      </c>
      <c r="E129" s="38">
        <f t="shared" si="13"/>
        <v>1.0964611715687874E-4</v>
      </c>
      <c r="F129" s="27">
        <f t="shared" si="14"/>
        <v>3.1883463641910505E-2</v>
      </c>
      <c r="G129" s="28">
        <f t="shared" si="15"/>
        <v>3.4958979898480029E-6</v>
      </c>
      <c r="I129" s="21">
        <f t="shared" si="10"/>
        <v>2.816303087359719E-4</v>
      </c>
      <c r="J129" s="41">
        <f t="shared" si="11"/>
        <v>1.6781844616607911E-2</v>
      </c>
      <c r="K129" s="44">
        <f t="shared" si="16"/>
        <v>2.9578562153114221E-8</v>
      </c>
      <c r="L129" s="13"/>
      <c r="M129" s="10">
        <f t="shared" si="17"/>
        <v>-3.3563689233215822E-2</v>
      </c>
      <c r="N129" s="10">
        <f t="shared" si="18"/>
        <v>3.3563689233215822E-2</v>
      </c>
    </row>
    <row r="130" spans="1:14" x14ac:dyDescent="0.25">
      <c r="A130" s="1">
        <v>45145</v>
      </c>
      <c r="B130" s="2">
        <f t="shared" si="19"/>
        <v>123</v>
      </c>
      <c r="C130" s="3">
        <f>+VLOOKUP(A130,Precios!$B:$H,1+$C$3,0)</f>
        <v>13.37</v>
      </c>
      <c r="D130" s="10">
        <f t="shared" si="12"/>
        <v>2.2171253822629966E-2</v>
      </c>
      <c r="E130" s="38">
        <f t="shared" si="13"/>
        <v>4.9156449606748386E-4</v>
      </c>
      <c r="F130" s="27">
        <f t="shared" si="14"/>
        <v>3.098833678628234E-2</v>
      </c>
      <c r="G130" s="28">
        <f t="shared" si="15"/>
        <v>1.5232766156318351E-5</v>
      </c>
      <c r="I130" s="21">
        <f t="shared" si="10"/>
        <v>2.7556616498114808E-4</v>
      </c>
      <c r="J130" s="41">
        <f t="shared" si="11"/>
        <v>1.6600185691164664E-2</v>
      </c>
      <c r="K130" s="44">
        <f t="shared" si="16"/>
        <v>4.6655279032082329E-8</v>
      </c>
      <c r="L130" s="13"/>
      <c r="M130" s="10">
        <f t="shared" si="17"/>
        <v>-3.3200371382329327E-2</v>
      </c>
      <c r="N130" s="10">
        <f t="shared" si="18"/>
        <v>3.3200371382329327E-2</v>
      </c>
    </row>
    <row r="131" spans="1:14" x14ac:dyDescent="0.25">
      <c r="A131" s="1">
        <v>45142</v>
      </c>
      <c r="B131" s="2">
        <f t="shared" si="19"/>
        <v>124</v>
      </c>
      <c r="C131" s="3">
        <f>+VLOOKUP(A131,Precios!$B:$H,1+$C$3,0)</f>
        <v>13.08</v>
      </c>
      <c r="D131" s="10">
        <f t="shared" si="12"/>
        <v>7.7041602465330872E-3</v>
      </c>
      <c r="E131" s="38">
        <f t="shared" si="13"/>
        <v>5.9354085104260757E-5</v>
      </c>
      <c r="F131" s="27">
        <f t="shared" si="14"/>
        <v>3.0118340578210723E-2</v>
      </c>
      <c r="G131" s="28">
        <f t="shared" si="15"/>
        <v>1.7876465498782294E-6</v>
      </c>
      <c r="I131" s="21">
        <f t="shared" si="10"/>
        <v>2.8181165148608034E-4</v>
      </c>
      <c r="J131" s="41">
        <f t="shared" si="11"/>
        <v>1.6787246691643044E-2</v>
      </c>
      <c r="K131" s="44">
        <f t="shared" si="16"/>
        <v>4.9487368840521663E-8</v>
      </c>
      <c r="L131" s="13"/>
      <c r="M131" s="10">
        <f t="shared" si="17"/>
        <v>-3.3574493383286087E-2</v>
      </c>
      <c r="N131" s="10">
        <f t="shared" si="18"/>
        <v>3.3574493383286087E-2</v>
      </c>
    </row>
    <row r="132" spans="1:14" x14ac:dyDescent="0.25">
      <c r="A132" s="1">
        <v>45141</v>
      </c>
      <c r="B132" s="2">
        <f t="shared" si="19"/>
        <v>125</v>
      </c>
      <c r="C132" s="3">
        <f>+VLOOKUP(A132,Precios!$B:$H,1+$C$3,0)</f>
        <v>12.98</v>
      </c>
      <c r="D132" s="10">
        <f t="shared" si="12"/>
        <v>7.763975155279379E-3</v>
      </c>
      <c r="E132" s="38">
        <f t="shared" si="13"/>
        <v>6.0279310211795457E-5</v>
      </c>
      <c r="F132" s="27">
        <f t="shared" si="14"/>
        <v>2.9272769475858045E-2</v>
      </c>
      <c r="G132" s="28">
        <f t="shared" si="15"/>
        <v>1.7645423519936241E-6</v>
      </c>
      <c r="I132" s="21">
        <f t="shared" si="10"/>
        <v>2.8821081867702738E-4</v>
      </c>
      <c r="J132" s="41">
        <f t="shared" si="11"/>
        <v>1.6976772917048379E-2</v>
      </c>
      <c r="K132" s="44">
        <f t="shared" si="16"/>
        <v>5.1952772551236094E-8</v>
      </c>
      <c r="L132" s="13"/>
      <c r="M132" s="10">
        <f t="shared" si="17"/>
        <v>-3.3953545834096759E-2</v>
      </c>
      <c r="N132" s="10">
        <f t="shared" si="18"/>
        <v>3.3953545834096759E-2</v>
      </c>
    </row>
    <row r="133" spans="1:14" x14ac:dyDescent="0.25">
      <c r="A133" s="1">
        <v>45140</v>
      </c>
      <c r="B133" s="2">
        <f t="shared" si="19"/>
        <v>126</v>
      </c>
      <c r="C133" s="3">
        <f>+VLOOKUP(A133,Precios!$B:$H,1+$C$3,0)</f>
        <v>12.88</v>
      </c>
      <c r="D133" s="10">
        <f t="shared" si="12"/>
        <v>-1.5503875968991832E-3</v>
      </c>
      <c r="E133" s="38">
        <f t="shared" si="13"/>
        <v>2.4037017006188238E-6</v>
      </c>
      <c r="F133" s="27">
        <f t="shared" si="14"/>
        <v>2.8450937745443116E-2</v>
      </c>
      <c r="G133" s="28">
        <f t="shared" si="15"/>
        <v>6.83875674429219E-8</v>
      </c>
      <c r="I133" s="21">
        <f t="shared" si="10"/>
        <v>2.9646662239116839E-4</v>
      </c>
      <c r="J133" s="41">
        <f t="shared" si="11"/>
        <v>1.7218206131626151E-2</v>
      </c>
      <c r="K133" s="44">
        <f t="shared" si="16"/>
        <v>8.6473001325056437E-8</v>
      </c>
      <c r="L133" s="13"/>
      <c r="M133" s="10">
        <f t="shared" si="17"/>
        <v>-3.4436412263252301E-2</v>
      </c>
      <c r="N133" s="10">
        <f t="shared" si="18"/>
        <v>3.4436412263252301E-2</v>
      </c>
    </row>
    <row r="134" spans="1:14" x14ac:dyDescent="0.25">
      <c r="A134" s="1">
        <v>45139</v>
      </c>
      <c r="B134" s="2">
        <f t="shared" si="19"/>
        <v>127</v>
      </c>
      <c r="C134" s="3">
        <f>+VLOOKUP(A134,Precios!$B:$H,1+$C$3,0)</f>
        <v>12.9</v>
      </c>
      <c r="D134" s="10">
        <f t="shared" si="12"/>
        <v>1.4150943396226356E-2</v>
      </c>
      <c r="E134" s="38">
        <f t="shared" si="13"/>
        <v>2.0024919900320232E-4</v>
      </c>
      <c r="F134" s="27">
        <f t="shared" si="14"/>
        <v>2.7652178905130831E-2</v>
      </c>
      <c r="G134" s="28">
        <f t="shared" si="15"/>
        <v>5.537326676445697E-6</v>
      </c>
      <c r="I134" s="21">
        <f t="shared" si="10"/>
        <v>2.9924595192562856E-4</v>
      </c>
      <c r="J134" s="41">
        <f t="shared" si="11"/>
        <v>1.7298726887422337E-2</v>
      </c>
      <c r="K134" s="44">
        <f t="shared" si="16"/>
        <v>9.8003570891839085E-9</v>
      </c>
      <c r="L134" s="13"/>
      <c r="M134" s="10">
        <f t="shared" si="17"/>
        <v>-3.4597453774844675E-2</v>
      </c>
      <c r="N134" s="10">
        <f t="shared" si="18"/>
        <v>3.4597453774844675E-2</v>
      </c>
    </row>
    <row r="135" spans="1:14" x14ac:dyDescent="0.25">
      <c r="A135" s="1">
        <v>45138</v>
      </c>
      <c r="B135" s="2">
        <f t="shared" si="19"/>
        <v>128</v>
      </c>
      <c r="C135" s="3">
        <f>+VLOOKUP(A135,Precios!$B:$H,1+$C$3,0)</f>
        <v>12.72</v>
      </c>
      <c r="D135" s="10">
        <f t="shared" si="12"/>
        <v>-7.0257611241217877E-3</v>
      </c>
      <c r="E135" s="38">
        <f t="shared" si="13"/>
        <v>4.9361319373221043E-5</v>
      </c>
      <c r="F135" s="27">
        <f t="shared" si="14"/>
        <v>2.6875845184534661E-2</v>
      </c>
      <c r="G135" s="28">
        <f t="shared" si="15"/>
        <v>1.3266271775790602E-6</v>
      </c>
      <c r="I135" s="21">
        <f t="shared" si="10"/>
        <v>3.064641013522687E-4</v>
      </c>
      <c r="J135" s="41">
        <f t="shared" si="11"/>
        <v>1.7506116112726681E-2</v>
      </c>
      <c r="K135" s="44">
        <f t="shared" si="16"/>
        <v>6.6101840501365704E-8</v>
      </c>
      <c r="L135" s="13"/>
      <c r="M135" s="10">
        <f t="shared" si="17"/>
        <v>-3.5012232225453362E-2</v>
      </c>
      <c r="N135" s="10">
        <f t="shared" si="18"/>
        <v>3.5012232225453362E-2</v>
      </c>
    </row>
    <row r="136" spans="1:14" x14ac:dyDescent="0.25">
      <c r="A136" s="1">
        <v>45135</v>
      </c>
      <c r="B136" s="2">
        <f t="shared" si="19"/>
        <v>129</v>
      </c>
      <c r="C136" s="3">
        <f>+VLOOKUP(A136,Precios!$B:$H,1+$C$3,0)</f>
        <v>12.81</v>
      </c>
      <c r="D136" s="10">
        <f t="shared" si="12"/>
        <v>2.3474178403757318E-3</v>
      </c>
      <c r="E136" s="38">
        <f t="shared" si="13"/>
        <v>5.5103705173142648E-6</v>
      </c>
      <c r="F136" s="27">
        <f t="shared" si="14"/>
        <v>2.6121306999393488E-2</v>
      </c>
      <c r="G136" s="28">
        <f t="shared" si="15"/>
        <v>1.4393807996317262E-7</v>
      </c>
      <c r="I136" s="21">
        <f t="shared" ref="I136:I199" si="20">(1-$C$4)*E137+$C$4*I137</f>
        <v>3.1515742905906935E-4</v>
      </c>
      <c r="J136" s="41">
        <f t="shared" ref="J136:J199" si="21">SQRT(I136)</f>
        <v>1.775267385660733E-2</v>
      </c>
      <c r="K136" s="44">
        <f t="shared" si="16"/>
        <v>9.5881300863561088E-8</v>
      </c>
      <c r="L136" s="13"/>
      <c r="M136" s="10">
        <f t="shared" si="17"/>
        <v>-3.5505347713214661E-2</v>
      </c>
      <c r="N136" s="10">
        <f t="shared" si="18"/>
        <v>3.5505347713214661E-2</v>
      </c>
    </row>
    <row r="137" spans="1:14" x14ac:dyDescent="0.25">
      <c r="A137" s="1">
        <v>45134</v>
      </c>
      <c r="B137" s="2">
        <f t="shared" si="19"/>
        <v>130</v>
      </c>
      <c r="C137" s="3">
        <f>+VLOOKUP(A137,Precios!$B:$H,1+$C$3,0)</f>
        <v>12.78</v>
      </c>
      <c r="D137" s="10">
        <f t="shared" ref="D137:D200" si="22">C137/C138-1</f>
        <v>-3.1201248049922414E-3</v>
      </c>
      <c r="E137" s="38">
        <f t="shared" ref="E137:E200" si="23">D137^2</f>
        <v>9.7351787987278723E-6</v>
      </c>
      <c r="F137" s="27">
        <f t="shared" ref="F137:F200" si="24">$C$4^(B137-1)</f>
        <v>2.538795244099696E-2</v>
      </c>
      <c r="G137" s="28">
        <f t="shared" ref="G137:G200" si="25">E137*F137</f>
        <v>2.4715625634670511E-7</v>
      </c>
      <c r="I137" s="21">
        <f t="shared" si="20"/>
        <v>3.2397983409487114E-4</v>
      </c>
      <c r="J137" s="41">
        <f t="shared" si="21"/>
        <v>1.7999439827252158E-2</v>
      </c>
      <c r="K137" s="44">
        <f t="shared" ref="K137:K200" si="26">(E137-I137)^2</f>
        <v>9.8749703382191909E-8</v>
      </c>
      <c r="L137" s="13"/>
      <c r="M137" s="10">
        <f t="shared" ref="M137:M200" si="27">-J137*$N$5</f>
        <v>-3.5998879654504316E-2</v>
      </c>
      <c r="N137" s="10">
        <f t="shared" ref="N137:N200" si="28">+J137*$N$5</f>
        <v>3.5998879654504316E-2</v>
      </c>
    </row>
    <row r="138" spans="1:14" x14ac:dyDescent="0.25">
      <c r="A138" s="1">
        <v>45133</v>
      </c>
      <c r="B138" s="2">
        <f t="shared" ref="B138:B201" si="29">+B137+1</f>
        <v>131</v>
      </c>
      <c r="C138" s="3">
        <f>+VLOOKUP(A138,Precios!$B:$H,1+$C$3,0)</f>
        <v>12.82</v>
      </c>
      <c r="D138" s="10">
        <f t="shared" si="22"/>
        <v>1.3438735177865535E-2</v>
      </c>
      <c r="E138" s="38">
        <f t="shared" si="23"/>
        <v>1.8059960318080062E-4</v>
      </c>
      <c r="F138" s="27">
        <f t="shared" si="24"/>
        <v>2.4675186779945173E-2</v>
      </c>
      <c r="G138" s="28">
        <f t="shared" si="25"/>
        <v>4.4563289408702353E-6</v>
      </c>
      <c r="I138" s="21">
        <f t="shared" si="20"/>
        <v>3.2812150507716684E-4</v>
      </c>
      <c r="J138" s="41">
        <f t="shared" si="21"/>
        <v>1.8114124463444729E-2</v>
      </c>
      <c r="K138" s="44">
        <f t="shared" si="26"/>
        <v>2.17627115391211E-8</v>
      </c>
      <c r="L138" s="13"/>
      <c r="M138" s="10">
        <f t="shared" si="27"/>
        <v>-3.6228248926889459E-2</v>
      </c>
      <c r="N138" s="10">
        <f t="shared" si="28"/>
        <v>3.6228248926889459E-2</v>
      </c>
    </row>
    <row r="139" spans="1:14" x14ac:dyDescent="0.25">
      <c r="A139" s="1">
        <v>45132</v>
      </c>
      <c r="B139" s="2">
        <f t="shared" si="29"/>
        <v>132</v>
      </c>
      <c r="C139" s="3">
        <f>+VLOOKUP(A139,Precios!$B:$H,1+$C$3,0)</f>
        <v>12.65</v>
      </c>
      <c r="D139" s="10">
        <f t="shared" si="22"/>
        <v>1.688102893890675E-2</v>
      </c>
      <c r="E139" s="38">
        <f t="shared" si="23"/>
        <v>2.8496913803620718E-4</v>
      </c>
      <c r="F139" s="27">
        <f t="shared" si="24"/>
        <v>2.3982431983840265E-2</v>
      </c>
      <c r="G139" s="28">
        <f t="shared" si="25"/>
        <v>6.8342529704469262E-6</v>
      </c>
      <c r="I139" s="21">
        <f t="shared" si="20"/>
        <v>3.293680012311452E-4</v>
      </c>
      <c r="J139" s="41">
        <f t="shared" si="21"/>
        <v>1.8148498594405687E-2</v>
      </c>
      <c r="K139" s="44">
        <f t="shared" si="26"/>
        <v>1.9712590530028217E-9</v>
      </c>
      <c r="L139" s="13"/>
      <c r="M139" s="10">
        <f t="shared" si="27"/>
        <v>-3.6296997188811374E-2</v>
      </c>
      <c r="N139" s="10">
        <f t="shared" si="28"/>
        <v>3.6296997188811374E-2</v>
      </c>
    </row>
    <row r="140" spans="1:14" x14ac:dyDescent="0.25">
      <c r="A140" s="1">
        <v>45131</v>
      </c>
      <c r="B140" s="2">
        <f t="shared" si="29"/>
        <v>133</v>
      </c>
      <c r="C140" s="3">
        <f>+VLOOKUP(A140,Precios!$B:$H,1+$C$3,0)</f>
        <v>12.44</v>
      </c>
      <c r="D140" s="10">
        <f t="shared" si="22"/>
        <v>-1.1128775834658211E-2</v>
      </c>
      <c r="E140" s="38">
        <f t="shared" si="23"/>
        <v>1.2384965157807257E-4</v>
      </c>
      <c r="F140" s="27">
        <f t="shared" si="24"/>
        <v>2.3309126248518816E-2</v>
      </c>
      <c r="G140" s="28">
        <f t="shared" si="25"/>
        <v>2.8868271644683613E-6</v>
      </c>
      <c r="I140" s="21">
        <f t="shared" si="20"/>
        <v>3.3530458941810073E-4</v>
      </c>
      <c r="J140" s="41">
        <f t="shared" si="21"/>
        <v>1.8311324076049244E-2</v>
      </c>
      <c r="K140" s="44">
        <f t="shared" si="26"/>
        <v>4.4713190736930171E-8</v>
      </c>
      <c r="L140" s="13"/>
      <c r="M140" s="10">
        <f t="shared" si="27"/>
        <v>-3.6622648152098487E-2</v>
      </c>
      <c r="N140" s="10">
        <f t="shared" si="28"/>
        <v>3.6622648152098487E-2</v>
      </c>
    </row>
    <row r="141" spans="1:14" x14ac:dyDescent="0.25">
      <c r="A141" s="1">
        <v>45128</v>
      </c>
      <c r="B141" s="2">
        <f t="shared" si="29"/>
        <v>134</v>
      </c>
      <c r="C141" s="3">
        <f>+VLOOKUP(A141,Precios!$B:$H,1+$C$3,0)</f>
        <v>12.58</v>
      </c>
      <c r="D141" s="10">
        <f t="shared" si="22"/>
        <v>-1.5873015873015817E-3</v>
      </c>
      <c r="E141" s="38">
        <f t="shared" si="23"/>
        <v>2.5195263290501205E-6</v>
      </c>
      <c r="F141" s="27">
        <f t="shared" si="24"/>
        <v>2.2654723542444868E-2</v>
      </c>
      <c r="G141" s="28">
        <f t="shared" si="25"/>
        <v>5.7079172442541462E-8</v>
      </c>
      <c r="I141" s="21">
        <f t="shared" si="20"/>
        <v>3.4491739468665546E-4</v>
      </c>
      <c r="J141" s="41">
        <f t="shared" si="21"/>
        <v>1.8571951827598937E-2</v>
      </c>
      <c r="K141" s="44">
        <f t="shared" si="26"/>
        <v>1.1723630025583206E-7</v>
      </c>
      <c r="L141" s="13"/>
      <c r="M141" s="10">
        <f t="shared" si="27"/>
        <v>-3.7143903655197874E-2</v>
      </c>
      <c r="N141" s="10">
        <f t="shared" si="28"/>
        <v>3.7143903655197874E-2</v>
      </c>
    </row>
    <row r="142" spans="1:14" x14ac:dyDescent="0.25">
      <c r="A142" s="1">
        <v>45127</v>
      </c>
      <c r="B142" s="2">
        <f t="shared" si="29"/>
        <v>135</v>
      </c>
      <c r="C142" s="3">
        <f>+VLOOKUP(A142,Precios!$B:$H,1+$C$3,0)</f>
        <v>12.6</v>
      </c>
      <c r="D142" s="10">
        <f t="shared" si="22"/>
        <v>9.6153846153845812E-3</v>
      </c>
      <c r="E142" s="38">
        <f t="shared" si="23"/>
        <v>9.2455621301774495E-5</v>
      </c>
      <c r="F142" s="27">
        <f t="shared" si="24"/>
        <v>2.2018693163894099E-2</v>
      </c>
      <c r="G142" s="28">
        <f t="shared" si="25"/>
        <v>2.0357519567209638E-6</v>
      </c>
      <c r="I142" s="21">
        <f t="shared" si="20"/>
        <v>3.5220998721702826E-4</v>
      </c>
      <c r="J142" s="41">
        <f t="shared" si="21"/>
        <v>1.876725838307312E-2</v>
      </c>
      <c r="K142" s="44">
        <f t="shared" si="26"/>
        <v>6.7472330612035557E-8</v>
      </c>
      <c r="L142" s="13"/>
      <c r="M142" s="10">
        <f t="shared" si="27"/>
        <v>-3.7534516766146241E-2</v>
      </c>
      <c r="N142" s="10">
        <f t="shared" si="28"/>
        <v>3.7534516766146241E-2</v>
      </c>
    </row>
    <row r="143" spans="1:14" x14ac:dyDescent="0.25">
      <c r="A143" s="1">
        <v>45126</v>
      </c>
      <c r="B143" s="2">
        <f t="shared" si="29"/>
        <v>136</v>
      </c>
      <c r="C143" s="3">
        <f>+VLOOKUP(A143,Precios!$B:$H,1+$C$3,0)</f>
        <v>12.48</v>
      </c>
      <c r="D143" s="10">
        <f t="shared" si="22"/>
        <v>-3.1948881789136685E-3</v>
      </c>
      <c r="E143" s="38">
        <f t="shared" si="23"/>
        <v>1.0207310475762296E-5</v>
      </c>
      <c r="F143" s="27">
        <f t="shared" si="24"/>
        <v>2.1400519310570024E-2</v>
      </c>
      <c r="G143" s="28">
        <f t="shared" si="25"/>
        <v>2.1844174494553472E-7</v>
      </c>
      <c r="I143" s="21">
        <f t="shared" si="20"/>
        <v>3.6208905180701111E-4</v>
      </c>
      <c r="J143" s="41">
        <f t="shared" si="21"/>
        <v>1.9028637676066332E-2</v>
      </c>
      <c r="K143" s="44">
        <f t="shared" si="26"/>
        <v>1.2382075988231188E-7</v>
      </c>
      <c r="L143" s="13"/>
      <c r="M143" s="10">
        <f t="shared" si="27"/>
        <v>-3.8057275352132665E-2</v>
      </c>
      <c r="N143" s="10">
        <f t="shared" si="28"/>
        <v>3.8057275352132665E-2</v>
      </c>
    </row>
    <row r="144" spans="1:14" x14ac:dyDescent="0.25">
      <c r="A144" s="1">
        <v>45125</v>
      </c>
      <c r="B144" s="2">
        <f t="shared" si="29"/>
        <v>137</v>
      </c>
      <c r="C144" s="3">
        <f>+VLOOKUP(A144,Precios!$B:$H,1+$C$3,0)</f>
        <v>12.52</v>
      </c>
      <c r="D144" s="10">
        <f t="shared" si="22"/>
        <v>1.3765182186234792E-2</v>
      </c>
      <c r="E144" s="38">
        <f t="shared" si="23"/>
        <v>1.8948024062023566E-4</v>
      </c>
      <c r="F144" s="27">
        <f t="shared" si="24"/>
        <v>2.0799700661303211E-2</v>
      </c>
      <c r="G144" s="28">
        <f t="shared" si="25"/>
        <v>3.9411322861326071E-6</v>
      </c>
      <c r="I144" s="21">
        <f t="shared" si="20"/>
        <v>3.6707501744553256E-4</v>
      </c>
      <c r="J144" s="41">
        <f t="shared" si="21"/>
        <v>1.9159201900014848E-2</v>
      </c>
      <c r="K144" s="44">
        <f t="shared" si="26"/>
        <v>3.1539904755627014E-8</v>
      </c>
      <c r="L144" s="13"/>
      <c r="M144" s="10">
        <f t="shared" si="27"/>
        <v>-3.8318403800029696E-2</v>
      </c>
      <c r="N144" s="10">
        <f t="shared" si="28"/>
        <v>3.8318403800029696E-2</v>
      </c>
    </row>
    <row r="145" spans="1:14" x14ac:dyDescent="0.25">
      <c r="A145" s="1">
        <v>45124</v>
      </c>
      <c r="B145" s="2">
        <f t="shared" si="29"/>
        <v>138</v>
      </c>
      <c r="C145" s="3">
        <f>+VLOOKUP(A145,Precios!$B:$H,1+$C$3,0)</f>
        <v>12.35</v>
      </c>
      <c r="D145" s="10">
        <f t="shared" si="22"/>
        <v>1.0638297872340274E-2</v>
      </c>
      <c r="E145" s="38">
        <f t="shared" si="23"/>
        <v>1.1317338162063961E-4</v>
      </c>
      <c r="F145" s="27">
        <f t="shared" si="24"/>
        <v>2.021574996949425E-2</v>
      </c>
      <c r="G145" s="28">
        <f t="shared" si="25"/>
        <v>2.2878847860450065E-6</v>
      </c>
      <c r="I145" s="21">
        <f t="shared" si="20"/>
        <v>3.7440920173823042E-4</v>
      </c>
      <c r="J145" s="41">
        <f t="shared" si="21"/>
        <v>1.9349656372613711E-2</v>
      </c>
      <c r="K145" s="44">
        <f t="shared" si="26"/>
        <v>6.824415371251027E-8</v>
      </c>
      <c r="L145" s="13"/>
      <c r="M145" s="10">
        <f t="shared" si="27"/>
        <v>-3.8699312745227421E-2</v>
      </c>
      <c r="N145" s="10">
        <f t="shared" si="28"/>
        <v>3.8699312745227421E-2</v>
      </c>
    </row>
    <row r="146" spans="1:14" x14ac:dyDescent="0.25">
      <c r="A146" s="1">
        <v>45121</v>
      </c>
      <c r="B146" s="2">
        <f t="shared" si="29"/>
        <v>139</v>
      </c>
      <c r="C146" s="3">
        <f>+VLOOKUP(A146,Precios!$B:$H,1+$C$3,0)</f>
        <v>12.22</v>
      </c>
      <c r="D146" s="10">
        <f t="shared" si="22"/>
        <v>-1.3720742534301889E-2</v>
      </c>
      <c r="E146" s="38">
        <f t="shared" si="23"/>
        <v>1.8825877569260101E-4</v>
      </c>
      <c r="F146" s="27">
        <f t="shared" si="24"/>
        <v>1.964819366797085E-2</v>
      </c>
      <c r="G146" s="28">
        <f t="shared" si="25"/>
        <v>3.6989448845033079E-6</v>
      </c>
      <c r="I146" s="21">
        <f t="shared" si="20"/>
        <v>3.7978632948436455E-4</v>
      </c>
      <c r="J146" s="41">
        <f t="shared" si="21"/>
        <v>1.9488107385899858E-2</v>
      </c>
      <c r="K146" s="44">
        <f t="shared" si="26"/>
        <v>3.6682803861456878E-8</v>
      </c>
      <c r="L146" s="13"/>
      <c r="M146" s="10">
        <f t="shared" si="27"/>
        <v>-3.8976214771799716E-2</v>
      </c>
      <c r="N146" s="10">
        <f t="shared" si="28"/>
        <v>3.8976214771799716E-2</v>
      </c>
    </row>
    <row r="147" spans="1:14" x14ac:dyDescent="0.25">
      <c r="A147" s="1">
        <v>45120</v>
      </c>
      <c r="B147" s="2">
        <f t="shared" si="29"/>
        <v>140</v>
      </c>
      <c r="C147" s="3">
        <f>+VLOOKUP(A147,Precios!$B:$H,1+$C$3,0)</f>
        <v>12.39</v>
      </c>
      <c r="D147" s="10">
        <f t="shared" si="22"/>
        <v>4.2929292929292817E-2</v>
      </c>
      <c r="E147" s="38">
        <f t="shared" si="23"/>
        <v>1.8429241914090302E-3</v>
      </c>
      <c r="F147" s="27">
        <f t="shared" si="24"/>
        <v>1.9096571484938478E-2</v>
      </c>
      <c r="G147" s="28">
        <f t="shared" si="25"/>
        <v>3.5193533562564987E-5</v>
      </c>
      <c r="I147" s="21">
        <f t="shared" si="20"/>
        <v>3.3752223500495689E-4</v>
      </c>
      <c r="J147" s="41">
        <f t="shared" si="21"/>
        <v>1.8371778221091088E-2</v>
      </c>
      <c r="K147" s="44">
        <f t="shared" si="26"/>
        <v>2.2662350503452115E-6</v>
      </c>
      <c r="L147" s="13"/>
      <c r="M147" s="10">
        <f t="shared" si="27"/>
        <v>-3.6743556442182176E-2</v>
      </c>
      <c r="N147" s="10">
        <f t="shared" si="28"/>
        <v>3.6743556442182176E-2</v>
      </c>
    </row>
    <row r="148" spans="1:14" x14ac:dyDescent="0.25">
      <c r="A148" s="1">
        <v>45119</v>
      </c>
      <c r="B148" s="2">
        <f t="shared" si="29"/>
        <v>141</v>
      </c>
      <c r="C148" s="3">
        <f>+VLOOKUP(A148,Precios!$B:$H,1+$C$3,0)</f>
        <v>11.88</v>
      </c>
      <c r="D148" s="10">
        <f t="shared" si="22"/>
        <v>-1.6806722689075571E-3</v>
      </c>
      <c r="E148" s="38">
        <f t="shared" si="23"/>
        <v>2.8246592754748759E-6</v>
      </c>
      <c r="F148" s="27">
        <f t="shared" si="24"/>
        <v>1.856043607071323E-2</v>
      </c>
      <c r="G148" s="28">
        <f t="shared" si="25"/>
        <v>5.2426907903998583E-8</v>
      </c>
      <c r="I148" s="21">
        <f t="shared" si="20"/>
        <v>3.4719028497534843E-4</v>
      </c>
      <c r="J148" s="41">
        <f t="shared" si="21"/>
        <v>1.8633042826531269E-2</v>
      </c>
      <c r="K148" s="44">
        <f t="shared" si="26"/>
        <v>1.1858768416366541E-7</v>
      </c>
      <c r="L148" s="13"/>
      <c r="M148" s="10">
        <f t="shared" si="27"/>
        <v>-3.7266085653062539E-2</v>
      </c>
      <c r="N148" s="10">
        <f t="shared" si="28"/>
        <v>3.7266085653062539E-2</v>
      </c>
    </row>
    <row r="149" spans="1:14" x14ac:dyDescent="0.25">
      <c r="A149" s="1">
        <v>45118</v>
      </c>
      <c r="B149" s="2">
        <f t="shared" si="29"/>
        <v>142</v>
      </c>
      <c r="C149" s="3">
        <f>+VLOOKUP(A149,Precios!$B:$H,1+$C$3,0)</f>
        <v>11.9</v>
      </c>
      <c r="D149" s="10">
        <f t="shared" si="22"/>
        <v>1.7094017094017255E-2</v>
      </c>
      <c r="E149" s="38">
        <f t="shared" si="23"/>
        <v>2.9220542041055411E-4</v>
      </c>
      <c r="F149" s="27">
        <f t="shared" si="24"/>
        <v>1.8039352634934117E-2</v>
      </c>
      <c r="G149" s="28">
        <f t="shared" si="25"/>
        <v>5.2711966206251608E-6</v>
      </c>
      <c r="I149" s="21">
        <f t="shared" si="20"/>
        <v>3.4877857379718712E-4</v>
      </c>
      <c r="J149" s="41">
        <f t="shared" si="21"/>
        <v>1.8675614415520233E-2</v>
      </c>
      <c r="K149" s="44">
        <f t="shared" si="26"/>
        <v>3.2005216841075064E-9</v>
      </c>
      <c r="L149" s="13"/>
      <c r="M149" s="10">
        <f t="shared" si="27"/>
        <v>-3.7351228831040466E-2</v>
      </c>
      <c r="N149" s="10">
        <f t="shared" si="28"/>
        <v>3.7351228831040466E-2</v>
      </c>
    </row>
    <row r="150" spans="1:14" x14ac:dyDescent="0.25">
      <c r="A150" s="1">
        <v>45117</v>
      </c>
      <c r="B150" s="2">
        <f t="shared" si="29"/>
        <v>143</v>
      </c>
      <c r="C150" s="3">
        <f>+VLOOKUP(A150,Precios!$B:$H,1+$C$3,0)</f>
        <v>11.7</v>
      </c>
      <c r="D150" s="10">
        <f t="shared" si="22"/>
        <v>1.3864818024263537E-2</v>
      </c>
      <c r="E150" s="38">
        <f t="shared" si="23"/>
        <v>1.9223317884594303E-4</v>
      </c>
      <c r="F150" s="27">
        <f t="shared" si="24"/>
        <v>1.753289859396065E-2</v>
      </c>
      <c r="G150" s="28">
        <f t="shared" si="25"/>
        <v>3.3704048311006205E-6</v>
      </c>
      <c r="I150" s="21">
        <f t="shared" si="20"/>
        <v>3.5330053275588175E-4</v>
      </c>
      <c r="J150" s="41">
        <f t="shared" si="21"/>
        <v>1.8796290398796295E-2</v>
      </c>
      <c r="K150" s="44">
        <f t="shared" si="26"/>
        <v>2.594269249554945E-8</v>
      </c>
      <c r="L150" s="13"/>
      <c r="M150" s="10">
        <f t="shared" si="27"/>
        <v>-3.759258079759259E-2</v>
      </c>
      <c r="N150" s="10">
        <f t="shared" si="28"/>
        <v>3.759258079759259E-2</v>
      </c>
    </row>
    <row r="151" spans="1:14" x14ac:dyDescent="0.25">
      <c r="A151" s="1">
        <v>45114</v>
      </c>
      <c r="B151" s="2">
        <f t="shared" si="29"/>
        <v>144</v>
      </c>
      <c r="C151" s="3">
        <f>+VLOOKUP(A151,Precios!$B:$H,1+$C$3,0)</f>
        <v>11.54</v>
      </c>
      <c r="D151" s="10">
        <f t="shared" si="22"/>
        <v>1.6740088105726914E-2</v>
      </c>
      <c r="E151" s="38">
        <f t="shared" si="23"/>
        <v>2.8023054978749967E-4</v>
      </c>
      <c r="F151" s="27">
        <f t="shared" si="24"/>
        <v>1.7040663228169665E-2</v>
      </c>
      <c r="G151" s="28">
        <f t="shared" si="25"/>
        <v>4.7753144251736138E-6</v>
      </c>
      <c r="I151" s="21">
        <f t="shared" si="20"/>
        <v>3.5541122700018355E-4</v>
      </c>
      <c r="J151" s="41">
        <f t="shared" si="21"/>
        <v>1.8852353354427229E-2</v>
      </c>
      <c r="K151" s="44">
        <f t="shared" si="26"/>
        <v>5.6521342261577643E-9</v>
      </c>
      <c r="L151" s="13"/>
      <c r="M151" s="10">
        <f t="shared" si="27"/>
        <v>-3.7704706708854459E-2</v>
      </c>
      <c r="N151" s="10">
        <f t="shared" si="28"/>
        <v>3.7704706708854459E-2</v>
      </c>
    </row>
    <row r="152" spans="1:14" x14ac:dyDescent="0.25">
      <c r="A152" s="1">
        <v>45113</v>
      </c>
      <c r="B152" s="2">
        <f t="shared" si="29"/>
        <v>145</v>
      </c>
      <c r="C152" s="3">
        <f>+VLOOKUP(A152,Precios!$B:$H,1+$C$3,0)</f>
        <v>11.35</v>
      </c>
      <c r="D152" s="10">
        <f t="shared" si="22"/>
        <v>-4.6218487394958041E-2</v>
      </c>
      <c r="E152" s="38">
        <f t="shared" si="23"/>
        <v>2.1361485770778955E-3</v>
      </c>
      <c r="F152" s="27">
        <f t="shared" si="24"/>
        <v>1.6562247348873561E-2</v>
      </c>
      <c r="G152" s="28">
        <f t="shared" si="25"/>
        <v>3.5379421107508403E-5</v>
      </c>
      <c r="I152" s="21">
        <f t="shared" si="20"/>
        <v>3.0397297667174696E-4</v>
      </c>
      <c r="J152" s="41">
        <f t="shared" si="21"/>
        <v>1.7434820809854829E-2</v>
      </c>
      <c r="K152" s="44">
        <f t="shared" si="26"/>
        <v>3.3568674307236311E-6</v>
      </c>
      <c r="L152" s="13"/>
      <c r="M152" s="10">
        <f t="shared" si="27"/>
        <v>-3.4869641619709658E-2</v>
      </c>
      <c r="N152" s="10">
        <f t="shared" si="28"/>
        <v>3.4869641619709658E-2</v>
      </c>
    </row>
    <row r="153" spans="1:14" x14ac:dyDescent="0.25">
      <c r="A153" s="1">
        <v>45112</v>
      </c>
      <c r="B153" s="2">
        <f t="shared" si="29"/>
        <v>146</v>
      </c>
      <c r="C153" s="3">
        <f>+VLOOKUP(A153,Precios!$B:$H,1+$C$3,0)</f>
        <v>11.9</v>
      </c>
      <c r="D153" s="10">
        <f t="shared" si="22"/>
        <v>-1.7341040462427681E-2</v>
      </c>
      <c r="E153" s="38">
        <f t="shared" si="23"/>
        <v>3.0071168431955404E-4</v>
      </c>
      <c r="F153" s="27">
        <f t="shared" si="24"/>
        <v>1.6097262974589792E-2</v>
      </c>
      <c r="G153" s="28">
        <f t="shared" si="25"/>
        <v>4.8406350620236909E-6</v>
      </c>
      <c r="I153" s="21">
        <f t="shared" si="20"/>
        <v>3.040671821268069E-4</v>
      </c>
      <c r="J153" s="41">
        <f t="shared" si="21"/>
        <v>1.7437522247349447E-2</v>
      </c>
      <c r="K153" s="44">
        <f t="shared" si="26"/>
        <v>1.1259365534478719E-11</v>
      </c>
      <c r="L153" s="13"/>
      <c r="M153" s="10">
        <f t="shared" si="27"/>
        <v>-3.4875044494698894E-2</v>
      </c>
      <c r="N153" s="10">
        <f t="shared" si="28"/>
        <v>3.4875044494698894E-2</v>
      </c>
    </row>
    <row r="154" spans="1:14" x14ac:dyDescent="0.25">
      <c r="A154" s="1">
        <v>45111</v>
      </c>
      <c r="B154" s="2">
        <f t="shared" si="29"/>
        <v>147</v>
      </c>
      <c r="C154" s="3">
        <f>+VLOOKUP(A154,Precios!$B:$H,1+$C$3,0)</f>
        <v>12.11</v>
      </c>
      <c r="D154" s="10">
        <f t="shared" si="22"/>
        <v>-2.4711696869852418E-3</v>
      </c>
      <c r="E154" s="38">
        <f t="shared" si="23"/>
        <v>6.1066796218747377E-6</v>
      </c>
      <c r="F154" s="27">
        <f t="shared" si="24"/>
        <v>1.5645333016399064E-2</v>
      </c>
      <c r="G154" s="28">
        <f t="shared" si="25"/>
        <v>9.5541036308688181E-8</v>
      </c>
      <c r="I154" s="21">
        <f t="shared" si="20"/>
        <v>3.1267404765650817E-4</v>
      </c>
      <c r="J154" s="41">
        <f t="shared" si="21"/>
        <v>1.768259165553817E-2</v>
      </c>
      <c r="K154" s="44">
        <f t="shared" si="26"/>
        <v>9.3983551143682373E-8</v>
      </c>
      <c r="L154" s="13"/>
      <c r="M154" s="10">
        <f t="shared" si="27"/>
        <v>-3.536518331107634E-2</v>
      </c>
      <c r="N154" s="10">
        <f t="shared" si="28"/>
        <v>3.536518331107634E-2</v>
      </c>
    </row>
    <row r="155" spans="1:14" x14ac:dyDescent="0.25">
      <c r="A155" s="1">
        <v>45110</v>
      </c>
      <c r="B155" s="2">
        <f t="shared" si="29"/>
        <v>148</v>
      </c>
      <c r="C155" s="3">
        <f>+VLOOKUP(A155,Precios!$B:$H,1+$C$3,0)</f>
        <v>12.14</v>
      </c>
      <c r="D155" s="10">
        <f t="shared" si="22"/>
        <v>3.3057851239670644E-3</v>
      </c>
      <c r="E155" s="38">
        <f t="shared" si="23"/>
        <v>1.092821528584194E-5</v>
      </c>
      <c r="F155" s="27">
        <f t="shared" si="24"/>
        <v>1.52060909721371E-2</v>
      </c>
      <c r="G155" s="28">
        <f t="shared" si="25"/>
        <v>1.6617543579961179E-7</v>
      </c>
      <c r="I155" s="21">
        <f t="shared" si="20"/>
        <v>3.2139025595099213E-4</v>
      </c>
      <c r="J155" s="41">
        <f t="shared" si="21"/>
        <v>1.7927360540553428E-2</v>
      </c>
      <c r="K155" s="44">
        <f t="shared" si="26"/>
        <v>9.6386678693969367E-8</v>
      </c>
      <c r="L155" s="13"/>
      <c r="M155" s="10">
        <f t="shared" si="27"/>
        <v>-3.5854721081106856E-2</v>
      </c>
      <c r="N155" s="10">
        <f t="shared" si="28"/>
        <v>3.5854721081106856E-2</v>
      </c>
    </row>
    <row r="156" spans="1:14" x14ac:dyDescent="0.25">
      <c r="A156" s="1">
        <v>45107</v>
      </c>
      <c r="B156" s="2">
        <f t="shared" si="29"/>
        <v>149</v>
      </c>
      <c r="C156" s="3">
        <f>+VLOOKUP(A156,Precios!$B:$H,1+$C$3,0)</f>
        <v>12.1</v>
      </c>
      <c r="D156" s="10">
        <f t="shared" si="22"/>
        <v>1.0860484544694904E-2</v>
      </c>
      <c r="E156" s="38">
        <f t="shared" si="23"/>
        <v>1.1795012454555687E-4</v>
      </c>
      <c r="F156" s="27">
        <f t="shared" si="24"/>
        <v>1.477918062917195E-2</v>
      </c>
      <c r="G156" s="28">
        <f t="shared" si="25"/>
        <v>1.7432061958921131E-6</v>
      </c>
      <c r="I156" s="21">
        <f t="shared" si="20"/>
        <v>3.2726681287592336E-4</v>
      </c>
      <c r="J156" s="41">
        <f t="shared" si="21"/>
        <v>1.809051720863512E-2</v>
      </c>
      <c r="K156" s="44">
        <f t="shared" si="26"/>
        <v>4.3813476013591778E-8</v>
      </c>
      <c r="L156" s="13"/>
      <c r="M156" s="10">
        <f t="shared" si="27"/>
        <v>-3.618103441727024E-2</v>
      </c>
      <c r="N156" s="10">
        <f t="shared" si="28"/>
        <v>3.618103441727024E-2</v>
      </c>
    </row>
    <row r="157" spans="1:14" x14ac:dyDescent="0.25">
      <c r="A157" s="1">
        <v>45106</v>
      </c>
      <c r="B157" s="2">
        <f t="shared" si="29"/>
        <v>150</v>
      </c>
      <c r="C157" s="3">
        <f>+VLOOKUP(A157,Precios!$B:$H,1+$C$3,0)</f>
        <v>11.97</v>
      </c>
      <c r="D157" s="10">
        <f t="shared" si="22"/>
        <v>7.575757575757569E-3</v>
      </c>
      <c r="E157" s="38">
        <f t="shared" si="23"/>
        <v>5.7392102846648199E-5</v>
      </c>
      <c r="F157" s="27">
        <f t="shared" si="24"/>
        <v>1.4364255775525822E-2</v>
      </c>
      <c r="G157" s="28">
        <f t="shared" si="25"/>
        <v>8.2439484478453836E-7</v>
      </c>
      <c r="I157" s="21">
        <f t="shared" si="20"/>
        <v>3.3506239423506897E-4</v>
      </c>
      <c r="J157" s="41">
        <f t="shared" si="21"/>
        <v>1.8304709618976997E-2</v>
      </c>
      <c r="K157" s="44">
        <f t="shared" si="26"/>
        <v>7.7100790719730489E-8</v>
      </c>
      <c r="L157" s="13"/>
      <c r="M157" s="10">
        <f t="shared" si="27"/>
        <v>-3.6609419237953994E-2</v>
      </c>
      <c r="N157" s="10">
        <f t="shared" si="28"/>
        <v>3.6609419237953994E-2</v>
      </c>
    </row>
    <row r="158" spans="1:14" x14ac:dyDescent="0.25">
      <c r="A158" s="1">
        <v>45105</v>
      </c>
      <c r="B158" s="2">
        <f t="shared" si="29"/>
        <v>151</v>
      </c>
      <c r="C158" s="3">
        <f>+VLOOKUP(A158,Precios!$B:$H,1+$C$3,0)</f>
        <v>11.88</v>
      </c>
      <c r="D158" s="10">
        <f t="shared" si="22"/>
        <v>-1.7369727047146344E-2</v>
      </c>
      <c r="E158" s="38">
        <f t="shared" si="23"/>
        <v>3.0170741769236726E-4</v>
      </c>
      <c r="F158" s="27">
        <f t="shared" si="24"/>
        <v>1.3960979919107146E-2</v>
      </c>
      <c r="G158" s="28">
        <f t="shared" si="25"/>
        <v>4.2121311998488118E-6</v>
      </c>
      <c r="I158" s="21">
        <f t="shared" si="20"/>
        <v>3.3602588367556832E-4</v>
      </c>
      <c r="J158" s="41">
        <f t="shared" si="21"/>
        <v>1.8331008801360831E-2</v>
      </c>
      <c r="K158" s="44">
        <f t="shared" si="26"/>
        <v>1.1777571074401283E-9</v>
      </c>
      <c r="L158" s="13"/>
      <c r="M158" s="10">
        <f t="shared" si="27"/>
        <v>-3.6662017602721662E-2</v>
      </c>
      <c r="N158" s="10">
        <f t="shared" si="28"/>
        <v>3.6662017602721662E-2</v>
      </c>
    </row>
    <row r="159" spans="1:14" x14ac:dyDescent="0.25">
      <c r="A159" s="1">
        <v>45104</v>
      </c>
      <c r="B159" s="2">
        <f t="shared" si="29"/>
        <v>152</v>
      </c>
      <c r="C159" s="3">
        <f>+VLOOKUP(A159,Precios!$B:$H,1+$C$3,0)</f>
        <v>12.09</v>
      </c>
      <c r="D159" s="10">
        <f t="shared" si="22"/>
        <v>2.1114864864864913E-2</v>
      </c>
      <c r="E159" s="38">
        <f t="shared" si="23"/>
        <v>4.4583751826150677E-4</v>
      </c>
      <c r="F159" s="27">
        <f t="shared" si="24"/>
        <v>1.35690260148252E-2</v>
      </c>
      <c r="G159" s="28">
        <f t="shared" si="25"/>
        <v>6.04958088367549E-6</v>
      </c>
      <c r="I159" s="21">
        <f t="shared" si="20"/>
        <v>3.3285387273944693E-4</v>
      </c>
      <c r="J159" s="41">
        <f t="shared" si="21"/>
        <v>1.8244283289278507E-2</v>
      </c>
      <c r="K159" s="44">
        <f t="shared" si="26"/>
        <v>1.2765304155454471E-8</v>
      </c>
      <c r="L159" s="13"/>
      <c r="M159" s="10">
        <f t="shared" si="27"/>
        <v>-3.6488566578557015E-2</v>
      </c>
      <c r="N159" s="10">
        <f t="shared" si="28"/>
        <v>3.6488566578557015E-2</v>
      </c>
    </row>
    <row r="160" spans="1:14" x14ac:dyDescent="0.25">
      <c r="A160" s="1">
        <v>45103</v>
      </c>
      <c r="B160" s="2">
        <f t="shared" si="29"/>
        <v>153</v>
      </c>
      <c r="C160" s="3">
        <f>+VLOOKUP(A160,Precios!$B:$H,1+$C$3,0)</f>
        <v>11.84</v>
      </c>
      <c r="D160" s="10">
        <f t="shared" si="22"/>
        <v>-4.205214465937801E-3</v>
      </c>
      <c r="E160" s="38">
        <f t="shared" si="23"/>
        <v>1.7683828704532544E-5</v>
      </c>
      <c r="F160" s="27">
        <f t="shared" si="24"/>
        <v>1.3188076199365961E-2</v>
      </c>
      <c r="G160" s="28">
        <f t="shared" si="25"/>
        <v>2.3321568045191025E-7</v>
      </c>
      <c r="I160" s="21">
        <f t="shared" si="20"/>
        <v>3.4195785184135369E-4</v>
      </c>
      <c r="J160" s="41">
        <f t="shared" si="21"/>
        <v>1.8492102418096047E-2</v>
      </c>
      <c r="K160" s="44">
        <f t="shared" si="26"/>
        <v>1.051536420813396E-7</v>
      </c>
      <c r="L160" s="13"/>
      <c r="M160" s="10">
        <f t="shared" si="27"/>
        <v>-3.6984204836192094E-2</v>
      </c>
      <c r="N160" s="10">
        <f t="shared" si="28"/>
        <v>3.6984204836192094E-2</v>
      </c>
    </row>
    <row r="161" spans="1:14" x14ac:dyDescent="0.25">
      <c r="A161" s="1">
        <v>45100</v>
      </c>
      <c r="B161" s="2">
        <f t="shared" si="29"/>
        <v>154</v>
      </c>
      <c r="C161" s="3">
        <f>+VLOOKUP(A161,Precios!$B:$H,1+$C$3,0)</f>
        <v>11.89</v>
      </c>
      <c r="D161" s="10">
        <f t="shared" si="22"/>
        <v>2.5295109612142319E-3</v>
      </c>
      <c r="E161" s="38">
        <f t="shared" si="23"/>
        <v>6.3984257029029471E-6</v>
      </c>
      <c r="F161" s="27">
        <f t="shared" si="24"/>
        <v>1.2817821533414124E-2</v>
      </c>
      <c r="G161" s="28">
        <f t="shared" si="25"/>
        <v>8.201387875461979E-8</v>
      </c>
      <c r="I161" s="21">
        <f t="shared" si="20"/>
        <v>3.5165079716033797E-4</v>
      </c>
      <c r="J161" s="41">
        <f t="shared" si="21"/>
        <v>1.8752354443118281E-2</v>
      </c>
      <c r="K161" s="44">
        <f t="shared" si="26"/>
        <v>1.1919919999698269E-7</v>
      </c>
      <c r="L161" s="13"/>
      <c r="M161" s="10">
        <f t="shared" si="27"/>
        <v>-3.7504708886236561E-2</v>
      </c>
      <c r="N161" s="10">
        <f t="shared" si="28"/>
        <v>3.7504708886236561E-2</v>
      </c>
    </row>
    <row r="162" spans="1:14" x14ac:dyDescent="0.25">
      <c r="A162" s="1">
        <v>45099</v>
      </c>
      <c r="B162" s="2">
        <f t="shared" si="29"/>
        <v>155</v>
      </c>
      <c r="C162" s="3">
        <f>+VLOOKUP(A162,Precios!$B:$H,1+$C$3,0)</f>
        <v>11.86</v>
      </c>
      <c r="D162" s="10">
        <f t="shared" si="22"/>
        <v>-1.6583747927031545E-2</v>
      </c>
      <c r="E162" s="38">
        <f t="shared" si="23"/>
        <v>2.7502069530732306E-4</v>
      </c>
      <c r="F162" s="27">
        <f t="shared" si="24"/>
        <v>1.245796175111224E-2</v>
      </c>
      <c r="G162" s="28">
        <f t="shared" si="25"/>
        <v>3.4261973029029241E-6</v>
      </c>
      <c r="I162" s="21">
        <f t="shared" si="20"/>
        <v>3.5386432874130746E-4</v>
      </c>
      <c r="J162" s="41">
        <f t="shared" si="21"/>
        <v>1.8811281953692242E-2</v>
      </c>
      <c r="K162" s="44">
        <f t="shared" si="26"/>
        <v>6.216318533072503E-9</v>
      </c>
      <c r="L162" s="13"/>
      <c r="M162" s="10">
        <f t="shared" si="27"/>
        <v>-3.7622563907384485E-2</v>
      </c>
      <c r="N162" s="10">
        <f t="shared" si="28"/>
        <v>3.7622563907384485E-2</v>
      </c>
    </row>
    <row r="163" spans="1:14" x14ac:dyDescent="0.25">
      <c r="A163" s="1">
        <v>45098</v>
      </c>
      <c r="B163" s="2">
        <f t="shared" si="29"/>
        <v>156</v>
      </c>
      <c r="C163" s="3">
        <f>+VLOOKUP(A163,Precios!$B:$H,1+$C$3,0)</f>
        <v>12.06</v>
      </c>
      <c r="D163" s="10">
        <f t="shared" si="22"/>
        <v>-1.6556291390728006E-3</v>
      </c>
      <c r="E163" s="38">
        <f t="shared" si="23"/>
        <v>2.741107846146943E-6</v>
      </c>
      <c r="F163" s="27">
        <f t="shared" si="24"/>
        <v>1.2108205016553748E-2</v>
      </c>
      <c r="G163" s="28">
        <f t="shared" si="25"/>
        <v>3.3189895773631254E-8</v>
      </c>
      <c r="I163" s="21">
        <f t="shared" si="20"/>
        <v>3.640068487102091E-4</v>
      </c>
      <c r="J163" s="41">
        <f t="shared" si="21"/>
        <v>1.9078963512471243E-2</v>
      </c>
      <c r="K163" s="44">
        <f t="shared" si="26"/>
        <v>1.3051293552205971E-7</v>
      </c>
      <c r="L163" s="13"/>
      <c r="M163" s="10">
        <f t="shared" si="27"/>
        <v>-3.8157927024942487E-2</v>
      </c>
      <c r="N163" s="10">
        <f t="shared" si="28"/>
        <v>3.8157927024942487E-2</v>
      </c>
    </row>
    <row r="164" spans="1:14" x14ac:dyDescent="0.25">
      <c r="A164" s="1">
        <v>45097</v>
      </c>
      <c r="B164" s="2">
        <f t="shared" si="29"/>
        <v>157</v>
      </c>
      <c r="C164" s="3">
        <f>+VLOOKUP(A164,Precios!$B:$H,1+$C$3,0)</f>
        <v>12.08</v>
      </c>
      <c r="D164" s="10">
        <f t="shared" si="22"/>
        <v>-2.1069692058346856E-2</v>
      </c>
      <c r="E164" s="38">
        <f t="shared" si="23"/>
        <v>4.4393192343356459E-4</v>
      </c>
      <c r="F164" s="27">
        <f t="shared" si="24"/>
        <v>1.1768267687112479E-2</v>
      </c>
      <c r="G164" s="28">
        <f t="shared" si="25"/>
        <v>5.2243097098209093E-6</v>
      </c>
      <c r="I164" s="21">
        <f t="shared" si="20"/>
        <v>3.6169813878116791E-4</v>
      </c>
      <c r="J164" s="41">
        <f t="shared" si="21"/>
        <v>1.9018363199317861E-2</v>
      </c>
      <c r="K164" s="44">
        <f t="shared" si="26"/>
        <v>6.7623953382567525E-9</v>
      </c>
      <c r="L164" s="13"/>
      <c r="M164" s="10">
        <f t="shared" si="27"/>
        <v>-3.8036726398635722E-2</v>
      </c>
      <c r="N164" s="10">
        <f t="shared" si="28"/>
        <v>3.8036726398635722E-2</v>
      </c>
    </row>
    <row r="165" spans="1:14" x14ac:dyDescent="0.25">
      <c r="A165" s="1">
        <v>45096</v>
      </c>
      <c r="B165" s="2">
        <f t="shared" si="29"/>
        <v>158</v>
      </c>
      <c r="C165" s="3">
        <f>+VLOOKUP(A165,Precios!$B:$H,1+$C$3,0)</f>
        <v>12.34</v>
      </c>
      <c r="D165" s="10">
        <f t="shared" si="22"/>
        <v>-4.8387096774193949E-3</v>
      </c>
      <c r="E165" s="38">
        <f t="shared" si="23"/>
        <v>2.3413111342352104E-5</v>
      </c>
      <c r="F165" s="27">
        <f t="shared" si="24"/>
        <v>1.1437874083416658E-2</v>
      </c>
      <c r="G165" s="28">
        <f t="shared" si="25"/>
        <v>2.6779621943483776E-7</v>
      </c>
      <c r="I165" s="21">
        <f t="shared" si="20"/>
        <v>3.7146981562222506E-4</v>
      </c>
      <c r="J165" s="41">
        <f t="shared" si="21"/>
        <v>1.9273552231548419E-2</v>
      </c>
      <c r="K165" s="44">
        <f t="shared" si="26"/>
        <v>1.2114346939416691E-7</v>
      </c>
      <c r="L165" s="13"/>
      <c r="M165" s="10">
        <f t="shared" si="27"/>
        <v>-3.8547104463096837E-2</v>
      </c>
      <c r="N165" s="10">
        <f t="shared" si="28"/>
        <v>3.8547104463096837E-2</v>
      </c>
    </row>
    <row r="166" spans="1:14" x14ac:dyDescent="0.25">
      <c r="A166" s="1">
        <v>45093</v>
      </c>
      <c r="B166" s="2">
        <f t="shared" si="29"/>
        <v>159</v>
      </c>
      <c r="C166" s="3">
        <f>+VLOOKUP(A166,Precios!$B:$H,1+$C$3,0)</f>
        <v>12.4</v>
      </c>
      <c r="D166" s="10">
        <f t="shared" si="22"/>
        <v>-1.1164274322168932E-2</v>
      </c>
      <c r="E166" s="38">
        <f t="shared" si="23"/>
        <v>1.2464102114064058E-4</v>
      </c>
      <c r="F166" s="27">
        <f t="shared" si="24"/>
        <v>1.1116756265780889E-2</v>
      </c>
      <c r="G166" s="28">
        <f t="shared" si="25"/>
        <v>1.3856038527385445E-6</v>
      </c>
      <c r="I166" s="21">
        <f t="shared" si="20"/>
        <v>3.7859969433132044E-4</v>
      </c>
      <c r="J166" s="41">
        <f t="shared" si="21"/>
        <v>1.945763845720545E-2</v>
      </c>
      <c r="K166" s="44">
        <f t="shared" si="26"/>
        <v>6.4495007688770527E-8</v>
      </c>
      <c r="L166" s="13"/>
      <c r="M166" s="10">
        <f t="shared" si="27"/>
        <v>-3.89152769144109E-2</v>
      </c>
      <c r="N166" s="10">
        <f t="shared" si="28"/>
        <v>3.89152769144109E-2</v>
      </c>
    </row>
    <row r="167" spans="1:14" x14ac:dyDescent="0.25">
      <c r="A167" s="1">
        <v>45092</v>
      </c>
      <c r="B167" s="2">
        <f t="shared" si="29"/>
        <v>160</v>
      </c>
      <c r="C167" s="3">
        <f>+VLOOKUP(A167,Precios!$B:$H,1+$C$3,0)</f>
        <v>12.54</v>
      </c>
      <c r="D167" s="10">
        <f t="shared" si="22"/>
        <v>3.1999999999998696E-3</v>
      </c>
      <c r="E167" s="38">
        <f t="shared" si="23"/>
        <v>1.0239999999999165E-5</v>
      </c>
      <c r="F167" s="27">
        <f t="shared" si="24"/>
        <v>1.0804653816914802E-2</v>
      </c>
      <c r="G167" s="28">
        <f t="shared" si="25"/>
        <v>1.1063965508519855E-7</v>
      </c>
      <c r="I167" s="21">
        <f t="shared" si="20"/>
        <v>3.8924010582552202E-4</v>
      </c>
      <c r="J167" s="41">
        <f t="shared" si="21"/>
        <v>1.9729168908636827E-2</v>
      </c>
      <c r="K167" s="44">
        <f t="shared" si="26"/>
        <v>1.4364108021575754E-7</v>
      </c>
      <c r="L167" s="13"/>
      <c r="M167" s="10">
        <f t="shared" si="27"/>
        <v>-3.9458337817273655E-2</v>
      </c>
      <c r="N167" s="10">
        <f t="shared" si="28"/>
        <v>3.9458337817273655E-2</v>
      </c>
    </row>
    <row r="168" spans="1:14" x14ac:dyDescent="0.25">
      <c r="A168" s="1">
        <v>45091</v>
      </c>
      <c r="B168" s="2">
        <f t="shared" si="29"/>
        <v>161</v>
      </c>
      <c r="C168" s="3">
        <f>+VLOOKUP(A168,Precios!$B:$H,1+$C$3,0)</f>
        <v>12.5</v>
      </c>
      <c r="D168" s="10">
        <f t="shared" si="22"/>
        <v>1.5434606011372809E-2</v>
      </c>
      <c r="E168" s="38">
        <f t="shared" si="23"/>
        <v>2.3822706272630566E-4</v>
      </c>
      <c r="F168" s="27">
        <f t="shared" si="24"/>
        <v>1.0501313630732124E-2</v>
      </c>
      <c r="G168" s="28">
        <f t="shared" si="25"/>
        <v>2.5016971010170305E-6</v>
      </c>
      <c r="I168" s="21">
        <f t="shared" si="20"/>
        <v>3.9360225766866581E-4</v>
      </c>
      <c r="J168" s="41">
        <f t="shared" si="21"/>
        <v>1.9839411726880054E-2</v>
      </c>
      <c r="K168" s="44">
        <f t="shared" si="26"/>
        <v>2.4141451203376421E-8</v>
      </c>
      <c r="L168" s="13"/>
      <c r="M168" s="10">
        <f t="shared" si="27"/>
        <v>-3.9678823453760108E-2</v>
      </c>
      <c r="N168" s="10">
        <f t="shared" si="28"/>
        <v>3.9678823453760108E-2</v>
      </c>
    </row>
    <row r="169" spans="1:14" x14ac:dyDescent="0.25">
      <c r="A169" s="1">
        <v>45090</v>
      </c>
      <c r="B169" s="2">
        <f t="shared" si="29"/>
        <v>162</v>
      </c>
      <c r="C169" s="3">
        <f>+VLOOKUP(A169,Precios!$B:$H,1+$C$3,0)</f>
        <v>12.31</v>
      </c>
      <c r="D169" s="10">
        <f t="shared" si="22"/>
        <v>2.6688907422852459E-2</v>
      </c>
      <c r="E169" s="38">
        <f t="shared" si="23"/>
        <v>7.1229777942558915E-4</v>
      </c>
      <c r="F169" s="27">
        <f t="shared" si="24"/>
        <v>1.0206489707088954E-2</v>
      </c>
      <c r="G169" s="28">
        <f t="shared" si="25"/>
        <v>7.2700599540895935E-6</v>
      </c>
      <c r="I169" s="21">
        <f t="shared" si="20"/>
        <v>3.8439644187220995E-4</v>
      </c>
      <c r="J169" s="41">
        <f t="shared" si="21"/>
        <v>1.9606030752607983E-2</v>
      </c>
      <c r="K169" s="44">
        <f t="shared" si="26"/>
        <v>1.0751928716929513E-7</v>
      </c>
      <c r="L169" s="13"/>
      <c r="M169" s="10">
        <f t="shared" si="27"/>
        <v>-3.9212061505215966E-2</v>
      </c>
      <c r="N169" s="10">
        <f t="shared" si="28"/>
        <v>3.9212061505215966E-2</v>
      </c>
    </row>
    <row r="170" spans="1:14" x14ac:dyDescent="0.25">
      <c r="A170" s="1">
        <v>45089</v>
      </c>
      <c r="B170" s="2">
        <f t="shared" si="29"/>
        <v>163</v>
      </c>
      <c r="C170" s="3">
        <f>+VLOOKUP(A170,Precios!$B:$H,1+$C$3,0)</f>
        <v>11.99</v>
      </c>
      <c r="D170" s="10">
        <f t="shared" si="22"/>
        <v>-5.8043117744610573E-3</v>
      </c>
      <c r="E170" s="38">
        <f t="shared" si="23"/>
        <v>3.3690035175147271E-5</v>
      </c>
      <c r="F170" s="27">
        <f t="shared" si="24"/>
        <v>9.9199429522847347E-3</v>
      </c>
      <c r="G170" s="28">
        <f t="shared" si="25"/>
        <v>3.3420322699792696E-7</v>
      </c>
      <c r="I170" s="21">
        <f t="shared" si="20"/>
        <v>3.9452692177632538E-4</v>
      </c>
      <c r="J170" s="41">
        <f t="shared" si="21"/>
        <v>1.9862701774338892E-2</v>
      </c>
      <c r="K170" s="44">
        <f t="shared" si="26"/>
        <v>1.3020325873203147E-7</v>
      </c>
      <c r="L170" s="13"/>
      <c r="M170" s="10">
        <f t="shared" si="27"/>
        <v>-3.9725403548677783E-2</v>
      </c>
      <c r="N170" s="10">
        <f t="shared" si="28"/>
        <v>3.9725403548677783E-2</v>
      </c>
    </row>
    <row r="171" spans="1:14" x14ac:dyDescent="0.25">
      <c r="A171" s="1">
        <v>45086</v>
      </c>
      <c r="B171" s="2">
        <f t="shared" si="29"/>
        <v>164</v>
      </c>
      <c r="C171" s="3">
        <f>+VLOOKUP(A171,Precios!$B:$H,1+$C$3,0)</f>
        <v>12.06</v>
      </c>
      <c r="D171" s="10">
        <f t="shared" si="22"/>
        <v>5.0000000000001155E-3</v>
      </c>
      <c r="E171" s="38">
        <f t="shared" si="23"/>
        <v>2.5000000000001153E-5</v>
      </c>
      <c r="F171" s="27">
        <f t="shared" si="24"/>
        <v>9.6414409851641614E-3</v>
      </c>
      <c r="G171" s="28">
        <f t="shared" si="25"/>
        <v>2.4103602462911516E-7</v>
      </c>
      <c r="I171" s="21">
        <f t="shared" si="20"/>
        <v>4.0520104971810057E-4</v>
      </c>
      <c r="J171" s="41">
        <f t="shared" si="21"/>
        <v>2.0129606298139577E-2</v>
      </c>
      <c r="K171" s="44">
        <f t="shared" si="26"/>
        <v>1.4455283820674471E-7</v>
      </c>
      <c r="L171" s="13"/>
      <c r="M171" s="10">
        <f t="shared" si="27"/>
        <v>-4.0259212596279154E-2</v>
      </c>
      <c r="N171" s="10">
        <f t="shared" si="28"/>
        <v>4.0259212596279154E-2</v>
      </c>
    </row>
    <row r="172" spans="1:14" x14ac:dyDescent="0.25">
      <c r="A172" s="1">
        <v>45085</v>
      </c>
      <c r="B172" s="2">
        <f t="shared" si="29"/>
        <v>165</v>
      </c>
      <c r="C172" s="3">
        <f>+VLOOKUP(A172,Precios!$B:$H,1+$C$3,0)</f>
        <v>12</v>
      </c>
      <c r="D172" s="10">
        <f t="shared" si="22"/>
        <v>7.5566750629723067E-3</v>
      </c>
      <c r="E172" s="38">
        <f t="shared" si="23"/>
        <v>5.7103338007347513E-5</v>
      </c>
      <c r="F172" s="27">
        <f t="shared" si="24"/>
        <v>9.3707579486627564E-3</v>
      </c>
      <c r="G172" s="28">
        <f t="shared" si="25"/>
        <v>5.3510155852752779E-7</v>
      </c>
      <c r="I172" s="21">
        <f t="shared" si="20"/>
        <v>4.1525617504747735E-4</v>
      </c>
      <c r="J172" s="41">
        <f t="shared" si="21"/>
        <v>2.0377835386700849E-2</v>
      </c>
      <c r="K172" s="44">
        <f t="shared" si="26"/>
        <v>1.2827345467989379E-7</v>
      </c>
      <c r="L172" s="13"/>
      <c r="M172" s="10">
        <f t="shared" si="27"/>
        <v>-4.0755670773401698E-2</v>
      </c>
      <c r="N172" s="10">
        <f t="shared" si="28"/>
        <v>4.0755670773401698E-2</v>
      </c>
    </row>
    <row r="173" spans="1:14" x14ac:dyDescent="0.25">
      <c r="A173" s="1">
        <v>45084</v>
      </c>
      <c r="B173" s="2">
        <f t="shared" si="29"/>
        <v>166</v>
      </c>
      <c r="C173" s="3">
        <f>+VLOOKUP(A173,Precios!$B:$H,1+$C$3,0)</f>
        <v>11.91</v>
      </c>
      <c r="D173" s="10">
        <f t="shared" si="22"/>
        <v>2.1440823327615766E-2</v>
      </c>
      <c r="E173" s="38">
        <f t="shared" si="23"/>
        <v>4.5970890496603237E-4</v>
      </c>
      <c r="F173" s="27">
        <f t="shared" si="24"/>
        <v>9.107674326643311E-3</v>
      </c>
      <c r="G173" s="28">
        <f t="shared" si="25"/>
        <v>4.1868789914884426E-6</v>
      </c>
      <c r="I173" s="21">
        <f t="shared" si="20"/>
        <v>4.139721167054466E-4</v>
      </c>
      <c r="J173" s="41">
        <f t="shared" si="21"/>
        <v>2.0346304743256122E-2</v>
      </c>
      <c r="K173" s="44">
        <f t="shared" si="26"/>
        <v>2.0918538003936556E-9</v>
      </c>
      <c r="L173" s="13"/>
      <c r="M173" s="10">
        <f t="shared" si="27"/>
        <v>-4.0692609486512245E-2</v>
      </c>
      <c r="N173" s="10">
        <f t="shared" si="28"/>
        <v>4.0692609486512245E-2</v>
      </c>
    </row>
    <row r="174" spans="1:14" x14ac:dyDescent="0.25">
      <c r="A174" s="1">
        <v>45083</v>
      </c>
      <c r="B174" s="2">
        <f t="shared" si="29"/>
        <v>167</v>
      </c>
      <c r="C174" s="3">
        <f>+VLOOKUP(A174,Precios!$B:$H,1+$C$3,0)</f>
        <v>11.66</v>
      </c>
      <c r="D174" s="10">
        <f t="shared" si="22"/>
        <v>4.3867502238137845E-2</v>
      </c>
      <c r="E174" s="38">
        <f t="shared" si="23"/>
        <v>1.9243577526130288E-3</v>
      </c>
      <c r="F174" s="27">
        <f t="shared" si="24"/>
        <v>8.8519767658746251E-3</v>
      </c>
      <c r="G174" s="28">
        <f t="shared" si="25"/>
        <v>1.7034370115361241E-5</v>
      </c>
      <c r="I174" s="21">
        <f t="shared" si="20"/>
        <v>3.7034322644327589E-4</v>
      </c>
      <c r="J174" s="41">
        <f t="shared" si="21"/>
        <v>1.9244303740153238E-2</v>
      </c>
      <c r="K174" s="44">
        <f t="shared" si="26"/>
        <v>2.4149611475466017E-6</v>
      </c>
      <c r="L174" s="13"/>
      <c r="M174" s="10">
        <f t="shared" si="27"/>
        <v>-3.8488607480306476E-2</v>
      </c>
      <c r="N174" s="10">
        <f t="shared" si="28"/>
        <v>3.8488607480306476E-2</v>
      </c>
    </row>
    <row r="175" spans="1:14" x14ac:dyDescent="0.25">
      <c r="A175" s="1">
        <v>45082</v>
      </c>
      <c r="B175" s="2">
        <f t="shared" si="29"/>
        <v>168</v>
      </c>
      <c r="C175" s="3">
        <f>+VLOOKUP(A175,Precios!$B:$H,1+$C$3,0)</f>
        <v>11.17</v>
      </c>
      <c r="D175" s="10">
        <f t="shared" si="22"/>
        <v>2.6929982046677292E-3</v>
      </c>
      <c r="E175" s="38">
        <f t="shared" si="23"/>
        <v>7.2522393303436124E-6</v>
      </c>
      <c r="F175" s="27">
        <f t="shared" si="24"/>
        <v>8.6034579030081909E-3</v>
      </c>
      <c r="G175" s="28">
        <f t="shared" si="25"/>
        <v>6.2394335781151579E-8</v>
      </c>
      <c r="I175" s="21">
        <f t="shared" si="20"/>
        <v>3.808314464417496E-4</v>
      </c>
      <c r="J175" s="41">
        <f t="shared" si="21"/>
        <v>1.9514903188121369E-2</v>
      </c>
      <c r="K175" s="44">
        <f t="shared" si="26"/>
        <v>1.3956142398598678E-7</v>
      </c>
      <c r="L175" s="13"/>
      <c r="M175" s="10">
        <f t="shared" si="27"/>
        <v>-3.9029806376242739E-2</v>
      </c>
      <c r="N175" s="10">
        <f t="shared" si="28"/>
        <v>3.9029806376242739E-2</v>
      </c>
    </row>
    <row r="176" spans="1:14" x14ac:dyDescent="0.25">
      <c r="A176" s="1">
        <v>45079</v>
      </c>
      <c r="B176" s="2">
        <f t="shared" si="29"/>
        <v>169</v>
      </c>
      <c r="C176" s="3">
        <f>+VLOOKUP(A176,Precios!$B:$H,1+$C$3,0)</f>
        <v>11.14</v>
      </c>
      <c r="D176" s="10">
        <f t="shared" si="22"/>
        <v>4.7977422389463786E-2</v>
      </c>
      <c r="E176" s="38">
        <f t="shared" si="23"/>
        <v>2.3018330591370209E-3</v>
      </c>
      <c r="F176" s="27">
        <f t="shared" si="24"/>
        <v>8.3619161964124927E-3</v>
      </c>
      <c r="G176" s="28">
        <f t="shared" si="25"/>
        <v>1.9247735138635571E-5</v>
      </c>
      <c r="I176" s="21">
        <f t="shared" si="20"/>
        <v>3.2534153276591324E-4</v>
      </c>
      <c r="J176" s="41">
        <f t="shared" si="21"/>
        <v>1.8037226304670938E-2</v>
      </c>
      <c r="K176" s="44">
        <f t="shared" si="26"/>
        <v>3.9065187538167908E-6</v>
      </c>
      <c r="L176" s="13"/>
      <c r="M176" s="10">
        <f t="shared" si="27"/>
        <v>-3.6074452609341875E-2</v>
      </c>
      <c r="N176" s="10">
        <f t="shared" si="28"/>
        <v>3.6074452609341875E-2</v>
      </c>
    </row>
    <row r="177" spans="1:14" x14ac:dyDescent="0.25">
      <c r="A177" s="1">
        <v>45078</v>
      </c>
      <c r="B177" s="2">
        <f t="shared" si="29"/>
        <v>170</v>
      </c>
      <c r="C177" s="3">
        <f>+VLOOKUP(A177,Precios!$B:$H,1+$C$3,0)</f>
        <v>10.63</v>
      </c>
      <c r="D177" s="10">
        <f t="shared" si="22"/>
        <v>-9.3984962406012951E-4</v>
      </c>
      <c r="E177" s="38">
        <f t="shared" si="23"/>
        <v>8.8331731584596674E-7</v>
      </c>
      <c r="F177" s="27">
        <f t="shared" si="24"/>
        <v>8.1271557627285544E-3</v>
      </c>
      <c r="G177" s="28">
        <f t="shared" si="25"/>
        <v>7.178857413795467E-9</v>
      </c>
      <c r="I177" s="21">
        <f t="shared" si="20"/>
        <v>3.3471380931568635E-4</v>
      </c>
      <c r="J177" s="41">
        <f t="shared" si="21"/>
        <v>1.8295185413536707E-2</v>
      </c>
      <c r="K177" s="44">
        <f t="shared" si="26"/>
        <v>1.1144279738885548E-7</v>
      </c>
      <c r="L177" s="13"/>
      <c r="M177" s="10">
        <f t="shared" si="27"/>
        <v>-3.6590370827073414E-2</v>
      </c>
      <c r="N177" s="10">
        <f t="shared" si="28"/>
        <v>3.6590370827073414E-2</v>
      </c>
    </row>
    <row r="178" spans="1:14" x14ac:dyDescent="0.25">
      <c r="A178" s="1">
        <v>45077</v>
      </c>
      <c r="B178" s="2">
        <f t="shared" si="29"/>
        <v>171</v>
      </c>
      <c r="C178" s="3">
        <f>+VLOOKUP(A178,Precios!$B:$H,1+$C$3,0)</f>
        <v>10.64</v>
      </c>
      <c r="D178" s="10">
        <f t="shared" si="22"/>
        <v>7.575757575757569E-3</v>
      </c>
      <c r="E178" s="38">
        <f t="shared" si="23"/>
        <v>5.7392102846648199E-5</v>
      </c>
      <c r="F178" s="27">
        <f t="shared" si="24"/>
        <v>7.8989862180141954E-3</v>
      </c>
      <c r="G178" s="28">
        <f t="shared" si="25"/>
        <v>4.5333942940852738E-7</v>
      </c>
      <c r="I178" s="21">
        <f t="shared" si="20"/>
        <v>3.427245040754953E-4</v>
      </c>
      <c r="J178" s="41">
        <f t="shared" si="21"/>
        <v>1.8512819992521273E-2</v>
      </c>
      <c r="K178" s="44">
        <f t="shared" si="26"/>
        <v>8.1414579191019773E-8</v>
      </c>
      <c r="L178" s="13"/>
      <c r="M178" s="10">
        <f t="shared" si="27"/>
        <v>-3.7025639985042547E-2</v>
      </c>
      <c r="N178" s="10">
        <f t="shared" si="28"/>
        <v>3.7025639985042547E-2</v>
      </c>
    </row>
    <row r="179" spans="1:14" x14ac:dyDescent="0.25">
      <c r="A179" s="1">
        <v>45076</v>
      </c>
      <c r="B179" s="2">
        <f t="shared" si="29"/>
        <v>172</v>
      </c>
      <c r="C179" s="3">
        <f>+VLOOKUP(A179,Precios!$B:$H,1+$C$3,0)</f>
        <v>10.56</v>
      </c>
      <c r="D179" s="10">
        <f t="shared" si="22"/>
        <v>-3.208065994500453E-2</v>
      </c>
      <c r="E179" s="38">
        <f t="shared" si="23"/>
        <v>1.0291687425070181E-3</v>
      </c>
      <c r="F179" s="27">
        <f t="shared" si="24"/>
        <v>7.6772225233481314E-3</v>
      </c>
      <c r="G179" s="28">
        <f t="shared" si="25"/>
        <v>7.9011574503007537E-6</v>
      </c>
      <c r="I179" s="21">
        <f t="shared" si="20"/>
        <v>3.2289592544124991E-4</v>
      </c>
      <c r="J179" s="41">
        <f t="shared" si="21"/>
        <v>1.7969305090660848E-2</v>
      </c>
      <c r="K179" s="44">
        <f t="shared" si="26"/>
        <v>4.988212921260161E-7</v>
      </c>
      <c r="L179" s="13"/>
      <c r="M179" s="10">
        <f t="shared" si="27"/>
        <v>-3.5938610181321697E-2</v>
      </c>
      <c r="N179" s="10">
        <f t="shared" si="28"/>
        <v>3.5938610181321697E-2</v>
      </c>
    </row>
    <row r="180" spans="1:14" x14ac:dyDescent="0.25">
      <c r="A180" s="1">
        <v>45075</v>
      </c>
      <c r="B180" s="2">
        <f t="shared" si="29"/>
        <v>173</v>
      </c>
      <c r="C180" s="3">
        <f>+VLOOKUP(A180,Precios!$B:$H,1+$C$3,0)</f>
        <v>10.91</v>
      </c>
      <c r="D180" s="10">
        <f t="shared" si="22"/>
        <v>-1.534296028880866E-2</v>
      </c>
      <c r="E180" s="38">
        <f t="shared" si="23"/>
        <v>2.3540643042395954E-4</v>
      </c>
      <c r="F180" s="27">
        <f t="shared" si="24"/>
        <v>7.4616848347687451E-3</v>
      </c>
      <c r="G180" s="28">
        <f t="shared" si="25"/>
        <v>1.7565285919015026E-6</v>
      </c>
      <c r="I180" s="21">
        <f t="shared" si="20"/>
        <v>3.2542314066791512E-4</v>
      </c>
      <c r="J180" s="41">
        <f t="shared" si="21"/>
        <v>1.8039488370458712E-2</v>
      </c>
      <c r="K180" s="44">
        <f t="shared" si="26"/>
        <v>8.1030081231442579E-9</v>
      </c>
      <c r="L180" s="13"/>
      <c r="M180" s="10">
        <f t="shared" si="27"/>
        <v>-3.6078976740917423E-2</v>
      </c>
      <c r="N180" s="10">
        <f t="shared" si="28"/>
        <v>3.6078976740917423E-2</v>
      </c>
    </row>
    <row r="181" spans="1:14" x14ac:dyDescent="0.25">
      <c r="A181" s="1">
        <v>45072</v>
      </c>
      <c r="B181" s="2">
        <f t="shared" si="29"/>
        <v>174</v>
      </c>
      <c r="C181" s="3">
        <f>+VLOOKUP(A181,Precios!$B:$H,1+$C$3,0)</f>
        <v>11.08</v>
      </c>
      <c r="D181" s="10">
        <f t="shared" si="22"/>
        <v>-1.8018018018017834E-3</v>
      </c>
      <c r="E181" s="38">
        <f t="shared" si="23"/>
        <v>3.2464897329761532E-6</v>
      </c>
      <c r="F181" s="27">
        <f t="shared" si="24"/>
        <v>7.2521983574258238E-3</v>
      </c>
      <c r="G181" s="28">
        <f t="shared" si="25"/>
        <v>2.3544187508889459E-8</v>
      </c>
      <c r="I181" s="21">
        <f t="shared" si="20"/>
        <v>3.347295121100851E-4</v>
      </c>
      <c r="J181" s="41">
        <f t="shared" si="21"/>
        <v>1.8295614559508108E-2</v>
      </c>
      <c r="K181" s="44">
        <f t="shared" si="26"/>
        <v>1.098809941242629E-7</v>
      </c>
      <c r="L181" s="13"/>
      <c r="M181" s="10">
        <f t="shared" si="27"/>
        <v>-3.6591229119016216E-2</v>
      </c>
      <c r="N181" s="10">
        <f t="shared" si="28"/>
        <v>3.6591229119016216E-2</v>
      </c>
    </row>
    <row r="182" spans="1:14" x14ac:dyDescent="0.25">
      <c r="A182" s="1">
        <v>45071</v>
      </c>
      <c r="B182" s="2">
        <f t="shared" si="29"/>
        <v>175</v>
      </c>
      <c r="C182" s="3">
        <f>+VLOOKUP(A182,Precios!$B:$H,1+$C$3,0)</f>
        <v>11.1</v>
      </c>
      <c r="D182" s="10">
        <f t="shared" si="22"/>
        <v>1.0928961748633892E-2</v>
      </c>
      <c r="E182" s="38">
        <f t="shared" si="23"/>
        <v>1.1944220490310277E-4</v>
      </c>
      <c r="F182" s="27">
        <f t="shared" si="24"/>
        <v>7.048593203826981E-3</v>
      </c>
      <c r="G182" s="28">
        <f t="shared" si="25"/>
        <v>8.4189951373011992E-7</v>
      </c>
      <c r="I182" s="21">
        <f t="shared" si="20"/>
        <v>3.4094828569854527E-4</v>
      </c>
      <c r="J182" s="41">
        <f t="shared" si="21"/>
        <v>1.8464785016309972E-2</v>
      </c>
      <c r="K182" s="44">
        <f t="shared" si="26"/>
        <v>4.9064943829357098E-8</v>
      </c>
      <c r="L182" s="13"/>
      <c r="M182" s="10">
        <f t="shared" si="27"/>
        <v>-3.6929570032619943E-2</v>
      </c>
      <c r="N182" s="10">
        <f t="shared" si="28"/>
        <v>3.6929570032619943E-2</v>
      </c>
    </row>
    <row r="183" spans="1:14" x14ac:dyDescent="0.25">
      <c r="A183" s="1">
        <v>45070</v>
      </c>
      <c r="B183" s="2">
        <f t="shared" si="29"/>
        <v>176</v>
      </c>
      <c r="C183" s="3">
        <f>+VLOOKUP(A183,Precios!$B:$H,1+$C$3,0)</f>
        <v>10.98</v>
      </c>
      <c r="D183" s="10">
        <f t="shared" si="22"/>
        <v>-6.3348416289592535E-3</v>
      </c>
      <c r="E183" s="38">
        <f t="shared" si="23"/>
        <v>4.0130218463995128E-5</v>
      </c>
      <c r="F183" s="27">
        <f t="shared" si="24"/>
        <v>6.8507042560637882E-3</v>
      </c>
      <c r="G183" s="28">
        <f t="shared" si="25"/>
        <v>2.7492025842806103E-7</v>
      </c>
      <c r="I183" s="21">
        <f t="shared" si="20"/>
        <v>3.4963769463639449E-4</v>
      </c>
      <c r="J183" s="41">
        <f t="shared" si="21"/>
        <v>1.8698601408565146E-2</v>
      </c>
      <c r="K183" s="44">
        <f t="shared" si="26"/>
        <v>9.5794877806608348E-8</v>
      </c>
      <c r="L183" s="13"/>
      <c r="M183" s="10">
        <f t="shared" si="27"/>
        <v>-3.7397202817130291E-2</v>
      </c>
      <c r="N183" s="10">
        <f t="shared" si="28"/>
        <v>3.7397202817130291E-2</v>
      </c>
    </row>
    <row r="184" spans="1:14" x14ac:dyDescent="0.25">
      <c r="A184" s="1">
        <v>45069</v>
      </c>
      <c r="B184" s="2">
        <f t="shared" si="29"/>
        <v>177</v>
      </c>
      <c r="C184" s="3">
        <f>+VLOOKUP(A184,Precios!$B:$H,1+$C$3,0)</f>
        <v>11.05</v>
      </c>
      <c r="D184" s="10">
        <f t="shared" si="22"/>
        <v>-2.3851590106007015E-2</v>
      </c>
      <c r="E184" s="38">
        <f t="shared" si="23"/>
        <v>5.6889835058497173E-4</v>
      </c>
      <c r="F184" s="27">
        <f t="shared" si="24"/>
        <v>6.6583710319059195E-3</v>
      </c>
      <c r="G184" s="28">
        <f t="shared" si="25"/>
        <v>3.7879362976340338E-6</v>
      </c>
      <c r="I184" s="21">
        <f t="shared" si="20"/>
        <v>3.4330414718349923E-4</v>
      </c>
      <c r="J184" s="41">
        <f t="shared" si="21"/>
        <v>1.8528468560123884E-2</v>
      </c>
      <c r="K184" s="44">
        <f t="shared" si="26"/>
        <v>5.0892744608344948E-8</v>
      </c>
      <c r="L184" s="13"/>
      <c r="M184" s="10">
        <f t="shared" si="27"/>
        <v>-3.7056937120247768E-2</v>
      </c>
      <c r="N184" s="10">
        <f t="shared" si="28"/>
        <v>3.7056937120247768E-2</v>
      </c>
    </row>
    <row r="185" spans="1:14" x14ac:dyDescent="0.25">
      <c r="A185" s="1">
        <v>45068</v>
      </c>
      <c r="B185" s="2">
        <f t="shared" si="29"/>
        <v>178</v>
      </c>
      <c r="C185" s="3">
        <f>+VLOOKUP(A185,Precios!$B:$H,1+$C$3,0)</f>
        <v>11.32</v>
      </c>
      <c r="D185" s="10">
        <f t="shared" si="22"/>
        <v>-1.565217391304341E-2</v>
      </c>
      <c r="E185" s="38">
        <f t="shared" si="23"/>
        <v>2.4499054820415665E-4</v>
      </c>
      <c r="F185" s="27">
        <f t="shared" si="24"/>
        <v>6.4714375546546859E-3</v>
      </c>
      <c r="G185" s="28">
        <f t="shared" si="25"/>
        <v>1.5854410341838185E-6</v>
      </c>
      <c r="I185" s="21">
        <f t="shared" si="20"/>
        <v>3.461440266945165E-4</v>
      </c>
      <c r="J185" s="41">
        <f t="shared" si="21"/>
        <v>1.8604946296469561E-2</v>
      </c>
      <c r="K185" s="44">
        <f t="shared" si="26"/>
        <v>1.0232026210699691E-8</v>
      </c>
      <c r="L185" s="13"/>
      <c r="M185" s="10">
        <f t="shared" si="27"/>
        <v>-3.7209892592939123E-2</v>
      </c>
      <c r="N185" s="10">
        <f t="shared" si="28"/>
        <v>3.7209892592939123E-2</v>
      </c>
    </row>
    <row r="186" spans="1:14" x14ac:dyDescent="0.25">
      <c r="A186" s="1">
        <v>45065</v>
      </c>
      <c r="B186" s="2">
        <f t="shared" si="29"/>
        <v>179</v>
      </c>
      <c r="C186" s="3">
        <f>+VLOOKUP(A186,Precios!$B:$H,1+$C$3,0)</f>
        <v>11.5</v>
      </c>
      <c r="D186" s="10">
        <f t="shared" si="22"/>
        <v>-1.2027491408934776E-2</v>
      </c>
      <c r="E186" s="38">
        <f t="shared" si="23"/>
        <v>1.4466054959199985E-4</v>
      </c>
      <c r="F186" s="27">
        <f t="shared" si="24"/>
        <v>6.2897522266504372E-3</v>
      </c>
      <c r="G186" s="28">
        <f t="shared" si="25"/>
        <v>9.0987901390475704E-7</v>
      </c>
      <c r="I186" s="21">
        <f t="shared" si="20"/>
        <v>3.5196406384474012E-4</v>
      </c>
      <c r="J186" s="41">
        <f t="shared" si="21"/>
        <v>1.8760705313093644E-2</v>
      </c>
      <c r="K186" s="44">
        <f t="shared" si="26"/>
        <v>4.2974747021536085E-8</v>
      </c>
      <c r="L186" s="13"/>
      <c r="M186" s="10">
        <f t="shared" si="27"/>
        <v>-3.7521410626187288E-2</v>
      </c>
      <c r="N186" s="10">
        <f t="shared" si="28"/>
        <v>3.7521410626187288E-2</v>
      </c>
    </row>
    <row r="187" spans="1:14" x14ac:dyDescent="0.25">
      <c r="A187" s="1">
        <v>45064</v>
      </c>
      <c r="B187" s="2">
        <f t="shared" si="29"/>
        <v>180</v>
      </c>
      <c r="C187" s="3">
        <f>+VLOOKUP(A187,Precios!$B:$H,1+$C$3,0)</f>
        <v>11.64</v>
      </c>
      <c r="D187" s="10">
        <f t="shared" si="22"/>
        <v>4.3140638481449223E-3</v>
      </c>
      <c r="E187" s="38">
        <f t="shared" si="23"/>
        <v>1.8611146885870974E-5</v>
      </c>
      <c r="F187" s="27">
        <f t="shared" si="24"/>
        <v>6.1131677063312245E-3</v>
      </c>
      <c r="G187" s="28">
        <f t="shared" si="25"/>
        <v>1.1377306212049337E-7</v>
      </c>
      <c r="I187" s="21">
        <f t="shared" si="20"/>
        <v>3.6159327209911663E-4</v>
      </c>
      <c r="J187" s="41">
        <f t="shared" si="21"/>
        <v>1.9015606014511254E-2</v>
      </c>
      <c r="K187" s="44">
        <f t="shared" si="26"/>
        <v>1.1763673821579453E-7</v>
      </c>
      <c r="L187" s="13"/>
      <c r="M187" s="10">
        <f t="shared" si="27"/>
        <v>-3.8031212029022508E-2</v>
      </c>
      <c r="N187" s="10">
        <f t="shared" si="28"/>
        <v>3.8031212029022508E-2</v>
      </c>
    </row>
    <row r="188" spans="1:14" x14ac:dyDescent="0.25">
      <c r="A188" s="1">
        <v>45063</v>
      </c>
      <c r="B188" s="2">
        <f t="shared" si="29"/>
        <v>181</v>
      </c>
      <c r="C188" s="3">
        <f>+VLOOKUP(A188,Precios!$B:$H,1+$C$3,0)</f>
        <v>11.59</v>
      </c>
      <c r="D188" s="10">
        <f t="shared" si="22"/>
        <v>5.2038161318299636E-3</v>
      </c>
      <c r="E188" s="38">
        <f t="shared" si="23"/>
        <v>2.7079702333893764E-5</v>
      </c>
      <c r="F188" s="27">
        <f t="shared" si="24"/>
        <v>5.9415407887430443E-3</v>
      </c>
      <c r="G188" s="28">
        <f t="shared" si="25"/>
        <v>1.6089515596385001E-7</v>
      </c>
      <c r="I188" s="21">
        <f t="shared" si="20"/>
        <v>3.7125600688653018E-4</v>
      </c>
      <c r="J188" s="41">
        <f t="shared" si="21"/>
        <v>1.9268004745861211E-2</v>
      </c>
      <c r="K188" s="44">
        <f t="shared" si="26"/>
        <v>1.1845732861550916E-7</v>
      </c>
      <c r="L188" s="13"/>
      <c r="M188" s="10">
        <f t="shared" si="27"/>
        <v>-3.8536009491722423E-2</v>
      </c>
      <c r="N188" s="10">
        <f t="shared" si="28"/>
        <v>3.8536009491722423E-2</v>
      </c>
    </row>
    <row r="189" spans="1:14" x14ac:dyDescent="0.25">
      <c r="A189" s="1">
        <v>45062</v>
      </c>
      <c r="B189" s="2">
        <f t="shared" si="29"/>
        <v>182</v>
      </c>
      <c r="C189" s="3">
        <f>+VLOOKUP(A189,Precios!$B:$H,1+$C$3,0)</f>
        <v>11.53</v>
      </c>
      <c r="D189" s="10">
        <f t="shared" si="22"/>
        <v>8.7489063867016714E-3</v>
      </c>
      <c r="E189" s="38">
        <f t="shared" si="23"/>
        <v>7.6543362963269292E-5</v>
      </c>
      <c r="F189" s="27">
        <f t="shared" si="24"/>
        <v>5.7747322894047539E-3</v>
      </c>
      <c r="G189" s="28">
        <f t="shared" si="25"/>
        <v>4.4201742964361912E-7</v>
      </c>
      <c r="I189" s="21">
        <f t="shared" si="20"/>
        <v>3.7976905500809537E-4</v>
      </c>
      <c r="J189" s="41">
        <f t="shared" si="21"/>
        <v>1.9487664175269835E-2</v>
      </c>
      <c r="K189" s="44">
        <f t="shared" si="26"/>
        <v>9.1945820316063704E-8</v>
      </c>
      <c r="L189" s="13"/>
      <c r="M189" s="10">
        <f t="shared" si="27"/>
        <v>-3.897532835053967E-2</v>
      </c>
      <c r="N189" s="10">
        <f t="shared" si="28"/>
        <v>3.897532835053967E-2</v>
      </c>
    </row>
    <row r="190" spans="1:14" x14ac:dyDescent="0.25">
      <c r="A190" s="1">
        <v>45061</v>
      </c>
      <c r="B190" s="2">
        <f t="shared" si="29"/>
        <v>183</v>
      </c>
      <c r="C190" s="3">
        <f>+VLOOKUP(A190,Precios!$B:$H,1+$C$3,0)</f>
        <v>11.43</v>
      </c>
      <c r="D190" s="10">
        <f t="shared" si="22"/>
        <v>-1.380500431406384E-2</v>
      </c>
      <c r="E190" s="38">
        <f t="shared" si="23"/>
        <v>1.9057814411132124E-4</v>
      </c>
      <c r="F190" s="27">
        <f t="shared" si="24"/>
        <v>5.6126069314334642E-3</v>
      </c>
      <c r="G190" s="28">
        <f t="shared" si="25"/>
        <v>1.0696402126189273E-6</v>
      </c>
      <c r="I190" s="21">
        <f t="shared" si="20"/>
        <v>3.8523400997978081E-4</v>
      </c>
      <c r="J190" s="41">
        <f t="shared" si="21"/>
        <v>1.9627379090947951E-2</v>
      </c>
      <c r="K190" s="44">
        <f t="shared" si="26"/>
        <v>3.7890906116999723E-8</v>
      </c>
      <c r="L190" s="13"/>
      <c r="M190" s="10">
        <f t="shared" si="27"/>
        <v>-3.9254758181895902E-2</v>
      </c>
      <c r="N190" s="10">
        <f t="shared" si="28"/>
        <v>3.9254758181895902E-2</v>
      </c>
    </row>
    <row r="191" spans="1:14" x14ac:dyDescent="0.25">
      <c r="A191" s="1">
        <v>45058</v>
      </c>
      <c r="B191" s="2">
        <f t="shared" si="29"/>
        <v>184</v>
      </c>
      <c r="C191" s="3">
        <f>+VLOOKUP(A191,Precios!$B:$H,1+$C$3,0)</f>
        <v>11.59</v>
      </c>
      <c r="D191" s="10">
        <f t="shared" si="22"/>
        <v>-4.2955326460482057E-3</v>
      </c>
      <c r="E191" s="38">
        <f t="shared" si="23"/>
        <v>1.8451600713265901E-5</v>
      </c>
      <c r="F191" s="27">
        <f t="shared" si="24"/>
        <v>5.4550332358388968E-3</v>
      </c>
      <c r="G191" s="28">
        <f t="shared" si="25"/>
        <v>1.0065409514529418E-7</v>
      </c>
      <c r="I191" s="21">
        <f t="shared" si="20"/>
        <v>3.9582886013165452E-4</v>
      </c>
      <c r="J191" s="41">
        <f t="shared" si="21"/>
        <v>1.9895448226457592E-2</v>
      </c>
      <c r="K191" s="44">
        <f t="shared" si="26"/>
        <v>1.4241359592613376E-7</v>
      </c>
      <c r="L191" s="13"/>
      <c r="M191" s="10">
        <f t="shared" si="27"/>
        <v>-3.9790896452915184E-2</v>
      </c>
      <c r="N191" s="10">
        <f t="shared" si="28"/>
        <v>3.9790896452915184E-2</v>
      </c>
    </row>
    <row r="192" spans="1:14" x14ac:dyDescent="0.25">
      <c r="A192" s="1">
        <v>45057</v>
      </c>
      <c r="B192" s="2">
        <f t="shared" si="29"/>
        <v>185</v>
      </c>
      <c r="C192" s="3">
        <f>+VLOOKUP(A192,Precios!$B:$H,1+$C$3,0)</f>
        <v>11.64</v>
      </c>
      <c r="D192" s="10">
        <f t="shared" si="22"/>
        <v>6.9204152249136008E-3</v>
      </c>
      <c r="E192" s="38">
        <f t="shared" si="23"/>
        <v>4.7892146885215967E-5</v>
      </c>
      <c r="F192" s="27">
        <f t="shared" si="24"/>
        <v>5.3018834148977059E-3</v>
      </c>
      <c r="G192" s="28">
        <f t="shared" si="25"/>
        <v>2.5391857927457136E-7</v>
      </c>
      <c r="I192" s="21">
        <f t="shared" si="20"/>
        <v>4.0587933487103297E-4</v>
      </c>
      <c r="J192" s="41">
        <f t="shared" si="21"/>
        <v>2.0146447202200019E-2</v>
      </c>
      <c r="K192" s="44">
        <f t="shared" si="26"/>
        <v>1.2815482676199269E-7</v>
      </c>
      <c r="L192" s="13"/>
      <c r="M192" s="10">
        <f t="shared" si="27"/>
        <v>-4.0292894404400037E-2</v>
      </c>
      <c r="N192" s="10">
        <f t="shared" si="28"/>
        <v>4.0292894404400037E-2</v>
      </c>
    </row>
    <row r="193" spans="1:14" x14ac:dyDescent="0.25">
      <c r="A193" s="1">
        <v>45056</v>
      </c>
      <c r="B193" s="2">
        <f t="shared" si="29"/>
        <v>186</v>
      </c>
      <c r="C193" s="3">
        <f>+VLOOKUP(A193,Precios!$B:$H,1+$C$3,0)</f>
        <v>11.56</v>
      </c>
      <c r="D193" s="10">
        <f t="shared" si="22"/>
        <v>-3.2635983263598178E-2</v>
      </c>
      <c r="E193" s="38">
        <f t="shared" si="23"/>
        <v>1.0651074035818605E-3</v>
      </c>
      <c r="F193" s="27">
        <f t="shared" si="24"/>
        <v>5.1530332685213219E-3</v>
      </c>
      <c r="G193" s="28">
        <f t="shared" si="25"/>
        <v>5.4885338852056935E-6</v>
      </c>
      <c r="I193" s="21">
        <f t="shared" si="20"/>
        <v>3.8683692054732624E-4</v>
      </c>
      <c r="J193" s="41">
        <f t="shared" si="21"/>
        <v>1.9668170238924775E-2</v>
      </c>
      <c r="K193" s="44">
        <f t="shared" si="26"/>
        <v>4.6005084815590028E-7</v>
      </c>
      <c r="L193" s="13"/>
      <c r="M193" s="10">
        <f t="shared" si="27"/>
        <v>-3.9336340477849549E-2</v>
      </c>
      <c r="N193" s="10">
        <f t="shared" si="28"/>
        <v>3.9336340477849549E-2</v>
      </c>
    </row>
    <row r="194" spans="1:14" x14ac:dyDescent="0.25">
      <c r="A194" s="1">
        <v>45055</v>
      </c>
      <c r="B194" s="2">
        <f t="shared" si="29"/>
        <v>187</v>
      </c>
      <c r="C194" s="3">
        <f>+VLOOKUP(A194,Precios!$B:$H,1+$C$3,0)</f>
        <v>11.95</v>
      </c>
      <c r="D194" s="10">
        <f t="shared" si="22"/>
        <v>2.7515047291487349E-2</v>
      </c>
      <c r="E194" s="38">
        <f t="shared" si="23"/>
        <v>7.5707782745278532E-4</v>
      </c>
      <c r="F194" s="27">
        <f t="shared" si="24"/>
        <v>5.0083620835332642E-3</v>
      </c>
      <c r="G194" s="28">
        <f t="shared" si="25"/>
        <v>3.7917198852982688E-6</v>
      </c>
      <c r="I194" s="21">
        <f t="shared" si="20"/>
        <v>3.7614216848273947E-4</v>
      </c>
      <c r="J194" s="41">
        <f t="shared" si="21"/>
        <v>1.9394384973046696E-2</v>
      </c>
      <c r="K194" s="44">
        <f t="shared" si="26"/>
        <v>1.4511197627494306E-7</v>
      </c>
      <c r="L194" s="13"/>
      <c r="M194" s="10">
        <f t="shared" si="27"/>
        <v>-3.8788769946093392E-2</v>
      </c>
      <c r="N194" s="10">
        <f t="shared" si="28"/>
        <v>3.8788769946093392E-2</v>
      </c>
    </row>
    <row r="195" spans="1:14" x14ac:dyDescent="0.25">
      <c r="A195" s="1">
        <v>45054</v>
      </c>
      <c r="B195" s="2">
        <f t="shared" si="29"/>
        <v>188</v>
      </c>
      <c r="C195" s="3">
        <f>+VLOOKUP(A195,Precios!$B:$H,1+$C$3,0)</f>
        <v>11.63</v>
      </c>
      <c r="D195" s="10">
        <f t="shared" si="22"/>
        <v>-3.4275921165380918E-3</v>
      </c>
      <c r="E195" s="38">
        <f t="shared" si="23"/>
        <v>1.1748387717354075E-5</v>
      </c>
      <c r="F195" s="27">
        <f t="shared" si="24"/>
        <v>4.867752535774237E-3</v>
      </c>
      <c r="G195" s="28">
        <f t="shared" si="25"/>
        <v>5.7188244102409202E-8</v>
      </c>
      <c r="I195" s="21">
        <f t="shared" si="20"/>
        <v>3.8666802088445238E-4</v>
      </c>
      <c r="J195" s="41">
        <f t="shared" si="21"/>
        <v>1.9663876039185468E-2</v>
      </c>
      <c r="K195" s="44">
        <f t="shared" si="26"/>
        <v>1.4056473133415158E-7</v>
      </c>
      <c r="L195" s="13"/>
      <c r="M195" s="10">
        <f t="shared" si="27"/>
        <v>-3.9327752078370935E-2</v>
      </c>
      <c r="N195" s="10">
        <f t="shared" si="28"/>
        <v>3.9327752078370935E-2</v>
      </c>
    </row>
    <row r="196" spans="1:14" x14ac:dyDescent="0.25">
      <c r="A196" s="1">
        <v>45051</v>
      </c>
      <c r="B196" s="2">
        <f t="shared" si="29"/>
        <v>189</v>
      </c>
      <c r="C196" s="3">
        <f>+VLOOKUP(A196,Precios!$B:$H,1+$C$3,0)</f>
        <v>11.67</v>
      </c>
      <c r="D196" s="10">
        <f t="shared" si="22"/>
        <v>3.1830238726790361E-2</v>
      </c>
      <c r="E196" s="38">
        <f t="shared" si="23"/>
        <v>1.0131640974044649E-3</v>
      </c>
      <c r="F196" s="27">
        <f t="shared" si="24"/>
        <v>4.7310905949556102E-3</v>
      </c>
      <c r="G196" s="28">
        <f t="shared" si="25"/>
        <v>4.7933711323769538E-6</v>
      </c>
      <c r="I196" s="21">
        <f t="shared" si="20"/>
        <v>3.6857110052030469E-4</v>
      </c>
      <c r="J196" s="41">
        <f t="shared" si="21"/>
        <v>1.9198205658870954E-2</v>
      </c>
      <c r="K196" s="44">
        <f t="shared" si="26"/>
        <v>4.1550013163210298E-7</v>
      </c>
      <c r="L196" s="13"/>
      <c r="M196" s="10">
        <f t="shared" si="27"/>
        <v>-3.8396411317741908E-2</v>
      </c>
      <c r="N196" s="10">
        <f t="shared" si="28"/>
        <v>3.8396411317741908E-2</v>
      </c>
    </row>
    <row r="197" spans="1:14" x14ac:dyDescent="0.25">
      <c r="A197" s="1">
        <v>45050</v>
      </c>
      <c r="B197" s="2">
        <f t="shared" si="29"/>
        <v>190</v>
      </c>
      <c r="C197" s="3">
        <f>+VLOOKUP(A197,Precios!$B:$H,1+$C$3,0)</f>
        <v>11.31</v>
      </c>
      <c r="D197" s="10">
        <f t="shared" si="22"/>
        <v>1.7714791851197731E-3</v>
      </c>
      <c r="E197" s="38">
        <f t="shared" si="23"/>
        <v>3.1381385033126154E-6</v>
      </c>
      <c r="F197" s="27">
        <f t="shared" si="24"/>
        <v>4.5982654321841537E-3</v>
      </c>
      <c r="G197" s="28">
        <f t="shared" si="25"/>
        <v>1.4429993801188517E-8</v>
      </c>
      <c r="I197" s="21">
        <f t="shared" si="20"/>
        <v>3.7912697063650788E-4</v>
      </c>
      <c r="J197" s="41">
        <f t="shared" si="21"/>
        <v>1.9471183082609745E-2</v>
      </c>
      <c r="K197" s="44">
        <f t="shared" si="26"/>
        <v>1.4136760188888409E-7</v>
      </c>
      <c r="L197" s="13"/>
      <c r="M197" s="10">
        <f t="shared" si="27"/>
        <v>-3.894236616521949E-2</v>
      </c>
      <c r="N197" s="10">
        <f t="shared" si="28"/>
        <v>3.894236616521949E-2</v>
      </c>
    </row>
    <row r="198" spans="1:14" x14ac:dyDescent="0.25">
      <c r="A198" s="1">
        <v>45049</v>
      </c>
      <c r="B198" s="2">
        <f t="shared" si="29"/>
        <v>191</v>
      </c>
      <c r="C198" s="3">
        <f>+VLOOKUP(A198,Precios!$B:$H,1+$C$3,0)</f>
        <v>11.29</v>
      </c>
      <c r="D198" s="10">
        <f t="shared" si="22"/>
        <v>-1.5693112467306092E-2</v>
      </c>
      <c r="E198" s="38">
        <f t="shared" si="23"/>
        <v>2.4627377891151789E-4</v>
      </c>
      <c r="F198" s="27">
        <f t="shared" si="24"/>
        <v>4.4691693300829933E-3</v>
      </c>
      <c r="G198" s="28">
        <f t="shared" si="25"/>
        <v>1.1006392195149956E-6</v>
      </c>
      <c r="I198" s="21">
        <f t="shared" si="20"/>
        <v>3.8296455832600269E-4</v>
      </c>
      <c r="J198" s="41">
        <f t="shared" si="21"/>
        <v>1.9569480277360527E-2</v>
      </c>
      <c r="K198" s="44">
        <f t="shared" si="26"/>
        <v>1.8684369176939342E-8</v>
      </c>
      <c r="L198" s="13"/>
      <c r="M198" s="10">
        <f t="shared" si="27"/>
        <v>-3.9138960554721054E-2</v>
      </c>
      <c r="N198" s="10">
        <f t="shared" si="28"/>
        <v>3.9138960554721054E-2</v>
      </c>
    </row>
    <row r="199" spans="1:14" x14ac:dyDescent="0.25">
      <c r="A199" s="1">
        <v>45048</v>
      </c>
      <c r="B199" s="2">
        <f t="shared" si="29"/>
        <v>192</v>
      </c>
      <c r="C199" s="3">
        <f>+VLOOKUP(A199,Precios!$B:$H,1+$C$3,0)</f>
        <v>11.47</v>
      </c>
      <c r="D199" s="10">
        <f t="shared" si="22"/>
        <v>6.2037037037037113E-2</v>
      </c>
      <c r="E199" s="38">
        <f t="shared" si="23"/>
        <v>3.8485939643347145E-3</v>
      </c>
      <c r="F199" s="27">
        <f t="shared" si="24"/>
        <v>4.3436975954359329E-3</v>
      </c>
      <c r="G199" s="28">
        <f t="shared" si="25"/>
        <v>1.6717128348689945E-5</v>
      </c>
      <c r="I199" s="21">
        <f t="shared" si="20"/>
        <v>2.8285663790523564E-4</v>
      </c>
      <c r="J199" s="41">
        <f t="shared" si="21"/>
        <v>1.6818342305507866E-2</v>
      </c>
      <c r="K199" s="44">
        <f t="shared" si="26"/>
        <v>1.2714482681092448E-5</v>
      </c>
      <c r="L199" s="13"/>
      <c r="M199" s="10">
        <f t="shared" si="27"/>
        <v>-3.3636684611015731E-2</v>
      </c>
      <c r="N199" s="10">
        <f t="shared" si="28"/>
        <v>3.3636684611015731E-2</v>
      </c>
    </row>
    <row r="200" spans="1:14" x14ac:dyDescent="0.25">
      <c r="A200" s="1">
        <v>45044</v>
      </c>
      <c r="B200" s="2">
        <f t="shared" si="29"/>
        <v>193</v>
      </c>
      <c r="C200" s="3">
        <f>+VLOOKUP(A200,Precios!$B:$H,1+$C$3,0)</f>
        <v>10.8</v>
      </c>
      <c r="D200" s="10">
        <f t="shared" si="22"/>
        <v>1.6949152542373058E-2</v>
      </c>
      <c r="E200" s="38">
        <f t="shared" si="23"/>
        <v>2.8727377190463109E-4</v>
      </c>
      <c r="F200" s="27">
        <f t="shared" si="24"/>
        <v>4.2217484742842646E-3</v>
      </c>
      <c r="G200" s="28">
        <f t="shared" si="25"/>
        <v>1.2127976082402622E-6</v>
      </c>
      <c r="I200" s="21">
        <f t="shared" ref="I200:I258" si="30">(1-$C$4)*E201+$C$4*I201</f>
        <v>2.8272904489193404E-4</v>
      </c>
      <c r="J200" s="41">
        <f t="shared" ref="J200:J258" si="31">SQRT(I200)</f>
        <v>1.6814548608033879E-2</v>
      </c>
      <c r="K200" s="44">
        <f t="shared" si="26"/>
        <v>2.0654543619938242E-11</v>
      </c>
      <c r="L200" s="13"/>
      <c r="M200" s="10">
        <f t="shared" si="27"/>
        <v>-3.3629097216067758E-2</v>
      </c>
      <c r="N200" s="10">
        <f t="shared" si="28"/>
        <v>3.3629097216067758E-2</v>
      </c>
    </row>
    <row r="201" spans="1:14" x14ac:dyDescent="0.25">
      <c r="A201" s="1">
        <v>45043</v>
      </c>
      <c r="B201" s="2">
        <f t="shared" si="29"/>
        <v>194</v>
      </c>
      <c r="C201" s="3">
        <f>+VLOOKUP(A201,Precios!$B:$H,1+$C$3,0)</f>
        <v>10.62</v>
      </c>
      <c r="D201" s="10">
        <f t="shared" ref="D201:D260" si="32">C201/C202-1</f>
        <v>8.5470085470085166E-3</v>
      </c>
      <c r="E201" s="38">
        <f t="shared" ref="E201:E260" si="33">D201^2</f>
        <v>7.3051355102636629E-5</v>
      </c>
      <c r="F201" s="27">
        <f t="shared" ref="F201:F260" si="34">$C$4^(B201-1)</f>
        <v>4.1032230694072478E-3</v>
      </c>
      <c r="G201" s="28">
        <f t="shared" ref="G201:G260" si="35">E201*F201</f>
        <v>2.9974600550859949E-7</v>
      </c>
      <c r="I201" s="21">
        <f t="shared" si="30"/>
        <v>2.8878577947730091E-4</v>
      </c>
      <c r="J201" s="41">
        <f t="shared" si="31"/>
        <v>1.6993698228381628E-2</v>
      </c>
      <c r="K201" s="44">
        <f t="shared" ref="K201:K258" si="36">(E201-I201)^2</f>
        <v>4.654134186026775E-8</v>
      </c>
      <c r="L201" s="13"/>
      <c r="M201" s="10">
        <f t="shared" ref="M201:M258" si="37">-J201*$N$5</f>
        <v>-3.3987396456763255E-2</v>
      </c>
      <c r="N201" s="10">
        <f t="shared" ref="N201:N258" si="38">+J201*$N$5</f>
        <v>3.3987396456763255E-2</v>
      </c>
    </row>
    <row r="202" spans="1:14" x14ac:dyDescent="0.25">
      <c r="A202" s="1">
        <v>45042</v>
      </c>
      <c r="B202" s="2">
        <f t="shared" ref="B202:B260" si="39">+B201+1</f>
        <v>195</v>
      </c>
      <c r="C202" s="3">
        <f>+VLOOKUP(A202,Precios!$B:$H,1+$C$3,0)</f>
        <v>10.53</v>
      </c>
      <c r="D202" s="10">
        <f t="shared" si="32"/>
        <v>1.9029495718363432E-3</v>
      </c>
      <c r="E202" s="38">
        <f t="shared" si="33"/>
        <v>3.6212170729521216E-6</v>
      </c>
      <c r="F202" s="27">
        <f t="shared" si="34"/>
        <v>3.9880252601193185E-3</v>
      </c>
      <c r="G202" s="28">
        <f t="shared" si="35"/>
        <v>1.4441505159308402E-8</v>
      </c>
      <c r="I202" s="21">
        <f t="shared" si="30"/>
        <v>2.9702302240653685E-4</v>
      </c>
      <c r="J202" s="41">
        <f t="shared" si="31"/>
        <v>1.7234355874431073E-2</v>
      </c>
      <c r="K202" s="44">
        <f t="shared" si="36"/>
        <v>8.6084619373006761E-8</v>
      </c>
      <c r="L202" s="13"/>
      <c r="M202" s="10">
        <f t="shared" si="37"/>
        <v>-3.4468711748862145E-2</v>
      </c>
      <c r="N202" s="10">
        <f t="shared" si="38"/>
        <v>3.4468711748862145E-2</v>
      </c>
    </row>
    <row r="203" spans="1:14" x14ac:dyDescent="0.25">
      <c r="A203" s="1">
        <v>45041</v>
      </c>
      <c r="B203" s="2">
        <f t="shared" si="39"/>
        <v>196</v>
      </c>
      <c r="C203" s="3">
        <f>+VLOOKUP(A203,Precios!$B:$H,1+$C$3,0)</f>
        <v>10.51</v>
      </c>
      <c r="D203" s="10">
        <f t="shared" si="32"/>
        <v>1.0576923076923039E-2</v>
      </c>
      <c r="E203" s="38">
        <f t="shared" si="33"/>
        <v>1.1187130177514713E-4</v>
      </c>
      <c r="F203" s="27">
        <f t="shared" si="34"/>
        <v>3.8760616243189768E-3</v>
      </c>
      <c r="G203" s="28">
        <f t="shared" si="35"/>
        <v>4.3362005967325523E-7</v>
      </c>
      <c r="I203" s="21">
        <f t="shared" si="30"/>
        <v>3.0237130162029207E-4</v>
      </c>
      <c r="J203" s="41">
        <f t="shared" si="31"/>
        <v>1.7388826919038904E-2</v>
      </c>
      <c r="K203" s="44">
        <f t="shared" si="36"/>
        <v>3.6290249941000221E-8</v>
      </c>
      <c r="L203" s="13"/>
      <c r="M203" s="10">
        <f t="shared" si="37"/>
        <v>-3.4777653838077807E-2</v>
      </c>
      <c r="N203" s="10">
        <f t="shared" si="38"/>
        <v>3.4777653838077807E-2</v>
      </c>
    </row>
    <row r="204" spans="1:14" x14ac:dyDescent="0.25">
      <c r="A204" s="1">
        <v>45040</v>
      </c>
      <c r="B204" s="2">
        <f t="shared" si="39"/>
        <v>197</v>
      </c>
      <c r="C204" s="3">
        <f>+VLOOKUP(A204,Precios!$B:$H,1+$C$3,0)</f>
        <v>10.4</v>
      </c>
      <c r="D204" s="10">
        <f t="shared" si="32"/>
        <v>2.8929604628737948E-3</v>
      </c>
      <c r="E204" s="38">
        <f t="shared" si="33"/>
        <v>8.3692202397509605E-6</v>
      </c>
      <c r="F204" s="27">
        <f t="shared" si="34"/>
        <v>3.7672413627261639E-3</v>
      </c>
      <c r="G204" s="28">
        <f t="shared" si="35"/>
        <v>3.15288726609548E-8</v>
      </c>
      <c r="I204" s="21">
        <f t="shared" si="30"/>
        <v>3.1086382448362941E-4</v>
      </c>
      <c r="J204" s="41">
        <f t="shared" si="31"/>
        <v>1.7631330763264282E-2</v>
      </c>
      <c r="K204" s="44">
        <f t="shared" si="36"/>
        <v>9.1502985596660643E-8</v>
      </c>
      <c r="L204" s="13"/>
      <c r="M204" s="10">
        <f t="shared" si="37"/>
        <v>-3.5262661526528565E-2</v>
      </c>
      <c r="N204" s="10">
        <f t="shared" si="38"/>
        <v>3.5262661526528565E-2</v>
      </c>
    </row>
    <row r="205" spans="1:14" x14ac:dyDescent="0.25">
      <c r="A205" s="1">
        <v>45037</v>
      </c>
      <c r="B205" s="2">
        <f t="shared" si="39"/>
        <v>198</v>
      </c>
      <c r="C205" s="3">
        <f>+VLOOKUP(A205,Precios!$B:$H,1+$C$3,0)</f>
        <v>10.37</v>
      </c>
      <c r="D205" s="10">
        <f t="shared" si="32"/>
        <v>-9.551098376313405E-3</v>
      </c>
      <c r="E205" s="38">
        <f t="shared" si="33"/>
        <v>9.1223480194016566E-5</v>
      </c>
      <c r="F205" s="27">
        <f t="shared" si="34"/>
        <v>3.6614762252466602E-3</v>
      </c>
      <c r="G205" s="28">
        <f t="shared" si="35"/>
        <v>3.3401260391465125E-7</v>
      </c>
      <c r="I205" s="21">
        <f t="shared" si="30"/>
        <v>3.1720833958648841E-4</v>
      </c>
      <c r="J205" s="41">
        <f t="shared" si="31"/>
        <v>1.7810343612252078E-2</v>
      </c>
      <c r="K205" s="44">
        <f t="shared" si="36"/>
        <v>5.1069156674635262E-8</v>
      </c>
      <c r="L205" s="13"/>
      <c r="M205" s="10">
        <f t="shared" si="37"/>
        <v>-3.5620687224504156E-2</v>
      </c>
      <c r="N205" s="10">
        <f t="shared" si="38"/>
        <v>3.5620687224504156E-2</v>
      </c>
    </row>
    <row r="206" spans="1:14" x14ac:dyDescent="0.25">
      <c r="A206" s="1">
        <v>45036</v>
      </c>
      <c r="B206" s="2">
        <f t="shared" si="39"/>
        <v>199</v>
      </c>
      <c r="C206" s="3">
        <f>+VLOOKUP(A206,Precios!$B:$H,1+$C$3,0)</f>
        <v>10.47</v>
      </c>
      <c r="D206" s="10">
        <f t="shared" si="32"/>
        <v>-1.5051740357478804E-2</v>
      </c>
      <c r="E206" s="38">
        <f t="shared" si="33"/>
        <v>2.2655488778895616E-4</v>
      </c>
      <c r="F206" s="27">
        <f t="shared" si="34"/>
        <v>3.5586804394038035E-3</v>
      </c>
      <c r="G206" s="28">
        <f t="shared" si="35"/>
        <v>8.0623644762588194E-7</v>
      </c>
      <c r="I206" s="21">
        <f t="shared" si="30"/>
        <v>3.1982694863992057E-4</v>
      </c>
      <c r="J206" s="41">
        <f t="shared" si="31"/>
        <v>1.7883706233326486E-2</v>
      </c>
      <c r="K206" s="44">
        <f t="shared" si="36"/>
        <v>8.6996773353860089E-9</v>
      </c>
      <c r="L206" s="13"/>
      <c r="M206" s="10">
        <f t="shared" si="37"/>
        <v>-3.5767412466652972E-2</v>
      </c>
      <c r="N206" s="10">
        <f t="shared" si="38"/>
        <v>3.5767412466652972E-2</v>
      </c>
    </row>
    <row r="207" spans="1:14" x14ac:dyDescent="0.25">
      <c r="A207" s="1">
        <v>45035</v>
      </c>
      <c r="B207" s="2">
        <f t="shared" si="39"/>
        <v>200</v>
      </c>
      <c r="C207" s="3">
        <f>+VLOOKUP(A207,Precios!$B:$H,1+$C$3,0)</f>
        <v>10.63</v>
      </c>
      <c r="D207" s="10">
        <f t="shared" si="32"/>
        <v>-1.87793427230043E-3</v>
      </c>
      <c r="E207" s="38">
        <f t="shared" si="33"/>
        <v>3.5266371310805456E-6</v>
      </c>
      <c r="F207" s="27">
        <f t="shared" si="34"/>
        <v>3.458770640779488E-3</v>
      </c>
      <c r="G207" s="28">
        <f t="shared" si="35"/>
        <v>1.2197828969664194E-8</v>
      </c>
      <c r="I207" s="21">
        <f t="shared" si="30"/>
        <v>3.2896357656634901E-4</v>
      </c>
      <c r="J207" s="41">
        <f t="shared" si="31"/>
        <v>1.8137353074976211E-2</v>
      </c>
      <c r="K207" s="44">
        <f t="shared" si="36"/>
        <v>1.059092015489946E-7</v>
      </c>
      <c r="L207" s="13"/>
      <c r="M207" s="10">
        <f t="shared" si="37"/>
        <v>-3.6274706149952422E-2</v>
      </c>
      <c r="N207" s="10">
        <f t="shared" si="38"/>
        <v>3.6274706149952422E-2</v>
      </c>
    </row>
    <row r="208" spans="1:14" x14ac:dyDescent="0.25">
      <c r="A208" s="1">
        <v>45034</v>
      </c>
      <c r="B208" s="2">
        <f t="shared" si="39"/>
        <v>201</v>
      </c>
      <c r="C208" s="3">
        <f>+VLOOKUP(A208,Precios!$B:$H,1+$C$3,0)</f>
        <v>10.65</v>
      </c>
      <c r="D208" s="10">
        <f t="shared" si="32"/>
        <v>-1.7527675276752697E-2</v>
      </c>
      <c r="E208" s="38">
        <f t="shared" si="33"/>
        <v>3.072194006072877E-4</v>
      </c>
      <c r="F208" s="27">
        <f t="shared" si="34"/>
        <v>3.3616658054080187E-3</v>
      </c>
      <c r="G208" s="28">
        <f t="shared" si="35"/>
        <v>1.0327689537794666E-6</v>
      </c>
      <c r="I208" s="21">
        <f t="shared" si="30"/>
        <v>3.2959167726077145E-4</v>
      </c>
      <c r="J208" s="41">
        <f t="shared" si="31"/>
        <v>1.8154659932391227E-2</v>
      </c>
      <c r="K208" s="44">
        <f t="shared" si="36"/>
        <v>5.0051876266001423E-10</v>
      </c>
      <c r="L208" s="13"/>
      <c r="M208" s="10">
        <f t="shared" si="37"/>
        <v>-3.6309319864782454E-2</v>
      </c>
      <c r="N208" s="10">
        <f t="shared" si="38"/>
        <v>3.6309319864782454E-2</v>
      </c>
    </row>
    <row r="209" spans="1:14" x14ac:dyDescent="0.25">
      <c r="A209" s="1">
        <v>45033</v>
      </c>
      <c r="B209" s="2">
        <f t="shared" si="39"/>
        <v>202</v>
      </c>
      <c r="C209" s="3">
        <f>+VLOOKUP(A209,Precios!$B:$H,1+$C$3,0)</f>
        <v>10.84</v>
      </c>
      <c r="D209" s="10">
        <f t="shared" si="32"/>
        <v>4.6339202965710591E-3</v>
      </c>
      <c r="E209" s="38">
        <f t="shared" si="33"/>
        <v>2.1473217314973212E-5</v>
      </c>
      <c r="F209" s="27">
        <f t="shared" si="34"/>
        <v>3.2672871840680163E-3</v>
      </c>
      <c r="G209" s="28">
        <f t="shared" si="35"/>
        <v>7.0159167733919397E-8</v>
      </c>
      <c r="I209" s="21">
        <f t="shared" si="30"/>
        <v>3.3849196481458316E-4</v>
      </c>
      <c r="J209" s="41">
        <f t="shared" si="31"/>
        <v>1.8398151124897934E-2</v>
      </c>
      <c r="K209" s="44">
        <f t="shared" si="36"/>
        <v>1.0050088626622147E-7</v>
      </c>
      <c r="L209" s="13"/>
      <c r="M209" s="10">
        <f t="shared" si="37"/>
        <v>-3.6796302249795868E-2</v>
      </c>
      <c r="N209" s="10">
        <f t="shared" si="38"/>
        <v>3.6796302249795868E-2</v>
      </c>
    </row>
    <row r="210" spans="1:14" x14ac:dyDescent="0.25">
      <c r="A210" s="1">
        <v>45030</v>
      </c>
      <c r="B210" s="2">
        <f t="shared" si="39"/>
        <v>203</v>
      </c>
      <c r="C210" s="3">
        <f>+VLOOKUP(A210,Precios!$B:$H,1+$C$3,0)</f>
        <v>10.79</v>
      </c>
      <c r="D210" s="10">
        <f t="shared" si="32"/>
        <v>4.6554934823090921E-3</v>
      </c>
      <c r="E210" s="38">
        <f t="shared" si="33"/>
        <v>2.1673619563822437E-5</v>
      </c>
      <c r="F210" s="27">
        <f t="shared" si="34"/>
        <v>3.1755582384190685E-3</v>
      </c>
      <c r="G210" s="28">
        <f t="shared" si="35"/>
        <v>6.8825841162257038E-8</v>
      </c>
      <c r="I210" s="21">
        <f t="shared" si="30"/>
        <v>3.4764355662622148E-4</v>
      </c>
      <c r="J210" s="41">
        <f t="shared" si="31"/>
        <v>1.8645201973328727E-2</v>
      </c>
      <c r="K210" s="44">
        <f t="shared" si="36"/>
        <v>1.0625639986846439E-7</v>
      </c>
      <c r="L210" s="13"/>
      <c r="M210" s="10">
        <f t="shared" si="37"/>
        <v>-3.7290403946657454E-2</v>
      </c>
      <c r="N210" s="10">
        <f t="shared" si="38"/>
        <v>3.7290403946657454E-2</v>
      </c>
    </row>
    <row r="211" spans="1:14" x14ac:dyDescent="0.25">
      <c r="A211" s="1">
        <v>45029</v>
      </c>
      <c r="B211" s="2">
        <f t="shared" si="39"/>
        <v>204</v>
      </c>
      <c r="C211" s="3">
        <f>+VLOOKUP(A211,Precios!$B:$H,1+$C$3,0)</f>
        <v>10.74</v>
      </c>
      <c r="D211" s="10">
        <f t="shared" si="32"/>
        <v>5.3974484789008903E-2</v>
      </c>
      <c r="E211" s="38">
        <f t="shared" si="33"/>
        <v>2.9132450082389534E-3</v>
      </c>
      <c r="F211" s="27">
        <f t="shared" si="34"/>
        <v>3.0864045789313435E-3</v>
      </c>
      <c r="G211" s="28">
        <f t="shared" si="35"/>
        <v>8.9914527329775847E-6</v>
      </c>
      <c r="I211" s="21">
        <f t="shared" si="30"/>
        <v>2.7353377861471585E-4</v>
      </c>
      <c r="J211" s="41">
        <f t="shared" si="31"/>
        <v>1.6538856629607617E-2</v>
      </c>
      <c r="K211" s="44">
        <f t="shared" si="36"/>
        <v>6.9680753758043039E-6</v>
      </c>
      <c r="L211" s="13"/>
      <c r="M211" s="10">
        <f t="shared" si="37"/>
        <v>-3.3077713259215234E-2</v>
      </c>
      <c r="N211" s="10">
        <f t="shared" si="38"/>
        <v>3.3077713259215234E-2</v>
      </c>
    </row>
    <row r="212" spans="1:14" x14ac:dyDescent="0.25">
      <c r="A212" s="1">
        <v>45028</v>
      </c>
      <c r="B212" s="2">
        <f t="shared" si="39"/>
        <v>205</v>
      </c>
      <c r="C212" s="3">
        <f>+VLOOKUP(A212,Precios!$B:$H,1+$C$3,0)</f>
        <v>10.19</v>
      </c>
      <c r="D212" s="10">
        <f t="shared" si="32"/>
        <v>1.4940239043824688E-2</v>
      </c>
      <c r="E212" s="38">
        <f t="shared" si="33"/>
        <v>2.2321074268662363E-4</v>
      </c>
      <c r="F212" s="27">
        <f t="shared" si="34"/>
        <v>2.9997539045578227E-3</v>
      </c>
      <c r="G212" s="28">
        <f t="shared" si="35"/>
        <v>6.6957729691345074E-7</v>
      </c>
      <c r="I212" s="21">
        <f t="shared" si="30"/>
        <v>2.7498740619165364E-4</v>
      </c>
      <c r="J212" s="41">
        <f t="shared" si="31"/>
        <v>1.6582744229820756E-2</v>
      </c>
      <c r="K212" s="44">
        <f t="shared" si="36"/>
        <v>2.6808228837131069E-9</v>
      </c>
      <c r="L212" s="13"/>
      <c r="M212" s="10">
        <f t="shared" si="37"/>
        <v>-3.3165488459641512E-2</v>
      </c>
      <c r="N212" s="10">
        <f t="shared" si="38"/>
        <v>3.3165488459641512E-2</v>
      </c>
    </row>
    <row r="213" spans="1:14" x14ac:dyDescent="0.25">
      <c r="A213" s="1">
        <v>45027</v>
      </c>
      <c r="B213" s="2">
        <f t="shared" si="39"/>
        <v>206</v>
      </c>
      <c r="C213" s="3">
        <f>+VLOOKUP(A213,Precios!$B:$H,1+$C$3,0)</f>
        <v>10.039999999999999</v>
      </c>
      <c r="D213" s="10">
        <f t="shared" si="32"/>
        <v>2.2403258655804281E-2</v>
      </c>
      <c r="E213" s="38">
        <f t="shared" si="33"/>
        <v>5.0190599839886941E-4</v>
      </c>
      <c r="F213" s="27">
        <f t="shared" si="34"/>
        <v>2.9155359441002415E-3</v>
      </c>
      <c r="G213" s="28">
        <f t="shared" si="35"/>
        <v>1.4633249788914219E-6</v>
      </c>
      <c r="I213" s="21">
        <f t="shared" si="30"/>
        <v>2.6843265214574011E-4</v>
      </c>
      <c r="J213" s="41">
        <f t="shared" si="31"/>
        <v>1.6383914432935132E-2</v>
      </c>
      <c r="K213" s="44">
        <f t="shared" si="36"/>
        <v>5.4509803410633602E-8</v>
      </c>
      <c r="L213" s="13"/>
      <c r="M213" s="10">
        <f t="shared" si="37"/>
        <v>-3.2767828865870263E-2</v>
      </c>
      <c r="N213" s="10">
        <f t="shared" si="38"/>
        <v>3.2767828865870263E-2</v>
      </c>
    </row>
    <row r="214" spans="1:14" x14ac:dyDescent="0.25">
      <c r="A214" s="1">
        <v>45026</v>
      </c>
      <c r="B214" s="2">
        <f t="shared" si="39"/>
        <v>207</v>
      </c>
      <c r="C214" s="3">
        <f>+VLOOKUP(A214,Precios!$B:$H,1+$C$3,0)</f>
        <v>9.82</v>
      </c>
      <c r="D214" s="10">
        <f t="shared" si="32"/>
        <v>2.5052192066805867E-2</v>
      </c>
      <c r="E214" s="38">
        <f t="shared" si="33"/>
        <v>6.276123273521308E-4</v>
      </c>
      <c r="F214" s="27">
        <f t="shared" si="34"/>
        <v>2.833682399221171E-3</v>
      </c>
      <c r="G214" s="28">
        <f t="shared" si="35"/>
        <v>1.7784540055519689E-6</v>
      </c>
      <c r="I214" s="21">
        <f t="shared" si="30"/>
        <v>2.5805741402017005E-4</v>
      </c>
      <c r="J214" s="41">
        <f t="shared" si="31"/>
        <v>1.6064165525173413E-2</v>
      </c>
      <c r="K214" s="44">
        <f t="shared" si="36"/>
        <v>1.3657083396779302E-7</v>
      </c>
      <c r="L214" s="13"/>
      <c r="M214" s="10">
        <f t="shared" si="37"/>
        <v>-3.2128331050346827E-2</v>
      </c>
      <c r="N214" s="10">
        <f t="shared" si="38"/>
        <v>3.2128331050346827E-2</v>
      </c>
    </row>
    <row r="215" spans="1:14" x14ac:dyDescent="0.25">
      <c r="A215" s="1">
        <v>45021</v>
      </c>
      <c r="B215" s="2">
        <f t="shared" si="39"/>
        <v>208</v>
      </c>
      <c r="C215" s="3">
        <f>+VLOOKUP(A215,Precios!$B:$H,1+$C$3,0)</f>
        <v>9.58</v>
      </c>
      <c r="D215" s="10">
        <f t="shared" si="32"/>
        <v>-1.9447287615148356E-2</v>
      </c>
      <c r="E215" s="38">
        <f t="shared" si="33"/>
        <v>3.7819699558630266E-4</v>
      </c>
      <c r="F215" s="27">
        <f t="shared" si="34"/>
        <v>2.7541268890560362E-3</v>
      </c>
      <c r="G215" s="28">
        <f t="shared" si="35"/>
        <v>1.0416025149044433E-6</v>
      </c>
      <c r="I215" s="21">
        <f t="shared" si="30"/>
        <v>2.5458707075439721E-4</v>
      </c>
      <c r="J215" s="41">
        <f t="shared" si="31"/>
        <v>1.595578486801565E-2</v>
      </c>
      <c r="K215" s="44">
        <f t="shared" si="36"/>
        <v>1.5279413516949316E-8</v>
      </c>
      <c r="L215" s="13"/>
      <c r="M215" s="10">
        <f t="shared" si="37"/>
        <v>-3.1911569736031299E-2</v>
      </c>
      <c r="N215" s="10">
        <f t="shared" si="38"/>
        <v>3.1911569736031299E-2</v>
      </c>
    </row>
    <row r="216" spans="1:14" x14ac:dyDescent="0.25">
      <c r="A216" s="1">
        <v>45020</v>
      </c>
      <c r="B216" s="2">
        <f t="shared" si="39"/>
        <v>209</v>
      </c>
      <c r="C216" s="3">
        <f>+VLOOKUP(A216,Precios!$B:$H,1+$C$3,0)</f>
        <v>9.77</v>
      </c>
      <c r="D216" s="10">
        <f t="shared" si="32"/>
        <v>2.0512820512819108E-3</v>
      </c>
      <c r="E216" s="38">
        <f t="shared" si="33"/>
        <v>4.2077580539113236E-6</v>
      </c>
      <c r="F216" s="27">
        <f t="shared" si="34"/>
        <v>2.6768048963801494E-3</v>
      </c>
      <c r="G216" s="28">
        <f t="shared" si="35"/>
        <v>1.126334736149284E-8</v>
      </c>
      <c r="I216" s="21">
        <f t="shared" si="30"/>
        <v>2.6181950947602424E-4</v>
      </c>
      <c r="J216" s="41">
        <f t="shared" si="31"/>
        <v>1.6180837724791144E-2</v>
      </c>
      <c r="K216" s="44">
        <f t="shared" si="36"/>
        <v>6.6363814470768509E-8</v>
      </c>
      <c r="L216" s="13"/>
      <c r="M216" s="10">
        <f t="shared" si="37"/>
        <v>-3.2361675449582288E-2</v>
      </c>
      <c r="N216" s="10">
        <f t="shared" si="38"/>
        <v>3.2361675449582288E-2</v>
      </c>
    </row>
    <row r="217" spans="1:14" x14ac:dyDescent="0.25">
      <c r="A217" s="1">
        <v>45019</v>
      </c>
      <c r="B217" s="2">
        <f t="shared" si="39"/>
        <v>210</v>
      </c>
      <c r="C217" s="3">
        <f>+VLOOKUP(A217,Precios!$B:$H,1+$C$3,0)</f>
        <v>9.75</v>
      </c>
      <c r="D217" s="10">
        <f t="shared" si="32"/>
        <v>-1.4155712841253831E-2</v>
      </c>
      <c r="E217" s="38">
        <f t="shared" si="33"/>
        <v>2.0038420604403861E-4</v>
      </c>
      <c r="F217" s="27">
        <f t="shared" si="34"/>
        <v>2.601653715287101E-3</v>
      </c>
      <c r="G217" s="28">
        <f t="shared" si="35"/>
        <v>5.2133031413932903E-7</v>
      </c>
      <c r="I217" s="21">
        <f t="shared" si="30"/>
        <v>2.6359412520854652E-4</v>
      </c>
      <c r="J217" s="41">
        <f t="shared" si="31"/>
        <v>1.6235582071750507E-2</v>
      </c>
      <c r="K217" s="44">
        <f t="shared" si="36"/>
        <v>3.9954938807836239E-9</v>
      </c>
      <c r="L217" s="13"/>
      <c r="M217" s="10">
        <f t="shared" si="37"/>
        <v>-3.2471164143501013E-2</v>
      </c>
      <c r="N217" s="10">
        <f t="shared" si="38"/>
        <v>3.2471164143501013E-2</v>
      </c>
    </row>
    <row r="218" spans="1:14" x14ac:dyDescent="0.25">
      <c r="A218" s="1">
        <v>45016</v>
      </c>
      <c r="B218" s="2">
        <f t="shared" si="39"/>
        <v>211</v>
      </c>
      <c r="C218" s="3">
        <f>+VLOOKUP(A218,Precios!$B:$H,1+$C$3,0)</f>
        <v>9.89</v>
      </c>
      <c r="D218" s="10">
        <f t="shared" si="32"/>
        <v>1.0214504596527174E-2</v>
      </c>
      <c r="E218" s="38">
        <f t="shared" si="33"/>
        <v>1.0433610415247477E-4</v>
      </c>
      <c r="F218" s="27">
        <f t="shared" si="34"/>
        <v>2.5286124003360785E-3</v>
      </c>
      <c r="G218" s="28">
        <f t="shared" si="35"/>
        <v>2.6382556676270432E-7</v>
      </c>
      <c r="I218" s="21">
        <f t="shared" si="30"/>
        <v>2.6819444088875403E-4</v>
      </c>
      <c r="J218" s="41">
        <f t="shared" si="31"/>
        <v>1.6376643150803342E-2</v>
      </c>
      <c r="K218" s="44">
        <f t="shared" si="36"/>
        <v>2.6849554517979883E-8</v>
      </c>
      <c r="L218" s="13"/>
      <c r="M218" s="10">
        <f t="shared" si="37"/>
        <v>-3.2753286301606684E-2</v>
      </c>
      <c r="N218" s="10">
        <f t="shared" si="38"/>
        <v>3.2753286301606684E-2</v>
      </c>
    </row>
    <row r="219" spans="1:14" x14ac:dyDescent="0.25">
      <c r="A219" s="1">
        <v>45015</v>
      </c>
      <c r="B219" s="2">
        <f t="shared" si="39"/>
        <v>212</v>
      </c>
      <c r="C219" s="3">
        <f>+VLOOKUP(A219,Precios!$B:$H,1+$C$3,0)</f>
        <v>9.7899999999999991</v>
      </c>
      <c r="D219" s="10">
        <f t="shared" si="32"/>
        <v>9.2783505154638846E-3</v>
      </c>
      <c r="E219" s="38">
        <f t="shared" si="33"/>
        <v>8.6087788287808934E-5</v>
      </c>
      <c r="F219" s="27">
        <f t="shared" si="34"/>
        <v>2.4576217171268693E-3</v>
      </c>
      <c r="G219" s="28">
        <f t="shared" si="35"/>
        <v>2.1157121807553938E-7</v>
      </c>
      <c r="I219" s="21">
        <f t="shared" si="30"/>
        <v>2.7345476048757207E-4</v>
      </c>
      <c r="J219" s="41">
        <f t="shared" si="31"/>
        <v>1.6536467594004834E-2</v>
      </c>
      <c r="K219" s="44">
        <f t="shared" si="36"/>
        <v>3.510638227130681E-8</v>
      </c>
      <c r="L219" s="13"/>
      <c r="M219" s="10">
        <f t="shared" si="37"/>
        <v>-3.3072935188009668E-2</v>
      </c>
      <c r="N219" s="10">
        <f t="shared" si="38"/>
        <v>3.3072935188009668E-2</v>
      </c>
    </row>
    <row r="220" spans="1:14" x14ac:dyDescent="0.25">
      <c r="A220" s="1">
        <v>45014</v>
      </c>
      <c r="B220" s="2">
        <f t="shared" si="39"/>
        <v>213</v>
      </c>
      <c r="C220" s="3">
        <f>+VLOOKUP(A220,Precios!$B:$H,1+$C$3,0)</f>
        <v>9.6999999999999993</v>
      </c>
      <c r="D220" s="10">
        <f t="shared" si="32"/>
        <v>3.7433155080213831E-2</v>
      </c>
      <c r="E220" s="38">
        <f t="shared" si="33"/>
        <v>1.4012410992593385E-3</v>
      </c>
      <c r="F220" s="27">
        <f t="shared" si="34"/>
        <v>2.3886240942624717E-3</v>
      </c>
      <c r="G220" s="28">
        <f t="shared" si="35"/>
        <v>3.3470382515616877E-6</v>
      </c>
      <c r="I220" s="21">
        <f t="shared" si="30"/>
        <v>2.4087760585654158E-4</v>
      </c>
      <c r="J220" s="41">
        <f t="shared" si="31"/>
        <v>1.5520232145703928E-2</v>
      </c>
      <c r="K220" s="44">
        <f t="shared" si="36"/>
        <v>1.3464434368219427E-6</v>
      </c>
      <c r="L220" s="13"/>
      <c r="M220" s="10">
        <f t="shared" si="37"/>
        <v>-3.1040464291407856E-2</v>
      </c>
      <c r="N220" s="10">
        <f t="shared" si="38"/>
        <v>3.1040464291407856E-2</v>
      </c>
    </row>
    <row r="221" spans="1:14" x14ac:dyDescent="0.25">
      <c r="A221" s="1">
        <v>45013</v>
      </c>
      <c r="B221" s="2">
        <f t="shared" si="39"/>
        <v>214</v>
      </c>
      <c r="C221" s="3">
        <f>+VLOOKUP(A221,Precios!$B:$H,1+$C$3,0)</f>
        <v>9.35</v>
      </c>
      <c r="D221" s="10">
        <f t="shared" si="32"/>
        <v>1.4099783080260275E-2</v>
      </c>
      <c r="E221" s="38">
        <f t="shared" si="33"/>
        <v>1.9880388291039394E-4</v>
      </c>
      <c r="F221" s="27">
        <f t="shared" si="34"/>
        <v>2.3215635766603536E-3</v>
      </c>
      <c r="G221" s="28">
        <f t="shared" si="35"/>
        <v>4.6153585346342028E-7</v>
      </c>
      <c r="I221" s="21">
        <f t="shared" si="30"/>
        <v>2.4209294437519443E-4</v>
      </c>
      <c r="J221" s="41">
        <f t="shared" si="31"/>
        <v>1.5559336244685839E-2</v>
      </c>
      <c r="K221" s="44">
        <f t="shared" si="36"/>
        <v>1.8739428425032748E-9</v>
      </c>
      <c r="L221" s="13"/>
      <c r="M221" s="10">
        <f t="shared" si="37"/>
        <v>-3.1118672489371679E-2</v>
      </c>
      <c r="N221" s="10">
        <f t="shared" si="38"/>
        <v>3.1118672489371679E-2</v>
      </c>
    </row>
    <row r="222" spans="1:14" x14ac:dyDescent="0.25">
      <c r="A222" s="1">
        <v>45012</v>
      </c>
      <c r="B222" s="2">
        <f t="shared" si="39"/>
        <v>215</v>
      </c>
      <c r="C222" s="3">
        <f>+VLOOKUP(A222,Precios!$B:$H,1+$C$3,0)</f>
        <v>9.2200000000000006</v>
      </c>
      <c r="D222" s="10">
        <f t="shared" si="32"/>
        <v>-2.1645021645021467E-3</v>
      </c>
      <c r="E222" s="38">
        <f t="shared" si="33"/>
        <v>4.6850696201344781E-6</v>
      </c>
      <c r="F222" s="27">
        <f t="shared" si="34"/>
        <v>2.2563857801744902E-3</v>
      </c>
      <c r="G222" s="28">
        <f t="shared" si="35"/>
        <v>1.0571324469998937E-8</v>
      </c>
      <c r="I222" s="21">
        <f t="shared" si="30"/>
        <v>2.4895069107830028E-4</v>
      </c>
      <c r="J222" s="41">
        <f t="shared" si="31"/>
        <v>1.5778171347729124E-2</v>
      </c>
      <c r="K222" s="44">
        <f t="shared" si="36"/>
        <v>5.9665693826343954E-8</v>
      </c>
      <c r="L222" s="13"/>
      <c r="M222" s="10">
        <f t="shared" si="37"/>
        <v>-3.1556342695458248E-2</v>
      </c>
      <c r="N222" s="10">
        <f t="shared" si="38"/>
        <v>3.1556342695458248E-2</v>
      </c>
    </row>
    <row r="223" spans="1:14" x14ac:dyDescent="0.25">
      <c r="A223" s="1">
        <v>45009</v>
      </c>
      <c r="B223" s="2">
        <f t="shared" si="39"/>
        <v>216</v>
      </c>
      <c r="C223" s="3">
        <f>+VLOOKUP(A223,Precios!$B:$H,1+$C$3,0)</f>
        <v>9.24</v>
      </c>
      <c r="D223" s="10">
        <f t="shared" si="32"/>
        <v>-2.0148462354188656E-2</v>
      </c>
      <c r="E223" s="38">
        <f t="shared" si="33"/>
        <v>4.0596053523815748E-4</v>
      </c>
      <c r="F223" s="27">
        <f t="shared" si="34"/>
        <v>2.193037847491394E-3</v>
      </c>
      <c r="G223" s="28">
        <f t="shared" si="35"/>
        <v>8.902868183651431E-7</v>
      </c>
      <c r="I223" s="21">
        <f t="shared" si="30"/>
        <v>2.4441531607335016E-4</v>
      </c>
      <c r="J223" s="41">
        <f t="shared" si="31"/>
        <v>1.5633787643221656E-2</v>
      </c>
      <c r="K223" s="44">
        <f t="shared" si="36"/>
        <v>2.6096857835005628E-8</v>
      </c>
      <c r="L223" s="13"/>
      <c r="M223" s="10">
        <f t="shared" si="37"/>
        <v>-3.1267575286443312E-2</v>
      </c>
      <c r="N223" s="10">
        <f t="shared" si="38"/>
        <v>3.1267575286443312E-2</v>
      </c>
    </row>
    <row r="224" spans="1:14" x14ac:dyDescent="0.25">
      <c r="A224" s="1">
        <v>45008</v>
      </c>
      <c r="B224" s="2">
        <f t="shared" si="39"/>
        <v>217</v>
      </c>
      <c r="C224" s="3">
        <f>+VLOOKUP(A224,Precios!$B:$H,1+$C$3,0)</f>
        <v>9.43</v>
      </c>
      <c r="D224" s="10">
        <f t="shared" si="32"/>
        <v>1.0718113612004254E-2</v>
      </c>
      <c r="E224" s="38">
        <f t="shared" si="33"/>
        <v>1.1487795939983088E-4</v>
      </c>
      <c r="F224" s="27">
        <f t="shared" si="34"/>
        <v>2.1314684052643547E-3</v>
      </c>
      <c r="G224" s="28">
        <f t="shared" si="35"/>
        <v>2.4485874092198082E-7</v>
      </c>
      <c r="I224" s="21">
        <f t="shared" si="30"/>
        <v>2.4815712279131768E-4</v>
      </c>
      <c r="J224" s="41">
        <f t="shared" si="31"/>
        <v>1.5753003611734422E-2</v>
      </c>
      <c r="K224" s="44">
        <f t="shared" si="36"/>
        <v>1.7763335394334633E-8</v>
      </c>
      <c r="L224" s="13"/>
      <c r="M224" s="10">
        <f t="shared" si="37"/>
        <v>-3.1506007223468843E-2</v>
      </c>
      <c r="N224" s="10">
        <f t="shared" si="38"/>
        <v>3.1506007223468843E-2</v>
      </c>
    </row>
    <row r="225" spans="1:14" x14ac:dyDescent="0.25">
      <c r="A225" s="1">
        <v>45007</v>
      </c>
      <c r="B225" s="2">
        <f t="shared" si="39"/>
        <v>218</v>
      </c>
      <c r="C225" s="3">
        <f>+VLOOKUP(A225,Precios!$B:$H,1+$C$3,0)</f>
        <v>9.33</v>
      </c>
      <c r="D225" s="10">
        <f t="shared" si="32"/>
        <v>1.0729613733906351E-3</v>
      </c>
      <c r="E225" s="38">
        <f t="shared" si="33"/>
        <v>1.151246108788318E-6</v>
      </c>
      <c r="F225" s="27">
        <f t="shared" si="34"/>
        <v>2.0716275224511365E-3</v>
      </c>
      <c r="G225" s="28">
        <f t="shared" si="35"/>
        <v>2.3849531240806548E-9</v>
      </c>
      <c r="I225" s="21">
        <f t="shared" si="30"/>
        <v>2.5529211668406465E-4</v>
      </c>
      <c r="J225" s="41">
        <f t="shared" si="31"/>
        <v>1.5977863332876041E-2</v>
      </c>
      <c r="K225" s="44">
        <f t="shared" si="36"/>
        <v>6.4587582096759354E-8</v>
      </c>
      <c r="L225" s="13"/>
      <c r="M225" s="10">
        <f t="shared" si="37"/>
        <v>-3.1955726665752082E-2</v>
      </c>
      <c r="N225" s="10">
        <f t="shared" si="38"/>
        <v>3.1955726665752082E-2</v>
      </c>
    </row>
    <row r="226" spans="1:14" x14ac:dyDescent="0.25">
      <c r="A226" s="1">
        <v>45006</v>
      </c>
      <c r="B226" s="2">
        <f t="shared" si="39"/>
        <v>219</v>
      </c>
      <c r="C226" s="3">
        <f>+VLOOKUP(A226,Precios!$B:$H,1+$C$3,0)</f>
        <v>9.32</v>
      </c>
      <c r="D226" s="10">
        <f t="shared" si="32"/>
        <v>1.5250544662309462E-2</v>
      </c>
      <c r="E226" s="38">
        <f t="shared" si="33"/>
        <v>2.3257911249709563E-4</v>
      </c>
      <c r="F226" s="27">
        <f t="shared" si="34"/>
        <v>2.0134666698213457E-3</v>
      </c>
      <c r="G226" s="28">
        <f t="shared" si="35"/>
        <v>4.6829029110953128E-7</v>
      </c>
      <c r="I226" s="21">
        <f t="shared" si="30"/>
        <v>2.5594820288062206E-4</v>
      </c>
      <c r="J226" s="41">
        <f t="shared" si="31"/>
        <v>1.5998381258134277E-2</v>
      </c>
      <c r="K226" s="44">
        <f t="shared" si="36"/>
        <v>5.4611438535342737E-10</v>
      </c>
      <c r="L226" s="13"/>
      <c r="M226" s="10">
        <f t="shared" si="37"/>
        <v>-3.1996762516268554E-2</v>
      </c>
      <c r="N226" s="10">
        <f t="shared" si="38"/>
        <v>3.1996762516268554E-2</v>
      </c>
    </row>
    <row r="227" spans="1:14" x14ac:dyDescent="0.25">
      <c r="A227" s="1">
        <v>45002</v>
      </c>
      <c r="B227" s="2">
        <f t="shared" si="39"/>
        <v>220</v>
      </c>
      <c r="C227" s="3">
        <f>+VLOOKUP(A227,Precios!$B:$H,1+$C$3,0)</f>
        <v>9.18</v>
      </c>
      <c r="D227" s="10">
        <f t="shared" si="32"/>
        <v>-1.2903225806451757E-2</v>
      </c>
      <c r="E227" s="38">
        <f t="shared" si="33"/>
        <v>1.664932362122826E-4</v>
      </c>
      <c r="F227" s="27">
        <f t="shared" si="34"/>
        <v>1.9569386806006211E-3</v>
      </c>
      <c r="G227" s="28">
        <f t="shared" si="35"/>
        <v>3.2581705400219185E-7</v>
      </c>
      <c r="I227" s="21">
        <f t="shared" si="30"/>
        <v>2.5853219257927535E-4</v>
      </c>
      <c r="J227" s="41">
        <f t="shared" si="31"/>
        <v>1.6078936301238193E-2</v>
      </c>
      <c r="K227" s="44">
        <f t="shared" si="36"/>
        <v>8.4711694891251951E-9</v>
      </c>
      <c r="L227" s="13"/>
      <c r="M227" s="10">
        <f t="shared" si="37"/>
        <v>-3.2157872602476385E-2</v>
      </c>
      <c r="N227" s="10">
        <f t="shared" si="38"/>
        <v>3.2157872602476385E-2</v>
      </c>
    </row>
    <row r="228" spans="1:14" x14ac:dyDescent="0.25">
      <c r="A228" s="1">
        <v>45001</v>
      </c>
      <c r="B228" s="2">
        <f t="shared" si="39"/>
        <v>221</v>
      </c>
      <c r="C228" s="3">
        <f>+VLOOKUP(A228,Precios!$B:$H,1+$C$3,0)</f>
        <v>9.3000000000000007</v>
      </c>
      <c r="D228" s="10">
        <f t="shared" si="32"/>
        <v>1.0869565217391353E-2</v>
      </c>
      <c r="E228" s="38">
        <f t="shared" si="33"/>
        <v>1.1814744801512392E-4</v>
      </c>
      <c r="F228" s="27">
        <f t="shared" si="34"/>
        <v>1.9019977122197405E-3</v>
      </c>
      <c r="G228" s="28">
        <f t="shared" si="35"/>
        <v>2.2471617582936642E-7</v>
      </c>
      <c r="I228" s="21">
        <f t="shared" si="30"/>
        <v>2.6258733615947227E-4</v>
      </c>
      <c r="J228" s="41">
        <f t="shared" si="31"/>
        <v>1.6204546774269014E-2</v>
      </c>
      <c r="K228" s="44">
        <f t="shared" si="36"/>
        <v>2.0862881287151863E-8</v>
      </c>
      <c r="L228" s="13"/>
      <c r="M228" s="10">
        <f t="shared" si="37"/>
        <v>-3.2409093548538027E-2</v>
      </c>
      <c r="N228" s="10">
        <f t="shared" si="38"/>
        <v>3.2409093548538027E-2</v>
      </c>
    </row>
    <row r="229" spans="1:14" x14ac:dyDescent="0.25">
      <c r="A229" s="1">
        <v>45000</v>
      </c>
      <c r="B229" s="2">
        <f t="shared" si="39"/>
        <v>222</v>
      </c>
      <c r="C229" s="3">
        <f>+VLOOKUP(A229,Precios!$B:$H,1+$C$3,0)</f>
        <v>9.1999999999999993</v>
      </c>
      <c r="D229" s="10">
        <f t="shared" si="32"/>
        <v>-1.8143009605122717E-2</v>
      </c>
      <c r="E229" s="38">
        <f t="shared" si="33"/>
        <v>3.2916879753157519E-4</v>
      </c>
      <c r="F229" s="27">
        <f t="shared" si="34"/>
        <v>1.8485992091376209E-3</v>
      </c>
      <c r="G229" s="28">
        <f t="shared" si="35"/>
        <v>6.0850117878965156E-7</v>
      </c>
      <c r="I229" s="21">
        <f t="shared" si="30"/>
        <v>2.6066406888081275E-4</v>
      </c>
      <c r="J229" s="41">
        <f t="shared" si="31"/>
        <v>1.6145094266705684E-2</v>
      </c>
      <c r="K229" s="44">
        <f t="shared" si="36"/>
        <v>4.6928978475145927E-9</v>
      </c>
      <c r="L229" s="13"/>
      <c r="M229" s="10">
        <f t="shared" si="37"/>
        <v>-3.2290188533411368E-2</v>
      </c>
      <c r="N229" s="10">
        <f t="shared" si="38"/>
        <v>3.2290188533411368E-2</v>
      </c>
    </row>
    <row r="230" spans="1:14" x14ac:dyDescent="0.25">
      <c r="A230" s="1">
        <v>44999</v>
      </c>
      <c r="B230" s="2">
        <f t="shared" si="39"/>
        <v>223</v>
      </c>
      <c r="C230" s="3">
        <f>+VLOOKUP(A230,Precios!$B:$H,1+$C$3,0)</f>
        <v>9.3699999999999992</v>
      </c>
      <c r="D230" s="10">
        <f t="shared" si="32"/>
        <v>-7.4152542372881713E-3</v>
      </c>
      <c r="E230" s="38">
        <f t="shared" si="33"/>
        <v>5.4985995403620183E-5</v>
      </c>
      <c r="F230" s="27">
        <f t="shared" si="34"/>
        <v>1.7966998667080566E-3</v>
      </c>
      <c r="G230" s="28">
        <f t="shared" si="35"/>
        <v>9.8793330612494192E-8</v>
      </c>
      <c r="I230" s="21">
        <f t="shared" si="30"/>
        <v>2.6660527083860214E-4</v>
      </c>
      <c r="J230" s="41">
        <f t="shared" si="31"/>
        <v>1.6328051654701553E-2</v>
      </c>
      <c r="K230" s="44">
        <f t="shared" si="36"/>
        <v>4.4782717735626764E-8</v>
      </c>
      <c r="L230" s="13"/>
      <c r="M230" s="10">
        <f t="shared" si="37"/>
        <v>-3.2656103309403106E-2</v>
      </c>
      <c r="N230" s="10">
        <f t="shared" si="38"/>
        <v>3.2656103309403106E-2</v>
      </c>
    </row>
    <row r="231" spans="1:14" x14ac:dyDescent="0.25">
      <c r="A231" s="1">
        <v>44998</v>
      </c>
      <c r="B231" s="2">
        <f t="shared" si="39"/>
        <v>224</v>
      </c>
      <c r="C231" s="3">
        <f>+VLOOKUP(A231,Precios!$B:$H,1+$C$3,0)</f>
        <v>9.44</v>
      </c>
      <c r="D231" s="10">
        <f t="shared" si="32"/>
        <v>2.0540540540540553E-2</v>
      </c>
      <c r="E231" s="38">
        <f t="shared" si="33"/>
        <v>4.2191380569758997E-4</v>
      </c>
      <c r="F231" s="27">
        <f t="shared" si="34"/>
        <v>1.7462575960609031E-3</v>
      </c>
      <c r="G231" s="28">
        <f t="shared" si="35"/>
        <v>7.3677018808238046E-7</v>
      </c>
      <c r="I231" s="21">
        <f t="shared" si="30"/>
        <v>2.621190397310945E-4</v>
      </c>
      <c r="J231" s="41">
        <f t="shared" si="31"/>
        <v>1.6190090788228906E-2</v>
      </c>
      <c r="K231" s="44">
        <f t="shared" si="36"/>
        <v>2.5534367230287059E-8</v>
      </c>
      <c r="L231" s="13"/>
      <c r="M231" s="10">
        <f t="shared" si="37"/>
        <v>-3.2380181576457813E-2</v>
      </c>
      <c r="N231" s="10">
        <f t="shared" si="38"/>
        <v>3.2380181576457813E-2</v>
      </c>
    </row>
    <row r="232" spans="1:14" x14ac:dyDescent="0.25">
      <c r="A232" s="1">
        <v>44995</v>
      </c>
      <c r="B232" s="2">
        <f t="shared" si="39"/>
        <v>225</v>
      </c>
      <c r="C232" s="3">
        <f>+VLOOKUP(A232,Precios!$B:$H,1+$C$3,0)</f>
        <v>9.25</v>
      </c>
      <c r="D232" s="10">
        <f t="shared" si="32"/>
        <v>-3.5453597497393075E-2</v>
      </c>
      <c r="E232" s="38">
        <f t="shared" si="33"/>
        <v>1.2569575755071564E-3</v>
      </c>
      <c r="F232" s="27">
        <f t="shared" si="34"/>
        <v>1.6972314899692152E-3</v>
      </c>
      <c r="G232" s="28">
        <f t="shared" si="35"/>
        <v>2.1333479787061033E-6</v>
      </c>
      <c r="I232" s="21">
        <f t="shared" si="30"/>
        <v>2.3338220572388326E-4</v>
      </c>
      <c r="J232" s="41">
        <f t="shared" si="31"/>
        <v>1.5276851957254914E-2</v>
      </c>
      <c r="K232" s="44">
        <f t="shared" si="36"/>
        <v>1.0477065376269643E-6</v>
      </c>
      <c r="L232" s="13"/>
      <c r="M232" s="10">
        <f t="shared" si="37"/>
        <v>-3.0553703914509827E-2</v>
      </c>
      <c r="N232" s="10">
        <f t="shared" si="38"/>
        <v>3.0553703914509827E-2</v>
      </c>
    </row>
    <row r="233" spans="1:14" x14ac:dyDescent="0.25">
      <c r="A233" s="1">
        <v>44994</v>
      </c>
      <c r="B233" s="2">
        <f t="shared" si="39"/>
        <v>226</v>
      </c>
      <c r="C233" s="3">
        <f>+VLOOKUP(A233,Precios!$B:$H,1+$C$3,0)</f>
        <v>9.59</v>
      </c>
      <c r="D233" s="10">
        <f t="shared" si="32"/>
        <v>-7.2463768115942351E-3</v>
      </c>
      <c r="E233" s="38">
        <f t="shared" si="33"/>
        <v>5.250997689561063E-5</v>
      </c>
      <c r="F233" s="27">
        <f t="shared" si="34"/>
        <v>1.6495817896746642E-3</v>
      </c>
      <c r="G233" s="28">
        <f t="shared" si="35"/>
        <v>8.6619501663236652E-8</v>
      </c>
      <c r="I233" s="21">
        <f t="shared" si="30"/>
        <v>2.3860686784686559E-4</v>
      </c>
      <c r="J233" s="41">
        <f t="shared" si="31"/>
        <v>1.5446904798271582E-2</v>
      </c>
      <c r="K233" s="44">
        <f t="shared" si="36"/>
        <v>3.4632052821723277E-8</v>
      </c>
      <c r="L233" s="13"/>
      <c r="M233" s="10">
        <f t="shared" si="37"/>
        <v>-3.0893809596543163E-2</v>
      </c>
      <c r="N233" s="10">
        <f t="shared" si="38"/>
        <v>3.0893809596543163E-2</v>
      </c>
    </row>
    <row r="234" spans="1:14" x14ac:dyDescent="0.25">
      <c r="A234" s="1">
        <v>44993</v>
      </c>
      <c r="B234" s="2">
        <f t="shared" si="39"/>
        <v>227</v>
      </c>
      <c r="C234" s="3">
        <f>+VLOOKUP(A234,Precios!$B:$H,1+$C$3,0)</f>
        <v>9.66</v>
      </c>
      <c r="D234" s="10">
        <f t="shared" si="32"/>
        <v>4.1580041580042693E-3</v>
      </c>
      <c r="E234" s="38">
        <f t="shared" si="33"/>
        <v>1.7288998577980793E-5</v>
      </c>
      <c r="F234" s="27">
        <f t="shared" si="34"/>
        <v>1.6032698526443345E-3</v>
      </c>
      <c r="G234" s="28">
        <f t="shared" si="35"/>
        <v>2.7718930202487374E-8</v>
      </c>
      <c r="I234" s="21">
        <f t="shared" si="30"/>
        <v>2.4499983981497324E-4</v>
      </c>
      <c r="J234" s="41">
        <f t="shared" si="31"/>
        <v>1.565247072557471E-2</v>
      </c>
      <c r="K234" s="44">
        <f t="shared" si="36"/>
        <v>5.1852227216858781E-8</v>
      </c>
      <c r="L234" s="13"/>
      <c r="M234" s="10">
        <f t="shared" si="37"/>
        <v>-3.1304941451149419E-2</v>
      </c>
      <c r="N234" s="10">
        <f t="shared" si="38"/>
        <v>3.1304941451149419E-2</v>
      </c>
    </row>
    <row r="235" spans="1:14" x14ac:dyDescent="0.25">
      <c r="A235" s="1">
        <v>44992</v>
      </c>
      <c r="B235" s="2">
        <f t="shared" si="39"/>
        <v>228</v>
      </c>
      <c r="C235" s="3">
        <f>+VLOOKUP(A235,Precios!$B:$H,1+$C$3,0)</f>
        <v>9.6199999999999992</v>
      </c>
      <c r="D235" s="10">
        <f t="shared" si="32"/>
        <v>-3.4136546184739158E-2</v>
      </c>
      <c r="E235" s="38">
        <f t="shared" si="33"/>
        <v>1.1653037854228296E-3</v>
      </c>
      <c r="F235" s="27">
        <f t="shared" si="34"/>
        <v>1.558258121232742E-3</v>
      </c>
      <c r="G235" s="28">
        <f t="shared" si="35"/>
        <v>1.8158440873383808E-6</v>
      </c>
      <c r="I235" s="21">
        <f t="shared" si="30"/>
        <v>2.1841600658973148E-4</v>
      </c>
      <c r="J235" s="41">
        <f t="shared" si="31"/>
        <v>1.47789041065206E-2</v>
      </c>
      <c r="K235" s="44">
        <f t="shared" si="36"/>
        <v>8.9659646570347802E-7</v>
      </c>
      <c r="L235" s="13"/>
      <c r="M235" s="10">
        <f t="shared" si="37"/>
        <v>-2.9557808213041201E-2</v>
      </c>
      <c r="N235" s="10">
        <f t="shared" si="38"/>
        <v>2.9557808213041201E-2</v>
      </c>
    </row>
    <row r="236" spans="1:14" x14ac:dyDescent="0.25">
      <c r="A236" s="1">
        <v>44991</v>
      </c>
      <c r="B236" s="2">
        <f t="shared" si="39"/>
        <v>229</v>
      </c>
      <c r="C236" s="3">
        <f>+VLOOKUP(A236,Precios!$B:$H,1+$C$3,0)</f>
        <v>9.9600000000000009</v>
      </c>
      <c r="D236" s="10">
        <f t="shared" si="32"/>
        <v>-1.6781836130306038E-2</v>
      </c>
      <c r="E236" s="38">
        <f t="shared" si="33"/>
        <v>2.8163002390444515E-4</v>
      </c>
      <c r="F236" s="27">
        <f t="shared" si="34"/>
        <v>1.5145100922236664E-3</v>
      </c>
      <c r="G236" s="28">
        <f t="shared" si="35"/>
        <v>4.2653151347647459E-7</v>
      </c>
      <c r="I236" s="21">
        <f t="shared" si="30"/>
        <v>2.1659001105661229E-4</v>
      </c>
      <c r="J236" s="41">
        <f t="shared" si="31"/>
        <v>1.4716997351926523E-2</v>
      </c>
      <c r="K236" s="44">
        <f t="shared" si="36"/>
        <v>4.2302032712462638E-9</v>
      </c>
      <c r="L236" s="13"/>
      <c r="M236" s="10">
        <f t="shared" si="37"/>
        <v>-2.9433994703853047E-2</v>
      </c>
      <c r="N236" s="10">
        <f t="shared" si="38"/>
        <v>2.9433994703853047E-2</v>
      </c>
    </row>
    <row r="237" spans="1:14" x14ac:dyDescent="0.25">
      <c r="A237" s="1">
        <v>44988</v>
      </c>
      <c r="B237" s="2">
        <f t="shared" si="39"/>
        <v>230</v>
      </c>
      <c r="C237" s="3">
        <f>+VLOOKUP(A237,Precios!$B:$H,1+$C$3,0)</f>
        <v>10.130000000000001</v>
      </c>
      <c r="D237" s="10">
        <f t="shared" si="32"/>
        <v>3.3673469387755173E-2</v>
      </c>
      <c r="E237" s="38">
        <f t="shared" si="33"/>
        <v>1.1339025406080848E-3</v>
      </c>
      <c r="F237" s="27">
        <f t="shared" si="34"/>
        <v>1.4719902872270955E-3</v>
      </c>
      <c r="G237" s="28">
        <f t="shared" si="35"/>
        <v>1.6690935264372281E-6</v>
      </c>
      <c r="I237" s="21">
        <f t="shared" si="30"/>
        <v>1.9009258765926462E-4</v>
      </c>
      <c r="J237" s="41">
        <f t="shared" si="31"/>
        <v>1.3787406850429293E-2</v>
      </c>
      <c r="K237" s="44">
        <f t="shared" si="36"/>
        <v>8.9077722728525421E-7</v>
      </c>
      <c r="L237" s="13"/>
      <c r="M237" s="10">
        <f t="shared" si="37"/>
        <v>-2.7574813700858587E-2</v>
      </c>
      <c r="N237" s="10">
        <f t="shared" si="38"/>
        <v>2.7574813700858587E-2</v>
      </c>
    </row>
    <row r="238" spans="1:14" x14ac:dyDescent="0.25">
      <c r="A238" s="1">
        <v>44987</v>
      </c>
      <c r="B238" s="2">
        <f t="shared" si="39"/>
        <v>231</v>
      </c>
      <c r="C238" s="3">
        <f>+VLOOKUP(A238,Precios!$B:$H,1+$C$3,0)</f>
        <v>9.8000000000000007</v>
      </c>
      <c r="D238" s="10">
        <f t="shared" si="32"/>
        <v>4.4776119402984982E-2</v>
      </c>
      <c r="E238" s="38">
        <f t="shared" si="33"/>
        <v>2.0049008687903682E-3</v>
      </c>
      <c r="F238" s="27">
        <f t="shared" si="34"/>
        <v>1.4306642239072748E-3</v>
      </c>
      <c r="G238" s="28">
        <f t="shared" si="35"/>
        <v>2.8683399454589933E-6</v>
      </c>
      <c r="I238" s="21">
        <f t="shared" si="30"/>
        <v>1.3767016688010387E-4</v>
      </c>
      <c r="J238" s="41">
        <f t="shared" si="31"/>
        <v>1.1733293096147554E-2</v>
      </c>
      <c r="K238" s="44">
        <f t="shared" si="36"/>
        <v>3.4865504941562987E-6</v>
      </c>
      <c r="L238" s="13"/>
      <c r="M238" s="10">
        <f t="shared" si="37"/>
        <v>-2.3466586192295108E-2</v>
      </c>
      <c r="N238" s="10">
        <f t="shared" si="38"/>
        <v>2.3466586192295108E-2</v>
      </c>
    </row>
    <row r="239" spans="1:14" x14ac:dyDescent="0.25">
      <c r="A239" s="1">
        <v>44986</v>
      </c>
      <c r="B239" s="2">
        <f t="shared" si="39"/>
        <v>232</v>
      </c>
      <c r="C239" s="3">
        <f>+VLOOKUP(A239,Precios!$B:$H,1+$C$3,0)</f>
        <v>9.3800000000000008</v>
      </c>
      <c r="D239" s="10">
        <f t="shared" si="32"/>
        <v>2.4017467248908408E-2</v>
      </c>
      <c r="E239" s="38">
        <f t="shared" si="33"/>
        <v>5.7683873305238809E-4</v>
      </c>
      <c r="F239" s="27">
        <f t="shared" si="34"/>
        <v>1.3904983880185275E-3</v>
      </c>
      <c r="G239" s="28">
        <f t="shared" si="35"/>
        <v>8.0209332845599527E-7</v>
      </c>
      <c r="I239" s="21">
        <f t="shared" si="30"/>
        <v>1.2498437543412522E-4</v>
      </c>
      <c r="J239" s="41">
        <f t="shared" si="31"/>
        <v>1.1179641113833898E-2</v>
      </c>
      <c r="K239" s="44">
        <f t="shared" si="36"/>
        <v>2.04172360498613E-7</v>
      </c>
      <c r="L239" s="13"/>
      <c r="M239" s="10">
        <f t="shared" si="37"/>
        <v>-2.2359282227667795E-2</v>
      </c>
      <c r="N239" s="10">
        <f t="shared" si="38"/>
        <v>2.2359282227667795E-2</v>
      </c>
    </row>
    <row r="240" spans="1:14" x14ac:dyDescent="0.25">
      <c r="A240" s="1">
        <v>44985</v>
      </c>
      <c r="B240" s="2">
        <f t="shared" si="39"/>
        <v>233</v>
      </c>
      <c r="C240" s="3">
        <f>+VLOOKUP(A240,Precios!$B:$H,1+$C$3,0)</f>
        <v>9.16</v>
      </c>
      <c r="D240" s="10">
        <f t="shared" si="32"/>
        <v>2.1181716833890585E-2</v>
      </c>
      <c r="E240" s="38">
        <f t="shared" si="33"/>
        <v>4.4866512803112379E-4</v>
      </c>
      <c r="F240" s="27">
        <f t="shared" si="34"/>
        <v>1.351460206226166E-3</v>
      </c>
      <c r="G240" s="28">
        <f t="shared" si="35"/>
        <v>6.0635306645543175E-7</v>
      </c>
      <c r="I240" s="21">
        <f t="shared" si="30"/>
        <v>1.1563455662010722E-4</v>
      </c>
      <c r="J240" s="41">
        <f t="shared" si="31"/>
        <v>1.0753350948430319E-2</v>
      </c>
      <c r="K240" s="44">
        <f t="shared" si="36"/>
        <v>1.1090936149434822E-7</v>
      </c>
      <c r="L240" s="13"/>
      <c r="M240" s="10">
        <f t="shared" si="37"/>
        <v>-2.1506701896860637E-2</v>
      </c>
      <c r="N240" s="10">
        <f t="shared" si="38"/>
        <v>2.1506701896860637E-2</v>
      </c>
    </row>
    <row r="241" spans="1:14" x14ac:dyDescent="0.25">
      <c r="A241" s="1">
        <v>44984</v>
      </c>
      <c r="B241" s="2">
        <f t="shared" si="39"/>
        <v>234</v>
      </c>
      <c r="C241" s="3">
        <f>+VLOOKUP(A241,Precios!$B:$H,1+$C$3,0)</f>
        <v>8.9700000000000006</v>
      </c>
      <c r="D241" s="10">
        <f t="shared" si="32"/>
        <v>8.9988751406073764E-3</v>
      </c>
      <c r="E241" s="38">
        <f t="shared" si="33"/>
        <v>8.0979753796241421E-5</v>
      </c>
      <c r="F241" s="27">
        <f t="shared" si="34"/>
        <v>1.3135180196904583E-3</v>
      </c>
      <c r="G241" s="28">
        <f t="shared" si="35"/>
        <v>1.0636836584145991E-7</v>
      </c>
      <c r="I241" s="21">
        <f t="shared" si="30"/>
        <v>1.1663559274857323E-4</v>
      </c>
      <c r="J241" s="41">
        <f t="shared" si="31"/>
        <v>1.0799795958654646E-2</v>
      </c>
      <c r="K241" s="44">
        <f t="shared" si="36"/>
        <v>1.2713388513946223E-9</v>
      </c>
      <c r="L241" s="13"/>
      <c r="M241" s="10">
        <f t="shared" si="37"/>
        <v>-2.1599591917309292E-2</v>
      </c>
      <c r="N241" s="10">
        <f t="shared" si="38"/>
        <v>2.1599591917309292E-2</v>
      </c>
    </row>
    <row r="242" spans="1:14" x14ac:dyDescent="0.25">
      <c r="A242" s="1">
        <v>44981</v>
      </c>
      <c r="B242" s="2">
        <f t="shared" si="39"/>
        <v>235</v>
      </c>
      <c r="C242" s="3">
        <f>+VLOOKUP(A242,Precios!$B:$H,1+$C$3,0)</f>
        <v>8.89</v>
      </c>
      <c r="D242" s="10">
        <f t="shared" si="32"/>
        <v>-2.2002200220021972E-2</v>
      </c>
      <c r="E242" s="38">
        <f t="shared" si="33"/>
        <v>4.8409681452193492E-4</v>
      </c>
      <c r="F242" s="27">
        <f t="shared" si="34"/>
        <v>1.2766410583922221E-3</v>
      </c>
      <c r="G242" s="28">
        <f t="shared" si="35"/>
        <v>6.1801786965558621E-7</v>
      </c>
      <c r="I242" s="21">
        <f t="shared" si="30"/>
        <v>1.0602113446771196E-4</v>
      </c>
      <c r="J242" s="41">
        <f t="shared" si="31"/>
        <v>1.0296656470316563E-2</v>
      </c>
      <c r="K242" s="44">
        <f t="shared" si="36"/>
        <v>1.4294121984846317E-7</v>
      </c>
      <c r="L242" s="13"/>
      <c r="M242" s="10">
        <f t="shared" si="37"/>
        <v>-2.0593312940633126E-2</v>
      </c>
      <c r="N242" s="10">
        <f t="shared" si="38"/>
        <v>2.0593312940633126E-2</v>
      </c>
    </row>
    <row r="243" spans="1:14" x14ac:dyDescent="0.25">
      <c r="A243" s="1">
        <v>44980</v>
      </c>
      <c r="B243" s="2">
        <f t="shared" si="39"/>
        <v>236</v>
      </c>
      <c r="C243" s="3">
        <f>+VLOOKUP(A243,Precios!$B:$H,1+$C$3,0)</f>
        <v>9.09</v>
      </c>
      <c r="D243" s="10">
        <f t="shared" si="32"/>
        <v>4.4198895027622864E-3</v>
      </c>
      <c r="E243" s="38">
        <f t="shared" si="33"/>
        <v>1.9535423216628252E-5</v>
      </c>
      <c r="F243" s="27">
        <f t="shared" si="34"/>
        <v>1.2407994161792257E-3</v>
      </c>
      <c r="G243" s="28">
        <f t="shared" si="35"/>
        <v>2.4239541722006427E-8</v>
      </c>
      <c r="I243" s="21">
        <f t="shared" si="30"/>
        <v>1.0851935446909059E-4</v>
      </c>
      <c r="J243" s="41">
        <f t="shared" si="31"/>
        <v>1.0417262330818524E-2</v>
      </c>
      <c r="K243" s="44">
        <f t="shared" si="36"/>
        <v>7.9181400211429434E-9</v>
      </c>
      <c r="L243" s="13"/>
      <c r="M243" s="10">
        <f t="shared" si="37"/>
        <v>-2.0834524661637047E-2</v>
      </c>
      <c r="N243" s="10">
        <f t="shared" si="38"/>
        <v>2.0834524661637047E-2</v>
      </c>
    </row>
    <row r="244" spans="1:14" x14ac:dyDescent="0.25">
      <c r="A244" s="1">
        <v>44979</v>
      </c>
      <c r="B244" s="2">
        <f t="shared" si="39"/>
        <v>237</v>
      </c>
      <c r="C244" s="3">
        <f>+VLOOKUP(A244,Precios!$B:$H,1+$C$3,0)</f>
        <v>9.0500000000000007</v>
      </c>
      <c r="D244" s="10">
        <f t="shared" si="32"/>
        <v>-1.0928961748633892E-2</v>
      </c>
      <c r="E244" s="38">
        <f t="shared" si="33"/>
        <v>1.1944220490310277E-4</v>
      </c>
      <c r="F244" s="27">
        <f t="shared" si="34"/>
        <v>1.2059640265131607E-3</v>
      </c>
      <c r="G244" s="28">
        <f t="shared" si="35"/>
        <v>1.440430023605558E-7</v>
      </c>
      <c r="I244" s="21">
        <f t="shared" si="30"/>
        <v>1.0820383780128989E-4</v>
      </c>
      <c r="J244" s="41">
        <f t="shared" si="31"/>
        <v>1.0402107373089834E-2</v>
      </c>
      <c r="K244" s="44">
        <f t="shared" si="36"/>
        <v>1.2630089511511017E-10</v>
      </c>
      <c r="L244" s="13"/>
      <c r="M244" s="10">
        <f t="shared" si="37"/>
        <v>-2.0804214746179668E-2</v>
      </c>
      <c r="N244" s="10">
        <f t="shared" si="38"/>
        <v>2.0804214746179668E-2</v>
      </c>
    </row>
    <row r="245" spans="1:14" x14ac:dyDescent="0.25">
      <c r="A245" s="1">
        <v>44978</v>
      </c>
      <c r="B245" s="2">
        <f t="shared" si="39"/>
        <v>238</v>
      </c>
      <c r="C245" s="3">
        <f>+VLOOKUP(A245,Precios!$B:$H,1+$C$3,0)</f>
        <v>9.15</v>
      </c>
      <c r="D245" s="10">
        <f t="shared" si="32"/>
        <v>-3.1746031746031633E-2</v>
      </c>
      <c r="E245" s="38">
        <f t="shared" si="33"/>
        <v>1.0078105316200484E-3</v>
      </c>
      <c r="F245" s="27">
        <f t="shared" si="34"/>
        <v>1.1721066388975182E-3</v>
      </c>
      <c r="G245" s="28">
        <f t="shared" si="35"/>
        <v>1.1812614148626959E-6</v>
      </c>
      <c r="I245" s="21">
        <f t="shared" si="30"/>
        <v>8.2217863894600552E-5</v>
      </c>
      <c r="J245" s="41">
        <f t="shared" si="31"/>
        <v>9.0674066796742146E-3</v>
      </c>
      <c r="K245" s="44">
        <f t="shared" si="36"/>
        <v>8.5672178654711121E-7</v>
      </c>
      <c r="L245" s="13"/>
      <c r="M245" s="10">
        <f t="shared" si="37"/>
        <v>-1.8134813359348429E-2</v>
      </c>
      <c r="N245" s="10">
        <f t="shared" si="38"/>
        <v>1.8134813359348429E-2</v>
      </c>
    </row>
    <row r="246" spans="1:14" x14ac:dyDescent="0.25">
      <c r="A246" s="1">
        <v>44977</v>
      </c>
      <c r="B246" s="2">
        <f t="shared" si="39"/>
        <v>239</v>
      </c>
      <c r="C246" s="3">
        <f>+VLOOKUP(A246,Precios!$B:$H,1+$C$3,0)</f>
        <v>9.4499999999999993</v>
      </c>
      <c r="D246" s="10">
        <f t="shared" si="32"/>
        <v>3.1847133757960666E-3</v>
      </c>
      <c r="E246" s="38">
        <f t="shared" si="33"/>
        <v>1.0142399285974378E-5</v>
      </c>
      <c r="F246" s="27">
        <f t="shared" si="34"/>
        <v>1.1391997959672511E-3</v>
      </c>
      <c r="G246" s="28">
        <f t="shared" si="35"/>
        <v>1.1554219197200405E-8</v>
      </c>
      <c r="I246" s="21">
        <f t="shared" si="30"/>
        <v>8.4299830553476499E-5</v>
      </c>
      <c r="J246" s="41">
        <f t="shared" si="31"/>
        <v>9.1814939173032462E-3</v>
      </c>
      <c r="K246" s="44">
        <f t="shared" si="36"/>
        <v>5.4993246121943018E-9</v>
      </c>
      <c r="L246" s="13"/>
      <c r="M246" s="10">
        <f t="shared" si="37"/>
        <v>-1.8362987834606492E-2</v>
      </c>
      <c r="N246" s="10">
        <f t="shared" si="38"/>
        <v>1.8362987834606492E-2</v>
      </c>
    </row>
    <row r="247" spans="1:14" x14ac:dyDescent="0.25">
      <c r="A247" s="1">
        <v>44974</v>
      </c>
      <c r="B247" s="2">
        <f t="shared" si="39"/>
        <v>240</v>
      </c>
      <c r="C247" s="3">
        <f>+VLOOKUP(A247,Precios!$B:$H,1+$C$3,0)</f>
        <v>9.42</v>
      </c>
      <c r="D247" s="10">
        <f t="shared" si="32"/>
        <v>-1.9771071800208095E-2</v>
      </c>
      <c r="E247" s="38">
        <f t="shared" si="33"/>
        <v>3.908952801289838E-4</v>
      </c>
      <c r="F247" s="27">
        <f t="shared" si="34"/>
        <v>1.107216811221642E-3</v>
      </c>
      <c r="G247" s="28">
        <f t="shared" si="35"/>
        <v>4.3280582558600393E-7</v>
      </c>
      <c r="I247" s="21">
        <f t="shared" si="30"/>
        <v>7.5443536567091447E-5</v>
      </c>
      <c r="J247" s="41">
        <f t="shared" si="31"/>
        <v>8.6858238853370403E-3</v>
      </c>
      <c r="K247" s="44">
        <f t="shared" si="36"/>
        <v>9.9509802516237894E-8</v>
      </c>
      <c r="L247" s="13"/>
      <c r="M247" s="10">
        <f t="shared" si="37"/>
        <v>-1.7371647770674081E-2</v>
      </c>
      <c r="N247" s="10">
        <f t="shared" si="38"/>
        <v>1.7371647770674081E-2</v>
      </c>
    </row>
    <row r="248" spans="1:14" x14ac:dyDescent="0.25">
      <c r="A248" s="1">
        <v>44973</v>
      </c>
      <c r="B248" s="2">
        <f t="shared" si="39"/>
        <v>241</v>
      </c>
      <c r="C248" s="3">
        <f>+VLOOKUP(A248,Precios!$B:$H,1+$C$3,0)</f>
        <v>9.61</v>
      </c>
      <c r="D248" s="10">
        <f t="shared" si="32"/>
        <v>-2.0387359836901209E-2</v>
      </c>
      <c r="E248" s="38">
        <f t="shared" si="33"/>
        <v>4.1564444111929247E-4</v>
      </c>
      <c r="F248" s="27">
        <f t="shared" si="34"/>
        <v>1.0761317473823207E-3</v>
      </c>
      <c r="G248" s="28">
        <f t="shared" si="35"/>
        <v>4.4728817871145229E-7</v>
      </c>
      <c r="I248" s="21">
        <f t="shared" si="30"/>
        <v>6.5616517838274976E-5</v>
      </c>
      <c r="J248" s="41">
        <f t="shared" si="31"/>
        <v>8.10040232570426E-3</v>
      </c>
      <c r="K248" s="44">
        <f t="shared" si="36"/>
        <v>1.2251954707642187E-7</v>
      </c>
      <c r="L248" s="13"/>
      <c r="M248" s="10">
        <f t="shared" si="37"/>
        <v>-1.620080465140852E-2</v>
      </c>
      <c r="N248" s="10">
        <f t="shared" si="38"/>
        <v>1.620080465140852E-2</v>
      </c>
    </row>
    <row r="249" spans="1:14" x14ac:dyDescent="0.25">
      <c r="A249" s="1">
        <v>44972</v>
      </c>
      <c r="B249" s="2">
        <f t="shared" si="39"/>
        <v>242</v>
      </c>
      <c r="C249" s="3">
        <f>+VLOOKUP(A249,Precios!$B:$H,1+$C$3,0)</f>
        <v>9.81</v>
      </c>
      <c r="D249" s="10">
        <f t="shared" si="32"/>
        <v>1.6580310880829119E-2</v>
      </c>
      <c r="E249" s="38">
        <f t="shared" si="33"/>
        <v>2.7490670890494045E-4</v>
      </c>
      <c r="F249" s="27">
        <f t="shared" si="34"/>
        <v>1.0459193953588797E-3</v>
      </c>
      <c r="G249" s="28">
        <f t="shared" si="35"/>
        <v>2.8753025875795485E-7</v>
      </c>
      <c r="I249" s="21">
        <f t="shared" si="30"/>
        <v>5.9570976512989882E-5</v>
      </c>
      <c r="J249" s="41">
        <f t="shared" si="31"/>
        <v>7.7182236630580926E-3</v>
      </c>
      <c r="K249" s="44">
        <f t="shared" si="36"/>
        <v>4.6369477644777745E-8</v>
      </c>
      <c r="L249" s="13"/>
      <c r="M249" s="10">
        <f t="shared" si="37"/>
        <v>-1.5436447326116185E-2</v>
      </c>
      <c r="N249" s="10">
        <f t="shared" si="38"/>
        <v>1.5436447326116185E-2</v>
      </c>
    </row>
    <row r="250" spans="1:14" x14ac:dyDescent="0.25">
      <c r="A250" s="1">
        <v>44971</v>
      </c>
      <c r="B250" s="2">
        <f t="shared" si="39"/>
        <v>243</v>
      </c>
      <c r="C250" s="3">
        <f>+VLOOKUP(A250,Precios!$B:$H,1+$C$3,0)</f>
        <v>9.65</v>
      </c>
      <c r="D250" s="10">
        <f t="shared" si="32"/>
        <v>-1.1270491803278659E-2</v>
      </c>
      <c r="E250" s="38">
        <f t="shared" si="33"/>
        <v>1.2702398548777145E-4</v>
      </c>
      <c r="F250" s="27">
        <f t="shared" si="34"/>
        <v>1.0165552538050294E-3</v>
      </c>
      <c r="G250" s="28">
        <f t="shared" si="35"/>
        <v>1.2912689980684787E-7</v>
      </c>
      <c r="I250" s="21">
        <f t="shared" si="30"/>
        <v>5.7622533773301361E-5</v>
      </c>
      <c r="J250" s="41">
        <f t="shared" si="31"/>
        <v>7.5909507819048178E-3</v>
      </c>
      <c r="K250" s="44">
        <f t="shared" si="36"/>
        <v>4.8165615000759214E-9</v>
      </c>
      <c r="L250" s="13"/>
      <c r="M250" s="10">
        <f t="shared" si="37"/>
        <v>-1.5181901563809636E-2</v>
      </c>
      <c r="N250" s="10">
        <f t="shared" si="38"/>
        <v>1.5181901563809636E-2</v>
      </c>
    </row>
    <row r="251" spans="1:14" x14ac:dyDescent="0.25">
      <c r="A251" s="1">
        <v>44970</v>
      </c>
      <c r="B251" s="2">
        <f t="shared" si="39"/>
        <v>244</v>
      </c>
      <c r="C251" s="3">
        <f>+VLOOKUP(A251,Precios!$B:$H,1+$C$3,0)</f>
        <v>9.76</v>
      </c>
      <c r="D251" s="10">
        <f t="shared" si="32"/>
        <v>9.3071354705274167E-3</v>
      </c>
      <c r="E251" s="38">
        <f t="shared" si="33"/>
        <v>8.6622770666749599E-5</v>
      </c>
      <c r="F251" s="27">
        <f t="shared" si="34"/>
        <v>9.880155092487112E-4</v>
      </c>
      <c r="G251" s="28">
        <f t="shared" si="35"/>
        <v>8.5584640872842927E-8</v>
      </c>
      <c r="I251" s="21">
        <f t="shared" si="30"/>
        <v>5.6784835027417218E-5</v>
      </c>
      <c r="J251" s="41">
        <f t="shared" si="31"/>
        <v>7.535571313936138E-3</v>
      </c>
      <c r="K251" s="44">
        <f t="shared" si="36"/>
        <v>8.9030240321694144E-10</v>
      </c>
      <c r="L251" s="13"/>
      <c r="M251" s="10">
        <f t="shared" si="37"/>
        <v>-1.5071142627872276E-2</v>
      </c>
      <c r="N251" s="10">
        <f t="shared" si="38"/>
        <v>1.5071142627872276E-2</v>
      </c>
    </row>
    <row r="252" spans="1:14" x14ac:dyDescent="0.25">
      <c r="A252" s="1">
        <v>44967</v>
      </c>
      <c r="B252" s="2">
        <f t="shared" si="39"/>
        <v>245</v>
      </c>
      <c r="C252" s="3">
        <f>+VLOOKUP(A252,Precios!$B:$H,1+$C$3,0)</f>
        <v>9.67</v>
      </c>
      <c r="D252" s="10">
        <f t="shared" si="32"/>
        <v>-1.8274111675126825E-2</v>
      </c>
      <c r="E252" s="38">
        <f t="shared" si="33"/>
        <v>3.3394315751500653E-4</v>
      </c>
      <c r="F252" s="27">
        <f t="shared" si="34"/>
        <v>9.602770167800597E-4</v>
      </c>
      <c r="G252" s="28">
        <f t="shared" si="35"/>
        <v>3.2067793907262405E-7</v>
      </c>
      <c r="I252" s="21">
        <f t="shared" si="30"/>
        <v>4.8778859765482034E-5</v>
      </c>
      <c r="J252" s="41">
        <f t="shared" si="31"/>
        <v>6.9841864068395281E-3</v>
      </c>
      <c r="K252" s="44">
        <f t="shared" si="36"/>
        <v>8.1318676710979462E-8</v>
      </c>
      <c r="L252" s="13"/>
      <c r="M252" s="10">
        <f t="shared" si="37"/>
        <v>-1.3968372813679056E-2</v>
      </c>
      <c r="N252" s="10">
        <f t="shared" si="38"/>
        <v>1.3968372813679056E-2</v>
      </c>
    </row>
    <row r="253" spans="1:14" x14ac:dyDescent="0.25">
      <c r="A253" s="1">
        <v>44966</v>
      </c>
      <c r="B253" s="2">
        <f t="shared" si="39"/>
        <v>246</v>
      </c>
      <c r="C253" s="3">
        <f>+VLOOKUP(A253,Precios!$B:$H,1+$C$3,0)</f>
        <v>9.85</v>
      </c>
      <c r="D253" s="10">
        <f t="shared" si="32"/>
        <v>-1.005025125628134E-2</v>
      </c>
      <c r="E253" s="38">
        <f t="shared" si="33"/>
        <v>1.0100755031438464E-4</v>
      </c>
      <c r="F253" s="27">
        <f t="shared" si="34"/>
        <v>9.3331728128154777E-4</v>
      </c>
      <c r="G253" s="28">
        <f t="shared" si="35"/>
        <v>9.427209224833062E-8</v>
      </c>
      <c r="I253" s="21">
        <f t="shared" si="30"/>
        <v>4.7270185586966232E-5</v>
      </c>
      <c r="J253" s="41">
        <f t="shared" si="31"/>
        <v>6.8753316710516762E-3</v>
      </c>
      <c r="K253" s="44">
        <f t="shared" si="36"/>
        <v>2.8877043678475922E-9</v>
      </c>
      <c r="L253" s="13"/>
      <c r="M253" s="10">
        <f t="shared" si="37"/>
        <v>-1.3750663342103352E-2</v>
      </c>
      <c r="N253" s="10">
        <f t="shared" si="38"/>
        <v>1.3750663342103352E-2</v>
      </c>
    </row>
    <row r="254" spans="1:14" x14ac:dyDescent="0.25">
      <c r="A254" s="1">
        <v>44965</v>
      </c>
      <c r="B254" s="2">
        <f t="shared" si="39"/>
        <v>247</v>
      </c>
      <c r="C254" s="3">
        <f>+VLOOKUP(A254,Precios!$B:$H,1+$C$3,0)</f>
        <v>9.9499999999999993</v>
      </c>
      <c r="D254" s="10">
        <f t="shared" si="32"/>
        <v>3.0241935483870108E-3</v>
      </c>
      <c r="E254" s="38">
        <f t="shared" si="33"/>
        <v>9.1457466181056189E-6</v>
      </c>
      <c r="F254" s="27">
        <f t="shared" si="34"/>
        <v>9.0711443918509464E-4</v>
      </c>
      <c r="G254" s="28">
        <f t="shared" si="35"/>
        <v>8.296238814411854E-9</v>
      </c>
      <c r="I254" s="21">
        <f t="shared" si="30"/>
        <v>4.8371445374225633E-5</v>
      </c>
      <c r="J254" s="41">
        <f t="shared" si="31"/>
        <v>6.9549583301573873E-3</v>
      </c>
      <c r="K254" s="44">
        <f t="shared" si="36"/>
        <v>1.5386554429058752E-9</v>
      </c>
      <c r="L254" s="13"/>
      <c r="M254" s="10">
        <f t="shared" si="37"/>
        <v>-1.3909916660314775E-2</v>
      </c>
      <c r="N254" s="10">
        <f t="shared" si="38"/>
        <v>1.3909916660314775E-2</v>
      </c>
    </row>
    <row r="255" spans="1:14" x14ac:dyDescent="0.25">
      <c r="A255" s="1">
        <v>44964</v>
      </c>
      <c r="B255" s="2">
        <f t="shared" si="39"/>
        <v>248</v>
      </c>
      <c r="C255" s="3">
        <f>+VLOOKUP(A255,Precios!$B:$H,1+$C$3,0)</f>
        <v>9.92</v>
      </c>
      <c r="D255" s="10">
        <f t="shared" si="32"/>
        <v>-3.5019455252918275E-2</v>
      </c>
      <c r="E255" s="38">
        <f t="shared" si="33"/>
        <v>1.2263622462111454E-3</v>
      </c>
      <c r="F255" s="27">
        <f t="shared" si="34"/>
        <v>8.8164724074134369E-4</v>
      </c>
      <c r="G255" s="28">
        <f t="shared" si="35"/>
        <v>1.0812188905214128E-6</v>
      </c>
      <c r="I255" s="21">
        <f t="shared" si="30"/>
        <v>1.4344088282288032E-5</v>
      </c>
      <c r="J255" s="41">
        <f t="shared" si="31"/>
        <v>3.7873590115393117E-3</v>
      </c>
      <c r="K255" s="44">
        <f t="shared" si="36"/>
        <v>1.4689880151492604E-6</v>
      </c>
      <c r="L255" s="13"/>
      <c r="M255" s="10">
        <f t="shared" si="37"/>
        <v>-7.5747180230786235E-3</v>
      </c>
      <c r="N255" s="10">
        <f t="shared" si="38"/>
        <v>7.5747180230786235E-3</v>
      </c>
    </row>
    <row r="256" spans="1:14" x14ac:dyDescent="0.25">
      <c r="A256" s="1">
        <v>44960</v>
      </c>
      <c r="B256" s="2">
        <f t="shared" si="39"/>
        <v>249</v>
      </c>
      <c r="C256" s="3">
        <f>+VLOOKUP(A256,Precios!$B:$H,1+$C$3,0)</f>
        <v>10.28</v>
      </c>
      <c r="D256" s="10">
        <f t="shared" si="32"/>
        <v>1.9493177387914784E-3</v>
      </c>
      <c r="E256" s="38">
        <f t="shared" si="33"/>
        <v>3.7998396467671222E-6</v>
      </c>
      <c r="F256" s="27">
        <f t="shared" si="34"/>
        <v>8.5689503278672655E-4</v>
      </c>
      <c r="G256" s="28">
        <f t="shared" si="35"/>
        <v>3.2560637187008165E-9</v>
      </c>
      <c r="I256" s="21">
        <f t="shared" si="30"/>
        <v>1.4648668685914391E-5</v>
      </c>
      <c r="J256" s="41">
        <f t="shared" si="31"/>
        <v>3.8273579249809377E-3</v>
      </c>
      <c r="K256" s="44">
        <f t="shared" si="36"/>
        <v>1.1769709152064505E-10</v>
      </c>
      <c r="L256" s="13"/>
      <c r="M256" s="10">
        <f t="shared" si="37"/>
        <v>-7.6547158499618755E-3</v>
      </c>
      <c r="N256" s="10">
        <f t="shared" si="38"/>
        <v>7.6547158499618755E-3</v>
      </c>
    </row>
    <row r="257" spans="1:14" x14ac:dyDescent="0.25">
      <c r="A257" s="1">
        <v>44959</v>
      </c>
      <c r="B257" s="2">
        <f t="shared" si="39"/>
        <v>250</v>
      </c>
      <c r="C257" s="3">
        <f>+VLOOKUP(A257,Precios!$B:$H,1+$C$3,0)</f>
        <v>10.26</v>
      </c>
      <c r="D257" s="10">
        <f t="shared" si="32"/>
        <v>9.7560975609756184E-4</v>
      </c>
      <c r="E257" s="38">
        <f t="shared" si="33"/>
        <v>9.518143961927441E-7</v>
      </c>
      <c r="F257" s="27">
        <f t="shared" si="34"/>
        <v>8.3283774199434466E-4</v>
      </c>
      <c r="G257" s="28">
        <f t="shared" si="35"/>
        <v>7.9270695252287554E-10</v>
      </c>
      <c r="I257" s="21">
        <f t="shared" si="30"/>
        <v>1.5044315028501676E-5</v>
      </c>
      <c r="J257" s="41">
        <f t="shared" si="31"/>
        <v>3.8787001725451371E-3</v>
      </c>
      <c r="K257" s="44">
        <f t="shared" si="36"/>
        <v>1.9859857407162765E-10</v>
      </c>
      <c r="L257" s="13"/>
      <c r="M257" s="10">
        <f t="shared" si="37"/>
        <v>-7.7574003450902743E-3</v>
      </c>
      <c r="N257" s="10">
        <f t="shared" si="38"/>
        <v>7.7574003450902743E-3</v>
      </c>
    </row>
    <row r="258" spans="1:14" x14ac:dyDescent="0.25">
      <c r="A258" s="1">
        <v>44958</v>
      </c>
      <c r="B258" s="2">
        <f t="shared" si="39"/>
        <v>251</v>
      </c>
      <c r="C258" s="3">
        <f>+VLOOKUP(A258,Precios!$B:$H,1+$C$3,0)</f>
        <v>10.25</v>
      </c>
      <c r="D258" s="10">
        <f t="shared" si="32"/>
        <v>2.0916334661354563E-2</v>
      </c>
      <c r="E258" s="38">
        <f t="shared" si="33"/>
        <v>4.3749305566578232E-4</v>
      </c>
      <c r="F258" s="27">
        <f t="shared" si="34"/>
        <v>8.0945585859507963E-4</v>
      </c>
      <c r="G258" s="28">
        <f t="shared" si="35"/>
        <v>3.5413131700333082E-7</v>
      </c>
      <c r="I258" s="21">
        <f t="shared" si="30"/>
        <v>2.8414912539091308E-6</v>
      </c>
      <c r="J258" s="41">
        <f t="shared" si="31"/>
        <v>1.6856723447660671E-3</v>
      </c>
      <c r="K258" s="44">
        <f t="shared" si="36"/>
        <v>1.8892198244568874E-7</v>
      </c>
      <c r="L258" s="13"/>
      <c r="M258" s="10">
        <f t="shared" si="37"/>
        <v>-3.3713446895321342E-3</v>
      </c>
      <c r="N258" s="10">
        <f t="shared" si="38"/>
        <v>3.3713446895321342E-3</v>
      </c>
    </row>
    <row r="259" spans="1:14" x14ac:dyDescent="0.25">
      <c r="A259" s="1">
        <v>44957</v>
      </c>
      <c r="B259" s="2">
        <f t="shared" si="39"/>
        <v>252</v>
      </c>
      <c r="C259" s="3">
        <f>+VLOOKUP(A259,Precios!$B:$H,1+$C$3,0)</f>
        <v>10.039999999999999</v>
      </c>
      <c r="D259" s="10">
        <f t="shared" si="32"/>
        <v>1.0060362173038184E-2</v>
      </c>
      <c r="E259" s="38">
        <f t="shared" si="33"/>
        <v>1.0121088705269757E-4</v>
      </c>
      <c r="F259" s="27">
        <f t="shared" si="34"/>
        <v>7.8673042055573273E-4</v>
      </c>
      <c r="G259" s="28">
        <f t="shared" si="35"/>
        <v>7.962568373578752E-8</v>
      </c>
      <c r="I259" s="21"/>
      <c r="J259" s="21"/>
      <c r="K259" s="44"/>
      <c r="L259" s="13"/>
      <c r="M259" s="10"/>
      <c r="N259" s="10"/>
    </row>
    <row r="260" spans="1:14" x14ac:dyDescent="0.25">
      <c r="A260" s="1">
        <v>44956</v>
      </c>
      <c r="B260" s="2">
        <f t="shared" si="39"/>
        <v>253</v>
      </c>
      <c r="C260" s="3">
        <f>+VLOOKUP(A260,Precios!$B:$H,1+$C$3,0)</f>
        <v>9.94</v>
      </c>
      <c r="D260" s="10" t="e">
        <f t="shared" si="32"/>
        <v>#DIV/0!</v>
      </c>
      <c r="E260" s="38" t="e">
        <f t="shared" si="33"/>
        <v>#DIV/0!</v>
      </c>
      <c r="F260" s="27">
        <f t="shared" si="34"/>
        <v>7.6464299820136277E-4</v>
      </c>
      <c r="G260" s="28" t="e">
        <f t="shared" si="35"/>
        <v>#DIV/0!</v>
      </c>
    </row>
    <row r="261" spans="1:14" x14ac:dyDescent="0.25">
      <c r="A261" s="1"/>
      <c r="B261" s="2"/>
      <c r="C261" s="3"/>
      <c r="D261" s="10"/>
      <c r="E261" s="9"/>
      <c r="K261" s="18"/>
      <c r="L261" s="18"/>
    </row>
    <row r="262" spans="1:14" x14ac:dyDescent="0.25">
      <c r="A262" s="1"/>
      <c r="B262" s="2"/>
      <c r="C262" s="3"/>
      <c r="K262" s="13"/>
      <c r="L262" s="13"/>
    </row>
    <row r="263" spans="1:14" x14ac:dyDescent="0.25">
      <c r="A263" s="1"/>
      <c r="B263" s="2"/>
    </row>
    <row r="264" spans="1:14" x14ac:dyDescent="0.25">
      <c r="A264" s="4"/>
      <c r="B264" s="5"/>
      <c r="D264" s="11"/>
    </row>
    <row r="266" spans="1:14" x14ac:dyDescent="0.25">
      <c r="D266" s="11"/>
    </row>
    <row r="268" spans="1:14" x14ac:dyDescent="0.25">
      <c r="D268" s="11"/>
    </row>
    <row r="269" spans="1:14" x14ac:dyDescent="0.25">
      <c r="C269" s="3"/>
      <c r="D269" s="9"/>
    </row>
  </sheetData>
  <mergeCells count="2">
    <mergeCell ref="F5:G5"/>
    <mergeCell ref="I5:J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942975</xdr:colOff>
                    <xdr:row>1</xdr:row>
                    <xdr:rowOff>85725</xdr:rowOff>
                  </from>
                  <to>
                    <xdr:col>3</xdr:col>
                    <xdr:colOff>676275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4:D10"/>
  <sheetViews>
    <sheetView zoomScale="179" zoomScaleNormal="179" workbookViewId="0">
      <selection activeCell="B7" sqref="B7"/>
    </sheetView>
  </sheetViews>
  <sheetFormatPr baseColWidth="10" defaultColWidth="11.42578125" defaultRowHeight="15" x14ac:dyDescent="0.25"/>
  <cols>
    <col min="1" max="1" width="4.42578125" customWidth="1"/>
  </cols>
  <sheetData>
    <row r="4" spans="2:4" x14ac:dyDescent="0.25">
      <c r="B4" s="36" t="s">
        <v>30</v>
      </c>
      <c r="C4" s="7" t="s">
        <v>31</v>
      </c>
      <c r="D4" s="7" t="s">
        <v>32</v>
      </c>
    </row>
    <row r="5" spans="2:4" x14ac:dyDescent="0.25">
      <c r="B5" s="47" t="s">
        <v>33</v>
      </c>
      <c r="C5" s="48"/>
      <c r="D5" s="48"/>
    </row>
    <row r="6" spans="2:4" x14ac:dyDescent="0.25">
      <c r="B6" s="49" t="s">
        <v>34</v>
      </c>
      <c r="C6" s="50"/>
      <c r="D6" s="50"/>
    </row>
    <row r="7" spans="2:4" x14ac:dyDescent="0.25">
      <c r="B7" s="49" t="s">
        <v>27</v>
      </c>
      <c r="C7" s="50"/>
      <c r="D7" s="50"/>
    </row>
    <row r="8" spans="2:4" x14ac:dyDescent="0.25">
      <c r="B8" s="49" t="s">
        <v>35</v>
      </c>
      <c r="C8" s="50"/>
      <c r="D8" s="50"/>
    </row>
    <row r="9" spans="2:4" x14ac:dyDescent="0.25">
      <c r="B9" s="49" t="s">
        <v>36</v>
      </c>
      <c r="C9" s="50"/>
      <c r="D9" s="50"/>
    </row>
    <row r="10" spans="2:4" x14ac:dyDescent="0.25">
      <c r="B10" s="51" t="s">
        <v>37</v>
      </c>
      <c r="C10" s="52"/>
      <c r="D10" s="52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Precios</vt:lpstr>
      <vt:lpstr>Histórica</vt:lpstr>
      <vt:lpstr>Dinámica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</dc:creator>
  <cp:lastModifiedBy>JORGE LUIS RAMIREZ GONZALEZ</cp:lastModifiedBy>
  <cp:lastPrinted>2018-02-07T04:35:43Z</cp:lastPrinted>
  <dcterms:created xsi:type="dcterms:W3CDTF">2018-02-06T00:07:24Z</dcterms:created>
  <dcterms:modified xsi:type="dcterms:W3CDTF">2024-02-21T01:19:54Z</dcterms:modified>
</cp:coreProperties>
</file>